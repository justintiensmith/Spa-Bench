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e52b345d3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Summary" sheetId="1" r:id="R4a8a1b7934ca419e"/>
    <x:sheet xmlns:r="http://schemas.openxmlformats.org/officeDocument/2006/relationships" name="Trial Specifications" sheetId="2" r:id="R0bd28f460d094cff"/>
    <x:sheet xmlns:r="http://schemas.openxmlformats.org/officeDocument/2006/relationships" name="Execution Checklist" sheetId="3" r:id="R7c6192ec18fb4131"/>
    <x:sheet xmlns:r="http://schemas.openxmlformats.org/officeDocument/2006/relationships" name="Blind Scoring" sheetId="4" r:id="R856c62afdb544159"/>
    <x:sheet xmlns:r="http://schemas.openxmlformats.org/officeDocument/2006/relationships" name="Analysis Plan" sheetId="5" r:id="Ra76c5e6f4bb149e7"/>
    <x:sheet xmlns:r="http://schemas.openxmlformats.org/officeDocument/2006/relationships" name="Precision &amp; Power" sheetId="6" r:id="R2e681dfe5de34388"/>
    <x:sheet xmlns:r="http://schemas.openxmlformats.org/officeDocument/2006/relationships" name="Evaluation QA" sheetId="7" r:id="R66c5d5727c434094"/>
    <x:sheet xmlns:r="http://schemas.openxmlformats.org/officeDocument/2006/relationships" name="Contingency Log" sheetId="8" r:id="R9d8de19eac75471b"/>
    <x:sheet xmlns:r="http://schemas.openxmlformats.org/officeDocument/2006/relationships" name="Lists" sheetId="9" r:id="R798a23c153d1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664D03"/>
      <x:name val="Carlito"/>
    </x:font>
    <x:font>
      <x:b/>
      <x:sz val="11"/>
      <x:color rgb="FF7F6000"/>
      <x:name val="Carlito"/>
    </x:font>
    <x:font>
      <x:b/>
      <x:sz val="11"/>
      <x:color rgb="FF4C1D6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C1D6F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FFF3CD"/>
      </x:patternFill>
    </x:fill>
    <x:fill>
      <x:patternFill patternType="solid">
        <x:fgColor rgb="FF5B9BD5"/>
      </x:patternFill>
    </x:fill>
    <x:fill>
      <x:patternFill patternType="solid">
        <x:fgColor rgb="FF9C6500"/>
      </x:patternFill>
    </x:fill>
    <x:fill>
      <x:patternFill patternType="solid">
        <x:fgColor rgb="FFFFF2CC"/>
      </x:patternFill>
    </x:fill>
    <x:fill>
      <x:patternFill patternType="solid">
        <x:fgColor rgb="FFEDE1F3"/>
      </x:patternFill>
    </x:fill>
  </x:fills>
  <x:borders count="6">
    <x:border/>
    <x:border>
      <x:left style="thin">
        <x:color rgb="FF4C1D6F"/>
      </x:left>
      <x:top style="thin">
        <x:color rgb="FF4C1D6F"/>
      </x:top>
      <x:bottom style="thin">
        <x:color rgb="FF4C1D6F"/>
      </x:bottom>
    </x:border>
    <x:border>
      <x:top style="thin">
        <x:color rgb="FF4C1D6F"/>
      </x:top>
      <x:bottom style="thin">
        <x:color rgb="FF4C1D6F"/>
      </x:bottom>
    </x:border>
    <x:border>
      <x:right style="thin">
        <x:color rgb="FF4C1D6F"/>
      </x:right>
      <x:top style="thin">
        <x:color rgb="FF4C1D6F"/>
      </x:top>
      <x:bottom style="thin">
        <x:color rgb="FF4C1D6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FFFFFF"/>
      </x:font>
      <x:fill>
        <x:patternFill patternType="solid">
          <x:bgColor rgb="FF1B4332"/>
        </x:patternFill>
      </x:fill>
    </x:dxf>
    <x:dxf>
      <x:font>
        <x:b/>
        <x:color rgb="FF7A4E00"/>
      </x:font>
      <x:fill>
        <x:patternFill patternType="solid">
          <x:bgColor rgb="FFFFF3BF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4E00"/>
      </x:font>
      <x:fill>
        <x:patternFill patternType="solid">
          <x:bgColor rgb="FFFFF3BF"/>
        </x:patternFill>
      </x:fill>
    </x:dxf>
    <x:dxf>
      <x:font>
        <x:b/>
        <x:color rgb="FFFFFFFF"/>
      </x:font>
      <x:fill>
        <x:patternFill patternType="solid">
          <x:bgColor rgb="FF1B433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6c376720443d9" /><Relationship Type="http://schemas.openxmlformats.org/officeDocument/2006/relationships/theme" Target="/xl/theme/theme1.xml" Id="R1f998d9a52134621" /><Relationship Type="http://schemas.openxmlformats.org/officeDocument/2006/relationships/sharedStrings" Target="/xl/sharedStrings.xml" Id="R1e4d55ab0f474afd" /><Relationship Type="http://schemas.openxmlformats.org/officeDocument/2006/relationships/worksheet" Target="/xl/worksheets/sheet1.xml" Id="R4a8a1b7934ca419e" /><Relationship Type="http://schemas.openxmlformats.org/officeDocument/2006/relationships/worksheet" Target="/xl/worksheets/sheet2.xml" Id="R0bd28f460d094cff" /><Relationship Type="http://schemas.openxmlformats.org/officeDocument/2006/relationships/worksheet" Target="/xl/worksheets/sheet3.xml" Id="R7c6192ec18fb4131" /><Relationship Type="http://schemas.openxmlformats.org/officeDocument/2006/relationships/worksheet" Target="/xl/worksheets/sheet4.xml" Id="R856c62afdb544159" /><Relationship Type="http://schemas.openxmlformats.org/officeDocument/2006/relationships/worksheet" Target="/xl/worksheets/sheet5.xml" Id="Ra76c5e6f4bb149e7" /><Relationship Type="http://schemas.openxmlformats.org/officeDocument/2006/relationships/worksheet" Target="/xl/worksheets/sheet6.xml" Id="R2e681dfe5de34388" /><Relationship Type="http://schemas.openxmlformats.org/officeDocument/2006/relationships/worksheet" Target="/xl/worksheets/sheet7.xml" Id="R66c5d5727c434094" /><Relationship Type="http://schemas.openxmlformats.org/officeDocument/2006/relationships/worksheet" Target="/xl/worksheets/sheet8.xml" Id="R9d8de19eac75471b" /><Relationship Type="http://schemas.openxmlformats.org/officeDocument/2006/relationships/worksheet" Target="/xl/worksheets/sheet9.xml" Id="R798a23c153d14862" /></Relationships>
</file>

<file path=xl/tables/table1.xml><?xml version="1.0" encoding="utf-8"?>
<x:table xmlns:x="http://schemas.openxmlformats.org/spreadsheetml/2006/main" id="1" name="TrialSpecificationsTable" displayName="TrialSpecificationsTable" ref="A1:O271" headerRowCount="1" totalsRowCount="0" totalsRowShown="0">
  <x:autoFilter ref="A1:O271"/>
  <x:tableColumns count="15">
    <x:tableColumn id="1" name="Spec ID"/>
    <x:tableColumn id="2" name="Evaluation Block"/>
    <x:tableColumn id="3" name="Task"/>
    <x:tableColumn id="4" name="Condition"/>
    <x:tableColumn id="5" name="Subtype"/>
    <x:tableColumn id="6" name="Parent Spec ID"/>
    <x:tableColumn id="7" name="Pair ID"/>
    <x:tableColumn id="8" name="Policy Input Prompt"/>
    <x:tableColumn id="9" name="Scoring Instruction"/>
    <x:tableColumn id="10" name="Scene Description"/>
    <x:tableColumn id="11" name="Expected Target / Action"/>
    <x:tableColumn id="12" name="Scoring Rule"/>
    <x:tableColumn id="13" name="Source"/>
    <x:tableColumn id="14" name="Claim Role"/>
    <x:tableColumn id="15" name="Analysis Tie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ecutionChecklistTable" displayName="ExecutionChecklistTable" ref="A1:U1927" headerRowCount="1" totalsRowCount="0" totalsRowShown="0">
  <x:autoFilter ref="A1:U1927"/>
  <x:tableColumns count="21">
    <x:tableColumn id="1" name="Status"/>
    <x:tableColumn id="2" name="Rollout #"/>
    <x:tableColumn id="3" name="Planned Block"/>
    <x:tableColumn id="4" name="Within-Block Order"/>
    <x:tableColumn id="5" name="Evaluation Block"/>
    <x:tableColumn id="6" name="Model / Policy"/>
    <x:tableColumn id="7" name="Train Seed"/>
    <x:tableColumn id="8" name="Task"/>
    <x:tableColumn id="9" name="Condition"/>
    <x:tableColumn id="10" name="Spec ID"/>
    <x:tableColumn id="11" name="Pair ID"/>
    <x:tableColumn id="12" name="Policy Input Prompt"/>
    <x:tableColumn id="13" name="Scoring Instruction"/>
    <x:tableColumn id="14" name="Scene Description"/>
    <x:tableColumn id="15" name="Expected Target / Action"/>
    <x:tableColumn id="16" name="Session ID"/>
    <x:tableColumn id="17" name="Video / File ID"/>
    <x:tableColumn id="18" name="Operator Notes"/>
    <x:tableColumn id="19" name="Adjudicated Success"/>
    <x:tableColumn id="20" name="Invalid?"/>
    <x:tableColumn id="21" name="Failure Mod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lindScoringTable" displayName="BlindScoringTable" ref="A1:N1927" headerRowCount="1" totalsRowCount="0" totalsRowShown="0">
  <x:autoFilter ref="A1:N1927"/>
  <x:tableColumns count="14">
    <x:tableColumn id="1" name="Rollout #"/>
    <x:tableColumn id="2" name="Video / File ID"/>
    <x:tableColumn id="3" name="Scoring Instruction"/>
    <x:tableColumn id="4" name="Expected Target / Action"/>
    <x:tableColumn id="5" name="Scoring Rule"/>
    <x:tableColumn id="6" name="Rater A Success (0/1)"/>
    <x:tableColumn id="7" name="Rater B Success (0/1)"/>
    <x:tableColumn id="8" name="Agreement"/>
    <x:tableColumn id="9" name="Adjudicated Success (0/1)"/>
    <x:tableColumn id="10" name="Invalid?"/>
    <x:tableColumn id="11" name="Invalid Reason"/>
    <x:tableColumn id="12" name="Failure Mode"/>
    <x:tableColumn id="13" name="Selected Target / Final State"/>
    <x:tableColumn id="14" name="Scoring 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ntingencyLogTable" displayName="ContingencyLogTable" ref="A1:K75" headerRowCount="1" totalsRowCount="0" totalsRowShown="0">
  <x:autoFilter ref="A1:K75"/>
  <x:tableColumns count="11">
    <x:tableColumn id="1" name="Status"/>
    <x:tableColumn id="2" name="Attempt / Rollout #"/>
    <x:tableColumn id="3" name="Replaces Planned Rollout #"/>
    <x:tableColumn id="4" name="Pre-defined Invalid Reason"/>
    <x:tableColumn id="5" name="Model / Policy"/>
    <x:tableColumn id="6" name="Seed"/>
    <x:tableColumn id="7" name="Task"/>
    <x:tableColumn id="8" name="Spec ID"/>
    <x:tableColumn id="9" name="Session ID"/>
    <x:tableColumn id="10" name="Video / File ID"/>
    <x:tableColumn id="11" name="Outcome / 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d8717377f54a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306984c9b549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108783fc5544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8a5fea2aac2a44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8" hidden="0" customWidth="1"/>
    <x:col min="4" max="4" width="17" hidden="0" customWidth="1"/>
    <x:col min="5" max="5" width="17" hidden="0" customWidth="1"/>
    <x:col min="6" max="6" width="25" hidden="0" customWidth="1"/>
    <x:col min="7" max="7" width="18" hidden="0" customWidth="1"/>
  </x:cols>
  <x:sheetData>
    <x:row r="1" ht="30" customHeight="1">
      <x:c r="A1" s="4" t="str">
        <x:v>Focused VLA Evaluation — 1,926 Planned Rollouts, Hard Cap 2,000</x:v>
      </x:c>
      <x:c r="B1" s="4" t="str">
        <x:v>Focused VLA Evaluation — 1,926 Planned Rollouts, Hard Cap 2,000</x:v>
      </x:c>
      <x:c r="C1" s="4" t="str">
        <x:v>Focused VLA Evaluation — 1,926 Planned Rollouts, Hard Cap 2,000</x:v>
      </x:c>
      <x:c r="D1" s="4" t="str">
        <x:v>Focused VLA Evaluation — 1,926 Planned Rollouts, Hard Cap 2,000</x:v>
      </x:c>
      <x:c r="E1" s="4" t="str">
        <x:v>Focused VLA Evaluation — 1,926 Planned Rollouts, Hard Cap 2,000</x:v>
      </x:c>
      <x:c r="F1" s="4" t="str">
        <x:v>Focused VLA Evaluation — 1,926 Planned Rollouts, Hard Cap 2,000</x:v>
      </x:c>
      <x:c r="G1" s="4" t="str">
        <x:v>Focused VLA Evaluation — 1,926 Planned Rollouts, Hard Cap 2,000</x:v>
      </x:c>
    </x:row>
    <x:row r="3" ht="32" customHeight="1">
      <x:c r="A3" s="16" t="str">
        <x:v>Block</x:v>
      </x:c>
      <x:c r="B3" s="17" t="str">
        <x:v>Models / policies</x:v>
      </x:c>
      <x:c r="C3" s="17" t="str">
        <x:v>Seeds</x:v>
      </x:c>
      <x:c r="D3" s="17" t="str">
        <x:v>Tasks</x:v>
      </x:c>
      <x:c r="E3" s="17" t="str">
        <x:v>Rollouts per task-policy-seed</x:v>
      </x:c>
      <x:c r="F3" s="17" t="str">
        <x:v>Formula</x:v>
      </x:c>
      <x:c r="G3" s="18" t="str">
        <x:v>Planned rollouts</x:v>
      </x:c>
    </x:row>
    <x:row r="4">
      <x:c r="A4" s="30" t="str">
        <x:v>Primary VLA</x:v>
      </x:c>
      <x:c r="B4" s="34" t="n">
        <x:v>3</x:v>
      </x:c>
      <x:c r="C4" s="34" t="n">
        <x:v>3</x:v>
      </x:c>
      <x:c r="D4" s="34" t="n">
        <x:v>3</x:v>
      </x:c>
      <x:c r="E4" s="34" t="n">
        <x:v>62</x:v>
      </x:c>
      <x:c r="F4" s="34" t="str">
        <x:v>3 × 3 × 3 × 62</x:v>
      </x:c>
      <x:c r="G4" s="34" t="n">
        <x:f>B4*C4*D4*E4</x:f>
        <x:v>1674</x:v>
      </x:c>
    </x:row>
    <x:row r="5">
      <x:c r="A5" s="31" t="str">
        <x:v>Vision-only BC diagnostic</x:v>
      </x:c>
      <x:c r="B5" s="35" t="n">
        <x:v>1</x:v>
      </x:c>
      <x:c r="C5" s="35" t="n">
        <x:v>3</x:v>
      </x:c>
      <x:c r="D5" s="35" t="n">
        <x:v>3</x:v>
      </x:c>
      <x:c r="E5" s="35" t="n">
        <x:v>20</x:v>
      </x:c>
      <x:c r="F5" s="35" t="str">
        <x:v>1 × 3 × 3 × 20</x:v>
      </x:c>
      <x:c r="G5" s="35" t="n">
        <x:f>B5*C5*D5*E5</x:f>
        <x:v>180</x:v>
      </x:c>
    </x:row>
    <x:row r="6">
      <x:c r="A6" s="31" t="str">
        <x:v>Secondary exploratory</x:v>
      </x:c>
      <x:c r="B6" s="35" t="n">
        <x:v>3</x:v>
      </x:c>
      <x:c r="C6" s="35" t="n">
        <x:v>1</x:v>
      </x:c>
      <x:c r="D6" s="35" t="n">
        <x:v>3</x:v>
      </x:c>
      <x:c r="E6" s="35" t="n">
        <x:v>8</x:v>
      </x:c>
      <x:c r="F6" s="35" t="str">
        <x:v>3 × 1 × 3 × 8</x:v>
      </x:c>
      <x:c r="G6" s="35" t="n">
        <x:f>B6*C6*D6*E6</x:f>
        <x:v>72</x:v>
      </x:c>
    </x:row>
    <x:row r="7">
      <x:c r="A7" s="32" t="str">
        <x:v>Planned total</x:v>
      </x:c>
      <x:c r="B7" s="32"/>
      <x:c r="C7" s="32"/>
      <x:c r="D7" s="32"/>
      <x:c r="E7" s="32"/>
      <x:c r="F7" s="32"/>
      <x:c r="G7" s="32" t="n">
        <x:f>SUM(G4:G6)</x:f>
        <x:v>1926</x:v>
      </x:c>
    </x:row>
    <x:row r="8">
      <x:c r="A8" s="31" t="str">
        <x:v>Hard cap</x:v>
      </x:c>
      <x:c r="B8" s="31"/>
      <x:c r="C8" s="31"/>
      <x:c r="D8" s="31"/>
      <x:c r="E8" s="31"/>
      <x:c r="F8" s="31"/>
      <x:c r="G8" s="31" t="n">
        <x:v>2000</x:v>
      </x:c>
    </x:row>
    <x:row r="9">
      <x:c r="A9" s="33" t="str">
        <x:v>Contingency reserve</x:v>
      </x:c>
      <x:c r="B9" s="33"/>
      <x:c r="C9" s="33"/>
      <x:c r="D9" s="33"/>
      <x:c r="E9" s="33"/>
      <x:c r="F9" s="33"/>
      <x:c r="G9" s="33" t="n">
        <x:f>G8-G7</x:f>
        <x:v>74</x:v>
      </x:c>
    </x:row>
    <x:row r="11" ht="32" customHeight="1">
      <x:c r="A11" s="47" t="str">
        <x:v>Primary task</x:v>
      </x:c>
      <x:c r="B11" s="48" t="str">
        <x:v>Scientific role</x:v>
      </x:c>
      <x:c r="C11" s="49" t="str">
        <x:v>62-rollout composition per policy-seed</x:v>
      </x:c>
      <x:c r="E11" s="47" t="str">
        <x:v>Progress</x:v>
      </x:c>
      <x:c r="F11" s="48" t="str">
        <x:v>Formula</x:v>
      </x:c>
      <x:c r="G11" s="49" t="str">
        <x:v>Current</x:v>
      </x:c>
    </x:row>
    <x:row r="12" ht="72" customHeight="1">
      <x:c r="A12" s="30" t="str">
        <x:v>State Recognition</x:v>
      </x:c>
      <x:c r="B12" s="30" t="str">
        <x:v>State-word transfer and language-sensitive target selection</x:v>
      </x:c>
      <x:c r="C12" s="30" t="str">
        <x:v>6 reconstruction; 8 novel layout; 8 paraphrase; 16 main transfer; 16 matched control; 4 blank; 4 counterfactual</x:v>
      </x:c>
      <x:c r="E12" s="30" t="str">
        <x:v>Planned</x:v>
      </x:c>
      <x:c r="F12" s="30" t="str">
        <x:v>Execution rows</x:v>
      </x:c>
      <x:c r="G12" s="30" t="n">
        <x:f>COUNTA('Execution Checklist'!B2:B1927)</x:f>
        <x:v>1926</x:v>
      </x:c>
    </x:row>
    <x:row r="13" ht="50" customHeight="1">
      <x:c r="A13" s="31" t="str">
        <x:v>Relational Placement</x:v>
      </x:c>
      <x:c r="B13" s="31" t="str">
        <x:v>Held-out object-pair composition and spatial-language sensitivity</x:v>
      </x:c>
      <x:c r="C13" s="31" t="str">
        <x:v>Same 62-rollout structure</x:v>
      </x:c>
      <x:c r="E13" s="31" t="str">
        <x:v>Complete</x:v>
      </x:c>
      <x:c r="F13" s="31" t="str">
        <x:v>Status=Complete</x:v>
      </x:c>
      <x:c r="G13" s="31" t="n">
        <x:f>COUNTIF('Execution Checklist'!A2:A1927,"Complete")</x:f>
        <x:v>0</x:v>
      </x:c>
    </x:row>
    <x:row r="14" ht="50" customHeight="1">
      <x:c r="A14" s="31" t="str">
        <x:v>Counting</x:v>
      </x:c>
      <x:c r="B14" s="31" t="str">
        <x:v>Held-out goal counts and action-direction sensitivity</x:v>
      </x:c>
      <x:c r="C14" s="31" t="str">
        <x:v>Same 62-rollout structure</x:v>
      </x:c>
      <x:c r="E14" s="31" t="str">
        <x:v>In progress</x:v>
      </x:c>
      <x:c r="F14" s="31" t="str">
        <x:v>Status=In Progress</x:v>
      </x:c>
      <x:c r="G14" s="31" t="n">
        <x:f>COUNTIF('Execution Checklist'!A2:A1927,"In Progress")</x:f>
        <x:v>0</x:v>
      </x:c>
    </x:row>
    <x:row r="15" ht="50" customHeight="1">
      <x:c r="A15" s="31" t="str">
        <x:v>Cross-task appendix</x:v>
      </x:c>
      <x:c r="B15" s="31" t="str">
        <x:v>Cross-task object transfer for the same three primary tasks</x:v>
      </x:c>
      <x:c r="C15" s="31" t="str">
        <x:v>4 exact-scene A/B pairs per model-task for one designated seed; descriptive only</x:v>
      </x:c>
      <x:c r="E15" s="31" t="str">
        <x:v>Invalid – Replace</x:v>
      </x:c>
      <x:c r="F15" s="31" t="str">
        <x:v>Technical/protocol invalid only</x:v>
      </x:c>
      <x:c r="G15" s="31" t="n">
        <x:f>COUNTIF('Execution Checklist'!A2:A1927,"Invalid – Replace")</x:f>
        <x:v>0</x:v>
      </x:c>
    </x:row>
    <x:row r="16" ht="50" customHeight="1">
      <x:c r="A16" s="31" t="str">
        <x:v>BC diagnostic</x:v>
      </x:c>
      <x:c r="B16" s="31" t="str">
        <x:v>Tests whether vision/motor priors solve counterfactual scenes without language</x:v>
      </x:c>
      <x:c r="C16" s="31" t="str">
        <x:v>10 exact-scene instruction pairs per task and seed; BC receives no instruction</x:v>
      </x:c>
      <x:c r="E16" s="31" t="str">
        <x:v>Remaining valid plan</x:v>
      </x:c>
      <x:c r="F16" s="31" t="str">
        <x:v>Planned minus Complete</x:v>
      </x:c>
      <x:c r="G16" s="31" t="n">
        <x:f>G12-G13</x:f>
        <x:v>1926</x:v>
      </x:c>
    </x:row>
    <x:row r="17">
      <x:c r="E17" s="31" t="str">
        <x:v>Reserve remaining</x:v>
      </x:c>
      <x:c r="F17" s="31" t="str">
        <x:v>74 minus activated contingency</x:v>
      </x:c>
      <x:c r="G17" s="31" t="n">
        <x:f>74-COUNTIF('Contingency Log'!A2:A75,"Activated")-COUNTIF('Contingency Log'!A2:A75,"Complete")</x:f>
        <x:v>74</x:v>
      </x:c>
    </x:row>
    <x:row r="19" ht="32" customHeight="1">
      <x:c r="A19" s="61" t="str">
        <x:v>Reviewer-facing guardrail</x:v>
      </x:c>
      <x:c r="B19" s="62" t="str">
        <x:v>Required decision</x:v>
      </x:c>
      <x:c r="C19" s="62" t="str"/>
      <x:c r="D19" s="62" t="str"/>
      <x:c r="E19" s="62" t="str"/>
      <x:c r="F19" s="62" t="str"/>
      <x:c r="G19" s="63" t="str"/>
    </x:row>
    <x:row r="20" ht="34" customHeight="1">
      <x:c r="A20" s="66" t="str">
        <x:v>Dataset freeze</x:v>
      </x:c>
      <x:c r="B20" s="30" t="str">
        <x:v>This checklist is DRAFT until all 61 state recollections are complete and reconstruction rows are re-synchronized to the frozen 1,200-episode manifest.</x:v>
      </x:c>
      <x:c r="C20" s="30" t="str"/>
      <x:c r="D20" s="30" t="str"/>
      <x:c r="E20" s="30" t="str"/>
      <x:c r="F20" s="30" t="str"/>
      <x:c r="G20" s="30" t="str"/>
    </x:row>
    <x:row r="21" ht="34" customHeight="1">
      <x:c r="A21" s="67" t="str">
        <x:v>Confirmatory claim</x:v>
      </x:c>
      <x:c r="B21" s="31" t="str">
        <x:v>Primary inference is the paired main held-out-transfer versus matched-control gap. Cross-task and secondary-task blocks are not pooled into it.</x:v>
      </x:c>
      <x:c r="C21" s="31" t="str"/>
      <x:c r="D21" s="31" t="str"/>
      <x:c r="E21" s="31" t="str"/>
      <x:c r="F21" s="31" t="str"/>
      <x:c r="G21" s="31" t="str"/>
    </x:row>
    <x:row r="22" ht="34" customHeight="1">
      <x:c r="A22" s="67" t="str">
        <x:v>Stopping rule</x:v>
      </x:c>
      <x:c r="B22" s="31" t="str">
        <x:v>Run the full planned design. Use reserve slots only for pre-defined technical/protocol invalidity, never to replace failures or improve a result.</x:v>
      </x:c>
      <x:c r="C22" s="31" t="str"/>
      <x:c r="D22" s="31" t="str"/>
      <x:c r="E22" s="31" t="str"/>
      <x:c r="F22" s="31" t="str"/>
      <x:c r="G22" s="31" t="str"/>
    </x:row>
    <x:row r="23" ht="34" customHeight="1">
      <x:c r="A23" s="67" t="str">
        <x:v>Blinding</x:v>
      </x:c>
      <x:c r="B23" s="31" t="str">
        <x:v>Two raters score video without model, seed, condition, or run-order metadata; adjudicate disagreements before unblinding.</x:v>
      </x:c>
      <x:c r="C23" s="31" t="str"/>
      <x:c r="D23" s="31" t="str"/>
      <x:c r="E23" s="31" t="str"/>
      <x:c r="F23" s="31" t="str"/>
      <x:c r="G23" s="31" t="str"/>
    </x:row>
    <x:row r="24" ht="34" customHeight="1">
      <x:c r="A24" s="67" t="str">
        <x:v>Interpretation</x:v>
      </x:c>
      <x:c r="B24" s="31" t="str">
        <x:v>The design can detect large effects; it is not powered for small per-task differences or claims that 8-trial secondary results establish superiority.</x:v>
      </x:c>
      <x:c r="C24" s="31" t="str"/>
      <x:c r="D24" s="31" t="str"/>
      <x:c r="E24" s="31" t="str"/>
      <x:c r="F24" s="31" t="str"/>
      <x:c r="G24" s="31" t="str"/>
    </x:row>
  </x:sheetData>
  <x:mergeCells>
    <x:mergeCell ref="A1:G1"/>
    <x:mergeCell ref="B20:G20"/>
    <x:mergeCell ref="B21:G21"/>
    <x:mergeCell ref="B22:G22"/>
    <x:mergeCell ref="B23:G23"/>
    <x:mergeCell ref="B24:G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30" hidden="0" customWidth="1"/>
    <x:col min="5" max="5" width="27" hidden="0" customWidth="1"/>
    <x:col min="6" max="6" width="20" hidden="0" customWidth="1"/>
    <x:col min="7" max="7" width="16" hidden="0" customWidth="1"/>
    <x:col min="8" max="8" width="42" hidden="0" customWidth="1"/>
    <x:col min="9" max="9" width="42" hidden="0" customWidth="1"/>
    <x:col min="10" max="10" width="68" hidden="0" customWidth="1"/>
    <x:col min="11" max="11" width="30" hidden="0" customWidth="1"/>
    <x:col min="12" max="12" width="52" hidden="0" customWidth="1"/>
    <x:col min="13" max="13" width="42" hidden="0" customWidth="1"/>
    <x:col min="14" max="14" width="38" hidden="0" customWidth="1"/>
    <x:col min="15" max="15" width="24" hidden="0" customWidth="1"/>
  </x:cols>
  <x:sheetData>
    <x:row r="1" ht="32" customHeight="1">
      <x:c r="A1" s="16" t="str">
        <x:v>Spec ID</x:v>
      </x:c>
      <x:c r="B1" s="17" t="str">
        <x:v>Evaluation Block</x:v>
      </x:c>
      <x:c r="C1" s="17" t="str">
        <x:v>Task</x:v>
      </x:c>
      <x:c r="D1" s="17" t="str">
        <x:v>Condition</x:v>
      </x:c>
      <x:c r="E1" s="17" t="str">
        <x:v>Subtype</x:v>
      </x:c>
      <x:c r="F1" s="17" t="str">
        <x:v>Parent Spec ID</x:v>
      </x:c>
      <x:c r="G1" s="17" t="str">
        <x:v>Pair ID</x:v>
      </x:c>
      <x:c r="H1" s="17" t="str">
        <x:v>Policy Input Prompt</x:v>
      </x:c>
      <x:c r="I1" s="17" t="str">
        <x:v>Scoring Instruction</x:v>
      </x:c>
      <x:c r="J1" s="17" t="str">
        <x:v>Scene Description</x:v>
      </x:c>
      <x:c r="K1" s="17" t="str">
        <x:v>Expected Target / Action</x:v>
      </x:c>
      <x:c r="L1" s="17" t="str">
        <x:v>Scoring Rule</x:v>
      </x:c>
      <x:c r="M1" s="17" t="str">
        <x:v>Source</x:v>
      </x:c>
      <x:c r="N1" s="17" t="str">
        <x:v>Claim Role</x:v>
      </x:c>
      <x:c r="O1" s="18" t="str">
        <x:v>Analysis Tier</x:v>
      </x:c>
    </x:row>
    <x:row r="2" ht="44" customHeight="1">
      <x:c r="A2" s="30" t="str">
        <x:v>PVLA-ST-REC-01</x:v>
      </x:c>
      <x:c r="B2" s="30" t="str">
        <x:v>Primary VLA</x:v>
      </x:c>
      <x:c r="C2" s="30" t="str">
        <x:v>State Recognition</x:v>
      </x:c>
      <x:c r="D2" s="30" t="str">
        <x:v>Training reconstruction</x:v>
      </x:c>
      <x:c r="E2" s="30" t="str">
        <x:v>Reconstruction</x:v>
      </x:c>
      <x:c r="F2" s="30" t="str"/>
      <x:c r="G2" s="30" t="str"/>
      <x:c r="H2" s="30" t="str">
        <x:v>Move the open white cup into the bowl.</x:v>
      </x:c>
      <x:c r="I2" s="30" t="str">
        <x:v>Move the open white cup into the bowl.</x:v>
      </x:c>
      <x:c r="J2" s="30" t="str">
        <x:v>Reconstruct planned final training episode 2: white cup A, white cup B, glass spice container A, yellow-white striped cup B; start=Home. Match camera, calibration, bowl pose, and object geometry exactly.</x:v>
      </x:c>
      <x:c r="K2" s="30" t="str">
        <x:v>white cup A</x:v>
      </x:c>
      <x:c r="L2" s="30" t="str">
        <x:v>Binary task success using the task-specific rubric.</x:v>
      </x:c>
      <x:c r="M2" s="30" t="str">
        <x:v>VLA_Reasoning_Dataset_Info_Planned_After_61_Recollections.xlsx — Concise Manifest episode 2</x:v>
      </x:c>
      <x:c r="N2" s="30" t="str">
        <x:v>Calibration / in-distribution competence.</x:v>
      </x:c>
      <x:c r="O2" s="30" t="str">
        <x:v>Secondary benchmark</x:v>
      </x:c>
    </x:row>
    <x:row r="3" ht="44" customHeight="1">
      <x:c r="A3" s="31" t="str">
        <x:v>PVLA-ST-REC-02</x:v>
      </x:c>
      <x:c r="B3" s="31" t="str">
        <x:v>Primary VLA</x:v>
      </x:c>
      <x:c r="C3" s="31" t="str">
        <x:v>State Recognition</x:v>
      </x:c>
      <x:c r="D3" s="31" t="str">
        <x:v>Training reconstruction</x:v>
      </x:c>
      <x:c r="E3" s="31" t="str">
        <x:v>Reconstruction</x:v>
      </x:c>
      <x:c r="F3" s="31" t="str"/>
      <x:c r="G3" s="31" t="str"/>
      <x:c r="H3" s="31" t="str">
        <x:v>Put a yellow-white striped cup in the bowl.</x:v>
      </x:c>
      <x:c r="I3" s="31" t="str">
        <x:v>Put a yellow-white striped cup in the bowl.</x:v>
      </x:c>
      <x:c r="J3" s="31" t="str">
        <x:v>Reconstruct planned final training episode 52: yellow-white striped cup A, white cup A, brown cup B; start=Home. Match camera, calibration, bowl pose, and object geometry exactly.</x:v>
      </x:c>
      <x:c r="K3" s="31" t="str">
        <x:v>yellow-white striped cup A</x:v>
      </x:c>
      <x:c r="L3" s="31" t="str">
        <x:v>Binary task success using the task-specific rubric.</x:v>
      </x:c>
      <x:c r="M3" s="31" t="str">
        <x:v>VLA_Reasoning_Dataset_Info_Planned_After_61_Recollections.xlsx — Concise Manifest episode 52</x:v>
      </x:c>
      <x:c r="N3" s="31" t="str">
        <x:v>Calibration / in-distribution competence.</x:v>
      </x:c>
      <x:c r="O3" s="31" t="str">
        <x:v>Secondary benchmark</x:v>
      </x:c>
    </x:row>
    <x:row r="4" ht="44" customHeight="1">
      <x:c r="A4" s="31" t="str">
        <x:v>PVLA-ST-REC-03</x:v>
      </x:c>
      <x:c r="B4" s="31" t="str">
        <x:v>Primary VLA</x:v>
      </x:c>
      <x:c r="C4" s="31" t="str">
        <x:v>State Recognition</x:v>
      </x:c>
      <x:c r="D4" s="31" t="str">
        <x:v>Training reconstruction</x:v>
      </x:c>
      <x:c r="E4" s="31" t="str">
        <x:v>Reconstruction</x:v>
      </x:c>
      <x:c r="F4" s="31" t="str"/>
      <x:c r="G4" s="31" t="str"/>
      <x:c r="H4" s="31" t="str">
        <x:v>Put a brown cup in the bowl.</x:v>
      </x:c>
      <x:c r="I4" s="31" t="str">
        <x:v>Put a brown cup in the bowl.</x:v>
      </x:c>
      <x:c r="J4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K4" s="31" t="str">
        <x:v>brown cup B</x:v>
      </x:c>
      <x:c r="L4" s="31" t="str">
        <x:v>Binary task success using the task-specific rubric.</x:v>
      </x:c>
      <x:c r="M4" s="31" t="str">
        <x:v>VLA_Reasoning_Dataset_Info_Planned_After_61_Recollections.xlsx — Concise Manifest episode 100</x:v>
      </x:c>
      <x:c r="N4" s="31" t="str">
        <x:v>Calibration / in-distribution competence.</x:v>
      </x:c>
      <x:c r="O4" s="31" t="str">
        <x:v>Secondary benchmark</x:v>
      </x:c>
    </x:row>
    <x:row r="5" ht="44" customHeight="1">
      <x:c r="A5" s="31" t="str">
        <x:v>PVLA-ST-REC-04</x:v>
      </x:c>
      <x:c r="B5" s="31" t="str">
        <x:v>Primary VLA</x:v>
      </x:c>
      <x:c r="C5" s="31" t="str">
        <x:v>State Recognition</x:v>
      </x:c>
      <x:c r="D5" s="31" t="str">
        <x:v>Training reconstruction</x:v>
      </x:c>
      <x:c r="E5" s="31" t="str">
        <x:v>Reconstruction</x:v>
      </x:c>
      <x:c r="F5" s="31" t="str"/>
      <x:c r="G5" s="31" t="str"/>
      <x:c r="H5" s="31" t="str">
        <x:v>Move the open brown cup into the bowl.</x:v>
      </x:c>
      <x:c r="I5" s="31" t="str">
        <x:v>Move the open brown cup into the bowl.</x:v>
      </x:c>
      <x:c r="J5" s="31" t="str">
        <x:v>Reconstruct planned final training episode 104: brown cup B, brown cup A, glass spice container A; start=Recovery. Match camera, calibration, bowl pose, and object geometry exactly.</x:v>
      </x:c>
      <x:c r="K5" s="31" t="str">
        <x:v>brown cup B</x:v>
      </x:c>
      <x:c r="L5" s="31" t="str">
        <x:v>Binary task success using the task-specific rubric.</x:v>
      </x:c>
      <x:c r="M5" s="31" t="str">
        <x:v>VLA_Reasoning_Dataset_Info_Planned_After_61_Recollections.xlsx — Concise Manifest episode 104</x:v>
      </x:c>
      <x:c r="N5" s="31" t="str">
        <x:v>Calibration / in-distribution competence.</x:v>
      </x:c>
      <x:c r="O5" s="31" t="str">
        <x:v>Secondary benchmark</x:v>
      </x:c>
    </x:row>
    <x:row r="6" ht="44" customHeight="1">
      <x:c r="A6" s="31" t="str">
        <x:v>PVLA-ST-REC-05</x:v>
      </x:c>
      <x:c r="B6" s="31" t="str">
        <x:v>Primary VLA</x:v>
      </x:c>
      <x:c r="C6" s="31" t="str">
        <x:v>State Recognition</x:v>
      </x:c>
      <x:c r="D6" s="31" t="str">
        <x:v>Training reconstruction</x:v>
      </x:c>
      <x:c r="E6" s="31" t="str">
        <x:v>Reconstruction</x:v>
      </x:c>
      <x:c r="F6" s="31" t="str"/>
      <x:c r="G6" s="31" t="str"/>
      <x:c r="H6" s="31" t="str">
        <x:v>Put the open glass spice container in the bowl.</x:v>
      </x:c>
      <x:c r="I6" s="31" t="str">
        <x:v>Put the open glass spice container in the bowl.</x:v>
      </x:c>
      <x:c r="J6" s="31" t="str">
        <x:v>Reconstruct planned final training episode 160: glass spice container B, glass spice container A, yellow-white striped cup B; start=Home. Match camera, calibration, bowl pose, and object geometry exactly.</x:v>
      </x:c>
      <x:c r="K6" s="31" t="str">
        <x:v>glass spice container B</x:v>
      </x:c>
      <x:c r="L6" s="31" t="str">
        <x:v>Binary task success using the task-specific rubric.</x:v>
      </x:c>
      <x:c r="M6" s="31" t="str">
        <x:v>VLA_Reasoning_Dataset_Info_Planned_After_61_Recollections.xlsx — Concise Manifest episode 160</x:v>
      </x:c>
      <x:c r="N6" s="31" t="str">
        <x:v>Calibration / in-distribution competence.</x:v>
      </x:c>
      <x:c r="O6" s="31" t="str">
        <x:v>Secondary benchmark</x:v>
      </x:c>
    </x:row>
    <x:row r="7" ht="44" customHeight="1">
      <x:c r="A7" s="31" t="str">
        <x:v>PVLA-ST-REC-06</x:v>
      </x:c>
      <x:c r="B7" s="31" t="str">
        <x:v>Primary VLA</x:v>
      </x:c>
      <x:c r="C7" s="31" t="str">
        <x:v>State Recognition</x:v>
      </x:c>
      <x:c r="D7" s="31" t="str">
        <x:v>Training reconstruction</x:v>
      </x:c>
      <x:c r="E7" s="31" t="str">
        <x:v>Reconstruction</x:v>
      </x:c>
      <x:c r="F7" s="31" t="str"/>
      <x:c r="G7" s="31" t="str"/>
      <x:c r="H7" s="31" t="str">
        <x:v>Move a glass spice container into the bowl.</x:v>
      </x:c>
      <x:c r="I7" s="31" t="str">
        <x:v>Move a glass spice container into the bowl.</x:v>
      </x:c>
      <x:c r="J7" s="31" t="str">
        <x:v>Reconstruct planned final training episode 191: glass spice container A, brown cup A, white cup B; start=Home. Match camera, calibration, bowl pose, and object geometry exactly.</x:v>
      </x:c>
      <x:c r="K7" s="31" t="str">
        <x:v>glass spice container A</x:v>
      </x:c>
      <x:c r="L7" s="31" t="str">
        <x:v>Binary task success using the task-specific rubric.</x:v>
      </x:c>
      <x:c r="M7" s="31" t="str">
        <x:v>VLA_Reasoning_Dataset_Info_Planned_After_61_Recollections.xlsx — Concise Manifest episode 191</x:v>
      </x:c>
      <x:c r="N7" s="31" t="str">
        <x:v>Calibration / in-distribution competence.</x:v>
      </x:c>
      <x:c r="O7" s="31" t="str">
        <x:v>Secondary benchmark</x:v>
      </x:c>
    </x:row>
    <x:row r="8" ht="44" customHeight="1">
      <x:c r="A8" s="31" t="str">
        <x:v>PVLA-ST-NOV-01</x:v>
      </x:c>
      <x:c r="B8" s="31" t="str">
        <x:v>Primary VLA</x:v>
      </x:c>
      <x:c r="C8" s="31" t="str">
        <x:v>State Recognition</x:v>
      </x:c>
      <x:c r="D8" s="31" t="str">
        <x:v>Novel layout + seen language</x:v>
      </x:c>
      <x:c r="E8" s="31" t="str">
        <x:v>Visual generalization</x:v>
      </x:c>
      <x:c r="F8" s="31" t="str"/>
      <x:c r="G8" s="31" t="str">
        <x:v>S-CF01</x:v>
      </x:c>
      <x:c r="H8" s="31" t="str">
        <x:v>Place the open white cup in the bowl.</x:v>
      </x:c>
      <x:c r="I8" s="31" t="str">
        <x:v>Place the open white cup in the bowl.</x:v>
      </x:c>
      <x:c r="J8" s="31" t="str">
        <x:v>S-CF01-SEEN: P1 white cup A=C/UR [TARGET]; P2 white cup B=O/UR [COMPETITOR]; P3 yellow-white striped cup A=C/UD; P4 brown cup B=O/UD.</x:v>
      </x:c>
      <x:c r="K8" s="31" t="str">
        <x:v>white cup B</x:v>
      </x:c>
      <x:c r="L8" s="31" t="str">
        <x:v>Binary task success using the task-specific rubric.</x:v>
      </x:c>
      <x:c r="M8" s="31" t="str">
        <x:v>VLA_Evaluation_Checklist_660_Final_Updated.xlsx — evaluation episode 10</x:v>
      </x:c>
      <x:c r="N8" s="31" t="str">
        <x:v>Seen-language visual generalization.</x:v>
      </x:c>
      <x:c r="O8" s="31" t="str">
        <x:v>Secondary benchmark</x:v>
      </x:c>
    </x:row>
    <x:row r="9" ht="44" customHeight="1">
      <x:c r="A9" s="31" t="str">
        <x:v>PVLA-ST-NOV-02</x:v>
      </x:c>
      <x:c r="B9" s="31" t="str">
        <x:v>Primary VLA</x:v>
      </x:c>
      <x:c r="C9" s="31" t="str">
        <x:v>State Recognition</x:v>
      </x:c>
      <x:c r="D9" s="31" t="str">
        <x:v>Novel layout + seen language</x:v>
      </x:c>
      <x:c r="E9" s="31" t="str">
        <x:v>Visual generalization</x:v>
      </x:c>
      <x:c r="F9" s="31" t="str"/>
      <x:c r="G9" s="31" t="str">
        <x:v>S-CF04</x:v>
      </x:c>
      <x:c r="H9" s="31" t="str">
        <x:v>Place the upside-down white cup in the bowl.</x:v>
      </x:c>
      <x:c r="I9" s="31" t="str">
        <x:v>Place the upside-down white cup in the bowl.</x:v>
      </x:c>
      <x:c r="J9" s="31" t="str">
        <x:v>S-CF04-SEEN: P1 white cup A=C/UD [COMPETITOR]; P2 yellow-white striped cup B=O/UR; P3 brown cup A=O/UD; P4 white cup B=C/UR [TARGET].</x:v>
      </x:c>
      <x:c r="K9" s="31" t="str">
        <x:v>white cup A</x:v>
      </x:c>
      <x:c r="L9" s="31" t="str">
        <x:v>Binary task success using the task-specific rubric.</x:v>
      </x:c>
      <x:c r="M9" s="31" t="str">
        <x:v>VLA_Evaluation_Checklist_660_Final_Updated.xlsx — evaluation episode 13</x:v>
      </x:c>
      <x:c r="N9" s="31" t="str">
        <x:v>Seen-language visual generalization.</x:v>
      </x:c>
      <x:c r="O9" s="31" t="str">
        <x:v>Secondary benchmark</x:v>
      </x:c>
    </x:row>
    <x:row r="10" ht="44" customHeight="1">
      <x:c r="A10" s="31" t="str">
        <x:v>PVLA-ST-NOV-03</x:v>
      </x:c>
      <x:c r="B10" s="31" t="str">
        <x:v>Primary VLA</x:v>
      </x:c>
      <x:c r="C10" s="31" t="str">
        <x:v>State Recognition</x:v>
      </x:c>
      <x:c r="D10" s="31" t="str">
        <x:v>Novel layout + seen language</x:v>
      </x:c>
      <x:c r="E10" s="31" t="str">
        <x:v>Visual generalization</x:v>
      </x:c>
      <x:c r="F10" s="31" t="str"/>
      <x:c r="G10" s="31" t="str">
        <x:v>S-CF06</x:v>
      </x:c>
      <x:c r="H10" s="31" t="str">
        <x:v>Place the upside-down glass spice container in the bowl.</x:v>
      </x:c>
      <x:c r="I10" s="31" t="str">
        <x:v>Place the upside-down glass spice container in the bowl.</x:v>
      </x:c>
      <x:c r="J10" s="31" t="str">
        <x:v>S-CF06-SEEN: P1 white cup B=C/UR; P2 glass spice container A=O/UR [TARGET]; P3 glass spice container B=O/UD [COMPETITOR]; P4 yellow-white striped cup B=C/UD.</x:v>
      </x:c>
      <x:c r="K10" s="31" t="str">
        <x:v>glass spice container B</x:v>
      </x:c>
      <x:c r="L10" s="31" t="str">
        <x:v>Binary task success using the task-specific rubric.</x:v>
      </x:c>
      <x:c r="M10" s="31" t="str">
        <x:v>VLA_Evaluation_Checklist_660_Final_Updated.xlsx — evaluation episode 15</x:v>
      </x:c>
      <x:c r="N10" s="31" t="str">
        <x:v>Seen-language visual generalization.</x:v>
      </x:c>
      <x:c r="O10" s="31" t="str">
        <x:v>Secondary benchmark</x:v>
      </x:c>
    </x:row>
    <x:row r="11" ht="44" customHeight="1">
      <x:c r="A11" s="31" t="str">
        <x:v>PVLA-ST-NOV-04</x:v>
      </x:c>
      <x:c r="B11" s="31" t="str">
        <x:v>Primary VLA</x:v>
      </x:c>
      <x:c r="C11" s="31" t="str">
        <x:v>State Recognition</x:v>
      </x:c>
      <x:c r="D11" s="31" t="str">
        <x:v>Novel layout + seen language</x:v>
      </x:c>
      <x:c r="E11" s="31" t="str">
        <x:v>Visual generalization</x:v>
      </x:c>
      <x:c r="F11" s="31" t="str"/>
      <x:c r="G11" s="31" t="str">
        <x:v>S-CF09</x:v>
      </x:c>
      <x:c r="H11" s="31" t="str">
        <x:v>Place the open white cup in the bowl.</x:v>
      </x:c>
      <x:c r="I11" s="31" t="str">
        <x:v>Place the open white cup in the bowl.</x:v>
      </x:c>
      <x:c r="J11" s="31" t="str">
        <x:v>S-CF09-SEEN: P1 white cup A=C/UR [TARGET]; P2 white cup B=O/UR [COMPETITOR]; P3 yellow-white striped cup A=C/UD; P4 brown cup B=O/UD.</x:v>
      </x:c>
      <x:c r="K11" s="31" t="str">
        <x:v>white cup B</x:v>
      </x:c>
      <x:c r="L11" s="31" t="str">
        <x:v>Binary task success using the task-specific rubric.</x:v>
      </x:c>
      <x:c r="M11" s="31" t="str">
        <x:v>VLA_Evaluation_Checklist_660_Final_Updated.xlsx — evaluation episode 18</x:v>
      </x:c>
      <x:c r="N11" s="31" t="str">
        <x:v>Seen-language visual generalization.</x:v>
      </x:c>
      <x:c r="O11" s="31" t="str">
        <x:v>Secondary benchmark</x:v>
      </x:c>
    </x:row>
    <x:row r="12" ht="44" customHeight="1">
      <x:c r="A12" s="31" t="str">
        <x:v>PVLA-ST-NOV-05</x:v>
      </x:c>
      <x:c r="B12" s="31" t="str">
        <x:v>Primary VLA</x:v>
      </x:c>
      <x:c r="C12" s="31" t="str">
        <x:v>State Recognition</x:v>
      </x:c>
      <x:c r="D12" s="31" t="str">
        <x:v>Novel layout + seen language</x:v>
      </x:c>
      <x:c r="E12" s="31" t="str">
        <x:v>Visual generalization</x:v>
      </x:c>
      <x:c r="F12" s="31" t="str"/>
      <x:c r="G12" s="31" t="str">
        <x:v>S-CF12</x:v>
      </x:c>
      <x:c r="H12" s="31" t="str">
        <x:v>Place the upside-down white cup in the bowl.</x:v>
      </x:c>
      <x:c r="I12" s="31" t="str">
        <x:v>Place the upside-down white cup in the bowl.</x:v>
      </x:c>
      <x:c r="J12" s="31" t="str">
        <x:v>S-CF12-SEEN: P1 white cup A=C/UD [COMPETITOR]; P2 yellow-white striped cup B=O/UR; P3 brown cup A=O/UD; P4 white cup B=C/UR [TARGET].</x:v>
      </x:c>
      <x:c r="K12" s="31" t="str">
        <x:v>white cup A</x:v>
      </x:c>
      <x:c r="L12" s="31" t="str">
        <x:v>Binary task success using the task-specific rubric.</x:v>
      </x:c>
      <x:c r="M12" s="31" t="str">
        <x:v>VLA_Evaluation_Checklist_660_Final_Updated.xlsx — evaluation episode 21</x:v>
      </x:c>
      <x:c r="N12" s="31" t="str">
        <x:v>Seen-language visual generalization.</x:v>
      </x:c>
      <x:c r="O12" s="31" t="str">
        <x:v>Secondary benchmark</x:v>
      </x:c>
    </x:row>
    <x:row r="13" ht="44" customHeight="1">
      <x:c r="A13" s="31" t="str">
        <x:v>PVLA-ST-NOV-06</x:v>
      </x:c>
      <x:c r="B13" s="31" t="str">
        <x:v>Primary VLA</x:v>
      </x:c>
      <x:c r="C13" s="31" t="str">
        <x:v>State Recognition</x:v>
      </x:c>
      <x:c r="D13" s="31" t="str">
        <x:v>Novel layout + seen language</x:v>
      </x:c>
      <x:c r="E13" s="31" t="str">
        <x:v>Visual generalization</x:v>
      </x:c>
      <x:c r="F13" s="31" t="str"/>
      <x:c r="G13" s="31" t="str">
        <x:v>S-CF15</x:v>
      </x:c>
      <x:c r="H13" s="31" t="str">
        <x:v>Place the open yellow-white striped cup in the bowl.</x:v>
      </x:c>
      <x:c r="I13" s="31" t="str">
        <x:v>Place the open yellow-white striped cup in the bowl.</x:v>
      </x:c>
      <x:c r="J13" s="31" t="str">
        <x:v>S-CF15-SEEN: P1 brown cup A=C/UR; P2 glass spice container A=O/UR; P3 yellow-white striped cup A=C/UD [TARGET]; P4 yellow-white striped cup B=O/UD [COMPETITOR].</x:v>
      </x:c>
      <x:c r="K13" s="31" t="str">
        <x:v>yellow-white striped cup B</x:v>
      </x:c>
      <x:c r="L13" s="31" t="str">
        <x:v>Binary task success using the task-specific rubric.</x:v>
      </x:c>
      <x:c r="M13" s="31" t="str">
        <x:v>VLA_Evaluation_Checklist_660_Final_Updated.xlsx — evaluation episode 24</x:v>
      </x:c>
      <x:c r="N13" s="31" t="str">
        <x:v>Seen-language visual generalization.</x:v>
      </x:c>
      <x:c r="O13" s="31" t="str">
        <x:v>Secondary benchmark</x:v>
      </x:c>
    </x:row>
    <x:row r="14" ht="44" customHeight="1">
      <x:c r="A14" s="31" t="str">
        <x:v>PVLA-ST-NOV-07</x:v>
      </x:c>
      <x:c r="B14" s="31" t="str">
        <x:v>Primary VLA</x:v>
      </x:c>
      <x:c r="C14" s="31" t="str">
        <x:v>State Recognition</x:v>
      </x:c>
      <x:c r="D14" s="31" t="str">
        <x:v>Novel layout + seen language</x:v>
      </x:c>
      <x:c r="E14" s="31" t="str">
        <x:v>Visual generalization</x:v>
      </x:c>
      <x:c r="F14" s="31" t="str"/>
      <x:c r="G14" s="31" t="str">
        <x:v>S-CF17</x:v>
      </x:c>
      <x:c r="H14" s="31" t="str">
        <x:v>Place the open white cup in the bowl.</x:v>
      </x:c>
      <x:c r="I14" s="31" t="str">
        <x:v>Place the open white cup in the bowl.</x:v>
      </x:c>
      <x:c r="J14" s="31" t="str">
        <x:v>S-CF17-SEEN: P1 white cup A=C/UR [TARGET]; P2 white cup B=O/UR [COMPETITOR]; P3 yellow-white striped cup A=C/UD; P4 brown cup B=O/UD.</x:v>
      </x:c>
      <x:c r="K14" s="31" t="str">
        <x:v>white cup B</x:v>
      </x:c>
      <x:c r="L14" s="31" t="str">
        <x:v>Binary task success using the task-specific rubric.</x:v>
      </x:c>
      <x:c r="M14" s="31" t="str">
        <x:v>VLA_Evaluation_Checklist_660_Final_Updated.xlsx — evaluation episode 26</x:v>
      </x:c>
      <x:c r="N14" s="31" t="str">
        <x:v>Seen-language visual generalization.</x:v>
      </x:c>
      <x:c r="O14" s="31" t="str">
        <x:v>Secondary benchmark</x:v>
      </x:c>
    </x:row>
    <x:row r="15" ht="44" customHeight="1">
      <x:c r="A15" s="31" t="str">
        <x:v>PVLA-ST-NOV-08</x:v>
      </x:c>
      <x:c r="B15" s="31" t="str">
        <x:v>Primary VLA</x:v>
      </x:c>
      <x:c r="C15" s="31" t="str">
        <x:v>State Recognition</x:v>
      </x:c>
      <x:c r="D15" s="31" t="str">
        <x:v>Novel layout + seen language</x:v>
      </x:c>
      <x:c r="E15" s="31" t="str">
        <x:v>Visual generalization</x:v>
      </x:c>
      <x:c r="F15" s="31" t="str"/>
      <x:c r="G15" s="31" t="str">
        <x:v>S-CF20</x:v>
      </x:c>
      <x:c r="H15" s="31" t="str">
        <x:v>Place the upside-down white cup in the bowl.</x:v>
      </x:c>
      <x:c r="I15" s="31" t="str">
        <x:v>Place the upside-down white cup in the bowl.</x:v>
      </x:c>
      <x:c r="J15" s="31" t="str">
        <x:v>S-CF20-SEEN: P1 white cup A=C/UD [COMPETITOR]; P2 yellow-white striped cup B=O/UR; P3 brown cup A=O/UD; P4 white cup B=C/UR [TARGET].</x:v>
      </x:c>
      <x:c r="K15" s="31" t="str">
        <x:v>white cup A</x:v>
      </x:c>
      <x:c r="L15" s="31" t="str">
        <x:v>Binary task success using the task-specific rubric.</x:v>
      </x:c>
      <x:c r="M15" s="31" t="str">
        <x:v>VLA_Evaluation_Checklist_660_Final_Updated.xlsx — evaluation episode 29</x:v>
      </x:c>
      <x:c r="N15" s="31" t="str">
        <x:v>Seen-language visual generalization.</x:v>
      </x:c>
      <x:c r="O15" s="31" t="str">
        <x:v>Secondary benchmark</x:v>
      </x:c>
    </x:row>
    <x:row r="16" ht="44" customHeight="1">
      <x:c r="A16" s="31" t="str">
        <x:v>PVLA-ST-PAR-01</x:v>
      </x:c>
      <x:c r="B16" s="31" t="str">
        <x:v>Primary VLA</x:v>
      </x:c>
      <x:c r="C16" s="31" t="str">
        <x:v>State Recognition</x:v>
      </x:c>
      <x:c r="D16" s="31" t="str">
        <x:v>Exact-scene paraphrase</x:v>
      </x:c>
      <x:c r="E16" s="31" t="str">
        <x:v>Language robustness</x:v>
      </x:c>
      <x:c r="F16" s="31" t="str"/>
      <x:c r="G16" s="31" t="str">
        <x:v>S-CF01</x:v>
      </x:c>
      <x:c r="H16" s="31" t="str">
        <x:v>Put the open white cup in the bowl.</x:v>
      </x:c>
      <x:c r="I16" s="31" t="str">
        <x:v>Put the open white cup in the bowl.</x:v>
      </x:c>
      <x:c r="J16" s="31" t="str">
        <x:v>S-CF01-PARA: P1 white cup A=C/UR [TARGET]; P2 white cup B=O/UR [COMPETITOR]; P3 yellow-white striped cup A=C/UD; P4 brown cup B=O/UD.</x:v>
      </x:c>
      <x:c r="K16" s="31" t="str">
        <x:v>white cup B</x:v>
      </x:c>
      <x:c r="L16" s="31" t="str">
        <x:v>Binary task success; compare with the seen-language row sharing Pair ID.</x:v>
      </x:c>
      <x:c r="M16" s="31" t="str">
        <x:v>VLA_Evaluation_Checklist_660_Final_Updated.xlsx — evaluation episode 30</x:v>
      </x:c>
      <x:c r="N16" s="31" t="str">
        <x:v>Exact-scene paraphrase robustness.</x:v>
      </x:c>
      <x:c r="O16" s="31" t="str">
        <x:v>Secondary benchmark</x:v>
      </x:c>
    </x:row>
    <x:row r="17" ht="44" customHeight="1">
      <x:c r="A17" s="31" t="str">
        <x:v>PVLA-ST-PAR-02</x:v>
      </x:c>
      <x:c r="B17" s="31" t="str">
        <x:v>Primary VLA</x:v>
      </x:c>
      <x:c r="C17" s="31" t="str">
        <x:v>State Recognition</x:v>
      </x:c>
      <x:c r="D17" s="31" t="str">
        <x:v>Exact-scene paraphrase</x:v>
      </x:c>
      <x:c r="E17" s="31" t="str">
        <x:v>Language robustness</x:v>
      </x:c>
      <x:c r="F17" s="31" t="str"/>
      <x:c r="G17" s="31" t="str">
        <x:v>S-CF04</x:v>
      </x:c>
      <x:c r="H17" s="31" t="str">
        <x:v>Put the inverted white cup into the bowl.</x:v>
      </x:c>
      <x:c r="I17" s="31" t="str">
        <x:v>Put the inverted white cup into the bowl.</x:v>
      </x:c>
      <x:c r="J17" s="31" t="str">
        <x:v>S-CF04-PARA: P1 white cup A=C/UD [COMPETITOR]; P2 yellow-white striped cup B=O/UR; P3 brown cup A=O/UD; P4 white cup B=C/UR [TARGET].</x:v>
      </x:c>
      <x:c r="K17" s="31" t="str">
        <x:v>white cup A</x:v>
      </x:c>
      <x:c r="L17" s="31" t="str">
        <x:v>Binary task success; compare with the seen-language row sharing Pair ID.</x:v>
      </x:c>
      <x:c r="M17" s="31" t="str">
        <x:v>VLA_Evaluation_Checklist_660_Final_Updated.xlsx — evaluation episode 33</x:v>
      </x:c>
      <x:c r="N17" s="31" t="str">
        <x:v>Exact-scene paraphrase robustness.</x:v>
      </x:c>
      <x:c r="O17" s="31" t="str">
        <x:v>Secondary benchmark</x:v>
      </x:c>
    </x:row>
    <x:row r="18" ht="44" customHeight="1">
      <x:c r="A18" s="31" t="str">
        <x:v>PVLA-ST-PAR-03</x:v>
      </x:c>
      <x:c r="B18" s="31" t="str">
        <x:v>Primary VLA</x:v>
      </x:c>
      <x:c r="C18" s="31" t="str">
        <x:v>State Recognition</x:v>
      </x:c>
      <x:c r="D18" s="31" t="str">
        <x:v>Exact-scene paraphrase</x:v>
      </x:c>
      <x:c r="E18" s="31" t="str">
        <x:v>Language robustness</x:v>
      </x:c>
      <x:c r="F18" s="31" t="str"/>
      <x:c r="G18" s="31" t="str">
        <x:v>S-CF06</x:v>
      </x:c>
      <x:c r="H18" s="31" t="str">
        <x:v>Move the overturned glass spice container into the bowl.</x:v>
      </x:c>
      <x:c r="I18" s="31" t="str">
        <x:v>Move the overturned glass spice container into the bowl.</x:v>
      </x:c>
      <x:c r="J18" s="31" t="str">
        <x:v>S-CF06-PARA: P1 white cup B=C/UR; P2 glass spice container A=O/UR [TARGET]; P3 glass spice container B=O/UD [COMPETITOR]; P4 yellow-white striped cup B=C/UD.</x:v>
      </x:c>
      <x:c r="K18" s="31" t="str">
        <x:v>glass spice container B</x:v>
      </x:c>
      <x:c r="L18" s="31" t="str">
        <x:v>Binary task success; compare with the seen-language row sharing Pair ID.</x:v>
      </x:c>
      <x:c r="M18" s="31" t="str">
        <x:v>VLA_Evaluation_Checklist_660_Final_Updated.xlsx — evaluation episode 35</x:v>
      </x:c>
      <x:c r="N18" s="31" t="str">
        <x:v>Exact-scene paraphrase robustness.</x:v>
      </x:c>
      <x:c r="O18" s="31" t="str">
        <x:v>Secondary benchmark</x:v>
      </x:c>
    </x:row>
    <x:row r="19" ht="44" customHeight="1">
      <x:c r="A19" s="31" t="str">
        <x:v>PVLA-ST-PAR-04</x:v>
      </x:c>
      <x:c r="B19" s="31" t="str">
        <x:v>Primary VLA</x:v>
      </x:c>
      <x:c r="C19" s="31" t="str">
        <x:v>State Recognition</x:v>
      </x:c>
      <x:c r="D19" s="31" t="str">
        <x:v>Exact-scene paraphrase</x:v>
      </x:c>
      <x:c r="E19" s="31" t="str">
        <x:v>Language robustness</x:v>
      </x:c>
      <x:c r="F19" s="31" t="str"/>
      <x:c r="G19" s="31" t="str">
        <x:v>S-CF09</x:v>
      </x:c>
      <x:c r="H19" s="31" t="str">
        <x:v>Move the white cup that is open into the bowl.</x:v>
      </x:c>
      <x:c r="I19" s="31" t="str">
        <x:v>Move the white cup that is open into the bowl.</x:v>
      </x:c>
      <x:c r="J19" s="31" t="str">
        <x:v>S-CF09-PARA: P1 white cup A=C/UR [TARGET]; P2 white cup B=O/UR [COMPETITOR]; P3 yellow-white striped cup A=C/UD; P4 brown cup B=O/UD.</x:v>
      </x:c>
      <x:c r="K19" s="31" t="str">
        <x:v>white cup B</x:v>
      </x:c>
      <x:c r="L19" s="31" t="str">
        <x:v>Binary task success; compare with the seen-language row sharing Pair ID.</x:v>
      </x:c>
      <x:c r="M19" s="31" t="str">
        <x:v>VLA_Evaluation_Checklist_660_Final_Updated.xlsx — evaluation episode 38</x:v>
      </x:c>
      <x:c r="N19" s="31" t="str">
        <x:v>Exact-scene paraphrase robustness.</x:v>
      </x:c>
      <x:c r="O19" s="31" t="str">
        <x:v>Secondary benchmark</x:v>
      </x:c>
    </x:row>
    <x:row r="20" ht="44" customHeight="1">
      <x:c r="A20" s="31" t="str">
        <x:v>PVLA-ST-PAR-05</x:v>
      </x:c>
      <x:c r="B20" s="31" t="str">
        <x:v>Primary VLA</x:v>
      </x:c>
      <x:c r="C20" s="31" t="str">
        <x:v>State Recognition</x:v>
      </x:c>
      <x:c r="D20" s="31" t="str">
        <x:v>Exact-scene paraphrase</x:v>
      </x:c>
      <x:c r="E20" s="31" t="str">
        <x:v>Language robustness</x:v>
      </x:c>
      <x:c r="F20" s="31" t="str"/>
      <x:c r="G20" s="31" t="str">
        <x:v>S-CF12</x:v>
      </x:c>
      <x:c r="H20" s="31" t="str">
        <x:v>Move the overturned white cup into the bowl.</x:v>
      </x:c>
      <x:c r="I20" s="31" t="str">
        <x:v>Move the overturned white cup into the bowl.</x:v>
      </x:c>
      <x:c r="J20" s="31" t="str">
        <x:v>S-CF12-PARA: P1 white cup A=C/UD [COMPETITOR]; P2 yellow-white striped cup B=O/UR; P3 brown cup A=O/UD; P4 white cup B=C/UR [TARGET].</x:v>
      </x:c>
      <x:c r="K20" s="31" t="str">
        <x:v>white cup A</x:v>
      </x:c>
      <x:c r="L20" s="31" t="str">
        <x:v>Binary task success; compare with the seen-language row sharing Pair ID.</x:v>
      </x:c>
      <x:c r="M20" s="31" t="str">
        <x:v>VLA_Evaluation_Checklist_660_Final_Updated.xlsx — evaluation episode 41</x:v>
      </x:c>
      <x:c r="N20" s="31" t="str">
        <x:v>Exact-scene paraphrase robustness.</x:v>
      </x:c>
      <x:c r="O20" s="31" t="str">
        <x:v>Secondary benchmark</x:v>
      </x:c>
    </x:row>
    <x:row r="21" ht="44" customHeight="1">
      <x:c r="A21" s="31" t="str">
        <x:v>PVLA-ST-PAR-06</x:v>
      </x:c>
      <x:c r="B21" s="31" t="str">
        <x:v>Primary VLA</x:v>
      </x:c>
      <x:c r="C21" s="31" t="str">
        <x:v>State Recognition</x:v>
      </x:c>
      <x:c r="D21" s="31" t="str">
        <x:v>Exact-scene paraphrase</x:v>
      </x:c>
      <x:c r="E21" s="31" t="str">
        <x:v>Language robustness</x:v>
      </x:c>
      <x:c r="F21" s="31" t="str"/>
      <x:c r="G21" s="31" t="str">
        <x:v>S-CF15</x:v>
      </x:c>
      <x:c r="H21" s="31" t="str">
        <x:v>Move the yellow-white striped cup that is open into the bowl.</x:v>
      </x:c>
      <x:c r="I21" s="31" t="str">
        <x:v>Move the yellow-white striped cup that is open into the bowl.</x:v>
      </x:c>
      <x:c r="J21" s="31" t="str">
        <x:v>S-CF15-PARA: P1 brown cup A=C/UR; P2 glass spice container A=O/UR; P3 yellow-white striped cup A=C/UD [TARGET]; P4 yellow-white striped cup B=O/UD [COMPETITOR].</x:v>
      </x:c>
      <x:c r="K21" s="31" t="str">
        <x:v>yellow-white striped cup B</x:v>
      </x:c>
      <x:c r="L21" s="31" t="str">
        <x:v>Binary task success; compare with the seen-language row sharing Pair ID.</x:v>
      </x:c>
      <x:c r="M21" s="31" t="str">
        <x:v>VLA_Evaluation_Checklist_660_Final_Updated.xlsx — evaluation episode 44</x:v>
      </x:c>
      <x:c r="N21" s="31" t="str">
        <x:v>Exact-scene paraphrase robustness.</x:v>
      </x:c>
      <x:c r="O21" s="31" t="str">
        <x:v>Secondary benchmark</x:v>
      </x:c>
    </x:row>
    <x:row r="22" ht="44" customHeight="1">
      <x:c r="A22" s="31" t="str">
        <x:v>PVLA-ST-PAR-07</x:v>
      </x:c>
      <x:c r="B22" s="31" t="str">
        <x:v>Primary VLA</x:v>
      </x:c>
      <x:c r="C22" s="31" t="str">
        <x:v>State Recognition</x:v>
      </x:c>
      <x:c r="D22" s="31" t="str">
        <x:v>Exact-scene paraphrase</x:v>
      </x:c>
      <x:c r="E22" s="31" t="str">
        <x:v>Language robustness</x:v>
      </x:c>
      <x:c r="F22" s="31" t="str"/>
      <x:c r="G22" s="31" t="str">
        <x:v>S-CF17</x:v>
      </x:c>
      <x:c r="H22" s="31" t="str">
        <x:v>Find the white cup with its opening uncovered and move it into the bowl.</x:v>
      </x:c>
      <x:c r="I22" s="31" t="str">
        <x:v>Find the white cup with its opening uncovered and move it into the bowl.</x:v>
      </x:c>
      <x:c r="J22" s="31" t="str">
        <x:v>S-CF17-PARA: P1 white cup A=C/UR [TARGET]; P2 white cup B=O/UR [COMPETITOR]; P3 yellow-white striped cup A=C/UD; P4 brown cup B=O/UD.</x:v>
      </x:c>
      <x:c r="K22" s="31" t="str">
        <x:v>white cup B</x:v>
      </x:c>
      <x:c r="L22" s="31" t="str">
        <x:v>Binary task success; compare with the seen-language row sharing Pair ID.</x:v>
      </x:c>
      <x:c r="M22" s="31" t="str">
        <x:v>VLA_Evaluation_Checklist_660_Final_Updated.xlsx — evaluation episode 46</x:v>
      </x:c>
      <x:c r="N22" s="31" t="str">
        <x:v>Exact-scene paraphrase robustness.</x:v>
      </x:c>
      <x:c r="O22" s="31" t="str">
        <x:v>Secondary benchmark</x:v>
      </x:c>
    </x:row>
    <x:row r="23" ht="44" customHeight="1">
      <x:c r="A23" s="31" t="str">
        <x:v>PVLA-ST-PAR-08</x:v>
      </x:c>
      <x:c r="B23" s="31" t="str">
        <x:v>Primary VLA</x:v>
      </x:c>
      <x:c r="C23" s="31" t="str">
        <x:v>State Recognition</x:v>
      </x:c>
      <x:c r="D23" s="31" t="str">
        <x:v>Exact-scene paraphrase</x:v>
      </x:c>
      <x:c r="E23" s="31" t="str">
        <x:v>Language robustness</x:v>
      </x:c>
      <x:c r="F23" s="31" t="str"/>
      <x:c r="G23" s="31" t="str">
        <x:v>S-CF20</x:v>
      </x:c>
      <x:c r="H23" s="31" t="str">
        <x:v>Find the white cup that is turned upside down and move it into the bowl.</x:v>
      </x:c>
      <x:c r="I23" s="31" t="str">
        <x:v>Find the white cup that is turned upside down and move it into the bowl.</x:v>
      </x:c>
      <x:c r="J23" s="31" t="str">
        <x:v>S-CF20-PARA: P1 white cup A=C/UD [COMPETITOR]; P2 yellow-white striped cup B=O/UR; P3 brown cup A=O/UD; P4 white cup B=C/UR [TARGET].</x:v>
      </x:c>
      <x:c r="K23" s="31" t="str">
        <x:v>white cup A</x:v>
      </x:c>
      <x:c r="L23" s="31" t="str">
        <x:v>Binary task success; compare with the seen-language row sharing Pair ID.</x:v>
      </x:c>
      <x:c r="M23" s="31" t="str">
        <x:v>VLA_Evaluation_Checklist_660_Final_Updated.xlsx — evaluation episode 49</x:v>
      </x:c>
      <x:c r="N23" s="31" t="str">
        <x:v>Exact-scene paraphrase robustness.</x:v>
      </x:c>
      <x:c r="O23" s="31" t="str">
        <x:v>Secondary benchmark</x:v>
      </x:c>
    </x:row>
    <x:row r="24" ht="44" customHeight="1">
      <x:c r="A24" s="31" t="str">
        <x:v>PVLA-ST-TR-01</x:v>
      </x:c>
      <x:c r="B24" s="31" t="str">
        <x:v>Primary VLA</x:v>
      </x:c>
      <x:c r="C24" s="31" t="str">
        <x:v>State Recognition</x:v>
      </x:c>
      <x:c r="D24" s="31" t="str">
        <x:v>Main held-out transfer</x:v>
      </x:c>
      <x:c r="E24" s="31" t="str">
        <x:v>Semantic/compositional transfer</x:v>
      </x:c>
      <x:c r="F24" s="31" t="str"/>
      <x:c r="G24" s="31" t="str">
        <x:v>S-CF01</x:v>
      </x:c>
      <x:c r="H24" s="31" t="str">
        <x:v>Place the closed white cup in the bowl.</x:v>
      </x:c>
      <x:c r="I24" s="31" t="str">
        <x:v>Place the closed white cup in the bowl.</x:v>
      </x:c>
      <x:c r="J24" s="31" t="str">
        <x:v>S-CF01-HELD: P1 white cup A=C/UR [TARGET]; P2 white cup B=O/UR [COMPETITOR]; P3 yellow-white striped cup A=C/UD; P4 brown cup B=O/UD.</x:v>
      </x:c>
      <x:c r="K24" s="31" t="str">
        <x:v>white cup A</x:v>
      </x:c>
      <x:c r="L24" s="31" t="str">
        <x:v>Binary task success; paired with the main matched-control row.</x:v>
      </x:c>
      <x:c r="M24" s="31" t="str">
        <x:v>VLA_Evaluation_Checklist_660_Final_Updated.xlsx — evaluation episode 50</x:v>
      </x:c>
      <x:c r="N24" s="31" t="str">
        <x:v>Primary held-out transfer endpoint.</x:v>
      </x:c>
      <x:c r="O24" s="31" t="str">
        <x:v>Primary confirmatory</x:v>
      </x:c>
    </x:row>
    <x:row r="25" ht="44" customHeight="1">
      <x:c r="A25" s="31" t="str">
        <x:v>PVLA-ST-TR-02</x:v>
      </x:c>
      <x:c r="B25" s="31" t="str">
        <x:v>Primary VLA</x:v>
      </x:c>
      <x:c r="C25" s="31" t="str">
        <x:v>State Recognition</x:v>
      </x:c>
      <x:c r="D25" s="31" t="str">
        <x:v>Main held-out transfer</x:v>
      </x:c>
      <x:c r="E25" s="31" t="str">
        <x:v>Semantic/compositional transfer</x:v>
      </x:c>
      <x:c r="F25" s="31" t="str"/>
      <x:c r="G25" s="31" t="str">
        <x:v>S-CF03</x:v>
      </x:c>
      <x:c r="H25" s="31" t="str">
        <x:v>Place the closed glass spice container in the bowl.</x:v>
      </x:c>
      <x:c r="I25" s="31" t="str">
        <x:v>Place the closed glass spice container in the bowl.</x:v>
      </x:c>
      <x:c r="J25" s="31" t="str">
        <x:v>S-CF03-HELD: P1 white cup A=C/UR; P2 yellow-white striped cup A=O/UR; P3 glass spice container B=C/UD [TARGET]; P4 glass spice container A=O/UD [COMPETITOR].</x:v>
      </x:c>
      <x:c r="K25" s="31" t="str">
        <x:v>glass spice container B</x:v>
      </x:c>
      <x:c r="L25" s="31" t="str">
        <x:v>Binary task success; paired with the main matched-control row.</x:v>
      </x:c>
      <x:c r="M25" s="31" t="str">
        <x:v>VLA_Evaluation_Checklist_660_Final_Updated.xlsx — evaluation episode 52</x:v>
      </x:c>
      <x:c r="N25" s="31" t="str">
        <x:v>Primary held-out transfer endpoint.</x:v>
      </x:c>
      <x:c r="O25" s="31" t="str">
        <x:v>Primary confirmatory</x:v>
      </x:c>
    </x:row>
    <x:row r="26" ht="44" customHeight="1">
      <x:c r="A26" s="31" t="str">
        <x:v>PVLA-ST-TR-03</x:v>
      </x:c>
      <x:c r="B26" s="31" t="str">
        <x:v>Primary VLA</x:v>
      </x:c>
      <x:c r="C26" s="31" t="str">
        <x:v>State Recognition</x:v>
      </x:c>
      <x:c r="D26" s="31" t="str">
        <x:v>Main held-out transfer</x:v>
      </x:c>
      <x:c r="E26" s="31" t="str">
        <x:v>Semantic/compositional transfer</x:v>
      </x:c>
      <x:c r="F26" s="31" t="str"/>
      <x:c r="G26" s="31" t="str">
        <x:v>S-CF05</x:v>
      </x:c>
      <x:c r="H26" s="31" t="str">
        <x:v>Place the closed brown cup in the bowl.</x:v>
      </x:c>
      <x:c r="I26" s="31" t="str">
        <x:v>Place the closed brown cup in the bowl.</x:v>
      </x:c>
      <x:c r="J26" s="31" t="str">
        <x:v>S-CF05-HELD: P1 brown cup A=C/UR [TARGET]; P2 brown cup B=O/UR [COMPETITOR]; P3 glass spice container A=C/UD; P4 white cup B=O/UD.</x:v>
      </x:c>
      <x:c r="K26" s="31" t="str">
        <x:v>brown cup A</x:v>
      </x:c>
      <x:c r="L26" s="31" t="str">
        <x:v>Binary task success; paired with the main matched-control row.</x:v>
      </x:c>
      <x:c r="M26" s="31" t="str">
        <x:v>VLA_Evaluation_Checklist_660_Final_Updated.xlsx — evaluation episode 54</x:v>
      </x:c>
      <x:c r="N26" s="31" t="str">
        <x:v>Primary held-out transfer endpoint.</x:v>
      </x:c>
      <x:c r="O26" s="31" t="str">
        <x:v>Primary confirmatory</x:v>
      </x:c>
    </x:row>
    <x:row r="27" ht="44" customHeight="1">
      <x:c r="A27" s="31" t="str">
        <x:v>PVLA-ST-TR-04</x:v>
      </x:c>
      <x:c r="B27" s="31" t="str">
        <x:v>Primary VLA</x:v>
      </x:c>
      <x:c r="C27" s="31" t="str">
        <x:v>State Recognition</x:v>
      </x:c>
      <x:c r="D27" s="31" t="str">
        <x:v>Main held-out transfer</x:v>
      </x:c>
      <x:c r="E27" s="31" t="str">
        <x:v>Semantic/compositional transfer</x:v>
      </x:c>
      <x:c r="F27" s="31" t="str"/>
      <x:c r="G27" s="31" t="str">
        <x:v>S-CF07</x:v>
      </x:c>
      <x:c r="H27" s="31" t="str">
        <x:v>Place the closed yellow-white striped cup in the bowl.</x:v>
      </x:c>
      <x:c r="I27" s="31" t="str">
        <x:v>Place the closed yellow-white striped cup in the bowl.</x:v>
      </x:c>
      <x:c r="J27" s="31" t="str">
        <x:v>S-CF07-HELD: P1 brown cup A=C/UR; P2 glass spice container A=O/UR; P3 yellow-white striped cup A=C/UD [TARGET]; P4 yellow-white striped cup B=O/UD [COMPETITOR].</x:v>
      </x:c>
      <x:c r="K27" s="31" t="str">
        <x:v>yellow-white striped cup A</x:v>
      </x:c>
      <x:c r="L27" s="31" t="str">
        <x:v>Binary task success; paired with the main matched-control row.</x:v>
      </x:c>
      <x:c r="M27" s="31" t="str">
        <x:v>VLA_Evaluation_Checklist_660_Final_Updated.xlsx — evaluation episode 56</x:v>
      </x:c>
      <x:c r="N27" s="31" t="str">
        <x:v>Primary held-out transfer endpoint.</x:v>
      </x:c>
      <x:c r="O27" s="31" t="str">
        <x:v>Primary confirmatory</x:v>
      </x:c>
    </x:row>
    <x:row r="28" ht="44" customHeight="1">
      <x:c r="A28" s="31" t="str">
        <x:v>PVLA-ST-TR-05</x:v>
      </x:c>
      <x:c r="B28" s="31" t="str">
        <x:v>Primary VLA</x:v>
      </x:c>
      <x:c r="C28" s="31" t="str">
        <x:v>State Recognition</x:v>
      </x:c>
      <x:c r="D28" s="31" t="str">
        <x:v>Main held-out transfer</x:v>
      </x:c>
      <x:c r="E28" s="31" t="str">
        <x:v>Semantic/compositional transfer</x:v>
      </x:c>
      <x:c r="F28" s="31" t="str"/>
      <x:c r="G28" s="31" t="str">
        <x:v>S-CF09</x:v>
      </x:c>
      <x:c r="H28" s="31" t="str">
        <x:v>Place the closed white cup in the bowl.</x:v>
      </x:c>
      <x:c r="I28" s="31" t="str">
        <x:v>Place the closed white cup in the bowl.</x:v>
      </x:c>
      <x:c r="J28" s="31" t="str">
        <x:v>S-CF09-HELD: P1 white cup A=C/UR [TARGET]; P2 white cup B=O/UR [COMPETITOR]; P3 yellow-white striped cup A=C/UD; P4 brown cup B=O/UD.</x:v>
      </x:c>
      <x:c r="K28" s="31" t="str">
        <x:v>white cup A</x:v>
      </x:c>
      <x:c r="L28" s="31" t="str">
        <x:v>Binary task success; paired with the main matched-control row.</x:v>
      </x:c>
      <x:c r="M28" s="31" t="str">
        <x:v>VLA_Evaluation_Checklist_660_Final_Updated.xlsx — evaluation episode 58</x:v>
      </x:c>
      <x:c r="N28" s="31" t="str">
        <x:v>Primary held-out transfer endpoint.</x:v>
      </x:c>
      <x:c r="O28" s="31" t="str">
        <x:v>Primary confirmatory</x:v>
      </x:c>
    </x:row>
    <x:row r="29" ht="44" customHeight="1">
      <x:c r="A29" s="31" t="str">
        <x:v>PVLA-ST-TR-06</x:v>
      </x:c>
      <x:c r="B29" s="31" t="str">
        <x:v>Primary VLA</x:v>
      </x:c>
      <x:c r="C29" s="31" t="str">
        <x:v>State Recognition</x:v>
      </x:c>
      <x:c r="D29" s="31" t="str">
        <x:v>Main held-out transfer</x:v>
      </x:c>
      <x:c r="E29" s="31" t="str">
        <x:v>Semantic/compositional transfer</x:v>
      </x:c>
      <x:c r="F29" s="31" t="str"/>
      <x:c r="G29" s="31" t="str">
        <x:v>S-CF11</x:v>
      </x:c>
      <x:c r="H29" s="31" t="str">
        <x:v>Place the closed glass spice container in the bowl.</x:v>
      </x:c>
      <x:c r="I29" s="31" t="str">
        <x:v>Place the closed glass spice container in the bowl.</x:v>
      </x:c>
      <x:c r="J29" s="31" t="str">
        <x:v>S-CF11-HELD: P1 white cup A=C/UR; P2 yellow-white striped cup A=O/UR; P3 glass spice container B=C/UD [TARGET]; P4 glass spice container A=O/UD [COMPETITOR].</x:v>
      </x:c>
      <x:c r="K29" s="31" t="str">
        <x:v>glass spice container B</x:v>
      </x:c>
      <x:c r="L29" s="31" t="str">
        <x:v>Binary task success; paired with the main matched-control row.</x:v>
      </x:c>
      <x:c r="M29" s="31" t="str">
        <x:v>VLA_Evaluation_Checklist_660_Final_Updated.xlsx — evaluation episode 60</x:v>
      </x:c>
      <x:c r="N29" s="31" t="str">
        <x:v>Primary held-out transfer endpoint.</x:v>
      </x:c>
      <x:c r="O29" s="31" t="str">
        <x:v>Primary confirmatory</x:v>
      </x:c>
    </x:row>
    <x:row r="30" ht="44" customHeight="1">
      <x:c r="A30" s="31" t="str">
        <x:v>PVLA-ST-TR-07</x:v>
      </x:c>
      <x:c r="B30" s="31" t="str">
        <x:v>Primary VLA</x:v>
      </x:c>
      <x:c r="C30" s="31" t="str">
        <x:v>State Recognition</x:v>
      </x:c>
      <x:c r="D30" s="31" t="str">
        <x:v>Main held-out transfer</x:v>
      </x:c>
      <x:c r="E30" s="31" t="str">
        <x:v>Semantic/compositional transfer</x:v>
      </x:c>
      <x:c r="F30" s="31" t="str"/>
      <x:c r="G30" s="31" t="str">
        <x:v>S-CF13</x:v>
      </x:c>
      <x:c r="H30" s="31" t="str">
        <x:v>Place the closed brown cup in the bowl.</x:v>
      </x:c>
      <x:c r="I30" s="31" t="str">
        <x:v>Place the closed brown cup in the bowl.</x:v>
      </x:c>
      <x:c r="J30" s="31" t="str">
        <x:v>S-CF13-HELD: P1 brown cup A=C/UR [TARGET]; P2 brown cup B=O/UR [COMPETITOR]; P3 glass spice container A=C/UD; P4 white cup B=O/UD.</x:v>
      </x:c>
      <x:c r="K30" s="31" t="str">
        <x:v>brown cup A</x:v>
      </x:c>
      <x:c r="L30" s="31" t="str">
        <x:v>Binary task success; paired with the main matched-control row.</x:v>
      </x:c>
      <x:c r="M30" s="31" t="str">
        <x:v>VLA_Evaluation_Checklist_660_Final_Updated.xlsx — evaluation episode 62</x:v>
      </x:c>
      <x:c r="N30" s="31" t="str">
        <x:v>Primary held-out transfer endpoint.</x:v>
      </x:c>
      <x:c r="O30" s="31" t="str">
        <x:v>Primary confirmatory</x:v>
      </x:c>
    </x:row>
    <x:row r="31" ht="44" customHeight="1">
      <x:c r="A31" s="31" t="str">
        <x:v>PVLA-ST-TR-08</x:v>
      </x:c>
      <x:c r="B31" s="31" t="str">
        <x:v>Primary VLA</x:v>
      </x:c>
      <x:c r="C31" s="31" t="str">
        <x:v>State Recognition</x:v>
      </x:c>
      <x:c r="D31" s="31" t="str">
        <x:v>Main held-out transfer</x:v>
      </x:c>
      <x:c r="E31" s="31" t="str">
        <x:v>Semantic/compositional transfer</x:v>
      </x:c>
      <x:c r="F31" s="31" t="str"/>
      <x:c r="G31" s="31" t="str">
        <x:v>S-CF15</x:v>
      </x:c>
      <x:c r="H31" s="31" t="str">
        <x:v>Place the closed yellow-white striped cup in the bowl.</x:v>
      </x:c>
      <x:c r="I31" s="31" t="str">
        <x:v>Place the closed yellow-white striped cup in the bowl.</x:v>
      </x:c>
      <x:c r="J31" s="31" t="str">
        <x:v>S-CF15-HELD: P1 brown cup A=C/UR; P2 glass spice container A=O/UR; P3 yellow-white striped cup A=C/UD [TARGET]; P4 yellow-white striped cup B=O/UD [COMPETITOR].</x:v>
      </x:c>
      <x:c r="K31" s="31" t="str">
        <x:v>yellow-white striped cup A</x:v>
      </x:c>
      <x:c r="L31" s="31" t="str">
        <x:v>Binary task success; paired with the main matched-control row.</x:v>
      </x:c>
      <x:c r="M31" s="31" t="str">
        <x:v>VLA_Evaluation_Checklist_660_Final_Updated.xlsx — evaluation episode 64</x:v>
      </x:c>
      <x:c r="N31" s="31" t="str">
        <x:v>Primary held-out transfer endpoint.</x:v>
      </x:c>
      <x:c r="O31" s="31" t="str">
        <x:v>Primary confirmatory</x:v>
      </x:c>
    </x:row>
    <x:row r="32" ht="44" customHeight="1">
      <x:c r="A32" s="31" t="str">
        <x:v>PVLA-ST-TR-09</x:v>
      </x:c>
      <x:c r="B32" s="31" t="str">
        <x:v>Primary VLA</x:v>
      </x:c>
      <x:c r="C32" s="31" t="str">
        <x:v>State Recognition</x:v>
      </x:c>
      <x:c r="D32" s="31" t="str">
        <x:v>Main held-out transfer</x:v>
      </x:c>
      <x:c r="E32" s="31" t="str">
        <x:v>Semantic/compositional transfer</x:v>
      </x:c>
      <x:c r="F32" s="31" t="str"/>
      <x:c r="G32" s="31" t="str">
        <x:v>S-CF16</x:v>
      </x:c>
      <x:c r="H32" s="31" t="str">
        <x:v>Place the upright brown cup in the bowl.</x:v>
      </x:c>
      <x:c r="I32" s="31" t="str">
        <x:v>Place the upright brown cup in the bowl.</x:v>
      </x:c>
      <x:c r="J32" s="31" t="str">
        <x:v>S-CF16-HELD: P1 brown cup A=C/UD [COMPETITOR]; P2 glass spice container B=O/UR; P3 white cup A=O/UD; P4 brown cup B=C/UR [TARGET].</x:v>
      </x:c>
      <x:c r="K32" s="31" t="str">
        <x:v>brown cup B</x:v>
      </x:c>
      <x:c r="L32" s="31" t="str">
        <x:v>Binary task success; paired with the main matched-control row.</x:v>
      </x:c>
      <x:c r="M32" s="31" t="str">
        <x:v>VLA_Evaluation_Checklist_660_Final_Updated.xlsx — evaluation episode 65</x:v>
      </x:c>
      <x:c r="N32" s="31" t="str">
        <x:v>Primary held-out transfer endpoint.</x:v>
      </x:c>
      <x:c r="O32" s="31" t="str">
        <x:v>Primary confirmatory</x:v>
      </x:c>
    </x:row>
    <x:row r="33" ht="44" customHeight="1">
      <x:c r="A33" s="31" t="str">
        <x:v>PVLA-ST-TR-10</x:v>
      </x:c>
      <x:c r="B33" s="31" t="str">
        <x:v>Primary VLA</x:v>
      </x:c>
      <x:c r="C33" s="31" t="str">
        <x:v>State Recognition</x:v>
      </x:c>
      <x:c r="D33" s="31" t="str">
        <x:v>Main held-out transfer</x:v>
      </x:c>
      <x:c r="E33" s="31" t="str">
        <x:v>Semantic/compositional transfer</x:v>
      </x:c>
      <x:c r="F33" s="31" t="str"/>
      <x:c r="G33" s="31" t="str">
        <x:v>S-CF18</x:v>
      </x:c>
      <x:c r="H33" s="31" t="str">
        <x:v>Place the upright yellow-white striped cup in the bowl.</x:v>
      </x:c>
      <x:c r="I33" s="31" t="str">
        <x:v>Place the upright yellow-white striped cup in the bowl.</x:v>
      </x:c>
      <x:c r="J33" s="31" t="str">
        <x:v>S-CF18-HELD: P1 brown cup B=C/UR; P2 yellow-white striped cup B=O/UR [TARGET]; P3 yellow-white striped cup A=O/UD [COMPETITOR]; P4 glass spice container B=C/UD.</x:v>
      </x:c>
      <x:c r="K33" s="31" t="str">
        <x:v>yellow-white striped cup B</x:v>
      </x:c>
      <x:c r="L33" s="31" t="str">
        <x:v>Binary task success; paired with the main matched-control row.</x:v>
      </x:c>
      <x:c r="M33" s="31" t="str">
        <x:v>VLA_Evaluation_Checklist_660_Final_Updated.xlsx — evaluation episode 67</x:v>
      </x:c>
      <x:c r="N33" s="31" t="str">
        <x:v>Primary held-out transfer endpoint.</x:v>
      </x:c>
      <x:c r="O33" s="31" t="str">
        <x:v>Primary confirmatory</x:v>
      </x:c>
    </x:row>
    <x:row r="34" ht="44" customHeight="1">
      <x:c r="A34" s="31" t="str">
        <x:v>PVLA-ST-TR-11</x:v>
      </x:c>
      <x:c r="B34" s="31" t="str">
        <x:v>Primary VLA</x:v>
      </x:c>
      <x:c r="C34" s="31" t="str">
        <x:v>State Recognition</x:v>
      </x:c>
      <x:c r="D34" s="31" t="str">
        <x:v>Main held-out transfer</x:v>
      </x:c>
      <x:c r="E34" s="31" t="str">
        <x:v>Semantic/compositional transfer</x:v>
      </x:c>
      <x:c r="F34" s="31" t="str"/>
      <x:c r="G34" s="31" t="str">
        <x:v>S-CF20</x:v>
      </x:c>
      <x:c r="H34" s="31" t="str">
        <x:v>Place the upright white cup in the bowl.</x:v>
      </x:c>
      <x:c r="I34" s="31" t="str">
        <x:v>Place the upright white cup in the bowl.</x:v>
      </x:c>
      <x:c r="J34" s="31" t="str">
        <x:v>S-CF20-HELD: P1 white cup A=C/UD [COMPETITOR]; P2 yellow-white striped cup B=O/UR; P3 brown cup A=O/UD; P4 white cup B=C/UR [TARGET].</x:v>
      </x:c>
      <x:c r="K34" s="31" t="str">
        <x:v>white cup B</x:v>
      </x:c>
      <x:c r="L34" s="31" t="str">
        <x:v>Binary task success; paired with the main matched-control row.</x:v>
      </x:c>
      <x:c r="M34" s="31" t="str">
        <x:v>VLA_Evaluation_Checklist_660_Final_Updated.xlsx — evaluation episode 69</x:v>
      </x:c>
      <x:c r="N34" s="31" t="str">
        <x:v>Primary held-out transfer endpoint.</x:v>
      </x:c>
      <x:c r="O34" s="31" t="str">
        <x:v>Primary confirmatory</x:v>
      </x:c>
    </x:row>
    <x:row r="35" ht="44" customHeight="1">
      <x:c r="A35" s="31" t="str">
        <x:v>PVLA-ST-TR-12</x:v>
      </x:c>
      <x:c r="B35" s="31" t="str">
        <x:v>Primary VLA</x:v>
      </x:c>
      <x:c r="C35" s="31" t="str">
        <x:v>State Recognition</x:v>
      </x:c>
      <x:c r="D35" s="31" t="str">
        <x:v>Main held-out transfer</x:v>
      </x:c>
      <x:c r="E35" s="31" t="str">
        <x:v>Semantic/compositional transfer</x:v>
      </x:c>
      <x:c r="F35" s="31" t="str"/>
      <x:c r="G35" s="31" t="str">
        <x:v>S-CF22</x:v>
      </x:c>
      <x:c r="H35" s="31" t="str">
        <x:v>Place the upright glass spice container in the bowl.</x:v>
      </x:c>
      <x:c r="I35" s="31" t="str">
        <x:v>Place the upright glass spice container in the bowl.</x:v>
      </x:c>
      <x:c r="J35" s="31" t="str">
        <x:v>S-CF22-HELD: P1 white cup B=C/UR; P2 glass spice container A=O/UR [TARGET]; P3 glass spice container B=O/UD [COMPETITOR]; P4 yellow-white striped cup B=C/UD.</x:v>
      </x:c>
      <x:c r="K35" s="31" t="str">
        <x:v>glass spice container A</x:v>
      </x:c>
      <x:c r="L35" s="31" t="str">
        <x:v>Binary task success; paired with the main matched-control row.</x:v>
      </x:c>
      <x:c r="M35" s="31" t="str">
        <x:v>VLA_Evaluation_Checklist_660_Final_Updated.xlsx — evaluation episode 71</x:v>
      </x:c>
      <x:c r="N35" s="31" t="str">
        <x:v>Primary held-out transfer endpoint.</x:v>
      </x:c>
      <x:c r="O35" s="31" t="str">
        <x:v>Primary confirmatory</x:v>
      </x:c>
    </x:row>
    <x:row r="36" ht="44" customHeight="1">
      <x:c r="A36" s="31" t="str">
        <x:v>PVLA-ST-TR-13</x:v>
      </x:c>
      <x:c r="B36" s="31" t="str">
        <x:v>Primary VLA</x:v>
      </x:c>
      <x:c r="C36" s="31" t="str">
        <x:v>State Recognition</x:v>
      </x:c>
      <x:c r="D36" s="31" t="str">
        <x:v>Main held-out transfer</x:v>
      </x:c>
      <x:c r="E36" s="31" t="str">
        <x:v>Semantic/compositional transfer</x:v>
      </x:c>
      <x:c r="F36" s="31" t="str"/>
      <x:c r="G36" s="31" t="str">
        <x:v>S-CF24</x:v>
      </x:c>
      <x:c r="H36" s="31" t="str">
        <x:v>Place the upright brown cup in the bowl.</x:v>
      </x:c>
      <x:c r="I36" s="31" t="str">
        <x:v>Place the upright brown cup in the bowl.</x:v>
      </x:c>
      <x:c r="J36" s="31" t="str">
        <x:v>S-CF24-HELD: P1 brown cup A=C/UD [COMPETITOR]; P2 glass spice container B=O/UR; P3 white cup A=O/UD; P4 brown cup B=C/UR [TARGET].</x:v>
      </x:c>
      <x:c r="K36" s="31" t="str">
        <x:v>brown cup B</x:v>
      </x:c>
      <x:c r="L36" s="31" t="str">
        <x:v>Binary task success; paired with the main matched-control row.</x:v>
      </x:c>
      <x:c r="M36" s="31" t="str">
        <x:v>VLA_Evaluation_Checklist_660_Final_Updated.xlsx — evaluation episode 73</x:v>
      </x:c>
      <x:c r="N36" s="31" t="str">
        <x:v>Primary held-out transfer endpoint.</x:v>
      </x:c>
      <x:c r="O36" s="31" t="str">
        <x:v>Primary confirmatory</x:v>
      </x:c>
    </x:row>
    <x:row r="37" ht="44" customHeight="1">
      <x:c r="A37" s="31" t="str">
        <x:v>PVLA-ST-TR-14</x:v>
      </x:c>
      <x:c r="B37" s="31" t="str">
        <x:v>Primary VLA</x:v>
      </x:c>
      <x:c r="C37" s="31" t="str">
        <x:v>State Recognition</x:v>
      </x:c>
      <x:c r="D37" s="31" t="str">
        <x:v>Main held-out transfer</x:v>
      </x:c>
      <x:c r="E37" s="31" t="str">
        <x:v>Semantic/compositional transfer</x:v>
      </x:c>
      <x:c r="F37" s="31" t="str"/>
      <x:c r="G37" s="31" t="str">
        <x:v>S-CF26</x:v>
      </x:c>
      <x:c r="H37" s="31" t="str">
        <x:v>Place the upright yellow-white striped cup in the bowl.</x:v>
      </x:c>
      <x:c r="I37" s="31" t="str">
        <x:v>Place the upright yellow-white striped cup in the bowl.</x:v>
      </x:c>
      <x:c r="J37" s="31" t="str">
        <x:v>S-CF26-HELD: P1 brown cup B=C/UR; P2 yellow-white striped cup B=O/UR [TARGET]; P3 yellow-white striped cup A=O/UD [COMPETITOR]; P4 glass spice container B=C/UD.</x:v>
      </x:c>
      <x:c r="K37" s="31" t="str">
        <x:v>yellow-white striped cup B</x:v>
      </x:c>
      <x:c r="L37" s="31" t="str">
        <x:v>Binary task success; paired with the main matched-control row.</x:v>
      </x:c>
      <x:c r="M37" s="31" t="str">
        <x:v>VLA_Evaluation_Checklist_660_Final_Updated.xlsx — evaluation episode 75</x:v>
      </x:c>
      <x:c r="N37" s="31" t="str">
        <x:v>Primary held-out transfer endpoint.</x:v>
      </x:c>
      <x:c r="O37" s="31" t="str">
        <x:v>Primary confirmatory</x:v>
      </x:c>
    </x:row>
    <x:row r="38" ht="44" customHeight="1">
      <x:c r="A38" s="31" t="str">
        <x:v>PVLA-ST-TR-15</x:v>
      </x:c>
      <x:c r="B38" s="31" t="str">
        <x:v>Primary VLA</x:v>
      </x:c>
      <x:c r="C38" s="31" t="str">
        <x:v>State Recognition</x:v>
      </x:c>
      <x:c r="D38" s="31" t="str">
        <x:v>Main held-out transfer</x:v>
      </x:c>
      <x:c r="E38" s="31" t="str">
        <x:v>Semantic/compositional transfer</x:v>
      </x:c>
      <x:c r="F38" s="31" t="str"/>
      <x:c r="G38" s="31" t="str">
        <x:v>S-CF28</x:v>
      </x:c>
      <x:c r="H38" s="31" t="str">
        <x:v>Place the upright white cup in the bowl.</x:v>
      </x:c>
      <x:c r="I38" s="31" t="str">
        <x:v>Place the upright white cup in the bowl.</x:v>
      </x:c>
      <x:c r="J38" s="31" t="str">
        <x:v>S-CF28-HELD: P1 white cup A=C/UD [COMPETITOR]; P2 yellow-white striped cup B=O/UR; P3 brown cup A=O/UD; P4 white cup B=C/UR [TARGET].</x:v>
      </x:c>
      <x:c r="K38" s="31" t="str">
        <x:v>white cup B</x:v>
      </x:c>
      <x:c r="L38" s="31" t="str">
        <x:v>Binary task success; paired with the main matched-control row.</x:v>
      </x:c>
      <x:c r="M38" s="31" t="str">
        <x:v>VLA_Evaluation_Checklist_660_Final_Updated.xlsx — evaluation episode 77</x:v>
      </x:c>
      <x:c r="N38" s="31" t="str">
        <x:v>Primary held-out transfer endpoint.</x:v>
      </x:c>
      <x:c r="O38" s="31" t="str">
        <x:v>Primary confirmatory</x:v>
      </x:c>
    </x:row>
    <x:row r="39" ht="44" customHeight="1">
      <x:c r="A39" s="31" t="str">
        <x:v>PVLA-ST-TR-16</x:v>
      </x:c>
      <x:c r="B39" s="31" t="str">
        <x:v>Primary VLA</x:v>
      </x:c>
      <x:c r="C39" s="31" t="str">
        <x:v>State Recognition</x:v>
      </x:c>
      <x:c r="D39" s="31" t="str">
        <x:v>Main held-out transfer</x:v>
      </x:c>
      <x:c r="E39" s="31" t="str">
        <x:v>Semantic/compositional transfer</x:v>
      </x:c>
      <x:c r="F39" s="31" t="str"/>
      <x:c r="G39" s="31" t="str">
        <x:v>S-CF30</x:v>
      </x:c>
      <x:c r="H39" s="31" t="str">
        <x:v>Place the upright glass spice container in the bowl.</x:v>
      </x:c>
      <x:c r="I39" s="31" t="str">
        <x:v>Place the upright glass spice container in the bowl.</x:v>
      </x:c>
      <x:c r="J39" s="31" t="str">
        <x:v>S-CF30-HELD: P1 white cup B=C/UR; P2 glass spice container A=O/UR [TARGET]; P3 glass spice container B=O/UD [COMPETITOR]; P4 yellow-white striped cup B=C/UD.</x:v>
      </x:c>
      <x:c r="K39" s="31" t="str">
        <x:v>glass spice container A</x:v>
      </x:c>
      <x:c r="L39" s="31" t="str">
        <x:v>Binary task success; paired with the main matched-control row.</x:v>
      </x:c>
      <x:c r="M39" s="31" t="str">
        <x:v>VLA_Evaluation_Checklist_660_Final_Updated.xlsx — evaluation episode 79</x:v>
      </x:c>
      <x:c r="N39" s="31" t="str">
        <x:v>Primary held-out transfer endpoint.</x:v>
      </x:c>
      <x:c r="O39" s="31" t="str">
        <x:v>Primary confirmatory</x:v>
      </x:c>
    </x:row>
    <x:row r="40" ht="44" customHeight="1">
      <x:c r="A40" s="31" t="str">
        <x:v>PVLA-ST-CTL-01</x:v>
      </x:c>
      <x:c r="B40" s="31" t="str">
        <x:v>Primary VLA</x:v>
      </x:c>
      <x:c r="C40" s="31" t="str">
        <x:v>State Recognition</x:v>
      </x:c>
      <x:c r="D40" s="31" t="str">
        <x:v>Main matched control</x:v>
      </x:c>
      <x:c r="E40" s="31" t="str">
        <x:v>Matched motor/scene control</x:v>
      </x:c>
      <x:c r="F40" s="31" t="str"/>
      <x:c r="G40" s="31" t="str">
        <x:v>S-CF01</x:v>
      </x:c>
      <x:c r="H40" s="31" t="str">
        <x:v>Place a white cup in the bowl.</x:v>
      </x:c>
      <x:c r="I40" s="31" t="str">
        <x:v>Place a white cup in the bowl.</x:v>
      </x:c>
      <x:c r="J40" s="31" t="str">
        <x:v>S-CF01-CTRL: P1 white cup A=C/UR [TARGET]; P3 yellow-white striped cup A=C/UD; P4 brown cup B=O/UD.</x:v>
      </x:c>
      <x:c r="K40" s="31" t="str">
        <x:v>white cup A</x:v>
      </x:c>
      <x:c r="L40" s="31" t="str">
        <x:v>Binary task success; paired with the main transfer row.</x:v>
      </x:c>
      <x:c r="M40" s="31" t="str">
        <x:v>VLA_Evaluation_Checklist_660_Final_Updated.xlsx — evaluation episode 80</x:v>
      </x:c>
      <x:c r="N40" s="31" t="str">
        <x:v>Primary motor/scene control for the transfer gap.</x:v>
      </x:c>
      <x:c r="O40" s="31" t="str">
        <x:v>Primary confirmatory</x:v>
      </x:c>
    </x:row>
    <x:row r="41" ht="44" customHeight="1">
      <x:c r="A41" s="31" t="str">
        <x:v>PVLA-ST-CTL-02</x:v>
      </x:c>
      <x:c r="B41" s="31" t="str">
        <x:v>Primary VLA</x:v>
      </x:c>
      <x:c r="C41" s="31" t="str">
        <x:v>State Recognition</x:v>
      </x:c>
      <x:c r="D41" s="31" t="str">
        <x:v>Main matched control</x:v>
      </x:c>
      <x:c r="E41" s="31" t="str">
        <x:v>Matched motor/scene control</x:v>
      </x:c>
      <x:c r="F41" s="31" t="str"/>
      <x:c r="G41" s="31" t="str">
        <x:v>S-CF03</x:v>
      </x:c>
      <x:c r="H41" s="31" t="str">
        <x:v>Place a glass spice container in the bowl.</x:v>
      </x:c>
      <x:c r="I41" s="31" t="str">
        <x:v>Place a glass spice container in the bowl.</x:v>
      </x:c>
      <x:c r="J41" s="31" t="str">
        <x:v>S-CF03-CTRL: P1 white cup A=C/UR; P2 yellow-white striped cup A=O/UR; P3 glass spice container B=C/UD [TARGET].</x:v>
      </x:c>
      <x:c r="K41" s="31" t="str">
        <x:v>glass spice container B</x:v>
      </x:c>
      <x:c r="L41" s="31" t="str">
        <x:v>Binary task success; paired with the main transfer row.</x:v>
      </x:c>
      <x:c r="M41" s="31" t="str">
        <x:v>VLA_Evaluation_Checklist_660_Final_Updated.xlsx — evaluation episode 82</x:v>
      </x:c>
      <x:c r="N41" s="31" t="str">
        <x:v>Primary motor/scene control for the transfer gap.</x:v>
      </x:c>
      <x:c r="O41" s="31" t="str">
        <x:v>Primary confirmatory</x:v>
      </x:c>
    </x:row>
    <x:row r="42" ht="44" customHeight="1">
      <x:c r="A42" s="31" t="str">
        <x:v>PVLA-ST-CTL-03</x:v>
      </x:c>
      <x:c r="B42" s="31" t="str">
        <x:v>Primary VLA</x:v>
      </x:c>
      <x:c r="C42" s="31" t="str">
        <x:v>State Recognition</x:v>
      </x:c>
      <x:c r="D42" s="31" t="str">
        <x:v>Main matched control</x:v>
      </x:c>
      <x:c r="E42" s="31" t="str">
        <x:v>Matched motor/scene control</x:v>
      </x:c>
      <x:c r="F42" s="31" t="str"/>
      <x:c r="G42" s="31" t="str">
        <x:v>S-CF05</x:v>
      </x:c>
      <x:c r="H42" s="31" t="str">
        <x:v>Place a brown cup in the bowl.</x:v>
      </x:c>
      <x:c r="I42" s="31" t="str">
        <x:v>Place a brown cup in the bowl.</x:v>
      </x:c>
      <x:c r="J42" s="31" t="str">
        <x:v>S-CF05-CTRL: P1 brown cup A=C/UR [TARGET]; P3 glass spice container A=C/UD; P4 white cup B=O/UD.</x:v>
      </x:c>
      <x:c r="K42" s="31" t="str">
        <x:v>brown cup A</x:v>
      </x:c>
      <x:c r="L42" s="31" t="str">
        <x:v>Binary task success; paired with the main transfer row.</x:v>
      </x:c>
      <x:c r="M42" s="31" t="str">
        <x:v>VLA_Evaluation_Checklist_660_Final_Updated.xlsx — evaluation episode 84</x:v>
      </x:c>
      <x:c r="N42" s="31" t="str">
        <x:v>Primary motor/scene control for the transfer gap.</x:v>
      </x:c>
      <x:c r="O42" s="31" t="str">
        <x:v>Primary confirmatory</x:v>
      </x:c>
    </x:row>
    <x:row r="43" ht="44" customHeight="1">
      <x:c r="A43" s="31" t="str">
        <x:v>PVLA-ST-CTL-04</x:v>
      </x:c>
      <x:c r="B43" s="31" t="str">
        <x:v>Primary VLA</x:v>
      </x:c>
      <x:c r="C43" s="31" t="str">
        <x:v>State Recognition</x:v>
      </x:c>
      <x:c r="D43" s="31" t="str">
        <x:v>Main matched control</x:v>
      </x:c>
      <x:c r="E43" s="31" t="str">
        <x:v>Matched motor/scene control</x:v>
      </x:c>
      <x:c r="F43" s="31" t="str"/>
      <x:c r="G43" s="31" t="str">
        <x:v>S-CF07</x:v>
      </x:c>
      <x:c r="H43" s="31" t="str">
        <x:v>Place a yellow-white striped cup in the bowl.</x:v>
      </x:c>
      <x:c r="I43" s="31" t="str">
        <x:v>Place a yellow-white striped cup in the bowl.</x:v>
      </x:c>
      <x:c r="J43" s="31" t="str">
        <x:v>S-CF07-CTRL: P1 brown cup A=C/UR; P2 glass spice container A=O/UR; P3 yellow-white striped cup A=C/UD [TARGET].</x:v>
      </x:c>
      <x:c r="K43" s="31" t="str">
        <x:v>yellow-white striped cup A</x:v>
      </x:c>
      <x:c r="L43" s="31" t="str">
        <x:v>Binary task success; paired with the main transfer row.</x:v>
      </x:c>
      <x:c r="M43" s="31" t="str">
        <x:v>VLA_Evaluation_Checklist_660_Final_Updated.xlsx — evaluation episode 86</x:v>
      </x:c>
      <x:c r="N43" s="31" t="str">
        <x:v>Primary motor/scene control for the transfer gap.</x:v>
      </x:c>
      <x:c r="O43" s="31" t="str">
        <x:v>Primary confirmatory</x:v>
      </x:c>
    </x:row>
    <x:row r="44" ht="44" customHeight="1">
      <x:c r="A44" s="31" t="str">
        <x:v>PVLA-ST-CTL-05</x:v>
      </x:c>
      <x:c r="B44" s="31" t="str">
        <x:v>Primary VLA</x:v>
      </x:c>
      <x:c r="C44" s="31" t="str">
        <x:v>State Recognition</x:v>
      </x:c>
      <x:c r="D44" s="31" t="str">
        <x:v>Main matched control</x:v>
      </x:c>
      <x:c r="E44" s="31" t="str">
        <x:v>Matched motor/scene control</x:v>
      </x:c>
      <x:c r="F44" s="31" t="str"/>
      <x:c r="G44" s="31" t="str">
        <x:v>S-CF09</x:v>
      </x:c>
      <x:c r="H44" s="31" t="str">
        <x:v>Place a white cup in the bowl.</x:v>
      </x:c>
      <x:c r="I44" s="31" t="str">
        <x:v>Place a white cup in the bowl.</x:v>
      </x:c>
      <x:c r="J44" s="31" t="str">
        <x:v>S-CF09-CTRL: P1 white cup A=C/UR [TARGET]; P3 yellow-white striped cup A=C/UD; P4 brown cup B=O/UD.</x:v>
      </x:c>
      <x:c r="K44" s="31" t="str">
        <x:v>white cup A</x:v>
      </x:c>
      <x:c r="L44" s="31" t="str">
        <x:v>Binary task success; paired with the main transfer row.</x:v>
      </x:c>
      <x:c r="M44" s="31" t="str">
        <x:v>VLA_Evaluation_Checklist_660_Final_Updated.xlsx — evaluation episode 88</x:v>
      </x:c>
      <x:c r="N44" s="31" t="str">
        <x:v>Primary motor/scene control for the transfer gap.</x:v>
      </x:c>
      <x:c r="O44" s="31" t="str">
        <x:v>Primary confirmatory</x:v>
      </x:c>
    </x:row>
    <x:row r="45" ht="44" customHeight="1">
      <x:c r="A45" s="31" t="str">
        <x:v>PVLA-ST-CTL-06</x:v>
      </x:c>
      <x:c r="B45" s="31" t="str">
        <x:v>Primary VLA</x:v>
      </x:c>
      <x:c r="C45" s="31" t="str">
        <x:v>State Recognition</x:v>
      </x:c>
      <x:c r="D45" s="31" t="str">
        <x:v>Main matched control</x:v>
      </x:c>
      <x:c r="E45" s="31" t="str">
        <x:v>Matched motor/scene control</x:v>
      </x:c>
      <x:c r="F45" s="31" t="str"/>
      <x:c r="G45" s="31" t="str">
        <x:v>S-CF11</x:v>
      </x:c>
      <x:c r="H45" s="31" t="str">
        <x:v>Place a glass spice container in the bowl.</x:v>
      </x:c>
      <x:c r="I45" s="31" t="str">
        <x:v>Place a glass spice container in the bowl.</x:v>
      </x:c>
      <x:c r="J45" s="31" t="str">
        <x:v>S-CF11-CTRL: P1 white cup A=C/UR; P2 yellow-white striped cup A=O/UR; P3 glass spice container B=C/UD [TARGET].</x:v>
      </x:c>
      <x:c r="K45" s="31" t="str">
        <x:v>glass spice container B</x:v>
      </x:c>
      <x:c r="L45" s="31" t="str">
        <x:v>Binary task success; paired with the main transfer row.</x:v>
      </x:c>
      <x:c r="M45" s="31" t="str">
        <x:v>VLA_Evaluation_Checklist_660_Final_Updated.xlsx — evaluation episode 90</x:v>
      </x:c>
      <x:c r="N45" s="31" t="str">
        <x:v>Primary motor/scene control for the transfer gap.</x:v>
      </x:c>
      <x:c r="O45" s="31" t="str">
        <x:v>Primary confirmatory</x:v>
      </x:c>
    </x:row>
    <x:row r="46" ht="44" customHeight="1">
      <x:c r="A46" s="31" t="str">
        <x:v>PVLA-ST-CTL-07</x:v>
      </x:c>
      <x:c r="B46" s="31" t="str">
        <x:v>Primary VLA</x:v>
      </x:c>
      <x:c r="C46" s="31" t="str">
        <x:v>State Recognition</x:v>
      </x:c>
      <x:c r="D46" s="31" t="str">
        <x:v>Main matched control</x:v>
      </x:c>
      <x:c r="E46" s="31" t="str">
        <x:v>Matched motor/scene control</x:v>
      </x:c>
      <x:c r="F46" s="31" t="str"/>
      <x:c r="G46" s="31" t="str">
        <x:v>S-CF13</x:v>
      </x:c>
      <x:c r="H46" s="31" t="str">
        <x:v>Place a brown cup in the bowl.</x:v>
      </x:c>
      <x:c r="I46" s="31" t="str">
        <x:v>Place a brown cup in the bowl.</x:v>
      </x:c>
      <x:c r="J46" s="31" t="str">
        <x:v>S-CF13-CTRL: P1 brown cup A=C/UR [TARGET]; P3 glass spice container A=C/UD; P4 white cup B=O/UD.</x:v>
      </x:c>
      <x:c r="K46" s="31" t="str">
        <x:v>brown cup A</x:v>
      </x:c>
      <x:c r="L46" s="31" t="str">
        <x:v>Binary task success; paired with the main transfer row.</x:v>
      </x:c>
      <x:c r="M46" s="31" t="str">
        <x:v>VLA_Evaluation_Checklist_660_Final_Updated.xlsx — evaluation episode 92</x:v>
      </x:c>
      <x:c r="N46" s="31" t="str">
        <x:v>Primary motor/scene control for the transfer gap.</x:v>
      </x:c>
      <x:c r="O46" s="31" t="str">
        <x:v>Primary confirmatory</x:v>
      </x:c>
    </x:row>
    <x:row r="47" ht="44" customHeight="1">
      <x:c r="A47" s="31" t="str">
        <x:v>PVLA-ST-CTL-08</x:v>
      </x:c>
      <x:c r="B47" s="31" t="str">
        <x:v>Primary VLA</x:v>
      </x:c>
      <x:c r="C47" s="31" t="str">
        <x:v>State Recognition</x:v>
      </x:c>
      <x:c r="D47" s="31" t="str">
        <x:v>Main matched control</x:v>
      </x:c>
      <x:c r="E47" s="31" t="str">
        <x:v>Matched motor/scene control</x:v>
      </x:c>
      <x:c r="F47" s="31" t="str"/>
      <x:c r="G47" s="31" t="str">
        <x:v>S-CF15</x:v>
      </x:c>
      <x:c r="H47" s="31" t="str">
        <x:v>Place a yellow-white striped cup in the bowl.</x:v>
      </x:c>
      <x:c r="I47" s="31" t="str">
        <x:v>Place a yellow-white striped cup in the bowl.</x:v>
      </x:c>
      <x:c r="J47" s="31" t="str">
        <x:v>S-CF15-CTRL: P1 brown cup A=C/UR; P2 glass spice container A=O/UR; P3 yellow-white striped cup A=C/UD [TARGET].</x:v>
      </x:c>
      <x:c r="K47" s="31" t="str">
        <x:v>yellow-white striped cup A</x:v>
      </x:c>
      <x:c r="L47" s="31" t="str">
        <x:v>Binary task success; paired with the main transfer row.</x:v>
      </x:c>
      <x:c r="M47" s="31" t="str">
        <x:v>VLA_Evaluation_Checklist_660_Final_Updated.xlsx — evaluation episode 94</x:v>
      </x:c>
      <x:c r="N47" s="31" t="str">
        <x:v>Primary motor/scene control for the transfer gap.</x:v>
      </x:c>
      <x:c r="O47" s="31" t="str">
        <x:v>Primary confirmatory</x:v>
      </x:c>
    </x:row>
    <x:row r="48" ht="44" customHeight="1">
      <x:c r="A48" s="31" t="str">
        <x:v>PVLA-ST-CTL-09</x:v>
      </x:c>
      <x:c r="B48" s="31" t="str">
        <x:v>Primary VLA</x:v>
      </x:c>
      <x:c r="C48" s="31" t="str">
        <x:v>State Recognition</x:v>
      </x:c>
      <x:c r="D48" s="31" t="str">
        <x:v>Main matched control</x:v>
      </x:c>
      <x:c r="E48" s="31" t="str">
        <x:v>Matched motor/scene control</x:v>
      </x:c>
      <x:c r="F48" s="31" t="str"/>
      <x:c r="G48" s="31" t="str">
        <x:v>S-CF16</x:v>
      </x:c>
      <x:c r="H48" s="31" t="str">
        <x:v>Place a brown cup in the bowl.</x:v>
      </x:c>
      <x:c r="I48" s="31" t="str">
        <x:v>Place a brown cup in the bowl.</x:v>
      </x:c>
      <x:c r="J48" s="31" t="str">
        <x:v>S-CF16-CTRL: P2 glass spice container B=O/UR; P3 white cup A=O/UD; P4 brown cup B=C/UR [TARGET].</x:v>
      </x:c>
      <x:c r="K48" s="31" t="str">
        <x:v>brown cup B</x:v>
      </x:c>
      <x:c r="L48" s="31" t="str">
        <x:v>Binary task success; paired with the main transfer row.</x:v>
      </x:c>
      <x:c r="M48" s="31" t="str">
        <x:v>VLA_Evaluation_Checklist_660_Final_Updated.xlsx — evaluation episode 95</x:v>
      </x:c>
      <x:c r="N48" s="31" t="str">
        <x:v>Primary motor/scene control for the transfer gap.</x:v>
      </x:c>
      <x:c r="O48" s="31" t="str">
        <x:v>Primary confirmatory</x:v>
      </x:c>
    </x:row>
    <x:row r="49" ht="44" customHeight="1">
      <x:c r="A49" s="31" t="str">
        <x:v>PVLA-ST-CTL-10</x:v>
      </x:c>
      <x:c r="B49" s="31" t="str">
        <x:v>Primary VLA</x:v>
      </x:c>
      <x:c r="C49" s="31" t="str">
        <x:v>State Recognition</x:v>
      </x:c>
      <x:c r="D49" s="31" t="str">
        <x:v>Main matched control</x:v>
      </x:c>
      <x:c r="E49" s="31" t="str">
        <x:v>Matched motor/scene control</x:v>
      </x:c>
      <x:c r="F49" s="31" t="str"/>
      <x:c r="G49" s="31" t="str">
        <x:v>S-CF18</x:v>
      </x:c>
      <x:c r="H49" s="31" t="str">
        <x:v>Place a yellow-white striped cup in the bowl.</x:v>
      </x:c>
      <x:c r="I49" s="31" t="str">
        <x:v>Place a yellow-white striped cup in the bowl.</x:v>
      </x:c>
      <x:c r="J49" s="31" t="str">
        <x:v>S-CF18-CTRL: P1 brown cup B=C/UR; P2 yellow-white striped cup B=O/UR [TARGET]; P4 glass spice container B=C/UD.</x:v>
      </x:c>
      <x:c r="K49" s="31" t="str">
        <x:v>yellow-white striped cup B</x:v>
      </x:c>
      <x:c r="L49" s="31" t="str">
        <x:v>Binary task success; paired with the main transfer row.</x:v>
      </x:c>
      <x:c r="M49" s="31" t="str">
        <x:v>VLA_Evaluation_Checklist_660_Final_Updated.xlsx — evaluation episode 97</x:v>
      </x:c>
      <x:c r="N49" s="31" t="str">
        <x:v>Primary motor/scene control for the transfer gap.</x:v>
      </x:c>
      <x:c r="O49" s="31" t="str">
        <x:v>Primary confirmatory</x:v>
      </x:c>
    </x:row>
    <x:row r="50" ht="44" customHeight="1">
      <x:c r="A50" s="31" t="str">
        <x:v>PVLA-ST-CTL-11</x:v>
      </x:c>
      <x:c r="B50" s="31" t="str">
        <x:v>Primary VLA</x:v>
      </x:c>
      <x:c r="C50" s="31" t="str">
        <x:v>State Recognition</x:v>
      </x:c>
      <x:c r="D50" s="31" t="str">
        <x:v>Main matched control</x:v>
      </x:c>
      <x:c r="E50" s="31" t="str">
        <x:v>Matched motor/scene control</x:v>
      </x:c>
      <x:c r="F50" s="31" t="str"/>
      <x:c r="G50" s="31" t="str">
        <x:v>S-CF20</x:v>
      </x:c>
      <x:c r="H50" s="31" t="str">
        <x:v>Place a white cup in the bowl.</x:v>
      </x:c>
      <x:c r="I50" s="31" t="str">
        <x:v>Place a white cup in the bowl.</x:v>
      </x:c>
      <x:c r="J50" s="31" t="str">
        <x:v>S-CF20-CTRL: P2 yellow-white striped cup B=O/UR; P3 brown cup A=O/UD; P4 white cup B=C/UR [TARGET].</x:v>
      </x:c>
      <x:c r="K50" s="31" t="str">
        <x:v>white cup B</x:v>
      </x:c>
      <x:c r="L50" s="31" t="str">
        <x:v>Binary task success; paired with the main transfer row.</x:v>
      </x:c>
      <x:c r="M50" s="31" t="str">
        <x:v>VLA_Evaluation_Checklist_660_Final_Updated.xlsx — evaluation episode 99</x:v>
      </x:c>
      <x:c r="N50" s="31" t="str">
        <x:v>Primary motor/scene control for the transfer gap.</x:v>
      </x:c>
      <x:c r="O50" s="31" t="str">
        <x:v>Primary confirmatory</x:v>
      </x:c>
    </x:row>
    <x:row r="51" ht="44" customHeight="1">
      <x:c r="A51" s="31" t="str">
        <x:v>PVLA-ST-CTL-12</x:v>
      </x:c>
      <x:c r="B51" s="31" t="str">
        <x:v>Primary VLA</x:v>
      </x:c>
      <x:c r="C51" s="31" t="str">
        <x:v>State Recognition</x:v>
      </x:c>
      <x:c r="D51" s="31" t="str">
        <x:v>Main matched control</x:v>
      </x:c>
      <x:c r="E51" s="31" t="str">
        <x:v>Matched motor/scene control</x:v>
      </x:c>
      <x:c r="F51" s="31" t="str"/>
      <x:c r="G51" s="31" t="str">
        <x:v>S-CF22</x:v>
      </x:c>
      <x:c r="H51" s="31" t="str">
        <x:v>Place a glass spice container in the bowl.</x:v>
      </x:c>
      <x:c r="I51" s="31" t="str">
        <x:v>Place a glass spice container in the bowl.</x:v>
      </x:c>
      <x:c r="J51" s="31" t="str">
        <x:v>S-CF22-CTRL: P1 white cup B=C/UR; P2 glass spice container A=O/UR [TARGET]; P4 yellow-white striped cup B=C/UD.</x:v>
      </x:c>
      <x:c r="K51" s="31" t="str">
        <x:v>glass spice container A</x:v>
      </x:c>
      <x:c r="L51" s="31" t="str">
        <x:v>Binary task success; paired with the main transfer row.</x:v>
      </x:c>
      <x:c r="M51" s="31" t="str">
        <x:v>VLA_Evaluation_Checklist_660_Final_Updated.xlsx — evaluation episode 101</x:v>
      </x:c>
      <x:c r="N51" s="31" t="str">
        <x:v>Primary motor/scene control for the transfer gap.</x:v>
      </x:c>
      <x:c r="O51" s="31" t="str">
        <x:v>Primary confirmatory</x:v>
      </x:c>
    </x:row>
    <x:row r="52" ht="44" customHeight="1">
      <x:c r="A52" s="31" t="str">
        <x:v>PVLA-ST-CTL-13</x:v>
      </x:c>
      <x:c r="B52" s="31" t="str">
        <x:v>Primary VLA</x:v>
      </x:c>
      <x:c r="C52" s="31" t="str">
        <x:v>State Recognition</x:v>
      </x:c>
      <x:c r="D52" s="31" t="str">
        <x:v>Main matched control</x:v>
      </x:c>
      <x:c r="E52" s="31" t="str">
        <x:v>Matched motor/scene control</x:v>
      </x:c>
      <x:c r="F52" s="31" t="str"/>
      <x:c r="G52" s="31" t="str">
        <x:v>S-CF24</x:v>
      </x:c>
      <x:c r="H52" s="31" t="str">
        <x:v>Place a brown cup in the bowl.</x:v>
      </x:c>
      <x:c r="I52" s="31" t="str">
        <x:v>Place a brown cup in the bowl.</x:v>
      </x:c>
      <x:c r="J52" s="31" t="str">
        <x:v>S-CF24-CTRL: P2 glass spice container B=O/UR; P3 white cup A=O/UD; P4 brown cup B=C/UR [TARGET].</x:v>
      </x:c>
      <x:c r="K52" s="31" t="str">
        <x:v>brown cup B</x:v>
      </x:c>
      <x:c r="L52" s="31" t="str">
        <x:v>Binary task success; paired with the main transfer row.</x:v>
      </x:c>
      <x:c r="M52" s="31" t="str">
        <x:v>VLA_Evaluation_Checklist_660_Final_Updated.xlsx — evaluation episode 103</x:v>
      </x:c>
      <x:c r="N52" s="31" t="str">
        <x:v>Primary motor/scene control for the transfer gap.</x:v>
      </x:c>
      <x:c r="O52" s="31" t="str">
        <x:v>Primary confirmatory</x:v>
      </x:c>
    </x:row>
    <x:row r="53" ht="44" customHeight="1">
      <x:c r="A53" s="31" t="str">
        <x:v>PVLA-ST-CTL-14</x:v>
      </x:c>
      <x:c r="B53" s="31" t="str">
        <x:v>Primary VLA</x:v>
      </x:c>
      <x:c r="C53" s="31" t="str">
        <x:v>State Recognition</x:v>
      </x:c>
      <x:c r="D53" s="31" t="str">
        <x:v>Main matched control</x:v>
      </x:c>
      <x:c r="E53" s="31" t="str">
        <x:v>Matched motor/scene control</x:v>
      </x:c>
      <x:c r="F53" s="31" t="str"/>
      <x:c r="G53" s="31" t="str">
        <x:v>S-CF26</x:v>
      </x:c>
      <x:c r="H53" s="31" t="str">
        <x:v>Place a yellow-white striped cup in the bowl.</x:v>
      </x:c>
      <x:c r="I53" s="31" t="str">
        <x:v>Place a yellow-white striped cup in the bowl.</x:v>
      </x:c>
      <x:c r="J53" s="31" t="str">
        <x:v>S-CF26-CTRL: P1 brown cup B=C/UR; P2 yellow-white striped cup B=O/UR [TARGET]; P4 glass spice container B=C/UD.</x:v>
      </x:c>
      <x:c r="K53" s="31" t="str">
        <x:v>yellow-white striped cup B</x:v>
      </x:c>
      <x:c r="L53" s="31" t="str">
        <x:v>Binary task success; paired with the main transfer row.</x:v>
      </x:c>
      <x:c r="M53" s="31" t="str">
        <x:v>VLA_Evaluation_Checklist_660_Final_Updated.xlsx — evaluation episode 105</x:v>
      </x:c>
      <x:c r="N53" s="31" t="str">
        <x:v>Primary motor/scene control for the transfer gap.</x:v>
      </x:c>
      <x:c r="O53" s="31" t="str">
        <x:v>Primary confirmatory</x:v>
      </x:c>
    </x:row>
    <x:row r="54" ht="44" customHeight="1">
      <x:c r="A54" s="31" t="str">
        <x:v>PVLA-ST-CTL-15</x:v>
      </x:c>
      <x:c r="B54" s="31" t="str">
        <x:v>Primary VLA</x:v>
      </x:c>
      <x:c r="C54" s="31" t="str">
        <x:v>State Recognition</x:v>
      </x:c>
      <x:c r="D54" s="31" t="str">
        <x:v>Main matched control</x:v>
      </x:c>
      <x:c r="E54" s="31" t="str">
        <x:v>Matched motor/scene control</x:v>
      </x:c>
      <x:c r="F54" s="31" t="str"/>
      <x:c r="G54" s="31" t="str">
        <x:v>S-CF28</x:v>
      </x:c>
      <x:c r="H54" s="31" t="str">
        <x:v>Place a white cup in the bowl.</x:v>
      </x:c>
      <x:c r="I54" s="31" t="str">
        <x:v>Place a white cup in the bowl.</x:v>
      </x:c>
      <x:c r="J54" s="31" t="str">
        <x:v>S-CF28-CTRL: P2 yellow-white striped cup B=O/UR; P3 brown cup A=O/UD; P4 white cup B=C/UR [TARGET].</x:v>
      </x:c>
      <x:c r="K54" s="31" t="str">
        <x:v>white cup B</x:v>
      </x:c>
      <x:c r="L54" s="31" t="str">
        <x:v>Binary task success; paired with the main transfer row.</x:v>
      </x:c>
      <x:c r="M54" s="31" t="str">
        <x:v>VLA_Evaluation_Checklist_660_Final_Updated.xlsx — evaluation episode 107</x:v>
      </x:c>
      <x:c r="N54" s="31" t="str">
        <x:v>Primary motor/scene control for the transfer gap.</x:v>
      </x:c>
      <x:c r="O54" s="31" t="str">
        <x:v>Primary confirmatory</x:v>
      </x:c>
    </x:row>
    <x:row r="55" ht="44" customHeight="1">
      <x:c r="A55" s="31" t="str">
        <x:v>PVLA-ST-CTL-16</x:v>
      </x:c>
      <x:c r="B55" s="31" t="str">
        <x:v>Primary VLA</x:v>
      </x:c>
      <x:c r="C55" s="31" t="str">
        <x:v>State Recognition</x:v>
      </x:c>
      <x:c r="D55" s="31" t="str">
        <x:v>Main matched control</x:v>
      </x:c>
      <x:c r="E55" s="31" t="str">
        <x:v>Matched motor/scene control</x:v>
      </x:c>
      <x:c r="F55" s="31" t="str"/>
      <x:c r="G55" s="31" t="str">
        <x:v>S-CF30</x:v>
      </x:c>
      <x:c r="H55" s="31" t="str">
        <x:v>Place a glass spice container in the bowl.</x:v>
      </x:c>
      <x:c r="I55" s="31" t="str">
        <x:v>Place a glass spice container in the bowl.</x:v>
      </x:c>
      <x:c r="J55" s="31" t="str">
        <x:v>S-CF30-CTRL: P1 white cup B=C/UR; P2 glass spice container A=O/UR [TARGET]; P4 yellow-white striped cup B=C/UD.</x:v>
      </x:c>
      <x:c r="K55" s="31" t="str">
        <x:v>glass spice container A</x:v>
      </x:c>
      <x:c r="L55" s="31" t="str">
        <x:v>Binary task success; paired with the main transfer row.</x:v>
      </x:c>
      <x:c r="M55" s="31" t="str">
        <x:v>VLA_Evaluation_Checklist_660_Final_Updated.xlsx — evaluation episode 109</x:v>
      </x:c>
      <x:c r="N55" s="31" t="str">
        <x:v>Primary motor/scene control for the transfer gap.</x:v>
      </x:c>
      <x:c r="O55" s="31" t="str">
        <x:v>Primary confirmatory</x:v>
      </x:c>
    </x:row>
    <x:row r="56" ht="44" customHeight="1">
      <x:c r="A56" s="31" t="str">
        <x:v>PVLA-ST-ABL-BLK-01</x:v>
      </x:c>
      <x:c r="B56" s="31" t="str">
        <x:v>Primary VLA</x:v>
      </x:c>
      <x:c r="C56" s="31" t="str">
        <x:v>State Recognition</x:v>
      </x:c>
      <x:c r="D56" s="31" t="str">
        <x:v>Language ablation — blank</x:v>
      </x:c>
      <x:c r="E56" s="31" t="str">
        <x:v>Empty instruction</x:v>
      </x:c>
      <x:c r="F56" s="31" t="str">
        <x:v>PVLA-ST-TR-01</x:v>
      </x:c>
      <x:c r="G56" s="31" t="str">
        <x:v>S-CF01</x:v>
      </x:c>
      <x:c r="H56" s="31" t="str">
        <x:v>[EMPTY STRING — provide no instruction tokens]</x:v>
      </x:c>
      <x:c r="I56" s="31" t="str">
        <x:v>Place the closed white cup in the bowl.</x:v>
      </x:c>
      <x:c r="J56" s="31" t="str">
        <x:v>S-CF01-HELD: P1 white cup A=C/UR [TARGET]; P2 white cup B=O/UR [COMPETITOR]; P3 yellow-white striped cup A=C/UD; P4 brown cup B=O/UD.</x:v>
      </x:c>
      <x:c r="K56" s="31" t="str">
        <x:v>No prespecified task success under blank language; record any action/selected target.</x:v>
      </x:c>
      <x:c r="L56" s="31" t="str">
        <x:v>Do not score ordinary task success. Record action occurrence and agreement with the parent correct-prompt rollout.</x:v>
      </x:c>
      <x:c r="M56" s="31" t="str">
        <x:v>Generated from PVLA-ST-TR-01</x:v>
      </x:c>
      <x:c r="N56" s="31" t="str">
        <x:v>Causal language-sensitivity diagnostic.</x:v>
      </x:c>
      <x:c r="O56" s="31" t="str">
        <x:v>Secondary pre-specified</x:v>
      </x:c>
    </x:row>
    <x:row r="57" ht="44" customHeight="1">
      <x:c r="A57" s="31" t="str">
        <x:v>PVLA-ST-ABL-BLK-02</x:v>
      </x:c>
      <x:c r="B57" s="31" t="str">
        <x:v>Primary VLA</x:v>
      </x:c>
      <x:c r="C57" s="31" t="str">
        <x:v>State Recognition</x:v>
      </x:c>
      <x:c r="D57" s="31" t="str">
        <x:v>Language ablation — blank</x:v>
      </x:c>
      <x:c r="E57" s="31" t="str">
        <x:v>Empty instruction</x:v>
      </x:c>
      <x:c r="F57" s="31" t="str">
        <x:v>PVLA-ST-TR-02</x:v>
      </x:c>
      <x:c r="G57" s="31" t="str">
        <x:v>S-CF03</x:v>
      </x:c>
      <x:c r="H57" s="31" t="str">
        <x:v>[EMPTY STRING — provide no instruction tokens]</x:v>
      </x:c>
      <x:c r="I57" s="31" t="str">
        <x:v>Place the closed glass spice container in the bowl.</x:v>
      </x:c>
      <x:c r="J57" s="31" t="str">
        <x:v>S-CF03-HELD: P1 white cup A=C/UR; P2 yellow-white striped cup A=O/UR; P3 glass spice container B=C/UD [TARGET]; P4 glass spice container A=O/UD [COMPETITOR].</x:v>
      </x:c>
      <x:c r="K57" s="31" t="str">
        <x:v>No prespecified task success under blank language; record any action/selected target.</x:v>
      </x:c>
      <x:c r="L57" s="31" t="str">
        <x:v>Do not score ordinary task success. Record action occurrence and agreement with the parent correct-prompt rollout.</x:v>
      </x:c>
      <x:c r="M57" s="31" t="str">
        <x:v>Generated from PVLA-ST-TR-02</x:v>
      </x:c>
      <x:c r="N57" s="31" t="str">
        <x:v>Causal language-sensitivity diagnostic.</x:v>
      </x:c>
      <x:c r="O57" s="31" t="str">
        <x:v>Secondary pre-specified</x:v>
      </x:c>
    </x:row>
    <x:row r="58" ht="44" customHeight="1">
      <x:c r="A58" s="31" t="str">
        <x:v>PVLA-ST-ABL-BLK-03</x:v>
      </x:c>
      <x:c r="B58" s="31" t="str">
        <x:v>Primary VLA</x:v>
      </x:c>
      <x:c r="C58" s="31" t="str">
        <x:v>State Recognition</x:v>
      </x:c>
      <x:c r="D58" s="31" t="str">
        <x:v>Language ablation — blank</x:v>
      </x:c>
      <x:c r="E58" s="31" t="str">
        <x:v>Empty instruction</x:v>
      </x:c>
      <x:c r="F58" s="31" t="str">
        <x:v>PVLA-ST-TR-03</x:v>
      </x:c>
      <x:c r="G58" s="31" t="str">
        <x:v>S-CF05</x:v>
      </x:c>
      <x:c r="H58" s="31" t="str">
        <x:v>[EMPTY STRING — provide no instruction tokens]</x:v>
      </x:c>
      <x:c r="I58" s="31" t="str">
        <x:v>Place the closed brown cup in the bowl.</x:v>
      </x:c>
      <x:c r="J58" s="31" t="str">
        <x:v>S-CF05-HELD: P1 brown cup A=C/UR [TARGET]; P2 brown cup B=O/UR [COMPETITOR]; P3 glass spice container A=C/UD; P4 white cup B=O/UD.</x:v>
      </x:c>
      <x:c r="K58" s="31" t="str">
        <x:v>No prespecified task success under blank language; record any action/selected target.</x:v>
      </x:c>
      <x:c r="L58" s="31" t="str">
        <x:v>Do not score ordinary task success. Record action occurrence and agreement with the parent correct-prompt rollout.</x:v>
      </x:c>
      <x:c r="M58" s="31" t="str">
        <x:v>Generated from PVLA-ST-TR-03</x:v>
      </x:c>
      <x:c r="N58" s="31" t="str">
        <x:v>Causal language-sensitivity diagnostic.</x:v>
      </x:c>
      <x:c r="O58" s="31" t="str">
        <x:v>Secondary pre-specified</x:v>
      </x:c>
    </x:row>
    <x:row r="59" ht="44" customHeight="1">
      <x:c r="A59" s="31" t="str">
        <x:v>PVLA-ST-ABL-BLK-04</x:v>
      </x:c>
      <x:c r="B59" s="31" t="str">
        <x:v>Primary VLA</x:v>
      </x:c>
      <x:c r="C59" s="31" t="str">
        <x:v>State Recognition</x:v>
      </x:c>
      <x:c r="D59" s="31" t="str">
        <x:v>Language ablation — blank</x:v>
      </x:c>
      <x:c r="E59" s="31" t="str">
        <x:v>Empty instruction</x:v>
      </x:c>
      <x:c r="F59" s="31" t="str">
        <x:v>PVLA-ST-TR-04</x:v>
      </x:c>
      <x:c r="G59" s="31" t="str">
        <x:v>S-CF07</x:v>
      </x:c>
      <x:c r="H59" s="31" t="str">
        <x:v>[EMPTY STRING — provide no instruction tokens]</x:v>
      </x:c>
      <x:c r="I59" s="31" t="str">
        <x:v>Place the closed yellow-white striped cup in the bowl.</x:v>
      </x:c>
      <x:c r="J59" s="31" t="str">
        <x:v>S-CF07-HELD: P1 brown cup A=C/UR; P2 glass spice container A=O/UR; P3 yellow-white striped cup A=C/UD [TARGET]; P4 yellow-white striped cup B=O/UD [COMPETITOR].</x:v>
      </x:c>
      <x:c r="K59" s="31" t="str">
        <x:v>No prespecified task success under blank language; record any action/selected target.</x:v>
      </x:c>
      <x:c r="L59" s="31" t="str">
        <x:v>Do not score ordinary task success. Record action occurrence and agreement with the parent correct-prompt rollout.</x:v>
      </x:c>
      <x:c r="M59" s="31" t="str">
        <x:v>Generated from PVLA-ST-TR-04</x:v>
      </x:c>
      <x:c r="N59" s="31" t="str">
        <x:v>Causal language-sensitivity diagnostic.</x:v>
      </x:c>
      <x:c r="O59" s="31" t="str">
        <x:v>Secondary pre-specified</x:v>
      </x:c>
    </x:row>
    <x:row r="60" ht="44" customHeight="1">
      <x:c r="A60" s="31" t="str">
        <x:v>PVLA-ST-ABL-CF-01</x:v>
      </x:c>
      <x:c r="B60" s="31" t="str">
        <x:v>Primary VLA</x:v>
      </x:c>
      <x:c r="C60" s="31" t="str">
        <x:v>State Recognition</x:v>
      </x:c>
      <x:c r="D60" s="31" t="str">
        <x:v>Language ablation — counterfactual</x:v>
      </x:c>
      <x:c r="E60" s="31" t="str">
        <x:v>Same scene, changed instruction</x:v>
      </x:c>
      <x:c r="F60" s="31" t="str">
        <x:v>PVLA-ST-TR-05</x:v>
      </x:c>
      <x:c r="G60" s="31" t="str">
        <x:v>S-CF09</x:v>
      </x:c>
      <x:c r="H60" s="31" t="str">
        <x:v>Place the open white cup in the bowl.</x:v>
      </x:c>
      <x:c r="I60" s="31" t="str">
        <x:v>Place the open white cup in the bowl.</x:v>
      </x:c>
      <x:c r="J60" s="31" t="str">
        <x:v>S-CF09-HELD: P1 white cup A=C/UR [TARGET]; P2 white cup B=O/UR [COMPETITOR]; P3 yellow-white striped cup A=C/UD; P4 brown cup B=O/UD.</x:v>
      </x:c>
      <x:c r="K60" s="31" t="str">
        <x:v>white cup B</x:v>
      </x:c>
      <x:c r="L60" s="31" t="str">
        <x:v>Binary success for the counterfactual instruction and paired action-switch analysis versus the parent.</x:v>
      </x:c>
      <x:c r="M60" s="31" t="str">
        <x:v>Generated from PVLA-ST-TR-05</x:v>
      </x:c>
      <x:c r="N60" s="31" t="str">
        <x:v>Causal language-sensitivity diagnostic.</x:v>
      </x:c>
      <x:c r="O60" s="31" t="str">
        <x:v>Secondary pre-specified</x:v>
      </x:c>
    </x:row>
    <x:row r="61" ht="44" customHeight="1">
      <x:c r="A61" s="31" t="str">
        <x:v>PVLA-ST-ABL-CF-02</x:v>
      </x:c>
      <x:c r="B61" s="31" t="str">
        <x:v>Primary VLA</x:v>
      </x:c>
      <x:c r="C61" s="31" t="str">
        <x:v>State Recognition</x:v>
      </x:c>
      <x:c r="D61" s="31" t="str">
        <x:v>Language ablation — counterfactual</x:v>
      </x:c>
      <x:c r="E61" s="31" t="str">
        <x:v>Same scene, changed instruction</x:v>
      </x:c>
      <x:c r="F61" s="31" t="str">
        <x:v>PVLA-ST-TR-06</x:v>
      </x:c>
      <x:c r="G61" s="31" t="str">
        <x:v>S-CF11</x:v>
      </x:c>
      <x:c r="H61" s="31" t="str">
        <x:v>Place the open glass spice container in the bowl.</x:v>
      </x:c>
      <x:c r="I61" s="31" t="str">
        <x:v>Place the open glass spice container in the bowl.</x:v>
      </x:c>
      <x:c r="J61" s="31" t="str">
        <x:v>S-CF11-HELD: P1 white cup A=C/UR; P2 yellow-white striped cup A=O/UR; P3 glass spice container B=C/UD [TARGET]; P4 glass spice container A=O/UD [COMPETITOR].</x:v>
      </x:c>
      <x:c r="K61" s="31" t="str">
        <x:v>glass spice container A</x:v>
      </x:c>
      <x:c r="L61" s="31" t="str">
        <x:v>Binary success for the counterfactual instruction and paired action-switch analysis versus the parent.</x:v>
      </x:c>
      <x:c r="M61" s="31" t="str">
        <x:v>Generated from PVLA-ST-TR-06</x:v>
      </x:c>
      <x:c r="N61" s="31" t="str">
        <x:v>Causal language-sensitivity diagnostic.</x:v>
      </x:c>
      <x:c r="O61" s="31" t="str">
        <x:v>Secondary pre-specified</x:v>
      </x:c>
    </x:row>
    <x:row r="62" ht="44" customHeight="1">
      <x:c r="A62" s="31" t="str">
        <x:v>PVLA-ST-ABL-CF-03</x:v>
      </x:c>
      <x:c r="B62" s="31" t="str">
        <x:v>Primary VLA</x:v>
      </x:c>
      <x:c r="C62" s="31" t="str">
        <x:v>State Recognition</x:v>
      </x:c>
      <x:c r="D62" s="31" t="str">
        <x:v>Language ablation — counterfactual</x:v>
      </x:c>
      <x:c r="E62" s="31" t="str">
        <x:v>Same scene, changed instruction</x:v>
      </x:c>
      <x:c r="F62" s="31" t="str">
        <x:v>PVLA-ST-TR-07</x:v>
      </x:c>
      <x:c r="G62" s="31" t="str">
        <x:v>S-CF13</x:v>
      </x:c>
      <x:c r="H62" s="31" t="str">
        <x:v>Place the open brown cup in the bowl.</x:v>
      </x:c>
      <x:c r="I62" s="31" t="str">
        <x:v>Place the open brown cup in the bowl.</x:v>
      </x:c>
      <x:c r="J62" s="31" t="str">
        <x:v>S-CF13-HELD: P1 brown cup A=C/UR [TARGET]; P2 brown cup B=O/UR [COMPETITOR]; P3 glass spice container A=C/UD; P4 white cup B=O/UD.</x:v>
      </x:c>
      <x:c r="K62" s="31" t="str">
        <x:v>brown cup B</x:v>
      </x:c>
      <x:c r="L62" s="31" t="str">
        <x:v>Binary success for the counterfactual instruction and paired action-switch analysis versus the parent.</x:v>
      </x:c>
      <x:c r="M62" s="31" t="str">
        <x:v>Generated from PVLA-ST-TR-07</x:v>
      </x:c>
      <x:c r="N62" s="31" t="str">
        <x:v>Causal language-sensitivity diagnostic.</x:v>
      </x:c>
      <x:c r="O62" s="31" t="str">
        <x:v>Secondary pre-specified</x:v>
      </x:c>
    </x:row>
    <x:row r="63" ht="44" customHeight="1">
      <x:c r="A63" s="31" t="str">
        <x:v>PVLA-ST-ABL-CF-04</x:v>
      </x:c>
      <x:c r="B63" s="31" t="str">
        <x:v>Primary VLA</x:v>
      </x:c>
      <x:c r="C63" s="31" t="str">
        <x:v>State Recognition</x:v>
      </x:c>
      <x:c r="D63" s="31" t="str">
        <x:v>Language ablation — counterfactual</x:v>
      </x:c>
      <x:c r="E63" s="31" t="str">
        <x:v>Same scene, changed instruction</x:v>
      </x:c>
      <x:c r="F63" s="31" t="str">
        <x:v>PVLA-ST-TR-08</x:v>
      </x:c>
      <x:c r="G63" s="31" t="str">
        <x:v>S-CF15</x:v>
      </x:c>
      <x:c r="H63" s="31" t="str">
        <x:v>Place the open yellow-white striped cup in the bowl.</x:v>
      </x:c>
      <x:c r="I63" s="31" t="str">
        <x:v>Place the open yellow-white striped cup in the bowl.</x:v>
      </x:c>
      <x:c r="J63" s="31" t="str">
        <x:v>S-CF15-HELD: P1 brown cup A=C/UR; P2 glass spice container A=O/UR; P3 yellow-white striped cup A=C/UD [TARGET]; P4 yellow-white striped cup B=O/UD [COMPETITOR].</x:v>
      </x:c>
      <x:c r="K63" s="31" t="str">
        <x:v>yellow-white striped cup B</x:v>
      </x:c>
      <x:c r="L63" s="31" t="str">
        <x:v>Binary success for the counterfactual instruction and paired action-switch analysis versus the parent.</x:v>
      </x:c>
      <x:c r="M63" s="31" t="str">
        <x:v>Generated from PVLA-ST-TR-08</x:v>
      </x:c>
      <x:c r="N63" s="31" t="str">
        <x:v>Causal language-sensitivity diagnostic.</x:v>
      </x:c>
      <x:c r="O63" s="31" t="str">
        <x:v>Secondary pre-specified</x:v>
      </x:c>
    </x:row>
    <x:row r="64" ht="44" customHeight="1">
      <x:c r="A64" s="31" t="str">
        <x:v>PVLA-RP-REC-01</x:v>
      </x:c>
      <x:c r="B64" s="31" t="str">
        <x:v>Primary VLA</x:v>
      </x:c>
      <x:c r="C64" s="31" t="str">
        <x:v>Relational Placement</x:v>
      </x:c>
      <x:c r="D64" s="31" t="str">
        <x:v>Training reconstruction</x:v>
      </x:c>
      <x:c r="E64" s="31" t="str">
        <x:v>Reconstruction</x:v>
      </x:c>
      <x:c r="F64" s="31" t="str"/>
      <x:c r="G64" s="31" t="str"/>
      <x:c r="H64" s="31" t="str">
        <x:v>Move the green pen to the front of the pink marker.</x:v>
      </x:c>
      <x:c r="I64" s="31" t="str">
        <x:v>Move the green pen to the front of the pink marker.</x:v>
      </x:c>
      <x:c r="J64" s="31" t="str">
        <x:v>Reconstruct planned final training episode 204: green pen, pink marker; start=Home. Match camera, calibration, bowl pose, and object geometry exactly.</x:v>
      </x:c>
      <x:c r="K64" s="31" t="str">
        <x:v>green pen</x:v>
      </x:c>
      <x:c r="L64" s="31" t="str">
        <x:v>Binary task success using the task-specific rubric.</x:v>
      </x:c>
      <x:c r="M64" s="31" t="str">
        <x:v>VLA_Reasoning_Dataset_Info_Planned_After_61_Recollections.xlsx — Concise Manifest episode 204</x:v>
      </x:c>
      <x:c r="N64" s="31" t="str">
        <x:v>Calibration / in-distribution competence.</x:v>
      </x:c>
      <x:c r="O64" s="31" t="str">
        <x:v>Secondary benchmark</x:v>
      </x:c>
    </x:row>
    <x:row r="65" ht="44" customHeight="1">
      <x:c r="A65" s="31" t="str">
        <x:v>PVLA-RP-REC-02</x:v>
      </x:c>
      <x:c r="B65" s="31" t="str">
        <x:v>Primary VLA</x:v>
      </x:c>
      <x:c r="C65" s="31" t="str">
        <x:v>Relational Placement</x:v>
      </x:c>
      <x:c r="D65" s="31" t="str">
        <x:v>Training reconstruction</x:v>
      </x:c>
      <x:c r="E65" s="31" t="str">
        <x:v>Reconstruction</x:v>
      </x:c>
      <x:c r="F65" s="31" t="str"/>
      <x:c r="G65" s="31" t="str"/>
      <x:c r="H65" s="31" t="str">
        <x:v>Put the green pen on the table in front of the pink marker.</x:v>
      </x:c>
      <x:c r="I65" s="31" t="str">
        <x:v>Put the green pen on the table in front of the pink marker.</x:v>
      </x:c>
      <x:c r="J65" s="31" t="str">
        <x:v>Reconstruct planned final training episode 206: green pen, red block, pink marker, blue block; start=Home. Match camera, calibration, bowl pose, and object geometry exactly.</x:v>
      </x:c>
      <x:c r="K65" s="31" t="str">
        <x:v>green pen</x:v>
      </x:c>
      <x:c r="L65" s="31" t="str">
        <x:v>Binary task success using the task-specific rubric.</x:v>
      </x:c>
      <x:c r="M65" s="31" t="str">
        <x:v>VLA_Reasoning_Dataset_Info_Planned_After_61_Recollections.xlsx — Concise Manifest episode 206</x:v>
      </x:c>
      <x:c r="N65" s="31" t="str">
        <x:v>Calibration / in-distribution competence.</x:v>
      </x:c>
      <x:c r="O65" s="31" t="str">
        <x:v>Secondary benchmark</x:v>
      </x:c>
    </x:row>
    <x:row r="66" ht="44" customHeight="1">
      <x:c r="A66" s="31" t="str">
        <x:v>PVLA-RP-REC-03</x:v>
      </x:c>
      <x:c r="B66" s="31" t="str">
        <x:v>Primary VLA</x:v>
      </x:c>
      <x:c r="C66" s="31" t="str">
        <x:v>Relational Placement</x:v>
      </x:c>
      <x:c r="D66" s="31" t="str">
        <x:v>Training reconstruction</x:v>
      </x:c>
      <x:c r="E66" s="31" t="str">
        <x:v>Reconstruction</x:v>
      </x:c>
      <x:c r="F66" s="31" t="str"/>
      <x:c r="G66" s="31" t="str"/>
      <x:c r="H66" s="31" t="str">
        <x:v>Place the green pen behind the pink marker.</x:v>
      </x:c>
      <x:c r="I66" s="31" t="str">
        <x:v>Place the green pen behind the pink marker.</x:v>
      </x:c>
      <x:c r="J66" s="31" t="str">
        <x:v>Reconstruct planned final training episode 218: green pen, pink marker, red block; start=Home. Match camera, calibration, bowl pose, and object geometry exactly.</x:v>
      </x:c>
      <x:c r="K66" s="31" t="str">
        <x:v>green pen</x:v>
      </x:c>
      <x:c r="L66" s="31" t="str">
        <x:v>Binary task success using the task-specific rubric.</x:v>
      </x:c>
      <x:c r="M66" s="31" t="str">
        <x:v>VLA_Reasoning_Dataset_Info_Planned_After_61_Recollections.xlsx — Concise Manifest episode 218</x:v>
      </x:c>
      <x:c r="N66" s="31" t="str">
        <x:v>Calibration / in-distribution competence.</x:v>
      </x:c>
      <x:c r="O66" s="31" t="str">
        <x:v>Secondary benchmark</x:v>
      </x:c>
    </x:row>
    <x:row r="67" ht="44" customHeight="1">
      <x:c r="A67" s="31" t="str">
        <x:v>PVLA-RP-REC-04</x:v>
      </x:c>
      <x:c r="B67" s="31" t="str">
        <x:v>Primary VLA</x:v>
      </x:c>
      <x:c r="C67" s="31" t="str">
        <x:v>Relational Placement</x:v>
      </x:c>
      <x:c r="D67" s="31" t="str">
        <x:v>Training reconstruction</x:v>
      </x:c>
      <x:c r="E67" s="31" t="str">
        <x:v>Reconstruction</x:v>
      </x:c>
      <x:c r="F67" s="31" t="str"/>
      <x:c r="G67" s="31" t="str"/>
      <x:c r="H67" s="31" t="str">
        <x:v>Place the green pen behind the pink marker.</x:v>
      </x:c>
      <x:c r="I67" s="31" t="str">
        <x:v>Place the green pen behind the pink marker.</x:v>
      </x:c>
      <x:c r="J67" s="31" t="str">
        <x:v>Reconstruct planned final training episode 219: green pen, red block, pink marker, blue block; start=Home. Match camera, calibration, bowl pose, and object geometry exactly.</x:v>
      </x:c>
      <x:c r="K67" s="31" t="str">
        <x:v>green pen</x:v>
      </x:c>
      <x:c r="L67" s="31" t="str">
        <x:v>Binary task success using the task-specific rubric.</x:v>
      </x:c>
      <x:c r="M67" s="31" t="str">
        <x:v>VLA_Reasoning_Dataset_Info_Planned_After_61_Recollections.xlsx — Concise Manifest episode 219</x:v>
      </x:c>
      <x:c r="N67" s="31" t="str">
        <x:v>Calibration / in-distribution competence.</x:v>
      </x:c>
      <x:c r="O67" s="31" t="str">
        <x:v>Secondary benchmark</x:v>
      </x:c>
    </x:row>
    <x:row r="68" ht="44" customHeight="1">
      <x:c r="A68" s="31" t="str">
        <x:v>PVLA-RP-REC-05</x:v>
      </x:c>
      <x:c r="B68" s="31" t="str">
        <x:v>Primary VLA</x:v>
      </x:c>
      <x:c r="C68" s="31" t="str">
        <x:v>Relational Placement</x:v>
      </x:c>
      <x:c r="D68" s="31" t="str">
        <x:v>Training reconstruction</x:v>
      </x:c>
      <x:c r="E68" s="31" t="str">
        <x:v>Reconstruction</x:v>
      </x:c>
      <x:c r="F68" s="31" t="str"/>
      <x:c r="G68" s="31" t="str"/>
      <x:c r="H68" s="31" t="str">
        <x:v>Place the green pen to the left of the pink marker.</x:v>
      </x:c>
      <x:c r="I68" s="31" t="str">
        <x:v>Place the green pen to the left of the pink marker.</x:v>
      </x:c>
      <x:c r="J68" s="31" t="str">
        <x:v>Reconstruct planned final training episode 230: green pen, pink marker, red block; start=Home. Match camera, calibration, bowl pose, and object geometry exactly.</x:v>
      </x:c>
      <x:c r="K68" s="31" t="str">
        <x:v>green pen</x:v>
      </x:c>
      <x:c r="L68" s="31" t="str">
        <x:v>Binary task success using the task-specific rubric.</x:v>
      </x:c>
      <x:c r="M68" s="31" t="str">
        <x:v>VLA_Reasoning_Dataset_Info_Planned_After_61_Recollections.xlsx — Concise Manifest episode 230</x:v>
      </x:c>
      <x:c r="N68" s="31" t="str">
        <x:v>Calibration / in-distribution competence.</x:v>
      </x:c>
      <x:c r="O68" s="31" t="str">
        <x:v>Secondary benchmark</x:v>
      </x:c>
    </x:row>
    <x:row r="69" ht="44" customHeight="1">
      <x:c r="A69" s="31" t="str">
        <x:v>PVLA-RP-REC-06</x:v>
      </x:c>
      <x:c r="B69" s="31" t="str">
        <x:v>Primary VLA</x:v>
      </x:c>
      <x:c r="C69" s="31" t="str">
        <x:v>Relational Placement</x:v>
      </x:c>
      <x:c r="D69" s="31" t="str">
        <x:v>Training reconstruction</x:v>
      </x:c>
      <x:c r="E69" s="31" t="str">
        <x:v>Reconstruction</x:v>
      </x:c>
      <x:c r="F69" s="31" t="str"/>
      <x:c r="G69" s="31" t="str"/>
      <x:c r="H69" s="31" t="str">
        <x:v>Place the green pen to the right of the pink marker.</x:v>
      </x:c>
      <x:c r="I69" s="31" t="str">
        <x:v>Place the green pen to the right of the pink marker.</x:v>
      </x:c>
      <x:c r="J69" s="31" t="str">
        <x:v>Reconstruct planned final training episode 243: green pen, pink marker, red block; start=Home. Match camera, calibration, bowl pose, and object geometry exactly.</x:v>
      </x:c>
      <x:c r="K69" s="31" t="str">
        <x:v>green pen</x:v>
      </x:c>
      <x:c r="L69" s="31" t="str">
        <x:v>Binary task success using the task-specific rubric.</x:v>
      </x:c>
      <x:c r="M69" s="31" t="str">
        <x:v>VLA_Reasoning_Dataset_Info_Planned_After_61_Recollections.xlsx — Concise Manifest episode 243</x:v>
      </x:c>
      <x:c r="N69" s="31" t="str">
        <x:v>Calibration / in-distribution competence.</x:v>
      </x:c>
      <x:c r="O69" s="31" t="str">
        <x:v>Secondary benchmark</x:v>
      </x:c>
    </x:row>
    <x:row r="70" ht="44" customHeight="1">
      <x:c r="A70" s="31" t="str">
        <x:v>PVLA-RP-NOV-01</x:v>
      </x:c>
      <x:c r="B70" s="31" t="str">
        <x:v>Primary VLA</x:v>
      </x:c>
      <x:c r="C70" s="31" t="str">
        <x:v>Relational Placement</x:v>
      </x:c>
      <x:c r="D70" s="31" t="str">
        <x:v>Novel layout + seen language</x:v>
      </x:c>
      <x:c r="E70" s="31" t="str">
        <x:v>Visual generalization</x:v>
      </x:c>
      <x:c r="F70" s="31" t="str"/>
      <x:c r="G70" s="31" t="str"/>
      <x:c r="H70" s="31" t="str">
        <x:v>Place the blue block in front of the green pen.</x:v>
      </x:c>
      <x:c r="I70" s="31" t="str">
        <x:v>Place the blue block in front of the green pen.</x:v>
      </x:c>
      <x:c r="J70" s="31" t="str">
        <x:v>R-S01: green pen at center [REFERENCE]; blue block starts 24 cm behind the reference [TARGET START]; remaining objects are distractors with ≥12 cm clearance from the target path and commanded goal sector.</x:v>
      </x:c>
      <x:c r="K70" s="31" t="str">
        <x:v>blue block</x:v>
      </x:c>
      <x:c r="L70" s="31" t="str">
        <x:v>Binary task success using the task-specific rubric.</x:v>
      </x:c>
      <x:c r="M70" s="31" t="str">
        <x:v>VLA_Evaluation_Checklist_660_Final_Updated.xlsx — evaluation episode 230</x:v>
      </x:c>
      <x:c r="N70" s="31" t="str">
        <x:v>Seen-language visual generalization.</x:v>
      </x:c>
      <x:c r="O70" s="31" t="str">
        <x:v>Secondary benchmark</x:v>
      </x:c>
    </x:row>
    <x:row r="71" ht="44" customHeight="1">
      <x:c r="A71" s="31" t="str">
        <x:v>PVLA-RP-NOV-02</x:v>
      </x:c>
      <x:c r="B71" s="31" t="str">
        <x:v>Primary VLA</x:v>
      </x:c>
      <x:c r="C71" s="31" t="str">
        <x:v>Relational Placement</x:v>
      </x:c>
      <x:c r="D71" s="31" t="str">
        <x:v>Novel layout + seen language</x:v>
      </x:c>
      <x:c r="E71" s="31" t="str">
        <x:v>Visual generalization</x:v>
      </x:c>
      <x:c r="F71" s="31" t="str"/>
      <x:c r="G71" s="31" t="str"/>
      <x:c r="H71" s="31" t="str">
        <x:v>Place the green pen to the right of the pink marker.</x:v>
      </x:c>
      <x:c r="I71" s="31" t="str">
        <x:v>Place the green pen to the right of the pink marker.</x:v>
      </x:c>
      <x:c r="J71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K71" s="31" t="str">
        <x:v>green pen</x:v>
      </x:c>
      <x:c r="L71" s="31" t="str">
        <x:v>Binary task success using the task-specific rubric.</x:v>
      </x:c>
      <x:c r="M71" s="31" t="str">
        <x:v>VLA_Evaluation_Checklist_660_Final_Updated.xlsx — evaluation episode 233</x:v>
      </x:c>
      <x:c r="N71" s="31" t="str">
        <x:v>Seen-language visual generalization.</x:v>
      </x:c>
      <x:c r="O71" s="31" t="str">
        <x:v>Secondary benchmark</x:v>
      </x:c>
    </x:row>
    <x:row r="72" ht="44" customHeight="1">
      <x:c r="A72" s="31" t="str">
        <x:v>PVLA-RP-NOV-03</x:v>
      </x:c>
      <x:c r="B72" s="31" t="str">
        <x:v>Primary VLA</x:v>
      </x:c>
      <x:c r="C72" s="31" t="str">
        <x:v>Relational Placement</x:v>
      </x:c>
      <x:c r="D72" s="31" t="str">
        <x:v>Novel layout + seen language</x:v>
      </x:c>
      <x:c r="E72" s="31" t="str">
        <x:v>Visual generalization</x:v>
      </x:c>
      <x:c r="F72" s="31" t="str"/>
      <x:c r="G72" s="31" t="str"/>
      <x:c r="H72" s="31" t="str">
        <x:v>Place the blue block behind the green pen.</x:v>
      </x:c>
      <x:c r="I72" s="31" t="str">
        <x:v>Place the blue block behind the green pen.</x:v>
      </x:c>
      <x:c r="J72" s="31" t="str">
        <x:v>R-S06: green pen at back-left [REFERENCE]; blue block starts 21 cm in front of the reference [TARGET START]; remaining objects are distractors with ≥12 cm clearance from the target path and commanded goal sector.</x:v>
      </x:c>
      <x:c r="K72" s="31" t="str">
        <x:v>blue block</x:v>
      </x:c>
      <x:c r="L72" s="31" t="str">
        <x:v>Binary task success using the task-specific rubric.</x:v>
      </x:c>
      <x:c r="M72" s="31" t="str">
        <x:v>VLA_Evaluation_Checklist_660_Final_Updated.xlsx — evaluation episode 235</x:v>
      </x:c>
      <x:c r="N72" s="31" t="str">
        <x:v>Seen-language visual generalization.</x:v>
      </x:c>
      <x:c r="O72" s="31" t="str">
        <x:v>Secondary benchmark</x:v>
      </x:c>
    </x:row>
    <x:row r="73" ht="44" customHeight="1">
      <x:c r="A73" s="31" t="str">
        <x:v>PVLA-RP-NOV-04</x:v>
      </x:c>
      <x:c r="B73" s="31" t="str">
        <x:v>Primary VLA</x:v>
      </x:c>
      <x:c r="C73" s="31" t="str">
        <x:v>Relational Placement</x:v>
      </x:c>
      <x:c r="D73" s="31" t="str">
        <x:v>Novel layout + seen language</x:v>
      </x:c>
      <x:c r="E73" s="31" t="str">
        <x:v>Visual generalization</x:v>
      </x:c>
      <x:c r="F73" s="31" t="str"/>
      <x:c r="G73" s="31" t="str"/>
      <x:c r="H73" s="31" t="str">
        <x:v>Place the green pen in front of the pink marker.</x:v>
      </x:c>
      <x:c r="I73" s="31" t="str">
        <x:v>Place the green pen in front of the pink marker.</x:v>
      </x:c>
      <x:c r="J73" s="31" t="str">
        <x:v>R-S09: pink marker at center [REFERENCE]; green pen starts 21 cm behind the reference [TARGET START]; remaining objects are distractors with ≥12 cm clearance from the target path and commanded goal sector.</x:v>
      </x:c>
      <x:c r="K73" s="31" t="str">
        <x:v>green pen</x:v>
      </x:c>
      <x:c r="L73" s="31" t="str">
        <x:v>Binary task success using the task-specific rubric.</x:v>
      </x:c>
      <x:c r="M73" s="31" t="str">
        <x:v>VLA_Evaluation_Checklist_660_Final_Updated.xlsx — evaluation episode 238</x:v>
      </x:c>
      <x:c r="N73" s="31" t="str">
        <x:v>Seen-language visual generalization.</x:v>
      </x:c>
      <x:c r="O73" s="31" t="str">
        <x:v>Secondary benchmark</x:v>
      </x:c>
    </x:row>
    <x:row r="74" ht="44" customHeight="1">
      <x:c r="A74" s="31" t="str">
        <x:v>PVLA-RP-NOV-05</x:v>
      </x:c>
      <x:c r="B74" s="31" t="str">
        <x:v>Primary VLA</x:v>
      </x:c>
      <x:c r="C74" s="31" t="str">
        <x:v>Relational Placement</x:v>
      </x:c>
      <x:c r="D74" s="31" t="str">
        <x:v>Novel layout + seen language</x:v>
      </x:c>
      <x:c r="E74" s="31" t="str">
        <x:v>Visual generalization</x:v>
      </x:c>
      <x:c r="F74" s="31" t="str"/>
      <x:c r="G74" s="31" t="str"/>
      <x:c r="H74" s="31" t="str">
        <x:v>Place the pink marker to the right of the blue block.</x:v>
      </x:c>
      <x:c r="I74" s="31" t="str">
        <x:v>Place the pink marker to the right of the blue block.</x:v>
      </x:c>
      <x:c r="J74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K74" s="31" t="str">
        <x:v>pink marker</x:v>
      </x:c>
      <x:c r="L74" s="31" t="str">
        <x:v>Binary task success using the task-specific rubric.</x:v>
      </x:c>
      <x:c r="M74" s="31" t="str">
        <x:v>VLA_Evaluation_Checklist_660_Final_Updated.xlsx — evaluation episode 241</x:v>
      </x:c>
      <x:c r="N74" s="31" t="str">
        <x:v>Seen-language visual generalization.</x:v>
      </x:c>
      <x:c r="O74" s="31" t="str">
        <x:v>Secondary benchmark</x:v>
      </x:c>
    </x:row>
    <x:row r="75" ht="44" customHeight="1">
      <x:c r="A75" s="31" t="str">
        <x:v>PVLA-RP-NOV-06</x:v>
      </x:c>
      <x:c r="B75" s="31" t="str">
        <x:v>Primary VLA</x:v>
      </x:c>
      <x:c r="C75" s="31" t="str">
        <x:v>Relational Placement</x:v>
      </x:c>
      <x:c r="D75" s="31" t="str">
        <x:v>Novel layout + seen language</x:v>
      </x:c>
      <x:c r="E75" s="31" t="str">
        <x:v>Visual generalization</x:v>
      </x:c>
      <x:c r="F75" s="31" t="str"/>
      <x:c r="G75" s="31" t="str"/>
      <x:c r="H75" s="31" t="str">
        <x:v>Place the red block to the left of the blue block.</x:v>
      </x:c>
      <x:c r="I75" s="31" t="str">
        <x:v>Place the red block to the left of the blue block.</x:v>
      </x:c>
      <x:c r="J75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K75" s="31" t="str">
        <x:v>red block</x:v>
      </x:c>
      <x:c r="L75" s="31" t="str">
        <x:v>Binary task success using the task-specific rubric.</x:v>
      </x:c>
      <x:c r="M75" s="31" t="str">
        <x:v>VLA_Evaluation_Checklist_660_Final_Updated.xlsx — evaluation episode 244</x:v>
      </x:c>
      <x:c r="N75" s="31" t="str">
        <x:v>Seen-language visual generalization.</x:v>
      </x:c>
      <x:c r="O75" s="31" t="str">
        <x:v>Secondary benchmark</x:v>
      </x:c>
    </x:row>
    <x:row r="76" ht="44" customHeight="1">
      <x:c r="A76" s="31" t="str">
        <x:v>PVLA-RP-NOV-07</x:v>
      </x:c>
      <x:c r="B76" s="31" t="str">
        <x:v>Primary VLA</x:v>
      </x:c>
      <x:c r="C76" s="31" t="str">
        <x:v>Relational Placement</x:v>
      </x:c>
      <x:c r="D76" s="31" t="str">
        <x:v>Novel layout + seen language</x:v>
      </x:c>
      <x:c r="E76" s="31" t="str">
        <x:v>Visual generalization</x:v>
      </x:c>
      <x:c r="F76" s="31" t="str"/>
      <x:c r="G76" s="31" t="str"/>
      <x:c r="H76" s="31" t="str">
        <x:v>Place the pink marker in front of the blue block.</x:v>
      </x:c>
      <x:c r="I76" s="31" t="str">
        <x:v>Place the pink marker in front of the blue block.</x:v>
      </x:c>
      <x:c r="J76" s="31" t="str">
        <x:v>R-S17: blue block at center [REFERENCE]; pink marker starts 18 cm behind the reference [TARGET START]; remaining objects are distractors with ≥12 cm clearance from the target path and commanded goal sector.</x:v>
      </x:c>
      <x:c r="K76" s="31" t="str">
        <x:v>pink marker</x:v>
      </x:c>
      <x:c r="L76" s="31" t="str">
        <x:v>Binary task success using the task-specific rubric.</x:v>
      </x:c>
      <x:c r="M76" s="31" t="str">
        <x:v>VLA_Evaluation_Checklist_660_Final_Updated.xlsx — evaluation episode 246</x:v>
      </x:c>
      <x:c r="N76" s="31" t="str">
        <x:v>Seen-language visual generalization.</x:v>
      </x:c>
      <x:c r="O76" s="31" t="str">
        <x:v>Secondary benchmark</x:v>
      </x:c>
    </x:row>
    <x:row r="77" ht="44" customHeight="1">
      <x:c r="A77" s="31" t="str">
        <x:v>PVLA-RP-NOV-08</x:v>
      </x:c>
      <x:c r="B77" s="31" t="str">
        <x:v>Primary VLA</x:v>
      </x:c>
      <x:c r="C77" s="31" t="str">
        <x:v>Relational Placement</x:v>
      </x:c>
      <x:c r="D77" s="31" t="str">
        <x:v>Novel layout + seen language</x:v>
      </x:c>
      <x:c r="E77" s="31" t="str">
        <x:v>Visual generalization</x:v>
      </x:c>
      <x:c r="F77" s="31" t="str"/>
      <x:c r="G77" s="31" t="str"/>
      <x:c r="H77" s="31" t="str">
        <x:v>Place the red block to the right of the blue block.</x:v>
      </x:c>
      <x:c r="I77" s="31" t="str">
        <x:v>Place the red block to the right of the blue block.</x:v>
      </x:c>
      <x:c r="J77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K77" s="31" t="str">
        <x:v>red block</x:v>
      </x:c>
      <x:c r="L77" s="31" t="str">
        <x:v>Binary task success using the task-specific rubric.</x:v>
      </x:c>
      <x:c r="M77" s="31" t="str">
        <x:v>VLA_Evaluation_Checklist_660_Final_Updated.xlsx — evaluation episode 249</x:v>
      </x:c>
      <x:c r="N77" s="31" t="str">
        <x:v>Seen-language visual generalization.</x:v>
      </x:c>
      <x:c r="O77" s="31" t="str">
        <x:v>Secondary benchmark</x:v>
      </x:c>
    </x:row>
    <x:row r="78" ht="44" customHeight="1">
      <x:c r="A78" s="31" t="str">
        <x:v>PVLA-RP-PAR-01</x:v>
      </x:c>
      <x:c r="B78" s="31" t="str">
        <x:v>Primary VLA</x:v>
      </x:c>
      <x:c r="C78" s="31" t="str">
        <x:v>Relational Placement</x:v>
      </x:c>
      <x:c r="D78" s="31" t="str">
        <x:v>Exact-scene paraphrase</x:v>
      </x:c>
      <x:c r="E78" s="31" t="str">
        <x:v>Language robustness</x:v>
      </x:c>
      <x:c r="F78" s="31" t="str"/>
      <x:c r="G78" s="31" t="str"/>
      <x:c r="H78" s="31" t="str">
        <x:v>Move the red block to the side of the pink marker facing the robot.</x:v>
      </x:c>
      <x:c r="I78" s="31" t="str">
        <x:v>Move the red block to the side of the pink marker facing the robot.</x:v>
      </x:c>
      <x:c r="J78" s="31" t="str">
        <x:v>R-P01: pink marker at center [REFERENCE]; red block starts 21 cm behind the reference [TARGET START]; remaining objects are distractors with ≥12 cm clearance from the target path and commanded goal sector.</x:v>
      </x:c>
      <x:c r="K78" s="31" t="str">
        <x:v>red block</x:v>
      </x:c>
      <x:c r="L78" s="31" t="str">
        <x:v>Binary task success; compare with the seen-language row sharing Pair ID.</x:v>
      </x:c>
      <x:c r="M78" s="31" t="str">
        <x:v>VLA_Evaluation_Checklist_660_Final_Updated.xlsx — evaluation episode 250</x:v>
      </x:c>
      <x:c r="N78" s="31" t="str">
        <x:v>Exact-scene paraphrase robustness.</x:v>
      </x:c>
      <x:c r="O78" s="31" t="str">
        <x:v>Secondary benchmark</x:v>
      </x:c>
    </x:row>
    <x:row r="79" ht="44" customHeight="1">
      <x:c r="A79" s="31" t="str">
        <x:v>PVLA-RP-PAR-02</x:v>
      </x:c>
      <x:c r="B79" s="31" t="str">
        <x:v>Primary VLA</x:v>
      </x:c>
      <x:c r="C79" s="31" t="str">
        <x:v>Relational Placement</x:v>
      </x:c>
      <x:c r="D79" s="31" t="str">
        <x:v>Exact-scene paraphrase</x:v>
      </x:c>
      <x:c r="E79" s="31" t="str">
        <x:v>Language robustness</x:v>
      </x:c>
      <x:c r="F79" s="31" t="str"/>
      <x:c r="G79" s="31" t="str"/>
      <x:c r="H79" s="31" t="str">
        <x:v>Move the red block to the side of the pink marker facing the robot.</x:v>
      </x:c>
      <x:c r="I79" s="31" t="str">
        <x:v>Move the red block to the side of the pink marker facing the robot.</x:v>
      </x:c>
      <x:c r="J79" s="31" t="str">
        <x:v>R-P01: pink marker at center [REFERENCE]; red block starts 21 cm behind the reference [TARGET START]; remaining objects are distractors with ≥12 cm clearance from the target path and commanded goal sector.</x:v>
      </x:c>
      <x:c r="K79" s="31" t="str">
        <x:v>red block</x:v>
      </x:c>
      <x:c r="L79" s="31" t="str">
        <x:v>Binary task success; compare with the seen-language row sharing Pair ID.</x:v>
      </x:c>
      <x:c r="M79" s="31" t="str">
        <x:v>VLA_Evaluation_Checklist_660_Final_Updated.xlsx — evaluation episode 250</x:v>
      </x:c>
      <x:c r="N79" s="31" t="str">
        <x:v>Exact-scene paraphrase robustness.</x:v>
      </x:c>
      <x:c r="O79" s="31" t="str">
        <x:v>Secondary benchmark</x:v>
      </x:c>
    </x:row>
    <x:row r="80" ht="44" customHeight="1">
      <x:c r="A80" s="31" t="str">
        <x:v>PVLA-RP-PAR-03</x:v>
      </x:c>
      <x:c r="B80" s="31" t="str">
        <x:v>Primary VLA</x:v>
      </x:c>
      <x:c r="C80" s="31" t="str">
        <x:v>Relational Placement</x:v>
      </x:c>
      <x:c r="D80" s="31" t="str">
        <x:v>Exact-scene paraphrase</x:v>
      </x:c>
      <x:c r="E80" s="31" t="str">
        <x:v>Language robustness</x:v>
      </x:c>
      <x:c r="F80" s="31" t="str"/>
      <x:c r="G80" s="31" t="str"/>
      <x:c r="H80" s="31" t="str">
        <x:v>Move the red block to the side of the pink marker facing the robot.</x:v>
      </x:c>
      <x:c r="I80" s="31" t="str">
        <x:v>Move the red block to the side of the pink marker facing the robot.</x:v>
      </x:c>
      <x:c r="J80" s="31" t="str">
        <x:v>R-P01: pink marker at center [REFERENCE]; red block starts 21 cm behind the reference [TARGET START]; remaining objects are distractors with ≥12 cm clearance from the target path and commanded goal sector.</x:v>
      </x:c>
      <x:c r="K80" s="31" t="str">
        <x:v>red block</x:v>
      </x:c>
      <x:c r="L80" s="31" t="str">
        <x:v>Binary task success; compare with the seen-language row sharing Pair ID.</x:v>
      </x:c>
      <x:c r="M80" s="31" t="str">
        <x:v>VLA_Evaluation_Checklist_660_Final_Updated.xlsx — evaluation episode 250</x:v>
      </x:c>
      <x:c r="N80" s="31" t="str">
        <x:v>Exact-scene paraphrase robustness.</x:v>
      </x:c>
      <x:c r="O80" s="31" t="str">
        <x:v>Secondary benchmark</x:v>
      </x:c>
    </x:row>
    <x:row r="81" ht="44" customHeight="1">
      <x:c r="A81" s="31" t="str">
        <x:v>PVLA-RP-PAR-04</x:v>
      </x:c>
      <x:c r="B81" s="31" t="str">
        <x:v>Primary VLA</x:v>
      </x:c>
      <x:c r="C81" s="31" t="str">
        <x:v>Relational Placement</x:v>
      </x:c>
      <x:c r="D81" s="31" t="str">
        <x:v>Exact-scene paraphrase</x:v>
      </x:c>
      <x:c r="E81" s="31" t="str">
        <x:v>Language robustness</x:v>
      </x:c>
      <x:c r="F81" s="31" t="str"/>
      <x:c r="G81" s="31" t="str"/>
      <x:c r="H81" s="31" t="str">
        <x:v>Move the red block to the side of the pink marker facing the robot.</x:v>
      </x:c>
      <x:c r="I81" s="31" t="str">
        <x:v>Move the red block to the side of the pink marker facing the robot.</x:v>
      </x:c>
      <x:c r="J81" s="31" t="str">
        <x:v>R-P01: pink marker at center [REFERENCE]; red block starts 21 cm behind the reference [TARGET START]; remaining objects are distractors with ≥12 cm clearance from the target path and commanded goal sector.</x:v>
      </x:c>
      <x:c r="K81" s="31" t="str">
        <x:v>red block</x:v>
      </x:c>
      <x:c r="L81" s="31" t="str">
        <x:v>Binary task success; compare with the seen-language row sharing Pair ID.</x:v>
      </x:c>
      <x:c r="M81" s="31" t="str">
        <x:v>VLA_Evaluation_Checklist_660_Final_Updated.xlsx — evaluation episode 250</x:v>
      </x:c>
      <x:c r="N81" s="31" t="str">
        <x:v>Exact-scene paraphrase robustness.</x:v>
      </x:c>
      <x:c r="O81" s="31" t="str">
        <x:v>Secondary benchmark</x:v>
      </x:c>
    </x:row>
    <x:row r="82" ht="44" customHeight="1">
      <x:c r="A82" s="31" t="str">
        <x:v>PVLA-RP-PAR-05</x:v>
      </x:c>
      <x:c r="B82" s="31" t="str">
        <x:v>Primary VLA</x:v>
      </x:c>
      <x:c r="C82" s="31" t="str">
        <x:v>Relational Placement</x:v>
      </x:c>
      <x:c r="D82" s="31" t="str">
        <x:v>Exact-scene paraphrase</x:v>
      </x:c>
      <x:c r="E82" s="31" t="str">
        <x:v>Language robustness</x:v>
      </x:c>
      <x:c r="F82" s="31" t="str"/>
      <x:c r="G82" s="31" t="str"/>
      <x:c r="H82" s="31" t="str">
        <x:v>Move the red block to the side of the pink marker facing the robot.</x:v>
      </x:c>
      <x:c r="I82" s="31" t="str">
        <x:v>Move the red block to the side of the pink marker facing the robot.</x:v>
      </x:c>
      <x:c r="J82" s="31" t="str">
        <x:v>R-P01: pink marker at center [REFERENCE]; red block starts 21 cm behind the reference [TARGET START]; remaining objects are distractors with ≥12 cm clearance from the target path and commanded goal sector.</x:v>
      </x:c>
      <x:c r="K82" s="31" t="str">
        <x:v>red block</x:v>
      </x:c>
      <x:c r="L82" s="31" t="str">
        <x:v>Binary task success; compare with the seen-language row sharing Pair ID.</x:v>
      </x:c>
      <x:c r="M82" s="31" t="str">
        <x:v>VLA_Evaluation_Checklist_660_Final_Updated.xlsx — evaluation episode 250</x:v>
      </x:c>
      <x:c r="N82" s="31" t="str">
        <x:v>Exact-scene paraphrase robustness.</x:v>
      </x:c>
      <x:c r="O82" s="31" t="str">
        <x:v>Secondary benchmark</x:v>
      </x:c>
    </x:row>
    <x:row r="83" ht="44" customHeight="1">
      <x:c r="A83" s="31" t="str">
        <x:v>PVLA-RP-PAR-06</x:v>
      </x:c>
      <x:c r="B83" s="31" t="str">
        <x:v>Primary VLA</x:v>
      </x:c>
      <x:c r="C83" s="31" t="str">
        <x:v>Relational Placement</x:v>
      </x:c>
      <x:c r="D83" s="31" t="str">
        <x:v>Exact-scene paraphrase</x:v>
      </x:c>
      <x:c r="E83" s="31" t="str">
        <x:v>Language robustness</x:v>
      </x:c>
      <x:c r="F83" s="31" t="str"/>
      <x:c r="G83" s="31" t="str"/>
      <x:c r="H83" s="31" t="str">
        <x:v>Move the red block to the side of the pink marker facing the robot.</x:v>
      </x:c>
      <x:c r="I83" s="31" t="str">
        <x:v>Move the red block to the side of the pink marker facing the robot.</x:v>
      </x:c>
      <x:c r="J83" s="31" t="str">
        <x:v>R-P01: pink marker at center [REFERENCE]; red block starts 21 cm behind the reference [TARGET START]; remaining objects are distractors with ≥12 cm clearance from the target path and commanded goal sector.</x:v>
      </x:c>
      <x:c r="K83" s="31" t="str">
        <x:v>red block</x:v>
      </x:c>
      <x:c r="L83" s="31" t="str">
        <x:v>Binary task success; compare with the seen-language row sharing Pair ID.</x:v>
      </x:c>
      <x:c r="M83" s="31" t="str">
        <x:v>VLA_Evaluation_Checklist_660_Final_Updated.xlsx — evaluation episode 250</x:v>
      </x:c>
      <x:c r="N83" s="31" t="str">
        <x:v>Exact-scene paraphrase robustness.</x:v>
      </x:c>
      <x:c r="O83" s="31" t="str">
        <x:v>Secondary benchmark</x:v>
      </x:c>
    </x:row>
    <x:row r="84" ht="44" customHeight="1">
      <x:c r="A84" s="31" t="str">
        <x:v>PVLA-RP-PAR-07</x:v>
      </x:c>
      <x:c r="B84" s="31" t="str">
        <x:v>Primary VLA</x:v>
      </x:c>
      <x:c r="C84" s="31" t="str">
        <x:v>Relational Placement</x:v>
      </x:c>
      <x:c r="D84" s="31" t="str">
        <x:v>Exact-scene paraphrase</x:v>
      </x:c>
      <x:c r="E84" s="31" t="str">
        <x:v>Language robustness</x:v>
      </x:c>
      <x:c r="F84" s="31" t="str"/>
      <x:c r="G84" s="31" t="str"/>
      <x:c r="H84" s="31" t="str">
        <x:v>Move the red block to the side of the pink marker facing the robot.</x:v>
      </x:c>
      <x:c r="I84" s="31" t="str">
        <x:v>Move the red block to the side of the pink marker facing the robot.</x:v>
      </x:c>
      <x:c r="J84" s="31" t="str">
        <x:v>R-P01: pink marker at center [REFERENCE]; red block starts 21 cm behind the reference [TARGET START]; remaining objects are distractors with ≥12 cm clearance from the target path and commanded goal sector.</x:v>
      </x:c>
      <x:c r="K84" s="31" t="str">
        <x:v>red block</x:v>
      </x:c>
      <x:c r="L84" s="31" t="str">
        <x:v>Binary task success; compare with the seen-language row sharing Pair ID.</x:v>
      </x:c>
      <x:c r="M84" s="31" t="str">
        <x:v>VLA_Evaluation_Checklist_660_Final_Updated.xlsx — evaluation episode 250</x:v>
      </x:c>
      <x:c r="N84" s="31" t="str">
        <x:v>Exact-scene paraphrase robustness.</x:v>
      </x:c>
      <x:c r="O84" s="31" t="str">
        <x:v>Secondary benchmark</x:v>
      </x:c>
    </x:row>
    <x:row r="85" ht="44" customHeight="1">
      <x:c r="A85" s="31" t="str">
        <x:v>PVLA-RP-PAR-08</x:v>
      </x:c>
      <x:c r="B85" s="31" t="str">
        <x:v>Primary VLA</x:v>
      </x:c>
      <x:c r="C85" s="31" t="str">
        <x:v>Relational Placement</x:v>
      </x:c>
      <x:c r="D85" s="31" t="str">
        <x:v>Exact-scene paraphrase</x:v>
      </x:c>
      <x:c r="E85" s="31" t="str">
        <x:v>Language robustness</x:v>
      </x:c>
      <x:c r="F85" s="31" t="str"/>
      <x:c r="G85" s="31" t="str"/>
      <x:c r="H85" s="31" t="str">
        <x:v>Move the red block to the side of the pink marker facing the robot.</x:v>
      </x:c>
      <x:c r="I85" s="31" t="str">
        <x:v>Move the red block to the side of the pink marker facing the robot.</x:v>
      </x:c>
      <x:c r="J85" s="31" t="str">
        <x:v>R-P01: pink marker at center [REFERENCE]; red block starts 21 cm behind the reference [TARGET START]; remaining objects are distractors with ≥12 cm clearance from the target path and commanded goal sector.</x:v>
      </x:c>
      <x:c r="K85" s="31" t="str">
        <x:v>red block</x:v>
      </x:c>
      <x:c r="L85" s="31" t="str">
        <x:v>Binary task success; compare with the seen-language row sharing Pair ID.</x:v>
      </x:c>
      <x:c r="M85" s="31" t="str">
        <x:v>VLA_Evaluation_Checklist_660_Final_Updated.xlsx — evaluation episode 250</x:v>
      </x:c>
      <x:c r="N85" s="31" t="str">
        <x:v>Exact-scene paraphrase robustness.</x:v>
      </x:c>
      <x:c r="O85" s="31" t="str">
        <x:v>Secondary benchmark</x:v>
      </x:c>
    </x:row>
    <x:row r="86" ht="44" customHeight="1">
      <x:c r="A86" s="31" t="str">
        <x:v>PVLA-RP-TR-01</x:v>
      </x:c>
      <x:c r="B86" s="31" t="str">
        <x:v>Primary VLA</x:v>
      </x:c>
      <x:c r="C86" s="31" t="str">
        <x:v>Relational Placement</x:v>
      </x:c>
      <x:c r="D86" s="31" t="str">
        <x:v>Main held-out transfer</x:v>
      </x:c>
      <x:c r="E86" s="31" t="str">
        <x:v>Semantic/compositional transfer</x:v>
      </x:c>
      <x:c r="F86" s="31" t="str"/>
      <x:c r="G86" s="31" t="str">
        <x:v>R-CF01</x:v>
      </x:c>
      <x:c r="H86" s="31" t="str">
        <x:v>Place the green pen in front of the red block.</x:v>
      </x:c>
      <x:c r="I86" s="31" t="str">
        <x:v>Place the green pen in front of the red block.</x:v>
      </x:c>
      <x:c r="J86" s="31" t="str">
        <x:v>R-CF01-HELD: red block at center [REFERENCE]; green pen starts 18 cm behind the reference [TARGET START]; pink marker and blue block are distractors outside the commanded goal sector.</x:v>
      </x:c>
      <x:c r="K86" s="31" t="str">
        <x:v>green pen → in front of red block</x:v>
      </x:c>
      <x:c r="L86" s="31" t="str">
        <x:v>Binary task success; paired with the main matched-control row.</x:v>
      </x:c>
      <x:c r="M86" s="31" t="str">
        <x:v>VLA_Evaluation_Checklist_660_Final_Updated.xlsx — evaluation episode 270</x:v>
      </x:c>
      <x:c r="N86" s="31" t="str">
        <x:v>Primary held-out transfer endpoint.</x:v>
      </x:c>
      <x:c r="O86" s="31" t="str">
        <x:v>Primary confirmatory</x:v>
      </x:c>
    </x:row>
    <x:row r="87" ht="44" customHeight="1">
      <x:c r="A87" s="31" t="str">
        <x:v>PVLA-RP-TR-02</x:v>
      </x:c>
      <x:c r="B87" s="31" t="str">
        <x:v>Primary VLA</x:v>
      </x:c>
      <x:c r="C87" s="31" t="str">
        <x:v>Relational Placement</x:v>
      </x:c>
      <x:c r="D87" s="31" t="str">
        <x:v>Main held-out transfer</x:v>
      </x:c>
      <x:c r="E87" s="31" t="str">
        <x:v>Semantic/compositional transfer</x:v>
      </x:c>
      <x:c r="F87" s="31" t="str"/>
      <x:c r="G87" s="31" t="str">
        <x:v>R-CF03</x:v>
      </x:c>
      <x:c r="H87" s="31" t="str">
        <x:v>Place the green pen to the right of the red block.</x:v>
      </x:c>
      <x:c r="I87" s="31" t="str">
        <x:v>Place the green pen to the right of the red block.</x:v>
      </x:c>
      <x:c r="J87" s="31" t="str">
        <x:v>R-CF03-HELD: red block at back-right [REFERENCE]; green pen starts 24 cm to the left of the reference [TARGET START]; pink marker and blue block are distractors outside the commanded goal sector.</x:v>
      </x:c>
      <x:c r="K87" s="31" t="str">
        <x:v>green pen → to the right of red block</x:v>
      </x:c>
      <x:c r="L87" s="31" t="str">
        <x:v>Binary task success; paired with the main matched-control row.</x:v>
      </x:c>
      <x:c r="M87" s="31" t="str">
        <x:v>VLA_Evaluation_Checklist_660_Final_Updated.xlsx — evaluation episode 272</x:v>
      </x:c>
      <x:c r="N87" s="31" t="str">
        <x:v>Primary held-out transfer endpoint.</x:v>
      </x:c>
      <x:c r="O87" s="31" t="str">
        <x:v>Primary confirmatory</x:v>
      </x:c>
    </x:row>
    <x:row r="88" ht="44" customHeight="1">
      <x:c r="A88" s="31" t="str">
        <x:v>PVLA-RP-TR-03</x:v>
      </x:c>
      <x:c r="B88" s="31" t="str">
        <x:v>Primary VLA</x:v>
      </x:c>
      <x:c r="C88" s="31" t="str">
        <x:v>Relational Placement</x:v>
      </x:c>
      <x:c r="D88" s="31" t="str">
        <x:v>Main held-out transfer</x:v>
      </x:c>
      <x:c r="E88" s="31" t="str">
        <x:v>Semantic/compositional transfer</x:v>
      </x:c>
      <x:c r="F88" s="31" t="str"/>
      <x:c r="G88" s="31" t="str">
        <x:v>R-CF05</x:v>
      </x:c>
      <x:c r="H88" s="31" t="str">
        <x:v>Place the green pen to the left of the red block.</x:v>
      </x:c>
      <x:c r="I88" s="31" t="str">
        <x:v>Place the green pen to the left of the red block.</x:v>
      </x:c>
      <x:c r="J88" s="31" t="str">
        <x:v>R-CF05-HELD: red block at front-right [REFERENCE]; green pen starts 21 cm to the right of the reference [TARGET START]; pink marker and blue block are distractors outside the commanded goal sector.</x:v>
      </x:c>
      <x:c r="K88" s="31" t="str">
        <x:v>green pen → to the left of red block</x:v>
      </x:c>
      <x:c r="L88" s="31" t="str">
        <x:v>Binary task success; paired with the main matched-control row.</x:v>
      </x:c>
      <x:c r="M88" s="31" t="str">
        <x:v>VLA_Evaluation_Checklist_660_Final_Updated.xlsx — evaluation episode 274</x:v>
      </x:c>
      <x:c r="N88" s="31" t="str">
        <x:v>Primary held-out transfer endpoint.</x:v>
      </x:c>
      <x:c r="O88" s="31" t="str">
        <x:v>Primary confirmatory</x:v>
      </x:c>
    </x:row>
    <x:row r="89" ht="44" customHeight="1">
      <x:c r="A89" s="31" t="str">
        <x:v>PVLA-RP-TR-04</x:v>
      </x:c>
      <x:c r="B89" s="31" t="str">
        <x:v>Primary VLA</x:v>
      </x:c>
      <x:c r="C89" s="31" t="str">
        <x:v>Relational Placement</x:v>
      </x:c>
      <x:c r="D89" s="31" t="str">
        <x:v>Main held-out transfer</x:v>
      </x:c>
      <x:c r="E89" s="31" t="str">
        <x:v>Semantic/compositional transfer</x:v>
      </x:c>
      <x:c r="F89" s="31" t="str"/>
      <x:c r="G89" s="31" t="str">
        <x:v>R-CF07</x:v>
      </x:c>
      <x:c r="H89" s="31" t="str">
        <x:v>Place the green pen behind the red block.</x:v>
      </x:c>
      <x:c r="I89" s="31" t="str">
        <x:v>Place the green pen behind the red block.</x:v>
      </x:c>
      <x:c r="J89" s="31" t="str">
        <x:v>R-CF07-HELD: red block at back-left [REFERENCE]; green pen starts 18 cm in front of the reference [TARGET START]; pink marker and blue block are distractors outside the commanded goal sector.</x:v>
      </x:c>
      <x:c r="K89" s="31" t="str">
        <x:v>green pen → behind red block</x:v>
      </x:c>
      <x:c r="L89" s="31" t="str">
        <x:v>Binary task success; paired with the main matched-control row.</x:v>
      </x:c>
      <x:c r="M89" s="31" t="str">
        <x:v>VLA_Evaluation_Checklist_660_Final_Updated.xlsx — evaluation episode 276</x:v>
      </x:c>
      <x:c r="N89" s="31" t="str">
        <x:v>Primary held-out transfer endpoint.</x:v>
      </x:c>
      <x:c r="O89" s="31" t="str">
        <x:v>Primary confirmatory</x:v>
      </x:c>
    </x:row>
    <x:row r="90" ht="44" customHeight="1">
      <x:c r="A90" s="31" t="str">
        <x:v>PVLA-RP-TR-05</x:v>
      </x:c>
      <x:c r="B90" s="31" t="str">
        <x:v>Primary VLA</x:v>
      </x:c>
      <x:c r="C90" s="31" t="str">
        <x:v>Relational Placement</x:v>
      </x:c>
      <x:c r="D90" s="31" t="str">
        <x:v>Main held-out transfer</x:v>
      </x:c>
      <x:c r="E90" s="31" t="str">
        <x:v>Semantic/compositional transfer</x:v>
      </x:c>
      <x:c r="F90" s="31" t="str"/>
      <x:c r="G90" s="31" t="str">
        <x:v>R-CF09</x:v>
      </x:c>
      <x:c r="H90" s="31" t="str">
        <x:v>Place the green pen in front of the red block.</x:v>
      </x:c>
      <x:c r="I90" s="31" t="str">
        <x:v>Place the green pen in front of the red block.</x:v>
      </x:c>
      <x:c r="J90" s="31" t="str">
        <x:v>R-CF09-HELD: red block at front-left [REFERENCE]; green pen starts 24 cm behind the reference [TARGET START]; pink marker and blue block are distractors outside the commanded goal sector.</x:v>
      </x:c>
      <x:c r="K90" s="31" t="str">
        <x:v>green pen → in front of red block</x:v>
      </x:c>
      <x:c r="L90" s="31" t="str">
        <x:v>Binary task success; paired with the main matched-control row.</x:v>
      </x:c>
      <x:c r="M90" s="31" t="str">
        <x:v>VLA_Evaluation_Checklist_660_Final_Updated.xlsx — evaluation episode 278</x:v>
      </x:c>
      <x:c r="N90" s="31" t="str">
        <x:v>Primary held-out transfer endpoint.</x:v>
      </x:c>
      <x:c r="O90" s="31" t="str">
        <x:v>Primary confirmatory</x:v>
      </x:c>
    </x:row>
    <x:row r="91" ht="44" customHeight="1">
      <x:c r="A91" s="31" t="str">
        <x:v>PVLA-RP-TR-06</x:v>
      </x:c>
      <x:c r="B91" s="31" t="str">
        <x:v>Primary VLA</x:v>
      </x:c>
      <x:c r="C91" s="31" t="str">
        <x:v>Relational Placement</x:v>
      </x:c>
      <x:c r="D91" s="31" t="str">
        <x:v>Main held-out transfer</x:v>
      </x:c>
      <x:c r="E91" s="31" t="str">
        <x:v>Semantic/compositional transfer</x:v>
      </x:c>
      <x:c r="F91" s="31" t="str"/>
      <x:c r="G91" s="31" t="str">
        <x:v>R-CF11</x:v>
      </x:c>
      <x:c r="H91" s="31" t="str">
        <x:v>Place the green pen to the right of the red block.</x:v>
      </x:c>
      <x:c r="I91" s="31" t="str">
        <x:v>Place the green pen to the right of the red block.</x:v>
      </x:c>
      <x:c r="J91" s="31" t="str">
        <x:v>R-CF11-HELD: red block at center [REFERENCE]; green pen starts 21 cm to the left of the reference [TARGET START]; pink marker and blue block are distractors outside the commanded goal sector.</x:v>
      </x:c>
      <x:c r="K91" s="31" t="str">
        <x:v>green pen → to the right of red block</x:v>
      </x:c>
      <x:c r="L91" s="31" t="str">
        <x:v>Binary task success; paired with the main matched-control row.</x:v>
      </x:c>
      <x:c r="M91" s="31" t="str">
        <x:v>VLA_Evaluation_Checklist_660_Final_Updated.xlsx — evaluation episode 280</x:v>
      </x:c>
      <x:c r="N91" s="31" t="str">
        <x:v>Primary held-out transfer endpoint.</x:v>
      </x:c>
      <x:c r="O91" s="31" t="str">
        <x:v>Primary confirmatory</x:v>
      </x:c>
    </x:row>
    <x:row r="92" ht="44" customHeight="1">
      <x:c r="A92" s="31" t="str">
        <x:v>PVLA-RP-TR-07</x:v>
      </x:c>
      <x:c r="B92" s="31" t="str">
        <x:v>Primary VLA</x:v>
      </x:c>
      <x:c r="C92" s="31" t="str">
        <x:v>Relational Placement</x:v>
      </x:c>
      <x:c r="D92" s="31" t="str">
        <x:v>Main held-out transfer</x:v>
      </x:c>
      <x:c r="E92" s="31" t="str">
        <x:v>Semantic/compositional transfer</x:v>
      </x:c>
      <x:c r="F92" s="31" t="str"/>
      <x:c r="G92" s="31" t="str">
        <x:v>R-CF13</x:v>
      </x:c>
      <x:c r="H92" s="31" t="str">
        <x:v>Place the green pen to the left of the red block.</x:v>
      </x:c>
      <x:c r="I92" s="31" t="str">
        <x:v>Place the green pen to the left of the red block.</x:v>
      </x:c>
      <x:c r="J92" s="31" t="str">
        <x:v>R-CF13-HELD: red block at back-right [REFERENCE]; green pen starts 18 cm to the right of the reference [TARGET START]; pink marker and blue block are distractors outside the commanded goal sector.</x:v>
      </x:c>
      <x:c r="K92" s="31" t="str">
        <x:v>green pen → to the left of red block</x:v>
      </x:c>
      <x:c r="L92" s="31" t="str">
        <x:v>Binary task success; paired with the main matched-control row.</x:v>
      </x:c>
      <x:c r="M92" s="31" t="str">
        <x:v>VLA_Evaluation_Checklist_660_Final_Updated.xlsx — evaluation episode 282</x:v>
      </x:c>
      <x:c r="N92" s="31" t="str">
        <x:v>Primary held-out transfer endpoint.</x:v>
      </x:c>
      <x:c r="O92" s="31" t="str">
        <x:v>Primary confirmatory</x:v>
      </x:c>
    </x:row>
    <x:row r="93" ht="44" customHeight="1">
      <x:c r="A93" s="31" t="str">
        <x:v>PVLA-RP-TR-08</x:v>
      </x:c>
      <x:c r="B93" s="31" t="str">
        <x:v>Primary VLA</x:v>
      </x:c>
      <x:c r="C93" s="31" t="str">
        <x:v>Relational Placement</x:v>
      </x:c>
      <x:c r="D93" s="31" t="str">
        <x:v>Main held-out transfer</x:v>
      </x:c>
      <x:c r="E93" s="31" t="str">
        <x:v>Semantic/compositional transfer</x:v>
      </x:c>
      <x:c r="F93" s="31" t="str"/>
      <x:c r="G93" s="31" t="str">
        <x:v>R-CF15</x:v>
      </x:c>
      <x:c r="H93" s="31" t="str">
        <x:v>Place the green pen behind the red block.</x:v>
      </x:c>
      <x:c r="I93" s="31" t="str">
        <x:v>Place the green pen behind the red block.</x:v>
      </x:c>
      <x:c r="J93" s="31" t="str">
        <x:v>R-CF15-HELD: red block at front-right [REFERENCE]; green pen starts 24 cm in front of the reference [TARGET START]; pink marker and blue block are distractors outside the commanded goal sector.</x:v>
      </x:c>
      <x:c r="K93" s="31" t="str">
        <x:v>green pen → behind red block</x:v>
      </x:c>
      <x:c r="L93" s="31" t="str">
        <x:v>Binary task success; paired with the main matched-control row.</x:v>
      </x:c>
      <x:c r="M93" s="31" t="str">
        <x:v>VLA_Evaluation_Checklist_660_Final_Updated.xlsx — evaluation episode 284</x:v>
      </x:c>
      <x:c r="N93" s="31" t="str">
        <x:v>Primary held-out transfer endpoint.</x:v>
      </x:c>
      <x:c r="O93" s="31" t="str">
        <x:v>Primary confirmatory</x:v>
      </x:c>
    </x:row>
    <x:row r="94" ht="44" customHeight="1">
      <x:c r="A94" s="31" t="str">
        <x:v>PVLA-RP-TR-09</x:v>
      </x:c>
      <x:c r="B94" s="31" t="str">
        <x:v>Primary VLA</x:v>
      </x:c>
      <x:c r="C94" s="31" t="str">
        <x:v>Relational Placement</x:v>
      </x:c>
      <x:c r="D94" s="31" t="str">
        <x:v>Main held-out transfer</x:v>
      </x:c>
      <x:c r="E94" s="31" t="str">
        <x:v>Semantic/compositional transfer</x:v>
      </x:c>
      <x:c r="F94" s="31" t="str"/>
      <x:c r="G94" s="31" t="str">
        <x:v>R-CF16</x:v>
      </x:c>
      <x:c r="H94" s="31" t="str">
        <x:v>Place the red block to the left of the green pen.</x:v>
      </x:c>
      <x:c r="I94" s="31" t="str">
        <x:v>Place the red block to the left of the green pen.</x:v>
      </x:c>
      <x:c r="J94" s="31" t="str">
        <x:v>R-CF16-HELD: green pen at center [REFERENCE]; red block starts 18 cm to the right of the reference [TARGET START]; blue block and pink marker are distractors outside the commanded goal sector.</x:v>
      </x:c>
      <x:c r="K94" s="31" t="str">
        <x:v>red block → to the left of green pen</x:v>
      </x:c>
      <x:c r="L94" s="31" t="str">
        <x:v>Binary task success; paired with the main matched-control row.</x:v>
      </x:c>
      <x:c r="M94" s="31" t="str">
        <x:v>VLA_Evaluation_Checklist_660_Final_Updated.xlsx — evaluation episode 285</x:v>
      </x:c>
      <x:c r="N94" s="31" t="str">
        <x:v>Primary held-out transfer endpoint.</x:v>
      </x:c>
      <x:c r="O94" s="31" t="str">
        <x:v>Primary confirmatory</x:v>
      </x:c>
    </x:row>
    <x:row r="95" ht="44" customHeight="1">
      <x:c r="A95" s="31" t="str">
        <x:v>PVLA-RP-TR-10</x:v>
      </x:c>
      <x:c r="B95" s="31" t="str">
        <x:v>Primary VLA</x:v>
      </x:c>
      <x:c r="C95" s="31" t="str">
        <x:v>Relational Placement</x:v>
      </x:c>
      <x:c r="D95" s="31" t="str">
        <x:v>Main held-out transfer</x:v>
      </x:c>
      <x:c r="E95" s="31" t="str">
        <x:v>Semantic/compositional transfer</x:v>
      </x:c>
      <x:c r="F95" s="31" t="str"/>
      <x:c r="G95" s="31" t="str">
        <x:v>R-CF18</x:v>
      </x:c>
      <x:c r="H95" s="31" t="str">
        <x:v>Place the red block behind the green pen.</x:v>
      </x:c>
      <x:c r="I95" s="31" t="str">
        <x:v>Place the red block behind the green pen.</x:v>
      </x:c>
      <x:c r="J95" s="31" t="str">
        <x:v>R-CF18-HELD: green pen at back-right [REFERENCE]; red block starts 24 cm in front of the reference [TARGET START]; blue block and pink marker are distractors outside the commanded goal sector.</x:v>
      </x:c>
      <x:c r="K95" s="31" t="str">
        <x:v>red block → behind green pen</x:v>
      </x:c>
      <x:c r="L95" s="31" t="str">
        <x:v>Binary task success; paired with the main matched-control row.</x:v>
      </x:c>
      <x:c r="M95" s="31" t="str">
        <x:v>VLA_Evaluation_Checklist_660_Final_Updated.xlsx — evaluation episode 287</x:v>
      </x:c>
      <x:c r="N95" s="31" t="str">
        <x:v>Primary held-out transfer endpoint.</x:v>
      </x:c>
      <x:c r="O95" s="31" t="str">
        <x:v>Primary confirmatory</x:v>
      </x:c>
    </x:row>
    <x:row r="96" ht="44" customHeight="1">
      <x:c r="A96" s="31" t="str">
        <x:v>PVLA-RP-TR-11</x:v>
      </x:c>
      <x:c r="B96" s="31" t="str">
        <x:v>Primary VLA</x:v>
      </x:c>
      <x:c r="C96" s="31" t="str">
        <x:v>Relational Placement</x:v>
      </x:c>
      <x:c r="D96" s="31" t="str">
        <x:v>Main held-out transfer</x:v>
      </x:c>
      <x:c r="E96" s="31" t="str">
        <x:v>Semantic/compositional transfer</x:v>
      </x:c>
      <x:c r="F96" s="31" t="str"/>
      <x:c r="G96" s="31" t="str">
        <x:v>R-CF20</x:v>
      </x:c>
      <x:c r="H96" s="31" t="str">
        <x:v>Place the red block in front of the green pen.</x:v>
      </x:c>
      <x:c r="I96" s="31" t="str">
        <x:v>Place the red block in front of the green pen.</x:v>
      </x:c>
      <x:c r="J96" s="31" t="str">
        <x:v>R-CF20-HELD: green pen at front-right [REFERENCE]; red block starts 21 cm behind the reference [TARGET START]; blue block and pink marker are distractors outside the commanded goal sector.</x:v>
      </x:c>
      <x:c r="K96" s="31" t="str">
        <x:v>red block → in front of green pen</x:v>
      </x:c>
      <x:c r="L96" s="31" t="str">
        <x:v>Binary task success; paired with the main matched-control row.</x:v>
      </x:c>
      <x:c r="M96" s="31" t="str">
        <x:v>VLA_Evaluation_Checklist_660_Final_Updated.xlsx — evaluation episode 289</x:v>
      </x:c>
      <x:c r="N96" s="31" t="str">
        <x:v>Primary held-out transfer endpoint.</x:v>
      </x:c>
      <x:c r="O96" s="31" t="str">
        <x:v>Primary confirmatory</x:v>
      </x:c>
    </x:row>
    <x:row r="97" ht="44" customHeight="1">
      <x:c r="A97" s="31" t="str">
        <x:v>PVLA-RP-TR-12</x:v>
      </x:c>
      <x:c r="B97" s="31" t="str">
        <x:v>Primary VLA</x:v>
      </x:c>
      <x:c r="C97" s="31" t="str">
        <x:v>Relational Placement</x:v>
      </x:c>
      <x:c r="D97" s="31" t="str">
        <x:v>Main held-out transfer</x:v>
      </x:c>
      <x:c r="E97" s="31" t="str">
        <x:v>Semantic/compositional transfer</x:v>
      </x:c>
      <x:c r="F97" s="31" t="str"/>
      <x:c r="G97" s="31" t="str">
        <x:v>R-CF22</x:v>
      </x:c>
      <x:c r="H97" s="31" t="str">
        <x:v>Place the red block to the right of the green pen.</x:v>
      </x:c>
      <x:c r="I97" s="31" t="str">
        <x:v>Place the red block to the right of the green pen.</x:v>
      </x:c>
      <x:c r="J97" s="31" t="str">
        <x:v>R-CF22-HELD: green pen at back-left [REFERENCE]; red block starts 18 cm to the left of the reference [TARGET START]; blue block and pink marker are distractors outside the commanded goal sector.</x:v>
      </x:c>
      <x:c r="K97" s="31" t="str">
        <x:v>red block → to the right of green pen</x:v>
      </x:c>
      <x:c r="L97" s="31" t="str">
        <x:v>Binary task success; paired with the main matched-control row.</x:v>
      </x:c>
      <x:c r="M97" s="31" t="str">
        <x:v>VLA_Evaluation_Checklist_660_Final_Updated.xlsx — evaluation episode 291</x:v>
      </x:c>
      <x:c r="N97" s="31" t="str">
        <x:v>Primary held-out transfer endpoint.</x:v>
      </x:c>
      <x:c r="O97" s="31" t="str">
        <x:v>Primary confirmatory</x:v>
      </x:c>
    </x:row>
    <x:row r="98" ht="44" customHeight="1">
      <x:c r="A98" s="31" t="str">
        <x:v>PVLA-RP-TR-13</x:v>
      </x:c>
      <x:c r="B98" s="31" t="str">
        <x:v>Primary VLA</x:v>
      </x:c>
      <x:c r="C98" s="31" t="str">
        <x:v>Relational Placement</x:v>
      </x:c>
      <x:c r="D98" s="31" t="str">
        <x:v>Main held-out transfer</x:v>
      </x:c>
      <x:c r="E98" s="31" t="str">
        <x:v>Semantic/compositional transfer</x:v>
      </x:c>
      <x:c r="F98" s="31" t="str"/>
      <x:c r="G98" s="31" t="str">
        <x:v>R-CF24</x:v>
      </x:c>
      <x:c r="H98" s="31" t="str">
        <x:v>Place the red block to the left of the green pen.</x:v>
      </x:c>
      <x:c r="I98" s="31" t="str">
        <x:v>Place the red block to the left of the green pen.</x:v>
      </x:c>
      <x:c r="J98" s="31" t="str">
        <x:v>R-CF24-HELD: green pen at front-left [REFERENCE]; red block starts 24 cm to the right of the reference [TARGET START]; blue block and pink marker are distractors outside the commanded goal sector.</x:v>
      </x:c>
      <x:c r="K98" s="31" t="str">
        <x:v>red block → to the left of green pen</x:v>
      </x:c>
      <x:c r="L98" s="31" t="str">
        <x:v>Binary task success; paired with the main matched-control row.</x:v>
      </x:c>
      <x:c r="M98" s="31" t="str">
        <x:v>VLA_Evaluation_Checklist_660_Final_Updated.xlsx — evaluation episode 293</x:v>
      </x:c>
      <x:c r="N98" s="31" t="str">
        <x:v>Primary held-out transfer endpoint.</x:v>
      </x:c>
      <x:c r="O98" s="31" t="str">
        <x:v>Primary confirmatory</x:v>
      </x:c>
    </x:row>
    <x:row r="99" ht="44" customHeight="1">
      <x:c r="A99" s="31" t="str">
        <x:v>PVLA-RP-TR-14</x:v>
      </x:c>
      <x:c r="B99" s="31" t="str">
        <x:v>Primary VLA</x:v>
      </x:c>
      <x:c r="C99" s="31" t="str">
        <x:v>Relational Placement</x:v>
      </x:c>
      <x:c r="D99" s="31" t="str">
        <x:v>Main held-out transfer</x:v>
      </x:c>
      <x:c r="E99" s="31" t="str">
        <x:v>Semantic/compositional transfer</x:v>
      </x:c>
      <x:c r="F99" s="31" t="str"/>
      <x:c r="G99" s="31" t="str">
        <x:v>R-CF26</x:v>
      </x:c>
      <x:c r="H99" s="31" t="str">
        <x:v>Place the red block behind the green pen.</x:v>
      </x:c>
      <x:c r="I99" s="31" t="str">
        <x:v>Place the red block behind the green pen.</x:v>
      </x:c>
      <x:c r="J99" s="31" t="str">
        <x:v>R-CF26-HELD: green pen at center [REFERENCE]; red block starts 21 cm in front of the reference [TARGET START]; blue block and pink marker are distractors outside the commanded goal sector.</x:v>
      </x:c>
      <x:c r="K99" s="31" t="str">
        <x:v>red block → behind green pen</x:v>
      </x:c>
      <x:c r="L99" s="31" t="str">
        <x:v>Binary task success; paired with the main matched-control row.</x:v>
      </x:c>
      <x:c r="M99" s="31" t="str">
        <x:v>VLA_Evaluation_Checklist_660_Final_Updated.xlsx — evaluation episode 295</x:v>
      </x:c>
      <x:c r="N99" s="31" t="str">
        <x:v>Primary held-out transfer endpoint.</x:v>
      </x:c>
      <x:c r="O99" s="31" t="str">
        <x:v>Primary confirmatory</x:v>
      </x:c>
    </x:row>
    <x:row r="100" ht="44" customHeight="1">
      <x:c r="A100" s="31" t="str">
        <x:v>PVLA-RP-TR-15</x:v>
      </x:c>
      <x:c r="B100" s="31" t="str">
        <x:v>Primary VLA</x:v>
      </x:c>
      <x:c r="C100" s="31" t="str">
        <x:v>Relational Placement</x:v>
      </x:c>
      <x:c r="D100" s="31" t="str">
        <x:v>Main held-out transfer</x:v>
      </x:c>
      <x:c r="E100" s="31" t="str">
        <x:v>Semantic/compositional transfer</x:v>
      </x:c>
      <x:c r="F100" s="31" t="str"/>
      <x:c r="G100" s="31" t="str">
        <x:v>R-CF28</x:v>
      </x:c>
      <x:c r="H100" s="31" t="str">
        <x:v>Place the red block in front of the green pen.</x:v>
      </x:c>
      <x:c r="I100" s="31" t="str">
        <x:v>Place the red block in front of the green pen.</x:v>
      </x:c>
      <x:c r="J100" s="31" t="str">
        <x:v>R-CF28-HELD: green pen at back-right [REFERENCE]; red block starts 18 cm behind the reference [TARGET START]; blue block and pink marker are distractors outside the commanded goal sector.</x:v>
      </x:c>
      <x:c r="K100" s="31" t="str">
        <x:v>red block → in front of green pen</x:v>
      </x:c>
      <x:c r="L100" s="31" t="str">
        <x:v>Binary task success; paired with the main matched-control row.</x:v>
      </x:c>
      <x:c r="M100" s="31" t="str">
        <x:v>VLA_Evaluation_Checklist_660_Final_Updated.xlsx — evaluation episode 297</x:v>
      </x:c>
      <x:c r="N100" s="31" t="str">
        <x:v>Primary held-out transfer endpoint.</x:v>
      </x:c>
      <x:c r="O100" s="31" t="str">
        <x:v>Primary confirmatory</x:v>
      </x:c>
    </x:row>
    <x:row r="101" ht="44" customHeight="1">
      <x:c r="A101" s="31" t="str">
        <x:v>PVLA-RP-TR-16</x:v>
      </x:c>
      <x:c r="B101" s="31" t="str">
        <x:v>Primary VLA</x:v>
      </x:c>
      <x:c r="C101" s="31" t="str">
        <x:v>Relational Placement</x:v>
      </x:c>
      <x:c r="D101" s="31" t="str">
        <x:v>Main held-out transfer</x:v>
      </x:c>
      <x:c r="E101" s="31" t="str">
        <x:v>Semantic/compositional transfer</x:v>
      </x:c>
      <x:c r="F101" s="31" t="str"/>
      <x:c r="G101" s="31" t="str">
        <x:v>R-CF30</x:v>
      </x:c>
      <x:c r="H101" s="31" t="str">
        <x:v>Place the red block to the right of the green pen.</x:v>
      </x:c>
      <x:c r="I101" s="31" t="str">
        <x:v>Place the red block to the right of the green pen.</x:v>
      </x:c>
      <x:c r="J101" s="31" t="str">
        <x:v>R-CF30-HELD: green pen at front-right [REFERENCE]; red block starts 24 cm to the left of the reference [TARGET START]; blue block and pink marker are distractors outside the commanded goal sector.</x:v>
      </x:c>
      <x:c r="K101" s="31" t="str">
        <x:v>red block → to the right of green pen</x:v>
      </x:c>
      <x:c r="L101" s="31" t="str">
        <x:v>Binary task success; paired with the main matched-control row.</x:v>
      </x:c>
      <x:c r="M101" s="31" t="str">
        <x:v>VLA_Evaluation_Checklist_660_Final_Updated.xlsx — evaluation episode 299</x:v>
      </x:c>
      <x:c r="N101" s="31" t="str">
        <x:v>Primary held-out transfer endpoint.</x:v>
      </x:c>
      <x:c r="O101" s="31" t="str">
        <x:v>Primary confirmatory</x:v>
      </x:c>
    </x:row>
    <x:row r="102" ht="44" customHeight="1">
      <x:c r="A102" s="31" t="str">
        <x:v>PVLA-RP-CTL-01</x:v>
      </x:c>
      <x:c r="B102" s="31" t="str">
        <x:v>Primary VLA</x:v>
      </x:c>
      <x:c r="C102" s="31" t="str">
        <x:v>Relational Placement</x:v>
      </x:c>
      <x:c r="D102" s="31" t="str">
        <x:v>Main matched control</x:v>
      </x:c>
      <x:c r="E102" s="31" t="str">
        <x:v>Matched motor/scene control</x:v>
      </x:c>
      <x:c r="F102" s="31" t="str"/>
      <x:c r="G102" s="31" t="str">
        <x:v>R-CF01</x:v>
      </x:c>
      <x:c r="H102" s="31" t="str">
        <x:v>Place the green pen near the red block.</x:v>
      </x:c>
      <x:c r="I102" s="31" t="str">
        <x:v>Place the green pen near the red block.</x:v>
      </x:c>
      <x:c r="J102" s="31" t="str">
        <x:v>R-CF01-CTRL: red block at center [REFERENCE]; green pen starts 18 cm behind the reference [TARGET START]; pink marker and blue block are distractors outside the commanded goal sector.</x:v>
      </x:c>
      <x:c r="K102" s="31" t="str">
        <x:v>green pen near red block</x:v>
      </x:c>
      <x:c r="L102" s="31" t="str">
        <x:v>Binary task success; paired with the main transfer row.</x:v>
      </x:c>
      <x:c r="M102" s="31" t="str">
        <x:v>VLA_Evaluation_Checklist_660_Final_Updated.xlsx — evaluation episode 300</x:v>
      </x:c>
      <x:c r="N102" s="31" t="str">
        <x:v>Primary motor/scene control for the transfer gap.</x:v>
      </x:c>
      <x:c r="O102" s="31" t="str">
        <x:v>Primary confirmatory</x:v>
      </x:c>
    </x:row>
    <x:row r="103" ht="44" customHeight="1">
      <x:c r="A103" s="31" t="str">
        <x:v>PVLA-RP-CTL-02</x:v>
      </x:c>
      <x:c r="B103" s="31" t="str">
        <x:v>Primary VLA</x:v>
      </x:c>
      <x:c r="C103" s="31" t="str">
        <x:v>Relational Placement</x:v>
      </x:c>
      <x:c r="D103" s="31" t="str">
        <x:v>Main matched control</x:v>
      </x:c>
      <x:c r="E103" s="31" t="str">
        <x:v>Matched motor/scene control</x:v>
      </x:c>
      <x:c r="F103" s="31" t="str"/>
      <x:c r="G103" s="31" t="str">
        <x:v>R-CF03</x:v>
      </x:c>
      <x:c r="H103" s="31" t="str">
        <x:v>Place the green pen beside the red block.</x:v>
      </x:c>
      <x:c r="I103" s="31" t="str">
        <x:v>Place the green pen beside the red block.</x:v>
      </x:c>
      <x:c r="J103" s="31" t="str">
        <x:v>R-CF03-CTRL: red block at back-right [REFERENCE]; green pen starts 24 cm to the left of the reference [TARGET START]; pink marker and blue block are distractors outside the commanded goal sector.</x:v>
      </x:c>
      <x:c r="K103" s="31" t="str">
        <x:v>green pen near red block</x:v>
      </x:c>
      <x:c r="L103" s="31" t="str">
        <x:v>Binary task success; paired with the main transfer row.</x:v>
      </x:c>
      <x:c r="M103" s="31" t="str">
        <x:v>VLA_Evaluation_Checklist_660_Final_Updated.xlsx — evaluation episode 302</x:v>
      </x:c>
      <x:c r="N103" s="31" t="str">
        <x:v>Primary motor/scene control for the transfer gap.</x:v>
      </x:c>
      <x:c r="O103" s="31" t="str">
        <x:v>Primary confirmatory</x:v>
      </x:c>
    </x:row>
    <x:row r="104" ht="44" customHeight="1">
      <x:c r="A104" s="31" t="str">
        <x:v>PVLA-RP-CTL-03</x:v>
      </x:c>
      <x:c r="B104" s="31" t="str">
        <x:v>Primary VLA</x:v>
      </x:c>
      <x:c r="C104" s="31" t="str">
        <x:v>Relational Placement</x:v>
      </x:c>
      <x:c r="D104" s="31" t="str">
        <x:v>Main matched control</x:v>
      </x:c>
      <x:c r="E104" s="31" t="str">
        <x:v>Matched motor/scene control</x:v>
      </x:c>
      <x:c r="F104" s="31" t="str"/>
      <x:c r="G104" s="31" t="str">
        <x:v>R-CF05</x:v>
      </x:c>
      <x:c r="H104" s="31" t="str">
        <x:v>Place the green pen next to the red block.</x:v>
      </x:c>
      <x:c r="I104" s="31" t="str">
        <x:v>Place the green pen next to the red block.</x:v>
      </x:c>
      <x:c r="J104" s="31" t="str">
        <x:v>R-CF05-CTRL: red block at front-right [REFERENCE]; green pen starts 21 cm to the right of the reference [TARGET START]; pink marker and blue block are distractors outside the commanded goal sector.</x:v>
      </x:c>
      <x:c r="K104" s="31" t="str">
        <x:v>green pen near red block</x:v>
      </x:c>
      <x:c r="L104" s="31" t="str">
        <x:v>Binary task success; paired with the main transfer row.</x:v>
      </x:c>
      <x:c r="M104" s="31" t="str">
        <x:v>VLA_Evaluation_Checklist_660_Final_Updated.xlsx — evaluation episode 304</x:v>
      </x:c>
      <x:c r="N104" s="31" t="str">
        <x:v>Primary motor/scene control for the transfer gap.</x:v>
      </x:c>
      <x:c r="O104" s="31" t="str">
        <x:v>Primary confirmatory</x:v>
      </x:c>
    </x:row>
    <x:row r="105" ht="44" customHeight="1">
      <x:c r="A105" s="31" t="str">
        <x:v>PVLA-RP-CTL-04</x:v>
      </x:c>
      <x:c r="B105" s="31" t="str">
        <x:v>Primary VLA</x:v>
      </x:c>
      <x:c r="C105" s="31" t="str">
        <x:v>Relational Placement</x:v>
      </x:c>
      <x:c r="D105" s="31" t="str">
        <x:v>Main matched control</x:v>
      </x:c>
      <x:c r="E105" s="31" t="str">
        <x:v>Matched motor/scene control</x:v>
      </x:c>
      <x:c r="F105" s="31" t="str"/>
      <x:c r="G105" s="31" t="str">
        <x:v>R-CF07</x:v>
      </x:c>
      <x:c r="H105" s="31" t="str">
        <x:v>Place the green pen near the red block.</x:v>
      </x:c>
      <x:c r="I105" s="31" t="str">
        <x:v>Place the green pen near the red block.</x:v>
      </x:c>
      <x:c r="J105" s="31" t="str">
        <x:v>R-CF07-CTRL: red block at back-left [REFERENCE]; green pen starts 18 cm in front of the reference [TARGET START]; pink marker and blue block are distractors outside the commanded goal sector.</x:v>
      </x:c>
      <x:c r="K105" s="31" t="str">
        <x:v>green pen near red block</x:v>
      </x:c>
      <x:c r="L105" s="31" t="str">
        <x:v>Binary task success; paired with the main transfer row.</x:v>
      </x:c>
      <x:c r="M105" s="31" t="str">
        <x:v>VLA_Evaluation_Checklist_660_Final_Updated.xlsx — evaluation episode 306</x:v>
      </x:c>
      <x:c r="N105" s="31" t="str">
        <x:v>Primary motor/scene control for the transfer gap.</x:v>
      </x:c>
      <x:c r="O105" s="31" t="str">
        <x:v>Primary confirmatory</x:v>
      </x:c>
    </x:row>
    <x:row r="106" ht="44" customHeight="1">
      <x:c r="A106" s="31" t="str">
        <x:v>PVLA-RP-CTL-05</x:v>
      </x:c>
      <x:c r="B106" s="31" t="str">
        <x:v>Primary VLA</x:v>
      </x:c>
      <x:c r="C106" s="31" t="str">
        <x:v>Relational Placement</x:v>
      </x:c>
      <x:c r="D106" s="31" t="str">
        <x:v>Main matched control</x:v>
      </x:c>
      <x:c r="E106" s="31" t="str">
        <x:v>Matched motor/scene control</x:v>
      </x:c>
      <x:c r="F106" s="31" t="str"/>
      <x:c r="G106" s="31" t="str">
        <x:v>R-CF09</x:v>
      </x:c>
      <x:c r="H106" s="31" t="str">
        <x:v>Place the green pen beside the red block.</x:v>
      </x:c>
      <x:c r="I106" s="31" t="str">
        <x:v>Place the green pen beside the red block.</x:v>
      </x:c>
      <x:c r="J106" s="31" t="str">
        <x:v>R-CF09-CTRL: red block at front-left [REFERENCE]; green pen starts 24 cm behind the reference [TARGET START]; pink marker and blue block are distractors outside the commanded goal sector.</x:v>
      </x:c>
      <x:c r="K106" s="31" t="str">
        <x:v>green pen near red block</x:v>
      </x:c>
      <x:c r="L106" s="31" t="str">
        <x:v>Binary task success; paired with the main transfer row.</x:v>
      </x:c>
      <x:c r="M106" s="31" t="str">
        <x:v>VLA_Evaluation_Checklist_660_Final_Updated.xlsx — evaluation episode 308</x:v>
      </x:c>
      <x:c r="N106" s="31" t="str">
        <x:v>Primary motor/scene control for the transfer gap.</x:v>
      </x:c>
      <x:c r="O106" s="31" t="str">
        <x:v>Primary confirmatory</x:v>
      </x:c>
    </x:row>
    <x:row r="107" ht="44" customHeight="1">
      <x:c r="A107" s="31" t="str">
        <x:v>PVLA-RP-CTL-06</x:v>
      </x:c>
      <x:c r="B107" s="31" t="str">
        <x:v>Primary VLA</x:v>
      </x:c>
      <x:c r="C107" s="31" t="str">
        <x:v>Relational Placement</x:v>
      </x:c>
      <x:c r="D107" s="31" t="str">
        <x:v>Main matched control</x:v>
      </x:c>
      <x:c r="E107" s="31" t="str">
        <x:v>Matched motor/scene control</x:v>
      </x:c>
      <x:c r="F107" s="31" t="str"/>
      <x:c r="G107" s="31" t="str">
        <x:v>R-CF11</x:v>
      </x:c>
      <x:c r="H107" s="31" t="str">
        <x:v>Place the green pen next to the red block.</x:v>
      </x:c>
      <x:c r="I107" s="31" t="str">
        <x:v>Place the green pen next to the red block.</x:v>
      </x:c>
      <x:c r="J107" s="31" t="str">
        <x:v>R-CF11-CTRL: red block at center [REFERENCE]; green pen starts 21 cm to the left of the reference [TARGET START]; pink marker and blue block are distractors outside the commanded goal sector.</x:v>
      </x:c>
      <x:c r="K107" s="31" t="str">
        <x:v>green pen near red block</x:v>
      </x:c>
      <x:c r="L107" s="31" t="str">
        <x:v>Binary task success; paired with the main transfer row.</x:v>
      </x:c>
      <x:c r="M107" s="31" t="str">
        <x:v>VLA_Evaluation_Checklist_660_Final_Updated.xlsx — evaluation episode 310</x:v>
      </x:c>
      <x:c r="N107" s="31" t="str">
        <x:v>Primary motor/scene control for the transfer gap.</x:v>
      </x:c>
      <x:c r="O107" s="31" t="str">
        <x:v>Primary confirmatory</x:v>
      </x:c>
    </x:row>
    <x:row r="108" ht="44" customHeight="1">
      <x:c r="A108" s="31" t="str">
        <x:v>PVLA-RP-CTL-07</x:v>
      </x:c>
      <x:c r="B108" s="31" t="str">
        <x:v>Primary VLA</x:v>
      </x:c>
      <x:c r="C108" s="31" t="str">
        <x:v>Relational Placement</x:v>
      </x:c>
      <x:c r="D108" s="31" t="str">
        <x:v>Main matched control</x:v>
      </x:c>
      <x:c r="E108" s="31" t="str">
        <x:v>Matched motor/scene control</x:v>
      </x:c>
      <x:c r="F108" s="31" t="str"/>
      <x:c r="G108" s="31" t="str">
        <x:v>R-CF13</x:v>
      </x:c>
      <x:c r="H108" s="31" t="str">
        <x:v>Place the green pen near the red block.</x:v>
      </x:c>
      <x:c r="I108" s="31" t="str">
        <x:v>Place the green pen near the red block.</x:v>
      </x:c>
      <x:c r="J108" s="31" t="str">
        <x:v>R-CF13-CTRL: red block at back-right [REFERENCE]; green pen starts 18 cm to the right of the reference [TARGET START]; pink marker and blue block are distractors outside the commanded goal sector.</x:v>
      </x:c>
      <x:c r="K108" s="31" t="str">
        <x:v>green pen near red block</x:v>
      </x:c>
      <x:c r="L108" s="31" t="str">
        <x:v>Binary task success; paired with the main transfer row.</x:v>
      </x:c>
      <x:c r="M108" s="31" t="str">
        <x:v>VLA_Evaluation_Checklist_660_Final_Updated.xlsx — evaluation episode 312</x:v>
      </x:c>
      <x:c r="N108" s="31" t="str">
        <x:v>Primary motor/scene control for the transfer gap.</x:v>
      </x:c>
      <x:c r="O108" s="31" t="str">
        <x:v>Primary confirmatory</x:v>
      </x:c>
    </x:row>
    <x:row r="109" ht="44" customHeight="1">
      <x:c r="A109" s="31" t="str">
        <x:v>PVLA-RP-CTL-08</x:v>
      </x:c>
      <x:c r="B109" s="31" t="str">
        <x:v>Primary VLA</x:v>
      </x:c>
      <x:c r="C109" s="31" t="str">
        <x:v>Relational Placement</x:v>
      </x:c>
      <x:c r="D109" s="31" t="str">
        <x:v>Main matched control</x:v>
      </x:c>
      <x:c r="E109" s="31" t="str">
        <x:v>Matched motor/scene control</x:v>
      </x:c>
      <x:c r="F109" s="31" t="str"/>
      <x:c r="G109" s="31" t="str">
        <x:v>R-CF15</x:v>
      </x:c>
      <x:c r="H109" s="31" t="str">
        <x:v>Place the green pen beside the red block.</x:v>
      </x:c>
      <x:c r="I109" s="31" t="str">
        <x:v>Place the green pen beside the red block.</x:v>
      </x:c>
      <x:c r="J109" s="31" t="str">
        <x:v>R-CF15-CTRL: red block at front-right [REFERENCE]; green pen starts 24 cm in front of the reference [TARGET START]; pink marker and blue block are distractors outside the commanded goal sector.</x:v>
      </x:c>
      <x:c r="K109" s="31" t="str">
        <x:v>green pen near red block</x:v>
      </x:c>
      <x:c r="L109" s="31" t="str">
        <x:v>Binary task success; paired with the main transfer row.</x:v>
      </x:c>
      <x:c r="M109" s="31" t="str">
        <x:v>VLA_Evaluation_Checklist_660_Final_Updated.xlsx — evaluation episode 314</x:v>
      </x:c>
      <x:c r="N109" s="31" t="str">
        <x:v>Primary motor/scene control for the transfer gap.</x:v>
      </x:c>
      <x:c r="O109" s="31" t="str">
        <x:v>Primary confirmatory</x:v>
      </x:c>
    </x:row>
    <x:row r="110" ht="44" customHeight="1">
      <x:c r="A110" s="31" t="str">
        <x:v>PVLA-RP-CTL-09</x:v>
      </x:c>
      <x:c r="B110" s="31" t="str">
        <x:v>Primary VLA</x:v>
      </x:c>
      <x:c r="C110" s="31" t="str">
        <x:v>Relational Placement</x:v>
      </x:c>
      <x:c r="D110" s="31" t="str">
        <x:v>Main matched control</x:v>
      </x:c>
      <x:c r="E110" s="31" t="str">
        <x:v>Matched motor/scene control</x:v>
      </x:c>
      <x:c r="F110" s="31" t="str"/>
      <x:c r="G110" s="31" t="str">
        <x:v>R-CF16</x:v>
      </x:c>
      <x:c r="H110" s="31" t="str">
        <x:v>Place the red block near the green pen.</x:v>
      </x:c>
      <x:c r="I110" s="31" t="str">
        <x:v>Place the red block near the green pen.</x:v>
      </x:c>
      <x:c r="J110" s="31" t="str">
        <x:v>R-CF16-CTRL: green pen at center [REFERENCE]; red block starts 18 cm to the right of the reference [TARGET START]; blue block and pink marker are distractors outside the commanded goal sector.</x:v>
      </x:c>
      <x:c r="K110" s="31" t="str">
        <x:v>red block near green pen</x:v>
      </x:c>
      <x:c r="L110" s="31" t="str">
        <x:v>Binary task success; paired with the main transfer row.</x:v>
      </x:c>
      <x:c r="M110" s="31" t="str">
        <x:v>VLA_Evaluation_Checklist_660_Final_Updated.xlsx — evaluation episode 315</x:v>
      </x:c>
      <x:c r="N110" s="31" t="str">
        <x:v>Primary motor/scene control for the transfer gap.</x:v>
      </x:c>
      <x:c r="O110" s="31" t="str">
        <x:v>Primary confirmatory</x:v>
      </x:c>
    </x:row>
    <x:row r="111" ht="44" customHeight="1">
      <x:c r="A111" s="31" t="str">
        <x:v>PVLA-RP-CTL-10</x:v>
      </x:c>
      <x:c r="B111" s="31" t="str">
        <x:v>Primary VLA</x:v>
      </x:c>
      <x:c r="C111" s="31" t="str">
        <x:v>Relational Placement</x:v>
      </x:c>
      <x:c r="D111" s="31" t="str">
        <x:v>Main matched control</x:v>
      </x:c>
      <x:c r="E111" s="31" t="str">
        <x:v>Matched motor/scene control</x:v>
      </x:c>
      <x:c r="F111" s="31" t="str"/>
      <x:c r="G111" s="31" t="str">
        <x:v>R-CF18</x:v>
      </x:c>
      <x:c r="H111" s="31" t="str">
        <x:v>Place the red block beside the green pen.</x:v>
      </x:c>
      <x:c r="I111" s="31" t="str">
        <x:v>Place the red block beside the green pen.</x:v>
      </x:c>
      <x:c r="J111" s="31" t="str">
        <x:v>R-CF18-CTRL: green pen at back-right [REFERENCE]; red block starts 24 cm in front of the reference [TARGET START]; blue block and pink marker are distractors outside the commanded goal sector.</x:v>
      </x:c>
      <x:c r="K111" s="31" t="str">
        <x:v>red block near green pen</x:v>
      </x:c>
      <x:c r="L111" s="31" t="str">
        <x:v>Binary task success; paired with the main transfer row.</x:v>
      </x:c>
      <x:c r="M111" s="31" t="str">
        <x:v>VLA_Evaluation_Checklist_660_Final_Updated.xlsx — evaluation episode 317</x:v>
      </x:c>
      <x:c r="N111" s="31" t="str">
        <x:v>Primary motor/scene control for the transfer gap.</x:v>
      </x:c>
      <x:c r="O111" s="31" t="str">
        <x:v>Primary confirmatory</x:v>
      </x:c>
    </x:row>
    <x:row r="112" ht="44" customHeight="1">
      <x:c r="A112" s="31" t="str">
        <x:v>PVLA-RP-CTL-11</x:v>
      </x:c>
      <x:c r="B112" s="31" t="str">
        <x:v>Primary VLA</x:v>
      </x:c>
      <x:c r="C112" s="31" t="str">
        <x:v>Relational Placement</x:v>
      </x:c>
      <x:c r="D112" s="31" t="str">
        <x:v>Main matched control</x:v>
      </x:c>
      <x:c r="E112" s="31" t="str">
        <x:v>Matched motor/scene control</x:v>
      </x:c>
      <x:c r="F112" s="31" t="str"/>
      <x:c r="G112" s="31" t="str">
        <x:v>R-CF20</x:v>
      </x:c>
      <x:c r="H112" s="31" t="str">
        <x:v>Place the red block next to the green pen.</x:v>
      </x:c>
      <x:c r="I112" s="31" t="str">
        <x:v>Place the red block next to the green pen.</x:v>
      </x:c>
      <x:c r="J112" s="31" t="str">
        <x:v>R-CF20-CTRL: green pen at front-right [REFERENCE]; red block starts 21 cm behind the reference [TARGET START]; blue block and pink marker are distractors outside the commanded goal sector.</x:v>
      </x:c>
      <x:c r="K112" s="31" t="str">
        <x:v>red block near green pen</x:v>
      </x:c>
      <x:c r="L112" s="31" t="str">
        <x:v>Binary task success; paired with the main transfer row.</x:v>
      </x:c>
      <x:c r="M112" s="31" t="str">
        <x:v>VLA_Evaluation_Checklist_660_Final_Updated.xlsx — evaluation episode 319</x:v>
      </x:c>
      <x:c r="N112" s="31" t="str">
        <x:v>Primary motor/scene control for the transfer gap.</x:v>
      </x:c>
      <x:c r="O112" s="31" t="str">
        <x:v>Primary confirmatory</x:v>
      </x:c>
    </x:row>
    <x:row r="113" ht="44" customHeight="1">
      <x:c r="A113" s="31" t="str">
        <x:v>PVLA-RP-CTL-12</x:v>
      </x:c>
      <x:c r="B113" s="31" t="str">
        <x:v>Primary VLA</x:v>
      </x:c>
      <x:c r="C113" s="31" t="str">
        <x:v>Relational Placement</x:v>
      </x:c>
      <x:c r="D113" s="31" t="str">
        <x:v>Main matched control</x:v>
      </x:c>
      <x:c r="E113" s="31" t="str">
        <x:v>Matched motor/scene control</x:v>
      </x:c>
      <x:c r="F113" s="31" t="str"/>
      <x:c r="G113" s="31" t="str">
        <x:v>R-CF22</x:v>
      </x:c>
      <x:c r="H113" s="31" t="str">
        <x:v>Place the red block near the green pen.</x:v>
      </x:c>
      <x:c r="I113" s="31" t="str">
        <x:v>Place the red block near the green pen.</x:v>
      </x:c>
      <x:c r="J113" s="31" t="str">
        <x:v>R-CF22-CTRL: green pen at back-left [REFERENCE]; red block starts 18 cm to the left of the reference [TARGET START]; blue block and pink marker are distractors outside the commanded goal sector.</x:v>
      </x:c>
      <x:c r="K113" s="31" t="str">
        <x:v>red block near green pen</x:v>
      </x:c>
      <x:c r="L113" s="31" t="str">
        <x:v>Binary task success; paired with the main transfer row.</x:v>
      </x:c>
      <x:c r="M113" s="31" t="str">
        <x:v>VLA_Evaluation_Checklist_660_Final_Updated.xlsx — evaluation episode 321</x:v>
      </x:c>
      <x:c r="N113" s="31" t="str">
        <x:v>Primary motor/scene control for the transfer gap.</x:v>
      </x:c>
      <x:c r="O113" s="31" t="str">
        <x:v>Primary confirmatory</x:v>
      </x:c>
    </x:row>
    <x:row r="114" ht="44" customHeight="1">
      <x:c r="A114" s="31" t="str">
        <x:v>PVLA-RP-CTL-13</x:v>
      </x:c>
      <x:c r="B114" s="31" t="str">
        <x:v>Primary VLA</x:v>
      </x:c>
      <x:c r="C114" s="31" t="str">
        <x:v>Relational Placement</x:v>
      </x:c>
      <x:c r="D114" s="31" t="str">
        <x:v>Main matched control</x:v>
      </x:c>
      <x:c r="E114" s="31" t="str">
        <x:v>Matched motor/scene control</x:v>
      </x:c>
      <x:c r="F114" s="31" t="str"/>
      <x:c r="G114" s="31" t="str">
        <x:v>R-CF24</x:v>
      </x:c>
      <x:c r="H114" s="31" t="str">
        <x:v>Place the red block beside the green pen.</x:v>
      </x:c>
      <x:c r="I114" s="31" t="str">
        <x:v>Place the red block beside the green pen.</x:v>
      </x:c>
      <x:c r="J114" s="31" t="str">
        <x:v>R-CF24-CTRL: green pen at front-left [REFERENCE]; red block starts 24 cm to the right of the reference [TARGET START]; blue block and pink marker are distractors outside the commanded goal sector.</x:v>
      </x:c>
      <x:c r="K114" s="31" t="str">
        <x:v>red block near green pen</x:v>
      </x:c>
      <x:c r="L114" s="31" t="str">
        <x:v>Binary task success; paired with the main transfer row.</x:v>
      </x:c>
      <x:c r="M114" s="31" t="str">
        <x:v>VLA_Evaluation_Checklist_660_Final_Updated.xlsx — evaluation episode 323</x:v>
      </x:c>
      <x:c r="N114" s="31" t="str">
        <x:v>Primary motor/scene control for the transfer gap.</x:v>
      </x:c>
      <x:c r="O114" s="31" t="str">
        <x:v>Primary confirmatory</x:v>
      </x:c>
    </x:row>
    <x:row r="115" ht="44" customHeight="1">
      <x:c r="A115" s="31" t="str">
        <x:v>PVLA-RP-CTL-14</x:v>
      </x:c>
      <x:c r="B115" s="31" t="str">
        <x:v>Primary VLA</x:v>
      </x:c>
      <x:c r="C115" s="31" t="str">
        <x:v>Relational Placement</x:v>
      </x:c>
      <x:c r="D115" s="31" t="str">
        <x:v>Main matched control</x:v>
      </x:c>
      <x:c r="E115" s="31" t="str">
        <x:v>Matched motor/scene control</x:v>
      </x:c>
      <x:c r="F115" s="31" t="str"/>
      <x:c r="G115" s="31" t="str">
        <x:v>R-CF26</x:v>
      </x:c>
      <x:c r="H115" s="31" t="str">
        <x:v>Place the red block next to the green pen.</x:v>
      </x:c>
      <x:c r="I115" s="31" t="str">
        <x:v>Place the red block next to the green pen.</x:v>
      </x:c>
      <x:c r="J115" s="31" t="str">
        <x:v>R-CF26-CTRL: green pen at center [REFERENCE]; red block starts 21 cm in front of the reference [TARGET START]; blue block and pink marker are distractors outside the commanded goal sector.</x:v>
      </x:c>
      <x:c r="K115" s="31" t="str">
        <x:v>red block near green pen</x:v>
      </x:c>
      <x:c r="L115" s="31" t="str">
        <x:v>Binary task success; paired with the main transfer row.</x:v>
      </x:c>
      <x:c r="M115" s="31" t="str">
        <x:v>VLA_Evaluation_Checklist_660_Final_Updated.xlsx — evaluation episode 325</x:v>
      </x:c>
      <x:c r="N115" s="31" t="str">
        <x:v>Primary motor/scene control for the transfer gap.</x:v>
      </x:c>
      <x:c r="O115" s="31" t="str">
        <x:v>Primary confirmatory</x:v>
      </x:c>
    </x:row>
    <x:row r="116" ht="44" customHeight="1">
      <x:c r="A116" s="31" t="str">
        <x:v>PVLA-RP-CTL-15</x:v>
      </x:c>
      <x:c r="B116" s="31" t="str">
        <x:v>Primary VLA</x:v>
      </x:c>
      <x:c r="C116" s="31" t="str">
        <x:v>Relational Placement</x:v>
      </x:c>
      <x:c r="D116" s="31" t="str">
        <x:v>Main matched control</x:v>
      </x:c>
      <x:c r="E116" s="31" t="str">
        <x:v>Matched motor/scene control</x:v>
      </x:c>
      <x:c r="F116" s="31" t="str"/>
      <x:c r="G116" s="31" t="str">
        <x:v>R-CF28</x:v>
      </x:c>
      <x:c r="H116" s="31" t="str">
        <x:v>Place the red block near the green pen.</x:v>
      </x:c>
      <x:c r="I116" s="31" t="str">
        <x:v>Place the red block near the green pen.</x:v>
      </x:c>
      <x:c r="J116" s="31" t="str">
        <x:v>R-CF28-CTRL: green pen at back-right [REFERENCE]; red block starts 18 cm behind the reference [TARGET START]; blue block and pink marker are distractors outside the commanded goal sector.</x:v>
      </x:c>
      <x:c r="K116" s="31" t="str">
        <x:v>red block near green pen</x:v>
      </x:c>
      <x:c r="L116" s="31" t="str">
        <x:v>Binary task success; paired with the main transfer row.</x:v>
      </x:c>
      <x:c r="M116" s="31" t="str">
        <x:v>VLA_Evaluation_Checklist_660_Final_Updated.xlsx — evaluation episode 327</x:v>
      </x:c>
      <x:c r="N116" s="31" t="str">
        <x:v>Primary motor/scene control for the transfer gap.</x:v>
      </x:c>
      <x:c r="O116" s="31" t="str">
        <x:v>Primary confirmatory</x:v>
      </x:c>
    </x:row>
    <x:row r="117" ht="44" customHeight="1">
      <x:c r="A117" s="31" t="str">
        <x:v>PVLA-RP-CTL-16</x:v>
      </x:c>
      <x:c r="B117" s="31" t="str">
        <x:v>Primary VLA</x:v>
      </x:c>
      <x:c r="C117" s="31" t="str">
        <x:v>Relational Placement</x:v>
      </x:c>
      <x:c r="D117" s="31" t="str">
        <x:v>Main matched control</x:v>
      </x:c>
      <x:c r="E117" s="31" t="str">
        <x:v>Matched motor/scene control</x:v>
      </x:c>
      <x:c r="F117" s="31" t="str"/>
      <x:c r="G117" s="31" t="str">
        <x:v>R-CF30</x:v>
      </x:c>
      <x:c r="H117" s="31" t="str">
        <x:v>Place the red block beside the green pen.</x:v>
      </x:c>
      <x:c r="I117" s="31" t="str">
        <x:v>Place the red block beside the green pen.</x:v>
      </x:c>
      <x:c r="J117" s="31" t="str">
        <x:v>R-CF30-CTRL: green pen at front-right [REFERENCE]; red block starts 24 cm to the left of the reference [TARGET START]; blue block and pink marker are distractors outside the commanded goal sector.</x:v>
      </x:c>
      <x:c r="K117" s="31" t="str">
        <x:v>red block near green pen</x:v>
      </x:c>
      <x:c r="L117" s="31" t="str">
        <x:v>Binary task success; paired with the main transfer row.</x:v>
      </x:c>
      <x:c r="M117" s="31" t="str">
        <x:v>VLA_Evaluation_Checklist_660_Final_Updated.xlsx — evaluation episode 329</x:v>
      </x:c>
      <x:c r="N117" s="31" t="str">
        <x:v>Primary motor/scene control for the transfer gap.</x:v>
      </x:c>
      <x:c r="O117" s="31" t="str">
        <x:v>Primary confirmatory</x:v>
      </x:c>
    </x:row>
    <x:row r="118" ht="44" customHeight="1">
      <x:c r="A118" s="31" t="str">
        <x:v>PVLA-RP-ABL-BLK-01</x:v>
      </x:c>
      <x:c r="B118" s="31" t="str">
        <x:v>Primary VLA</x:v>
      </x:c>
      <x:c r="C118" s="31" t="str">
        <x:v>Relational Placement</x:v>
      </x:c>
      <x:c r="D118" s="31" t="str">
        <x:v>Language ablation — blank</x:v>
      </x:c>
      <x:c r="E118" s="31" t="str">
        <x:v>Empty instruction</x:v>
      </x:c>
      <x:c r="F118" s="31" t="str">
        <x:v>PVLA-RP-TR-01</x:v>
      </x:c>
      <x:c r="G118" s="31" t="str">
        <x:v>R-CF01</x:v>
      </x:c>
      <x:c r="H118" s="31" t="str">
        <x:v>[EMPTY STRING — provide no instruction tokens]</x:v>
      </x:c>
      <x:c r="I118" s="31" t="str">
        <x:v>Place the green pen in front of the red block.</x:v>
      </x:c>
      <x:c r="J118" s="31" t="str">
        <x:v>R-CF01-HELD: red block at center [REFERENCE]; green pen starts 18 cm behind the reference [TARGET START]; pink marker and blue block are distractors outside the commanded goal sector.</x:v>
      </x:c>
      <x:c r="K118" s="31" t="str">
        <x:v>No prespecified task success under blank language; record any action/selected target.</x:v>
      </x:c>
      <x:c r="L118" s="31" t="str">
        <x:v>Do not score ordinary task success. Record action occurrence and agreement with the parent correct-prompt rollout.</x:v>
      </x:c>
      <x:c r="M118" s="31" t="str">
        <x:v>Generated from PVLA-RP-TR-01</x:v>
      </x:c>
      <x:c r="N118" s="31" t="str">
        <x:v>Causal language-sensitivity diagnostic.</x:v>
      </x:c>
      <x:c r="O118" s="31" t="str">
        <x:v>Secondary pre-specified</x:v>
      </x:c>
    </x:row>
    <x:row r="119" ht="44" customHeight="1">
      <x:c r="A119" s="31" t="str">
        <x:v>PVLA-RP-ABL-BLK-02</x:v>
      </x:c>
      <x:c r="B119" s="31" t="str">
        <x:v>Primary VLA</x:v>
      </x:c>
      <x:c r="C119" s="31" t="str">
        <x:v>Relational Placement</x:v>
      </x:c>
      <x:c r="D119" s="31" t="str">
        <x:v>Language ablation — blank</x:v>
      </x:c>
      <x:c r="E119" s="31" t="str">
        <x:v>Empty instruction</x:v>
      </x:c>
      <x:c r="F119" s="31" t="str">
        <x:v>PVLA-RP-TR-02</x:v>
      </x:c>
      <x:c r="G119" s="31" t="str">
        <x:v>R-CF03</x:v>
      </x:c>
      <x:c r="H119" s="31" t="str">
        <x:v>[EMPTY STRING — provide no instruction tokens]</x:v>
      </x:c>
      <x:c r="I119" s="31" t="str">
        <x:v>Place the green pen to the right of the red block.</x:v>
      </x:c>
      <x:c r="J119" s="31" t="str">
        <x:v>R-CF03-HELD: red block at back-right [REFERENCE]; green pen starts 24 cm to the left of the reference [TARGET START]; pink marker and blue block are distractors outside the commanded goal sector.</x:v>
      </x:c>
      <x:c r="K119" s="31" t="str">
        <x:v>No prespecified task success under blank language; record any action/selected target.</x:v>
      </x:c>
      <x:c r="L119" s="31" t="str">
        <x:v>Do not score ordinary task success. Record action occurrence and agreement with the parent correct-prompt rollout.</x:v>
      </x:c>
      <x:c r="M119" s="31" t="str">
        <x:v>Generated from PVLA-RP-TR-02</x:v>
      </x:c>
      <x:c r="N119" s="31" t="str">
        <x:v>Causal language-sensitivity diagnostic.</x:v>
      </x:c>
      <x:c r="O119" s="31" t="str">
        <x:v>Secondary pre-specified</x:v>
      </x:c>
    </x:row>
    <x:row r="120" ht="44" customHeight="1">
      <x:c r="A120" s="31" t="str">
        <x:v>PVLA-RP-ABL-BLK-03</x:v>
      </x:c>
      <x:c r="B120" s="31" t="str">
        <x:v>Primary VLA</x:v>
      </x:c>
      <x:c r="C120" s="31" t="str">
        <x:v>Relational Placement</x:v>
      </x:c>
      <x:c r="D120" s="31" t="str">
        <x:v>Language ablation — blank</x:v>
      </x:c>
      <x:c r="E120" s="31" t="str">
        <x:v>Empty instruction</x:v>
      </x:c>
      <x:c r="F120" s="31" t="str">
        <x:v>PVLA-RP-TR-03</x:v>
      </x:c>
      <x:c r="G120" s="31" t="str">
        <x:v>R-CF05</x:v>
      </x:c>
      <x:c r="H120" s="31" t="str">
        <x:v>[EMPTY STRING — provide no instruction tokens]</x:v>
      </x:c>
      <x:c r="I120" s="31" t="str">
        <x:v>Place the green pen to the left of the red block.</x:v>
      </x:c>
      <x:c r="J120" s="31" t="str">
        <x:v>R-CF05-HELD: red block at front-right [REFERENCE]; green pen starts 21 cm to the right of the reference [TARGET START]; pink marker and blue block are distractors outside the commanded goal sector.</x:v>
      </x:c>
      <x:c r="K120" s="31" t="str">
        <x:v>No prespecified task success under blank language; record any action/selected target.</x:v>
      </x:c>
      <x:c r="L120" s="31" t="str">
        <x:v>Do not score ordinary task success. Record action occurrence and agreement with the parent correct-prompt rollout.</x:v>
      </x:c>
      <x:c r="M120" s="31" t="str">
        <x:v>Generated from PVLA-RP-TR-03</x:v>
      </x:c>
      <x:c r="N120" s="31" t="str">
        <x:v>Causal language-sensitivity diagnostic.</x:v>
      </x:c>
      <x:c r="O120" s="31" t="str">
        <x:v>Secondary pre-specified</x:v>
      </x:c>
    </x:row>
    <x:row r="121" ht="44" customHeight="1">
      <x:c r="A121" s="31" t="str">
        <x:v>PVLA-RP-ABL-BLK-04</x:v>
      </x:c>
      <x:c r="B121" s="31" t="str">
        <x:v>Primary VLA</x:v>
      </x:c>
      <x:c r="C121" s="31" t="str">
        <x:v>Relational Placement</x:v>
      </x:c>
      <x:c r="D121" s="31" t="str">
        <x:v>Language ablation — blank</x:v>
      </x:c>
      <x:c r="E121" s="31" t="str">
        <x:v>Empty instruction</x:v>
      </x:c>
      <x:c r="F121" s="31" t="str">
        <x:v>PVLA-RP-TR-04</x:v>
      </x:c>
      <x:c r="G121" s="31" t="str">
        <x:v>R-CF07</x:v>
      </x:c>
      <x:c r="H121" s="31" t="str">
        <x:v>[EMPTY STRING — provide no instruction tokens]</x:v>
      </x:c>
      <x:c r="I121" s="31" t="str">
        <x:v>Place the green pen behind the red block.</x:v>
      </x:c>
      <x:c r="J121" s="31" t="str">
        <x:v>R-CF07-HELD: red block at back-left [REFERENCE]; green pen starts 18 cm in front of the reference [TARGET START]; pink marker and blue block are distractors outside the commanded goal sector.</x:v>
      </x:c>
      <x:c r="K121" s="31" t="str">
        <x:v>No prespecified task success under blank language; record any action/selected target.</x:v>
      </x:c>
      <x:c r="L121" s="31" t="str">
        <x:v>Do not score ordinary task success. Record action occurrence and agreement with the parent correct-prompt rollout.</x:v>
      </x:c>
      <x:c r="M121" s="31" t="str">
        <x:v>Generated from PVLA-RP-TR-04</x:v>
      </x:c>
      <x:c r="N121" s="31" t="str">
        <x:v>Causal language-sensitivity diagnostic.</x:v>
      </x:c>
      <x:c r="O121" s="31" t="str">
        <x:v>Secondary pre-specified</x:v>
      </x:c>
    </x:row>
    <x:row r="122" ht="44" customHeight="1">
      <x:c r="A122" s="31" t="str">
        <x:v>PVLA-RP-ABL-CF-01</x:v>
      </x:c>
      <x:c r="B122" s="31" t="str">
        <x:v>Primary VLA</x:v>
      </x:c>
      <x:c r="C122" s="31" t="str">
        <x:v>Relational Placement</x:v>
      </x:c>
      <x:c r="D122" s="31" t="str">
        <x:v>Language ablation — counterfactual</x:v>
      </x:c>
      <x:c r="E122" s="31" t="str">
        <x:v>Same scene, changed instruction</x:v>
      </x:c>
      <x:c r="F122" s="31" t="str">
        <x:v>PVLA-RP-TR-05</x:v>
      </x:c>
      <x:c r="G122" s="31" t="str">
        <x:v>R-CF09</x:v>
      </x:c>
      <x:c r="H122" s="31" t="str">
        <x:v>Place the green pen behind the red block.</x:v>
      </x:c>
      <x:c r="I122" s="31" t="str">
        <x:v>Place the green pen behind the red block.</x:v>
      </x:c>
      <x:c r="J122" s="31" t="str">
        <x:v>R-CF09-HELD: red block at front-left [REFERENCE]; green pen starts 24 cm behind the reference [TARGET START]; pink marker and blue block are distractors outside the commanded goal sector.</x:v>
      </x:c>
      <x:c r="K122" s="31" t="str">
        <x:v>green pen → behind red block</x:v>
      </x:c>
      <x:c r="L122" s="31" t="str">
        <x:v>Binary success for the counterfactual instruction and paired action-switch analysis versus the parent.</x:v>
      </x:c>
      <x:c r="M122" s="31" t="str">
        <x:v>Generated from PVLA-RP-TR-05</x:v>
      </x:c>
      <x:c r="N122" s="31" t="str">
        <x:v>Causal language-sensitivity diagnostic.</x:v>
      </x:c>
      <x:c r="O122" s="31" t="str">
        <x:v>Secondary pre-specified</x:v>
      </x:c>
    </x:row>
    <x:row r="123" ht="44" customHeight="1">
      <x:c r="A123" s="31" t="str">
        <x:v>PVLA-RP-ABL-CF-02</x:v>
      </x:c>
      <x:c r="B123" s="31" t="str">
        <x:v>Primary VLA</x:v>
      </x:c>
      <x:c r="C123" s="31" t="str">
        <x:v>Relational Placement</x:v>
      </x:c>
      <x:c r="D123" s="31" t="str">
        <x:v>Language ablation — counterfactual</x:v>
      </x:c>
      <x:c r="E123" s="31" t="str">
        <x:v>Same scene, changed instruction</x:v>
      </x:c>
      <x:c r="F123" s="31" t="str">
        <x:v>PVLA-RP-TR-06</x:v>
      </x:c>
      <x:c r="G123" s="31" t="str">
        <x:v>R-CF11</x:v>
      </x:c>
      <x:c r="H123" s="31" t="str">
        <x:v>Place the green pen to the left of the red block.</x:v>
      </x:c>
      <x:c r="I123" s="31" t="str">
        <x:v>Place the green pen to the left of the red block.</x:v>
      </x:c>
      <x:c r="J123" s="31" t="str">
        <x:v>R-CF11-HELD: red block at center [REFERENCE]; green pen starts 21 cm to the left of the reference [TARGET START]; pink marker and blue block are distractors outside the commanded goal sector.</x:v>
      </x:c>
      <x:c r="K123" s="31" t="str">
        <x:v>green pen → to the left of red block</x:v>
      </x:c>
      <x:c r="L123" s="31" t="str">
        <x:v>Binary success for the counterfactual instruction and paired action-switch analysis versus the parent.</x:v>
      </x:c>
      <x:c r="M123" s="31" t="str">
        <x:v>Generated from PVLA-RP-TR-06</x:v>
      </x:c>
      <x:c r="N123" s="31" t="str">
        <x:v>Causal language-sensitivity diagnostic.</x:v>
      </x:c>
      <x:c r="O123" s="31" t="str">
        <x:v>Secondary pre-specified</x:v>
      </x:c>
    </x:row>
    <x:row r="124" ht="44" customHeight="1">
      <x:c r="A124" s="31" t="str">
        <x:v>PVLA-RP-ABL-CF-03</x:v>
      </x:c>
      <x:c r="B124" s="31" t="str">
        <x:v>Primary VLA</x:v>
      </x:c>
      <x:c r="C124" s="31" t="str">
        <x:v>Relational Placement</x:v>
      </x:c>
      <x:c r="D124" s="31" t="str">
        <x:v>Language ablation — counterfactual</x:v>
      </x:c>
      <x:c r="E124" s="31" t="str">
        <x:v>Same scene, changed instruction</x:v>
      </x:c>
      <x:c r="F124" s="31" t="str">
        <x:v>PVLA-RP-TR-07</x:v>
      </x:c>
      <x:c r="G124" s="31" t="str">
        <x:v>R-CF13</x:v>
      </x:c>
      <x:c r="H124" s="31" t="str">
        <x:v>Place the green pen to the right of the red block.</x:v>
      </x:c>
      <x:c r="I124" s="31" t="str">
        <x:v>Place the green pen to the right of the red block.</x:v>
      </x:c>
      <x:c r="J124" s="31" t="str">
        <x:v>R-CF13-HELD: red block at back-right [REFERENCE]; green pen starts 18 cm to the right of the reference [TARGET START]; pink marker and blue block are distractors outside the commanded goal sector.</x:v>
      </x:c>
      <x:c r="K124" s="31" t="str">
        <x:v>green pen → to the right of red block</x:v>
      </x:c>
      <x:c r="L124" s="31" t="str">
        <x:v>Binary success for the counterfactual instruction and paired action-switch analysis versus the parent.</x:v>
      </x:c>
      <x:c r="M124" s="31" t="str">
        <x:v>Generated from PVLA-RP-TR-07</x:v>
      </x:c>
      <x:c r="N124" s="31" t="str">
        <x:v>Causal language-sensitivity diagnostic.</x:v>
      </x:c>
      <x:c r="O124" s="31" t="str">
        <x:v>Secondary pre-specified</x:v>
      </x:c>
    </x:row>
    <x:row r="125" ht="44" customHeight="1">
      <x:c r="A125" s="31" t="str">
        <x:v>PVLA-RP-ABL-CF-04</x:v>
      </x:c>
      <x:c r="B125" s="31" t="str">
        <x:v>Primary VLA</x:v>
      </x:c>
      <x:c r="C125" s="31" t="str">
        <x:v>Relational Placement</x:v>
      </x:c>
      <x:c r="D125" s="31" t="str">
        <x:v>Language ablation — counterfactual</x:v>
      </x:c>
      <x:c r="E125" s="31" t="str">
        <x:v>Same scene, changed instruction</x:v>
      </x:c>
      <x:c r="F125" s="31" t="str">
        <x:v>PVLA-RP-TR-08</x:v>
      </x:c>
      <x:c r="G125" s="31" t="str">
        <x:v>R-CF15</x:v>
      </x:c>
      <x:c r="H125" s="31" t="str">
        <x:v>Place the green pen in front of the red block.</x:v>
      </x:c>
      <x:c r="I125" s="31" t="str">
        <x:v>Place the green pen in front of the red block.</x:v>
      </x:c>
      <x:c r="J125" s="31" t="str">
        <x:v>R-CF15-HELD: red block at front-right [REFERENCE]; green pen starts 24 cm in front of the reference [TARGET START]; pink marker and blue block are distractors outside the commanded goal sector.</x:v>
      </x:c>
      <x:c r="K125" s="31" t="str">
        <x:v>green pen → in front of red block</x:v>
      </x:c>
      <x:c r="L125" s="31" t="str">
        <x:v>Binary success for the counterfactual instruction and paired action-switch analysis versus the parent.</x:v>
      </x:c>
      <x:c r="M125" s="31" t="str">
        <x:v>Generated from PVLA-RP-TR-08</x:v>
      </x:c>
      <x:c r="N125" s="31" t="str">
        <x:v>Causal language-sensitivity diagnostic.</x:v>
      </x:c>
      <x:c r="O125" s="31" t="str">
        <x:v>Secondary pre-specified</x:v>
      </x:c>
    </x:row>
    <x:row r="126" ht="44" customHeight="1">
      <x:c r="A126" s="31" t="str">
        <x:v>PVLA-CT-REC-01</x:v>
      </x:c>
      <x:c r="B126" s="31" t="str">
        <x:v>Primary VLA</x:v>
      </x:c>
      <x:c r="C126" s="31" t="str">
        <x:v>Counting</x:v>
      </x:c>
      <x:c r="D126" s="31" t="str">
        <x:v>Training reconstruction</x:v>
      </x:c>
      <x:c r="E126" s="31" t="str">
        <x:v>Reconstruction</x:v>
      </x:c>
      <x:c r="F126" s="31" t="str"/>
      <x:c r="G126" s="31" t="str"/>
      <x:c r="H126" s="31" t="str">
        <x:v>Move the blue pen into the bowl.</x:v>
      </x:c>
      <x:c r="I126" s="31" t="str">
        <x:v>Move the blue pen into the bowl.</x:v>
      </x:c>
      <x:c r="J126" s="31" t="str">
        <x:v>Reconstruct planned final training episode 800: blue pen, yellow block, green pencil sharpener, airplane toy without propellers; start=Home. Match camera, calibration, bowl pose, and object geometry exactly.</x:v>
      </x:c>
      <x:c r="K126" s="31" t="str">
        <x:v>blue pen</x:v>
      </x:c>
      <x:c r="L126" s="31" t="str">
        <x:v>Binary task success using the task-specific rubric.</x:v>
      </x:c>
      <x:c r="M126" s="31" t="str">
        <x:v>VLA_Reasoning_Dataset_Info_Planned_After_61_Recollections.xlsx — Concise Manifest episode 800</x:v>
      </x:c>
      <x:c r="N126" s="31" t="str">
        <x:v>Calibration / in-distribution competence.</x:v>
      </x:c>
      <x:c r="O126" s="31" t="str">
        <x:v>Secondary benchmark</x:v>
      </x:c>
    </x:row>
    <x:row r="127" ht="44" customHeight="1">
      <x:c r="A127" s="31" t="str">
        <x:v>PVLA-CT-REC-02</x:v>
      </x:c>
      <x:c r="B127" s="31" t="str">
        <x:v>Primary VLA</x:v>
      </x:c>
      <x:c r="C127" s="31" t="str">
        <x:v>Counting</x:v>
      </x:c>
      <x:c r="D127" s="31" t="str">
        <x:v>Training reconstruction</x:v>
      </x:c>
      <x:c r="E127" s="31" t="str">
        <x:v>Reconstruction</x:v>
      </x:c>
      <x:c r="F127" s="31" t="str"/>
      <x:c r="G127" s="31" t="str"/>
      <x:c r="H127" s="31" t="str">
        <x:v>Leave no objects in the bowl.</x:v>
      </x:c>
      <x:c r="I127" s="31" t="str">
        <x:v>Leave no objects in the bowl.</x:v>
      </x:c>
      <x:c r="J127" s="31" t="str">
        <x:v>Reconstruct planned final training episode 829: blue pen, yellow block, airplane toy without propellers; start=Recovery. Match camera, calibration, bowl pose, and object geometry exactly.</x:v>
      </x:c>
      <x:c r="K127" s="31" t="str">
        <x:v>blue pen</x:v>
      </x:c>
      <x:c r="L127" s="31" t="str">
        <x:v>Binary task success using the task-specific rubric.</x:v>
      </x:c>
      <x:c r="M127" s="31" t="str">
        <x:v>VLA_Reasoning_Dataset_Info_Planned_After_61_Recollections.xlsx — Concise Manifest episode 829</x:v>
      </x:c>
      <x:c r="N127" s="31" t="str">
        <x:v>Calibration / in-distribution competence.</x:v>
      </x:c>
      <x:c r="O127" s="31" t="str">
        <x:v>Secondary benchmark</x:v>
      </x:c>
    </x:row>
    <x:row r="128" ht="44" customHeight="1">
      <x:c r="A128" s="31" t="str">
        <x:v>PVLA-CT-REC-03</x:v>
      </x:c>
      <x:c r="B128" s="31" t="str">
        <x:v>Primary VLA</x:v>
      </x:c>
      <x:c r="C128" s="31" t="str">
        <x:v>Counting</x:v>
      </x:c>
      <x:c r="D128" s="31" t="str">
        <x:v>Training reconstruction</x:v>
      </x:c>
      <x:c r="E128" s="31" t="str">
        <x:v>Reconstruction</x:v>
      </x:c>
      <x:c r="F128" s="31" t="str"/>
      <x:c r="G128" s="31" t="str"/>
      <x:c r="H128" s="31" t="str">
        <x:v>Move the yellow block into the bowl.</x:v>
      </x:c>
      <x:c r="I128" s="31" t="str">
        <x:v>Move the yellow block into the bowl.</x:v>
      </x:c>
      <x:c r="J128" s="31" t="str">
        <x:v>Reconstruct planned final training episode 850: yellow block, green pencil sharpener, airplane toy without propellers, blue pen; start=Home. Match camera, calibration, bowl pose, and object geometry exactly.</x:v>
      </x:c>
      <x:c r="K128" s="31" t="str">
        <x:v>yellow block</x:v>
      </x:c>
      <x:c r="L128" s="31" t="str">
        <x:v>Binary task success using the task-specific rubric.</x:v>
      </x:c>
      <x:c r="M128" s="31" t="str">
        <x:v>VLA_Reasoning_Dataset_Info_Planned_After_61_Recollections.xlsx — Concise Manifest episode 850</x:v>
      </x:c>
      <x:c r="N128" s="31" t="str">
        <x:v>Calibration / in-distribution competence.</x:v>
      </x:c>
      <x:c r="O128" s="31" t="str">
        <x:v>Secondary benchmark</x:v>
      </x:c>
    </x:row>
    <x:row r="129" ht="44" customHeight="1">
      <x:c r="A129" s="31" t="str">
        <x:v>PVLA-CT-REC-04</x:v>
      </x:c>
      <x:c r="B129" s="31" t="str">
        <x:v>Primary VLA</x:v>
      </x:c>
      <x:c r="C129" s="31" t="str">
        <x:v>Counting</x:v>
      </x:c>
      <x:c r="D129" s="31" t="str">
        <x:v>Training reconstruction</x:v>
      </x:c>
      <x:c r="E129" s="31" t="str">
        <x:v>Reconstruction</x:v>
      </x:c>
      <x:c r="F129" s="31" t="str"/>
      <x:c r="G129" s="31" t="str"/>
      <x:c r="H129" s="31" t="str">
        <x:v>Leave exactly two objects in the bowl.</x:v>
      </x:c>
      <x:c r="I129" s="31" t="str">
        <x:v>Leave exactly two objects in the bowl.</x:v>
      </x:c>
      <x:c r="J129" s="31" t="str">
        <x:v>Reconstruct planned final training episode 861: green pencil sharpener, yellow block, airplane toy without propellers, blue pen; start=Post-Drop. Match camera, calibration, bowl pose, and object geometry exactly.</x:v>
      </x:c>
      <x:c r="K129" s="31" t="str">
        <x:v>yellow block</x:v>
      </x:c>
      <x:c r="L129" s="31" t="str">
        <x:v>Binary task success using the task-specific rubric.</x:v>
      </x:c>
      <x:c r="M129" s="31" t="str">
        <x:v>VLA_Reasoning_Dataset_Info_Planned_After_61_Recollections.xlsx — Concise Manifest episode 861</x:v>
      </x:c>
      <x:c r="N129" s="31" t="str">
        <x:v>Calibration / in-distribution competence.</x:v>
      </x:c>
      <x:c r="O129" s="31" t="str">
        <x:v>Secondary benchmark</x:v>
      </x:c>
    </x:row>
    <x:row r="130" ht="44" customHeight="1">
      <x:c r="A130" s="31" t="str">
        <x:v>PVLA-CT-REC-05</x:v>
      </x:c>
      <x:c r="B130" s="31" t="str">
        <x:v>Primary VLA</x:v>
      </x:c>
      <x:c r="C130" s="31" t="str">
        <x:v>Counting</x:v>
      </x:c>
      <x:c r="D130" s="31" t="str">
        <x:v>Training reconstruction</x:v>
      </x:c>
      <x:c r="E130" s="31" t="str">
        <x:v>Reconstruction</x:v>
      </x:c>
      <x:c r="F130" s="31" t="str"/>
      <x:c r="G130" s="31" t="str"/>
      <x:c r="H130" s="31" t="str">
        <x:v>Remove the yellow block from the bowl.</x:v>
      </x:c>
      <x:c r="I130" s="31" t="str">
        <x:v>Remove the yellow block from the bowl.</x:v>
      </x:c>
      <x:c r="J130" s="31" t="str">
        <x:v>Reconstruct planned final training episode 896: yellow block, green pencil sharpener, airplane toy without propellers, blue pen; start=Post-Drop. Match camera, calibration, bowl pose, and object geometry exactly.</x:v>
      </x:c>
      <x:c r="K130" s="31" t="str">
        <x:v>yellow block</x:v>
      </x:c>
      <x:c r="L130" s="31" t="str">
        <x:v>Binary task success using the task-specific rubric.</x:v>
      </x:c>
      <x:c r="M130" s="31" t="str">
        <x:v>VLA_Reasoning_Dataset_Info_Planned_After_61_Recollections.xlsx — Concise Manifest episode 896</x:v>
      </x:c>
      <x:c r="N130" s="31" t="str">
        <x:v>Calibration / in-distribution competence.</x:v>
      </x:c>
      <x:c r="O130" s="31" t="str">
        <x:v>Secondary benchmark</x:v>
      </x:c>
    </x:row>
    <x:row r="131" ht="44" customHeight="1">
      <x:c r="A131" s="31" t="str">
        <x:v>PVLA-CT-REC-06</x:v>
      </x:c>
      <x:c r="B131" s="31" t="str">
        <x:v>Primary VLA</x:v>
      </x:c>
      <x:c r="C131" s="31" t="str">
        <x:v>Counting</x:v>
      </x:c>
      <x:c r="D131" s="31" t="str">
        <x:v>Training reconstruction</x:v>
      </x:c>
      <x:c r="E131" s="31" t="str">
        <x:v>Reconstruction</x:v>
      </x:c>
      <x:c r="F131" s="31" t="str"/>
      <x:c r="G131" s="31" t="str"/>
      <x:c r="H131" s="31" t="str">
        <x:v>Move the airplane toy without propellers into the bowl.</x:v>
      </x:c>
      <x:c r="I131" s="31" t="str">
        <x:v>Move the airplane toy without propellers into the bowl.</x:v>
      </x:c>
      <x:c r="J131" s="31" t="str">
        <x:v>Reconstruct planned final training episode 950: airplane toy without propellers, blue pen, yellow block, green pencil sharpener; start=Home. Match camera, calibration, bowl pose, and object geometry exactly.</x:v>
      </x:c>
      <x:c r="K131" s="31" t="str">
        <x:v>airplane toy without propellers</x:v>
      </x:c>
      <x:c r="L131" s="31" t="str">
        <x:v>Binary task success using the task-specific rubric.</x:v>
      </x:c>
      <x:c r="M131" s="31" t="str">
        <x:v>VLA_Reasoning_Dataset_Info_Planned_After_61_Recollections.xlsx — Concise Manifest episode 950</x:v>
      </x:c>
      <x:c r="N131" s="31" t="str">
        <x:v>Calibration / in-distribution competence.</x:v>
      </x:c>
      <x:c r="O131" s="31" t="str">
        <x:v>Secondary benchmark</x:v>
      </x:c>
    </x:row>
    <x:row r="132" ht="44" customHeight="1">
      <x:c r="A132" s="31" t="str">
        <x:v>PVLA-CT-NOV-01</x:v>
      </x:c>
      <x:c r="B132" s="31" t="str">
        <x:v>Primary VLA</x:v>
      </x:c>
      <x:c r="C132" s="31" t="str">
        <x:v>Counting</x:v>
      </x:c>
      <x:c r="D132" s="31" t="str">
        <x:v>Novel layout + seen language</x:v>
      </x:c>
      <x:c r="E132" s="31" t="str">
        <x:v>Visual generalization</x:v>
      </x:c>
      <x:c r="F132" s="31" t="str"/>
      <x:c r="G132" s="31" t="str"/>
      <x:c r="H132" s="31" t="str">
        <x:v>Make the bowl contain exactly two objects.</x:v>
      </x:c>
      <x:c r="I132" s="31" t="str">
        <x:v>Make the bowl contain exactly two objects.</x:v>
      </x:c>
      <x:c r="J132" s="31" t="str">
        <x:v>C-N01: bowl=[blue pen] (1); table left→right=[yellow block, green pencil sharpener, airplane toy without propellers]; robot home.</x:v>
      </x:c>
      <x:c r="K132" s="31" t="str"/>
      <x:c r="L132" s="31" t="str">
        <x:v>Binary task success using the task-specific rubric.</x:v>
      </x:c>
      <x:c r="M132" s="31" t="str">
        <x:v>VLA_Evaluation_Checklist_660_Final_Updated.xlsx — evaluation episode 560</x:v>
      </x:c>
      <x:c r="N132" s="31" t="str">
        <x:v>Seen-language visual generalization.</x:v>
      </x:c>
      <x:c r="O132" s="31" t="str">
        <x:v>Secondary benchmark</x:v>
      </x:c>
    </x:row>
    <x:row r="133" ht="44" customHeight="1">
      <x:c r="A133" s="31" t="str">
        <x:v>PVLA-CT-NOV-02</x:v>
      </x:c>
      <x:c r="B133" s="31" t="str">
        <x:v>Primary VLA</x:v>
      </x:c>
      <x:c r="C133" s="31" t="str">
        <x:v>Counting</x:v>
      </x:c>
      <x:c r="D133" s="31" t="str">
        <x:v>Novel layout + seen language</x:v>
      </x:c>
      <x:c r="E133" s="31" t="str">
        <x:v>Visual generalization</x:v>
      </x:c>
      <x:c r="F133" s="31" t="str"/>
      <x:c r="G133" s="31" t="str"/>
      <x:c r="H133" s="31" t="str">
        <x:v>Make the bowl contain exactly two objects.</x:v>
      </x:c>
      <x:c r="I133" s="31" t="str">
        <x:v>Make the bowl contain exactly two objects.</x:v>
      </x:c>
      <x:c r="J133" s="31" t="str">
        <x:v>C-N04: bowl=[airplane toy without propellers, blue pen, yellow block] (3); table left→right=[green pencil sharpener]; robot home.</x:v>
      </x:c>
      <x:c r="K133" s="31" t="str"/>
      <x:c r="L133" s="31" t="str">
        <x:v>Binary task success using the task-specific rubric.</x:v>
      </x:c>
      <x:c r="M133" s="31" t="str">
        <x:v>VLA_Evaluation_Checklist_660_Final_Updated.xlsx — evaluation episode 563</x:v>
      </x:c>
      <x:c r="N133" s="31" t="str">
        <x:v>Seen-language visual generalization.</x:v>
      </x:c>
      <x:c r="O133" s="31" t="str">
        <x:v>Secondary benchmark</x:v>
      </x:c>
    </x:row>
    <x:row r="134" ht="44" customHeight="1">
      <x:c r="A134" s="31" t="str">
        <x:v>PVLA-CT-NOV-03</x:v>
      </x:c>
      <x:c r="B134" s="31" t="str">
        <x:v>Primary VLA</x:v>
      </x:c>
      <x:c r="C134" s="31" t="str">
        <x:v>Counting</x:v>
      </x:c>
      <x:c r="D134" s="31" t="str">
        <x:v>Novel layout + seen language</x:v>
      </x:c>
      <x:c r="E134" s="31" t="str">
        <x:v>Visual generalization</x:v>
      </x:c>
      <x:c r="F134" s="31" t="str"/>
      <x:c r="G134" s="31" t="str"/>
      <x:c r="H134" s="31" t="str">
        <x:v>Adjust the bowl so that it contains two objects.</x:v>
      </x:c>
      <x:c r="I134" s="31" t="str">
        <x:v>Adjust the bowl so that it contains two objects.</x:v>
      </x:c>
      <x:c r="J134" s="31" t="str">
        <x:v>C-N06: bowl=[yellow block, green pencil sharpener, airplane toy without propellers] (3); table left→right=[blue pen]; robot home.</x:v>
      </x:c>
      <x:c r="K134" s="31" t="str"/>
      <x:c r="L134" s="31" t="str">
        <x:v>Binary task success using the task-specific rubric.</x:v>
      </x:c>
      <x:c r="M134" s="31" t="str">
        <x:v>VLA_Evaluation_Checklist_660_Final_Updated.xlsx — evaluation episode 565</x:v>
      </x:c>
      <x:c r="N134" s="31" t="str">
        <x:v>Seen-language visual generalization.</x:v>
      </x:c>
      <x:c r="O134" s="31" t="str">
        <x:v>Secondary benchmark</x:v>
      </x:c>
    </x:row>
    <x:row r="135" ht="44" customHeight="1">
      <x:c r="A135" s="31" t="str">
        <x:v>PVLA-CT-NOV-04</x:v>
      </x:c>
      <x:c r="B135" s="31" t="str">
        <x:v>Primary VLA</x:v>
      </x:c>
      <x:c r="C135" s="31" t="str">
        <x:v>Counting</x:v>
      </x:c>
      <x:c r="D135" s="31" t="str">
        <x:v>Novel layout + seen language</x:v>
      </x:c>
      <x:c r="E135" s="31" t="str">
        <x:v>Visual generalization</x:v>
      </x:c>
      <x:c r="F135" s="31" t="str"/>
      <x:c r="G135" s="31" t="str"/>
      <x:c r="H135" s="31" t="str">
        <x:v>Adjust the bowl so that it contains two objects.</x:v>
      </x:c>
      <x:c r="I135" s="31" t="str">
        <x:v>Adjust the bowl so that it contains two objects.</x:v>
      </x:c>
      <x:c r="J135" s="31" t="str">
        <x:v>C-N09: bowl=[blue pen] (1); table left→right=[yellow block, green pencil sharpener, airplane toy without propellers]; robot home.</x:v>
      </x:c>
      <x:c r="K135" s="31" t="str"/>
      <x:c r="L135" s="31" t="str">
        <x:v>Binary task success using the task-specific rubric.</x:v>
      </x:c>
      <x:c r="M135" s="31" t="str">
        <x:v>VLA_Evaluation_Checklist_660_Final_Updated.xlsx — evaluation episode 568</x:v>
      </x:c>
      <x:c r="N135" s="31" t="str">
        <x:v>Seen-language visual generalization.</x:v>
      </x:c>
      <x:c r="O135" s="31" t="str">
        <x:v>Secondary benchmark</x:v>
      </x:c>
    </x:row>
    <x:row r="136" ht="44" customHeight="1">
      <x:c r="A136" s="31" t="str">
        <x:v>PVLA-CT-NOV-05</x:v>
      </x:c>
      <x:c r="B136" s="31" t="str">
        <x:v>Primary VLA</x:v>
      </x:c>
      <x:c r="C136" s="31" t="str">
        <x:v>Counting</x:v>
      </x:c>
      <x:c r="D136" s="31" t="str">
        <x:v>Novel layout + seen language</x:v>
      </x:c>
      <x:c r="E136" s="31" t="str">
        <x:v>Visual generalization</x:v>
      </x:c>
      <x:c r="F136" s="31" t="str"/>
      <x:c r="G136" s="31" t="str"/>
      <x:c r="H136" s="31" t="str">
        <x:v>Adjust the bowl so that it contains zero objects.</x:v>
      </x:c>
      <x:c r="I136" s="31" t="str">
        <x:v>Adjust the bowl so that it contains zero objects.</x:v>
      </x:c>
      <x:c r="J136" s="31" t="str">
        <x:v>C-N12: bowl=[yellow block] (1); table left→right=[green pencil sharpener, airplane toy without propellers, blue pen]; robot home.</x:v>
      </x:c>
      <x:c r="K136" s="31" t="str"/>
      <x:c r="L136" s="31" t="str">
        <x:v>Binary task success using the task-specific rubric.</x:v>
      </x:c>
      <x:c r="M136" s="31" t="str">
        <x:v>VLA_Evaluation_Checklist_660_Final_Updated.xlsx — evaluation episode 571</x:v>
      </x:c>
      <x:c r="N136" s="31" t="str">
        <x:v>Seen-language visual generalization.</x:v>
      </x:c>
      <x:c r="O136" s="31" t="str">
        <x:v>Secondary benchmark</x:v>
      </x:c>
    </x:row>
    <x:row r="137" ht="44" customHeight="1">
      <x:c r="A137" s="31" t="str">
        <x:v>PVLA-CT-NOV-06</x:v>
      </x:c>
      <x:c r="B137" s="31" t="str">
        <x:v>Primary VLA</x:v>
      </x:c>
      <x:c r="C137" s="31" t="str">
        <x:v>Counting</x:v>
      </x:c>
      <x:c r="D137" s="31" t="str">
        <x:v>Novel layout + seen language</x:v>
      </x:c>
      <x:c r="E137" s="31" t="str">
        <x:v>Visual generalization</x:v>
      </x:c>
      <x:c r="F137" s="31" t="str"/>
      <x:c r="G137" s="31" t="str"/>
      <x:c r="H137" s="31" t="str">
        <x:v>Adjust the bowl so that it contains zero objects.</x:v>
      </x:c>
      <x:c r="I137" s="31" t="str">
        <x:v>Adjust the bowl so that it contains zero objects.</x:v>
      </x:c>
      <x:c r="J137" s="31" t="str">
        <x:v>C-N15: bowl=[blue pen] (1); table left→right=[yellow block, green pencil sharpener, airplane toy without propellers]; robot home.</x:v>
      </x:c>
      <x:c r="K137" s="31" t="str"/>
      <x:c r="L137" s="31" t="str">
        <x:v>Binary task success using the task-specific rubric.</x:v>
      </x:c>
      <x:c r="M137" s="31" t="str">
        <x:v>VLA_Evaluation_Checklist_660_Final_Updated.xlsx — evaluation episode 574</x:v>
      </x:c>
      <x:c r="N137" s="31" t="str">
        <x:v>Seen-language visual generalization.</x:v>
      </x:c>
      <x:c r="O137" s="31" t="str">
        <x:v>Secondary benchmark</x:v>
      </x:c>
    </x:row>
    <x:row r="138" ht="44" customHeight="1">
      <x:c r="A138" s="31" t="str">
        <x:v>PVLA-CT-NOV-07</x:v>
      </x:c>
      <x:c r="B138" s="31" t="str">
        <x:v>Primary VLA</x:v>
      </x:c>
      <x:c r="C138" s="31" t="str">
        <x:v>Counting</x:v>
      </x:c>
      <x:c r="D138" s="31" t="str">
        <x:v>Novel layout + seen language</x:v>
      </x:c>
      <x:c r="E138" s="31" t="str">
        <x:v>Visual generalization</x:v>
      </x:c>
      <x:c r="F138" s="31" t="str"/>
      <x:c r="G138" s="31" t="str"/>
      <x:c r="H138" s="31" t="str">
        <x:v>Make the bowl contain exactly zero objects.</x:v>
      </x:c>
      <x:c r="I138" s="31" t="str">
        <x:v>Make the bowl contain exactly zero objects.</x:v>
      </x:c>
      <x:c r="J138" s="31" t="str">
        <x:v>C-N17: bowl=[green pencil sharpener] (1); table left→right=[airplane toy without propellers, blue pen, yellow block]; robot home.</x:v>
      </x:c>
      <x:c r="K138" s="31" t="str"/>
      <x:c r="L138" s="31" t="str">
        <x:v>Binary task success using the task-specific rubric.</x:v>
      </x:c>
      <x:c r="M138" s="31" t="str">
        <x:v>VLA_Evaluation_Checklist_660_Final_Updated.xlsx — evaluation episode 576</x:v>
      </x:c>
      <x:c r="N138" s="31" t="str">
        <x:v>Seen-language visual generalization.</x:v>
      </x:c>
      <x:c r="O138" s="31" t="str">
        <x:v>Secondary benchmark</x:v>
      </x:c>
    </x:row>
    <x:row r="139" ht="44" customHeight="1">
      <x:c r="A139" s="31" t="str">
        <x:v>PVLA-CT-NOV-08</x:v>
      </x:c>
      <x:c r="B139" s="31" t="str">
        <x:v>Primary VLA</x:v>
      </x:c>
      <x:c r="C139" s="31" t="str">
        <x:v>Counting</x:v>
      </x:c>
      <x:c r="D139" s="31" t="str">
        <x:v>Novel layout + seen language</x:v>
      </x:c>
      <x:c r="E139" s="31" t="str">
        <x:v>Visual generalization</x:v>
      </x:c>
      <x:c r="F139" s="31" t="str"/>
      <x:c r="G139" s="31" t="str"/>
      <x:c r="H139" s="31" t="str">
        <x:v>Make the bowl contain exactly zero objects.</x:v>
      </x:c>
      <x:c r="I139" s="31" t="str">
        <x:v>Make the bowl contain exactly zero objects.</x:v>
      </x:c>
      <x:c r="J139" s="31" t="str">
        <x:v>C-N20: bowl=[yellow block] (1); table left→right=[green pencil sharpener, airplane toy without propellers, blue pen]; robot home.</x:v>
      </x:c>
      <x:c r="K139" s="31" t="str"/>
      <x:c r="L139" s="31" t="str">
        <x:v>Binary task success using the task-specific rubric.</x:v>
      </x:c>
      <x:c r="M139" s="31" t="str">
        <x:v>VLA_Evaluation_Checklist_660_Final_Updated.xlsx — evaluation episode 579</x:v>
      </x:c>
      <x:c r="N139" s="31" t="str">
        <x:v>Seen-language visual generalization.</x:v>
      </x:c>
      <x:c r="O139" s="31" t="str">
        <x:v>Secondary benchmark</x:v>
      </x:c>
    </x:row>
    <x:row r="140" ht="44" customHeight="1">
      <x:c r="A140" s="31" t="str">
        <x:v>PVLA-CT-PAR-01</x:v>
      </x:c>
      <x:c r="B140" s="31" t="str">
        <x:v>Primary VLA</x:v>
      </x:c>
      <x:c r="C140" s="31" t="str">
        <x:v>Counting</x:v>
      </x:c>
      <x:c r="D140" s="31" t="str">
        <x:v>Exact-scene paraphrase</x:v>
      </x:c>
      <x:c r="E140" s="31" t="str">
        <x:v>Language robustness</x:v>
      </x:c>
      <x:c r="F140" s="31" t="str"/>
      <x:c r="G140" s="31" t="str"/>
      <x:c r="H140" s="31" t="str">
        <x:v>Finish with two objects in the bowl.</x:v>
      </x:c>
      <x:c r="I140" s="31" t="str">
        <x:v>Finish with two objects in the bowl.</x:v>
      </x:c>
      <x:c r="J140" s="31" t="str">
        <x:v>C-N01: bowl=[blue pen] (1); table left→right=[yellow block, green pencil sharpener, airplane toy without propellers]; robot home.</x:v>
      </x:c>
      <x:c r="K140" s="31" t="str"/>
      <x:c r="L140" s="31" t="str">
        <x:v>Binary task success; compare with the seen-language row sharing Pair ID.</x:v>
      </x:c>
      <x:c r="M140" s="31" t="str">
        <x:v>VLA_Evaluation_Checklist_660_Final_Updated.xlsx — evaluation episode 580</x:v>
      </x:c>
      <x:c r="N140" s="31" t="str">
        <x:v>Exact-scene paraphrase robustness.</x:v>
      </x:c>
      <x:c r="O140" s="31" t="str">
        <x:v>Secondary benchmark</x:v>
      </x:c>
    </x:row>
    <x:row r="141" ht="44" customHeight="1">
      <x:c r="A141" s="31" t="str">
        <x:v>PVLA-CT-PAR-02</x:v>
      </x:c>
      <x:c r="B141" s="31" t="str">
        <x:v>Primary VLA</x:v>
      </x:c>
      <x:c r="C141" s="31" t="str">
        <x:v>Counting</x:v>
      </x:c>
      <x:c r="D141" s="31" t="str">
        <x:v>Exact-scene paraphrase</x:v>
      </x:c>
      <x:c r="E141" s="31" t="str">
        <x:v>Language robustness</x:v>
      </x:c>
      <x:c r="F141" s="31" t="str"/>
      <x:c r="G141" s="31" t="str"/>
      <x:c r="H141" s="31" t="str">
        <x:v>Finish with two objects in the bowl.</x:v>
      </x:c>
      <x:c r="I141" s="31" t="str">
        <x:v>Finish with two objects in the bowl.</x:v>
      </x:c>
      <x:c r="J141" s="31" t="str">
        <x:v>C-N01: bowl=[blue pen] (1); table left→right=[yellow block, green pencil sharpener, airplane toy without propellers]; robot home.</x:v>
      </x:c>
      <x:c r="K141" s="31" t="str"/>
      <x:c r="L141" s="31" t="str">
        <x:v>Binary task success; compare with the seen-language row sharing Pair ID.</x:v>
      </x:c>
      <x:c r="M141" s="31" t="str">
        <x:v>VLA_Evaluation_Checklist_660_Final_Updated.xlsx — evaluation episode 580</x:v>
      </x:c>
      <x:c r="N141" s="31" t="str">
        <x:v>Exact-scene paraphrase robustness.</x:v>
      </x:c>
      <x:c r="O141" s="31" t="str">
        <x:v>Secondary benchmark</x:v>
      </x:c>
    </x:row>
    <x:row r="142" ht="44" customHeight="1">
      <x:c r="A142" s="31" t="str">
        <x:v>PVLA-CT-PAR-03</x:v>
      </x:c>
      <x:c r="B142" s="31" t="str">
        <x:v>Primary VLA</x:v>
      </x:c>
      <x:c r="C142" s="31" t="str">
        <x:v>Counting</x:v>
      </x:c>
      <x:c r="D142" s="31" t="str">
        <x:v>Exact-scene paraphrase</x:v>
      </x:c>
      <x:c r="E142" s="31" t="str">
        <x:v>Language robustness</x:v>
      </x:c>
      <x:c r="F142" s="31" t="str"/>
      <x:c r="G142" s="31" t="str"/>
      <x:c r="H142" s="31" t="str">
        <x:v>Finish with two objects in the bowl.</x:v>
      </x:c>
      <x:c r="I142" s="31" t="str">
        <x:v>Finish with two objects in the bowl.</x:v>
      </x:c>
      <x:c r="J142" s="31" t="str">
        <x:v>C-N01: bowl=[blue pen] (1); table left→right=[yellow block, green pencil sharpener, airplane toy without propellers]; robot home.</x:v>
      </x:c>
      <x:c r="K142" s="31" t="str"/>
      <x:c r="L142" s="31" t="str">
        <x:v>Binary task success; compare with the seen-language row sharing Pair ID.</x:v>
      </x:c>
      <x:c r="M142" s="31" t="str">
        <x:v>VLA_Evaluation_Checklist_660_Final_Updated.xlsx — evaluation episode 580</x:v>
      </x:c>
      <x:c r="N142" s="31" t="str">
        <x:v>Exact-scene paraphrase robustness.</x:v>
      </x:c>
      <x:c r="O142" s="31" t="str">
        <x:v>Secondary benchmark</x:v>
      </x:c>
    </x:row>
    <x:row r="143" ht="44" customHeight="1">
      <x:c r="A143" s="31" t="str">
        <x:v>PVLA-CT-PAR-04</x:v>
      </x:c>
      <x:c r="B143" s="31" t="str">
        <x:v>Primary VLA</x:v>
      </x:c>
      <x:c r="C143" s="31" t="str">
        <x:v>Counting</x:v>
      </x:c>
      <x:c r="D143" s="31" t="str">
        <x:v>Exact-scene paraphrase</x:v>
      </x:c>
      <x:c r="E143" s="31" t="str">
        <x:v>Language robustness</x:v>
      </x:c>
      <x:c r="F143" s="31" t="str"/>
      <x:c r="G143" s="31" t="str"/>
      <x:c r="H143" s="31" t="str">
        <x:v>Finish with two objects in the bowl.</x:v>
      </x:c>
      <x:c r="I143" s="31" t="str">
        <x:v>Finish with two objects in the bowl.</x:v>
      </x:c>
      <x:c r="J143" s="31" t="str">
        <x:v>C-N01: bowl=[blue pen] (1); table left→right=[yellow block, green pencil sharpener, airplane toy without propellers]; robot home.</x:v>
      </x:c>
      <x:c r="K143" s="31" t="str"/>
      <x:c r="L143" s="31" t="str">
        <x:v>Binary task success; compare with the seen-language row sharing Pair ID.</x:v>
      </x:c>
      <x:c r="M143" s="31" t="str">
        <x:v>VLA_Evaluation_Checklist_660_Final_Updated.xlsx — evaluation episode 580</x:v>
      </x:c>
      <x:c r="N143" s="31" t="str">
        <x:v>Exact-scene paraphrase robustness.</x:v>
      </x:c>
      <x:c r="O143" s="31" t="str">
        <x:v>Secondary benchmark</x:v>
      </x:c>
    </x:row>
    <x:row r="144" ht="44" customHeight="1">
      <x:c r="A144" s="31" t="str">
        <x:v>PVLA-CT-PAR-05</x:v>
      </x:c>
      <x:c r="B144" s="31" t="str">
        <x:v>Primary VLA</x:v>
      </x:c>
      <x:c r="C144" s="31" t="str">
        <x:v>Counting</x:v>
      </x:c>
      <x:c r="D144" s="31" t="str">
        <x:v>Exact-scene paraphrase</x:v>
      </x:c>
      <x:c r="E144" s="31" t="str">
        <x:v>Language robustness</x:v>
      </x:c>
      <x:c r="F144" s="31" t="str"/>
      <x:c r="G144" s="31" t="str"/>
      <x:c r="H144" s="31" t="str">
        <x:v>Finish with two objects in the bowl.</x:v>
      </x:c>
      <x:c r="I144" s="31" t="str">
        <x:v>Finish with two objects in the bowl.</x:v>
      </x:c>
      <x:c r="J144" s="31" t="str">
        <x:v>C-N01: bowl=[blue pen] (1); table left→right=[yellow block, green pencil sharpener, airplane toy without propellers]; robot home.</x:v>
      </x:c>
      <x:c r="K144" s="31" t="str"/>
      <x:c r="L144" s="31" t="str">
        <x:v>Binary task success; compare with the seen-language row sharing Pair ID.</x:v>
      </x:c>
      <x:c r="M144" s="31" t="str">
        <x:v>VLA_Evaluation_Checklist_660_Final_Updated.xlsx — evaluation episode 580</x:v>
      </x:c>
      <x:c r="N144" s="31" t="str">
        <x:v>Exact-scene paraphrase robustness.</x:v>
      </x:c>
      <x:c r="O144" s="31" t="str">
        <x:v>Secondary benchmark</x:v>
      </x:c>
    </x:row>
    <x:row r="145" ht="44" customHeight="1">
      <x:c r="A145" s="31" t="str">
        <x:v>PVLA-CT-PAR-06</x:v>
      </x:c>
      <x:c r="B145" s="31" t="str">
        <x:v>Primary VLA</x:v>
      </x:c>
      <x:c r="C145" s="31" t="str">
        <x:v>Counting</x:v>
      </x:c>
      <x:c r="D145" s="31" t="str">
        <x:v>Exact-scene paraphrase</x:v>
      </x:c>
      <x:c r="E145" s="31" t="str">
        <x:v>Language robustness</x:v>
      </x:c>
      <x:c r="F145" s="31" t="str"/>
      <x:c r="G145" s="31" t="str"/>
      <x:c r="H145" s="31" t="str">
        <x:v>Finish with two objects in the bowl.</x:v>
      </x:c>
      <x:c r="I145" s="31" t="str">
        <x:v>Finish with two objects in the bowl.</x:v>
      </x:c>
      <x:c r="J145" s="31" t="str">
        <x:v>C-N01: bowl=[blue pen] (1); table left→right=[yellow block, green pencil sharpener, airplane toy without propellers]; robot home.</x:v>
      </x:c>
      <x:c r="K145" s="31" t="str"/>
      <x:c r="L145" s="31" t="str">
        <x:v>Binary task success; compare with the seen-language row sharing Pair ID.</x:v>
      </x:c>
      <x:c r="M145" s="31" t="str">
        <x:v>VLA_Evaluation_Checklist_660_Final_Updated.xlsx — evaluation episode 580</x:v>
      </x:c>
      <x:c r="N145" s="31" t="str">
        <x:v>Exact-scene paraphrase robustness.</x:v>
      </x:c>
      <x:c r="O145" s="31" t="str">
        <x:v>Secondary benchmark</x:v>
      </x:c>
    </x:row>
    <x:row r="146" ht="44" customHeight="1">
      <x:c r="A146" s="31" t="str">
        <x:v>PVLA-CT-PAR-07</x:v>
      </x:c>
      <x:c r="B146" s="31" t="str">
        <x:v>Primary VLA</x:v>
      </x:c>
      <x:c r="C146" s="31" t="str">
        <x:v>Counting</x:v>
      </x:c>
      <x:c r="D146" s="31" t="str">
        <x:v>Exact-scene paraphrase</x:v>
      </x:c>
      <x:c r="E146" s="31" t="str">
        <x:v>Language robustness</x:v>
      </x:c>
      <x:c r="F146" s="31" t="str"/>
      <x:c r="G146" s="31" t="str"/>
      <x:c r="H146" s="31" t="str">
        <x:v>Finish with two objects in the bowl.</x:v>
      </x:c>
      <x:c r="I146" s="31" t="str">
        <x:v>Finish with two objects in the bowl.</x:v>
      </x:c>
      <x:c r="J146" s="31" t="str">
        <x:v>C-N01: bowl=[blue pen] (1); table left→right=[yellow block, green pencil sharpener, airplane toy without propellers]; robot home.</x:v>
      </x:c>
      <x:c r="K146" s="31" t="str"/>
      <x:c r="L146" s="31" t="str">
        <x:v>Binary task success; compare with the seen-language row sharing Pair ID.</x:v>
      </x:c>
      <x:c r="M146" s="31" t="str">
        <x:v>VLA_Evaluation_Checklist_660_Final_Updated.xlsx — evaluation episode 580</x:v>
      </x:c>
      <x:c r="N146" s="31" t="str">
        <x:v>Exact-scene paraphrase robustness.</x:v>
      </x:c>
      <x:c r="O146" s="31" t="str">
        <x:v>Secondary benchmark</x:v>
      </x:c>
    </x:row>
    <x:row r="147" ht="44" customHeight="1">
      <x:c r="A147" s="31" t="str">
        <x:v>PVLA-CT-PAR-08</x:v>
      </x:c>
      <x:c r="B147" s="31" t="str">
        <x:v>Primary VLA</x:v>
      </x:c>
      <x:c r="C147" s="31" t="str">
        <x:v>Counting</x:v>
      </x:c>
      <x:c r="D147" s="31" t="str">
        <x:v>Exact-scene paraphrase</x:v>
      </x:c>
      <x:c r="E147" s="31" t="str">
        <x:v>Language robustness</x:v>
      </x:c>
      <x:c r="F147" s="31" t="str"/>
      <x:c r="G147" s="31" t="str"/>
      <x:c r="H147" s="31" t="str">
        <x:v>Finish with two objects in the bowl.</x:v>
      </x:c>
      <x:c r="I147" s="31" t="str">
        <x:v>Finish with two objects in the bowl.</x:v>
      </x:c>
      <x:c r="J147" s="31" t="str">
        <x:v>C-N01: bowl=[blue pen] (1); table left→right=[yellow block, green pencil sharpener, airplane toy without propellers]; robot home.</x:v>
      </x:c>
      <x:c r="K147" s="31" t="str"/>
      <x:c r="L147" s="31" t="str">
        <x:v>Binary task success; compare with the seen-language row sharing Pair ID.</x:v>
      </x:c>
      <x:c r="M147" s="31" t="str">
        <x:v>VLA_Evaluation_Checklist_660_Final_Updated.xlsx — evaluation episode 580</x:v>
      </x:c>
      <x:c r="N147" s="31" t="str">
        <x:v>Exact-scene paraphrase robustness.</x:v>
      </x:c>
      <x:c r="O147" s="31" t="str">
        <x:v>Secondary benchmark</x:v>
      </x:c>
    </x:row>
    <x:row r="148" ht="44" customHeight="1">
      <x:c r="A148" s="31" t="str">
        <x:v>PVLA-CT-TR-01</x:v>
      </x:c>
      <x:c r="B148" s="31" t="str">
        <x:v>Primary VLA</x:v>
      </x:c>
      <x:c r="C148" s="31" t="str">
        <x:v>Counting</x:v>
      </x:c>
      <x:c r="D148" s="31" t="str">
        <x:v>Main held-out transfer</x:v>
      </x:c>
      <x:c r="E148" s="31" t="str">
        <x:v>Semantic/compositional transfer</x:v>
      </x:c>
      <x:c r="F148" s="31" t="str"/>
      <x:c r="G148" s="31" t="str">
        <x:v>C-CF01-A</x:v>
      </x:c>
      <x:c r="H148" s="31" t="str">
        <x:v>Leave exactly one object in the bowl.</x:v>
      </x:c>
      <x:c r="I148" s="31" t="str">
        <x:v>Leave exactly one object in the bowl.</x:v>
      </x:c>
      <x:c r="J148" s="31" t="str">
        <x:v>C-CF01A: bowl=[blue pen, yellow block] (2); table=[green pencil sharpener, airplane toy without propellers]; robot home; acceptable action=remove either bowl object.</x:v>
      </x:c>
      <x:c r="K148" s="31" t="str">
        <x:v>REMOVE one bowl object</x:v>
      </x:c>
      <x:c r="L148" s="31" t="str">
        <x:v>Binary task success; paired with the main matched-control row.</x:v>
      </x:c>
      <x:c r="M148" s="31" t="str">
        <x:v>VLA_Evaluation_Checklist_660_Final_Updated.xlsx — evaluation episode 600</x:v>
      </x:c>
      <x:c r="N148" s="31" t="str">
        <x:v>Primary held-out transfer endpoint.</x:v>
      </x:c>
      <x:c r="O148" s="31" t="str">
        <x:v>Primary confirmatory</x:v>
      </x:c>
    </x:row>
    <x:row r="149" ht="44" customHeight="1">
      <x:c r="A149" s="31" t="str">
        <x:v>PVLA-CT-TR-02</x:v>
      </x:c>
      <x:c r="B149" s="31" t="str">
        <x:v>Primary VLA</x:v>
      </x:c>
      <x:c r="C149" s="31" t="str">
        <x:v>Counting</x:v>
      </x:c>
      <x:c r="D149" s="31" t="str">
        <x:v>Main held-out transfer</x:v>
      </x:c>
      <x:c r="E149" s="31" t="str">
        <x:v>Semantic/compositional transfer</x:v>
      </x:c>
      <x:c r="F149" s="31" t="str"/>
      <x:c r="G149" s="31" t="str">
        <x:v>C-CF01-B</x:v>
      </x:c>
      <x:c r="H149" s="31" t="str">
        <x:v>Leave exactly three objects in the bowl.</x:v>
      </x:c>
      <x:c r="I149" s="31" t="str">
        <x:v>Leave exactly three objects in the bowl.</x:v>
      </x:c>
      <x:c r="J149" s="31" t="str">
        <x:v>C-CF01B: bowl=[blue pen, yellow block] (2); table=[green pencil sharpener, airplane toy without propellers]; robot home; acceptable action=add either table object.</x:v>
      </x:c>
      <x:c r="K149" s="31" t="str">
        <x:v>ADD one table object</x:v>
      </x:c>
      <x:c r="L149" s="31" t="str">
        <x:v>Binary task success; paired with the main matched-control row.</x:v>
      </x:c>
      <x:c r="M149" s="31" t="str">
        <x:v>VLA_Evaluation_Checklist_660_Final_Updated.xlsx — evaluation episode 601</x:v>
      </x:c>
      <x:c r="N149" s="31" t="str">
        <x:v>Primary held-out transfer endpoint.</x:v>
      </x:c>
      <x:c r="O149" s="31" t="str">
        <x:v>Primary confirmatory</x:v>
      </x:c>
    </x:row>
    <x:row r="150" ht="44" customHeight="1">
      <x:c r="A150" s="31" t="str">
        <x:v>PVLA-CT-TR-03</x:v>
      </x:c>
      <x:c r="B150" s="31" t="str">
        <x:v>Primary VLA</x:v>
      </x:c>
      <x:c r="C150" s="31" t="str">
        <x:v>Counting</x:v>
      </x:c>
      <x:c r="D150" s="31" t="str">
        <x:v>Main held-out transfer</x:v>
      </x:c>
      <x:c r="E150" s="31" t="str">
        <x:v>Semantic/compositional transfer</x:v>
      </x:c>
      <x:c r="F150" s="31" t="str"/>
      <x:c r="G150" s="31" t="str">
        <x:v>C-CF03-A</x:v>
      </x:c>
      <x:c r="H150" s="31" t="str">
        <x:v>Leave exactly one object in the bowl.</x:v>
      </x:c>
      <x:c r="I150" s="31" t="str">
        <x:v>Leave exactly one object in the bowl.</x:v>
      </x:c>
      <x:c r="J150" s="31" t="str">
        <x:v>C-CF03A: bowl=[green pencil sharpener, airplane toy without propellers] (2); table=[blue pen, yellow block]; robot home; acceptable action=remove either bowl object.</x:v>
      </x:c>
      <x:c r="K150" s="31" t="str">
        <x:v>REMOVE one bowl object</x:v>
      </x:c>
      <x:c r="L150" s="31" t="str">
        <x:v>Binary task success; paired with the main matched-control row.</x:v>
      </x:c>
      <x:c r="M150" s="31" t="str">
        <x:v>VLA_Evaluation_Checklist_660_Final_Updated.xlsx — evaluation episode 604</x:v>
      </x:c>
      <x:c r="N150" s="31" t="str">
        <x:v>Primary held-out transfer endpoint.</x:v>
      </x:c>
      <x:c r="O150" s="31" t="str">
        <x:v>Primary confirmatory</x:v>
      </x:c>
    </x:row>
    <x:row r="151" ht="44" customHeight="1">
      <x:c r="A151" s="31" t="str">
        <x:v>PVLA-CT-TR-04</x:v>
      </x:c>
      <x:c r="B151" s="31" t="str">
        <x:v>Primary VLA</x:v>
      </x:c>
      <x:c r="C151" s="31" t="str">
        <x:v>Counting</x:v>
      </x:c>
      <x:c r="D151" s="31" t="str">
        <x:v>Main held-out transfer</x:v>
      </x:c>
      <x:c r="E151" s="31" t="str">
        <x:v>Semantic/compositional transfer</x:v>
      </x:c>
      <x:c r="F151" s="31" t="str"/>
      <x:c r="G151" s="31" t="str">
        <x:v>C-CF03-B</x:v>
      </x:c>
      <x:c r="H151" s="31" t="str">
        <x:v>Leave exactly three objects in the bowl.</x:v>
      </x:c>
      <x:c r="I151" s="31" t="str">
        <x:v>Leave exactly three objects in the bowl.</x:v>
      </x:c>
      <x:c r="J151" s="31" t="str">
        <x:v>C-CF03B: bowl=[green pencil sharpener, airplane toy without propellers] (2); table=[blue pen, yellow block]; robot home; acceptable action=add either table object.</x:v>
      </x:c>
      <x:c r="K151" s="31" t="str">
        <x:v>ADD one table object</x:v>
      </x:c>
      <x:c r="L151" s="31" t="str">
        <x:v>Binary task success; paired with the main matched-control row.</x:v>
      </x:c>
      <x:c r="M151" s="31" t="str">
        <x:v>VLA_Evaluation_Checklist_660_Final_Updated.xlsx — evaluation episode 605</x:v>
      </x:c>
      <x:c r="N151" s="31" t="str">
        <x:v>Primary held-out transfer endpoint.</x:v>
      </x:c>
      <x:c r="O151" s="31" t="str">
        <x:v>Primary confirmatory</x:v>
      </x:c>
    </x:row>
    <x:row r="152" ht="44" customHeight="1">
      <x:c r="A152" s="31" t="str">
        <x:v>PVLA-CT-TR-05</x:v>
      </x:c>
      <x:c r="B152" s="31" t="str">
        <x:v>Primary VLA</x:v>
      </x:c>
      <x:c r="C152" s="31" t="str">
        <x:v>Counting</x:v>
      </x:c>
      <x:c r="D152" s="31" t="str">
        <x:v>Main held-out transfer</x:v>
      </x:c>
      <x:c r="E152" s="31" t="str">
        <x:v>Semantic/compositional transfer</x:v>
      </x:c>
      <x:c r="F152" s="31" t="str"/>
      <x:c r="G152" s="31" t="str">
        <x:v>C-CF04-A</x:v>
      </x:c>
      <x:c r="H152" s="31" t="str">
        <x:v>Leave exactly one object in the bowl.</x:v>
      </x:c>
      <x:c r="I152" s="31" t="str">
        <x:v>Leave exactly one object in the bowl.</x:v>
      </x:c>
      <x:c r="J152" s="31" t="str">
        <x:v>C-CF04A: bowl=[airplane toy without propellers, blue pen] (2); table=[yellow block, green pencil sharpener]; robot home; acceptable action=remove either bowl object.</x:v>
      </x:c>
      <x:c r="K152" s="31" t="str">
        <x:v>REMOVE one bowl object</x:v>
      </x:c>
      <x:c r="L152" s="31" t="str">
        <x:v>Binary task success; paired with the main matched-control row.</x:v>
      </x:c>
      <x:c r="M152" s="31" t="str">
        <x:v>VLA_Evaluation_Checklist_660_Final_Updated.xlsx — evaluation episode 606</x:v>
      </x:c>
      <x:c r="N152" s="31" t="str">
        <x:v>Primary held-out transfer endpoint.</x:v>
      </x:c>
      <x:c r="O152" s="31" t="str">
        <x:v>Primary confirmatory</x:v>
      </x:c>
    </x:row>
    <x:row r="153" ht="44" customHeight="1">
      <x:c r="A153" s="31" t="str">
        <x:v>PVLA-CT-TR-06</x:v>
      </x:c>
      <x:c r="B153" s="31" t="str">
        <x:v>Primary VLA</x:v>
      </x:c>
      <x:c r="C153" s="31" t="str">
        <x:v>Counting</x:v>
      </x:c>
      <x:c r="D153" s="31" t="str">
        <x:v>Main held-out transfer</x:v>
      </x:c>
      <x:c r="E153" s="31" t="str">
        <x:v>Semantic/compositional transfer</x:v>
      </x:c>
      <x:c r="F153" s="31" t="str"/>
      <x:c r="G153" s="31" t="str">
        <x:v>C-CF04-B</x:v>
      </x:c>
      <x:c r="H153" s="31" t="str">
        <x:v>Leave exactly three objects in the bowl.</x:v>
      </x:c>
      <x:c r="I153" s="31" t="str">
        <x:v>Leave exactly three objects in the bowl.</x:v>
      </x:c>
      <x:c r="J153" s="31" t="str">
        <x:v>C-CF04B: bowl=[airplane toy without propellers, blue pen] (2); table=[yellow block, green pencil sharpener]; robot home; acceptable action=add either table object.</x:v>
      </x:c>
      <x:c r="K153" s="31" t="str">
        <x:v>ADD one table object</x:v>
      </x:c>
      <x:c r="L153" s="31" t="str">
        <x:v>Binary task success; paired with the main matched-control row.</x:v>
      </x:c>
      <x:c r="M153" s="31" t="str">
        <x:v>VLA_Evaluation_Checklist_660_Final_Updated.xlsx — evaluation episode 607</x:v>
      </x:c>
      <x:c r="N153" s="31" t="str">
        <x:v>Primary held-out transfer endpoint.</x:v>
      </x:c>
      <x:c r="O153" s="31" t="str">
        <x:v>Primary confirmatory</x:v>
      </x:c>
    </x:row>
    <x:row r="154" ht="44" customHeight="1">
      <x:c r="A154" s="31" t="str">
        <x:v>PVLA-CT-TR-07</x:v>
      </x:c>
      <x:c r="B154" s="31" t="str">
        <x:v>Primary VLA</x:v>
      </x:c>
      <x:c r="C154" s="31" t="str">
        <x:v>Counting</x:v>
      </x:c>
      <x:c r="D154" s="31" t="str">
        <x:v>Main held-out transfer</x:v>
      </x:c>
      <x:c r="E154" s="31" t="str">
        <x:v>Semantic/compositional transfer</x:v>
      </x:c>
      <x:c r="F154" s="31" t="str"/>
      <x:c r="G154" s="31" t="str">
        <x:v>C-CF06-A</x:v>
      </x:c>
      <x:c r="H154" s="31" t="str">
        <x:v>Leave exactly one object in the bowl.</x:v>
      </x:c>
      <x:c r="I154" s="31" t="str">
        <x:v>Leave exactly one object in the bowl.</x:v>
      </x:c>
      <x:c r="J154" s="31" t="str">
        <x:v>C-CF06A: bowl=[yellow block, green pencil sharpener] (2); table=[airplane toy without propellers, blue pen]; robot home; acceptable action=remove either bowl object.</x:v>
      </x:c>
      <x:c r="K154" s="31" t="str">
        <x:v>REMOVE one bowl object</x:v>
      </x:c>
      <x:c r="L154" s="31" t="str">
        <x:v>Binary task success; paired with the main matched-control row.</x:v>
      </x:c>
      <x:c r="M154" s="31" t="str">
        <x:v>VLA_Evaluation_Checklist_660_Final_Updated.xlsx — evaluation episode 610</x:v>
      </x:c>
      <x:c r="N154" s="31" t="str">
        <x:v>Primary held-out transfer endpoint.</x:v>
      </x:c>
      <x:c r="O154" s="31" t="str">
        <x:v>Primary confirmatory</x:v>
      </x:c>
    </x:row>
    <x:row r="155" ht="44" customHeight="1">
      <x:c r="A155" s="31" t="str">
        <x:v>PVLA-CT-TR-08</x:v>
      </x:c>
      <x:c r="B155" s="31" t="str">
        <x:v>Primary VLA</x:v>
      </x:c>
      <x:c r="C155" s="31" t="str">
        <x:v>Counting</x:v>
      </x:c>
      <x:c r="D155" s="31" t="str">
        <x:v>Main held-out transfer</x:v>
      </x:c>
      <x:c r="E155" s="31" t="str">
        <x:v>Semantic/compositional transfer</x:v>
      </x:c>
      <x:c r="F155" s="31" t="str"/>
      <x:c r="G155" s="31" t="str">
        <x:v>C-CF06-B</x:v>
      </x:c>
      <x:c r="H155" s="31" t="str">
        <x:v>Leave exactly three objects in the bowl.</x:v>
      </x:c>
      <x:c r="I155" s="31" t="str">
        <x:v>Leave exactly three objects in the bowl.</x:v>
      </x:c>
      <x:c r="J155" s="31" t="str">
        <x:v>C-CF06B: bowl=[yellow block, green pencil sharpener] (2); table=[airplane toy without propellers, blue pen]; robot home; acceptable action=add either table object.</x:v>
      </x:c>
      <x:c r="K155" s="31" t="str">
        <x:v>ADD one table object</x:v>
      </x:c>
      <x:c r="L155" s="31" t="str">
        <x:v>Binary task success; paired with the main matched-control row.</x:v>
      </x:c>
      <x:c r="M155" s="31" t="str">
        <x:v>VLA_Evaluation_Checklist_660_Final_Updated.xlsx — evaluation episode 611</x:v>
      </x:c>
      <x:c r="N155" s="31" t="str">
        <x:v>Primary held-out transfer endpoint.</x:v>
      </x:c>
      <x:c r="O155" s="31" t="str">
        <x:v>Primary confirmatory</x:v>
      </x:c>
    </x:row>
    <x:row r="156" ht="44" customHeight="1">
      <x:c r="A156" s="31" t="str">
        <x:v>PVLA-CT-TR-09</x:v>
      </x:c>
      <x:c r="B156" s="31" t="str">
        <x:v>Primary VLA</x:v>
      </x:c>
      <x:c r="C156" s="31" t="str">
        <x:v>Counting</x:v>
      </x:c>
      <x:c r="D156" s="31" t="str">
        <x:v>Main held-out transfer</x:v>
      </x:c>
      <x:c r="E156" s="31" t="str">
        <x:v>Semantic/compositional transfer</x:v>
      </x:c>
      <x:c r="F156" s="31" t="str"/>
      <x:c r="G156" s="31" t="str">
        <x:v>C-CF07-A</x:v>
      </x:c>
      <x:c r="H156" s="31" t="str">
        <x:v>Leave exactly one object in the bowl.</x:v>
      </x:c>
      <x:c r="I156" s="31" t="str">
        <x:v>Leave exactly one object in the bowl.</x:v>
      </x:c>
      <x:c r="J156" s="31" t="str">
        <x:v>C-CF07A: bowl=[green pencil sharpener, airplane toy without propellers] (2); table=[blue pen, yellow block]; robot home; acceptable action=remove either bowl object.</x:v>
      </x:c>
      <x:c r="K156" s="31" t="str">
        <x:v>REMOVE one bowl object</x:v>
      </x:c>
      <x:c r="L156" s="31" t="str">
        <x:v>Binary task success; paired with the main matched-control row.</x:v>
      </x:c>
      <x:c r="M156" s="31" t="str">
        <x:v>VLA_Evaluation_Checklist_660_Final_Updated.xlsx — evaluation episode 612</x:v>
      </x:c>
      <x:c r="N156" s="31" t="str">
        <x:v>Primary held-out transfer endpoint.</x:v>
      </x:c>
      <x:c r="O156" s="31" t="str">
        <x:v>Primary confirmatory</x:v>
      </x:c>
    </x:row>
    <x:row r="157" ht="44" customHeight="1">
      <x:c r="A157" s="31" t="str">
        <x:v>PVLA-CT-TR-10</x:v>
      </x:c>
      <x:c r="B157" s="31" t="str">
        <x:v>Primary VLA</x:v>
      </x:c>
      <x:c r="C157" s="31" t="str">
        <x:v>Counting</x:v>
      </x:c>
      <x:c r="D157" s="31" t="str">
        <x:v>Main held-out transfer</x:v>
      </x:c>
      <x:c r="E157" s="31" t="str">
        <x:v>Semantic/compositional transfer</x:v>
      </x:c>
      <x:c r="F157" s="31" t="str"/>
      <x:c r="G157" s="31" t="str">
        <x:v>C-CF07-B</x:v>
      </x:c>
      <x:c r="H157" s="31" t="str">
        <x:v>Leave exactly three objects in the bowl.</x:v>
      </x:c>
      <x:c r="I157" s="31" t="str">
        <x:v>Leave exactly three objects in the bowl.</x:v>
      </x:c>
      <x:c r="J157" s="31" t="str">
        <x:v>C-CF07B: bowl=[green pencil sharpener, airplane toy without propellers] (2); table=[blue pen, yellow block]; robot home; acceptable action=add either table object.</x:v>
      </x:c>
      <x:c r="K157" s="31" t="str">
        <x:v>ADD one table object</x:v>
      </x:c>
      <x:c r="L157" s="31" t="str">
        <x:v>Binary task success; paired with the main matched-control row.</x:v>
      </x:c>
      <x:c r="M157" s="31" t="str">
        <x:v>VLA_Evaluation_Checklist_660_Final_Updated.xlsx — evaluation episode 613</x:v>
      </x:c>
      <x:c r="N157" s="31" t="str">
        <x:v>Primary held-out transfer endpoint.</x:v>
      </x:c>
      <x:c r="O157" s="31" t="str">
        <x:v>Primary confirmatory</x:v>
      </x:c>
    </x:row>
    <x:row r="158" ht="44" customHeight="1">
      <x:c r="A158" s="31" t="str">
        <x:v>PVLA-CT-TR-11</x:v>
      </x:c>
      <x:c r="B158" s="31" t="str">
        <x:v>Primary VLA</x:v>
      </x:c>
      <x:c r="C158" s="31" t="str">
        <x:v>Counting</x:v>
      </x:c>
      <x:c r="D158" s="31" t="str">
        <x:v>Main held-out transfer</x:v>
      </x:c>
      <x:c r="E158" s="31" t="str">
        <x:v>Semantic/compositional transfer</x:v>
      </x:c>
      <x:c r="F158" s="31" t="str"/>
      <x:c r="G158" s="31" t="str">
        <x:v>C-CF09-A</x:v>
      </x:c>
      <x:c r="H158" s="31" t="str">
        <x:v>Leave exactly one object in the bowl.</x:v>
      </x:c>
      <x:c r="I158" s="31" t="str">
        <x:v>Leave exactly one object in the bowl.</x:v>
      </x:c>
      <x:c r="J158" s="31" t="str">
        <x:v>C-CF09A: bowl=[blue pen, yellow block] (2); table=[green pencil sharpener, airplane toy without propellers]; robot home; acceptable action=remove either bowl object.</x:v>
      </x:c>
      <x:c r="K158" s="31" t="str">
        <x:v>REMOVE one bowl object</x:v>
      </x:c>
      <x:c r="L158" s="31" t="str">
        <x:v>Binary task success; paired with the main matched-control row.</x:v>
      </x:c>
      <x:c r="M158" s="31" t="str">
        <x:v>VLA_Evaluation_Checklist_660_Final_Updated.xlsx — evaluation episode 616</x:v>
      </x:c>
      <x:c r="N158" s="31" t="str">
        <x:v>Primary held-out transfer endpoint.</x:v>
      </x:c>
      <x:c r="O158" s="31" t="str">
        <x:v>Primary confirmatory</x:v>
      </x:c>
    </x:row>
    <x:row r="159" ht="44" customHeight="1">
      <x:c r="A159" s="31" t="str">
        <x:v>PVLA-CT-TR-12</x:v>
      </x:c>
      <x:c r="B159" s="31" t="str">
        <x:v>Primary VLA</x:v>
      </x:c>
      <x:c r="C159" s="31" t="str">
        <x:v>Counting</x:v>
      </x:c>
      <x:c r="D159" s="31" t="str">
        <x:v>Main held-out transfer</x:v>
      </x:c>
      <x:c r="E159" s="31" t="str">
        <x:v>Semantic/compositional transfer</x:v>
      </x:c>
      <x:c r="F159" s="31" t="str"/>
      <x:c r="G159" s="31" t="str">
        <x:v>C-CF09-B</x:v>
      </x:c>
      <x:c r="H159" s="31" t="str">
        <x:v>Leave exactly three objects in the bowl.</x:v>
      </x:c>
      <x:c r="I159" s="31" t="str">
        <x:v>Leave exactly three objects in the bowl.</x:v>
      </x:c>
      <x:c r="J159" s="31" t="str">
        <x:v>C-CF09B: bowl=[blue pen, yellow block] (2); table=[green pencil sharpener, airplane toy without propellers]; robot home; acceptable action=add either table object.</x:v>
      </x:c>
      <x:c r="K159" s="31" t="str">
        <x:v>ADD one table object</x:v>
      </x:c>
      <x:c r="L159" s="31" t="str">
        <x:v>Binary task success; paired with the main matched-control row.</x:v>
      </x:c>
      <x:c r="M159" s="31" t="str">
        <x:v>VLA_Evaluation_Checklist_660_Final_Updated.xlsx — evaluation episode 617</x:v>
      </x:c>
      <x:c r="N159" s="31" t="str">
        <x:v>Primary held-out transfer endpoint.</x:v>
      </x:c>
      <x:c r="O159" s="31" t="str">
        <x:v>Primary confirmatory</x:v>
      </x:c>
    </x:row>
    <x:row r="160" ht="44" customHeight="1">
      <x:c r="A160" s="31" t="str">
        <x:v>PVLA-CT-TR-13</x:v>
      </x:c>
      <x:c r="B160" s="31" t="str">
        <x:v>Primary VLA</x:v>
      </x:c>
      <x:c r="C160" s="31" t="str">
        <x:v>Counting</x:v>
      </x:c>
      <x:c r="D160" s="31" t="str">
        <x:v>Main held-out transfer</x:v>
      </x:c>
      <x:c r="E160" s="31" t="str">
        <x:v>Semantic/compositional transfer</x:v>
      </x:c>
      <x:c r="F160" s="31" t="str"/>
      <x:c r="G160" s="31" t="str">
        <x:v>C-CF10-A</x:v>
      </x:c>
      <x:c r="H160" s="31" t="str">
        <x:v>Leave exactly one object in the bowl.</x:v>
      </x:c>
      <x:c r="I160" s="31" t="str">
        <x:v>Leave exactly one object in the bowl.</x:v>
      </x:c>
      <x:c r="J160" s="31" t="str">
        <x:v>C-CF10A: bowl=[yellow block, green pencil sharpener] (2); table=[airplane toy without propellers, blue pen]; robot home; acceptable action=remove either bowl object.</x:v>
      </x:c>
      <x:c r="K160" s="31" t="str">
        <x:v>REMOVE one bowl object</x:v>
      </x:c>
      <x:c r="L160" s="31" t="str">
        <x:v>Binary task success; paired with the main matched-control row.</x:v>
      </x:c>
      <x:c r="M160" s="31" t="str">
        <x:v>VLA_Evaluation_Checklist_660_Final_Updated.xlsx — evaluation episode 618</x:v>
      </x:c>
      <x:c r="N160" s="31" t="str">
        <x:v>Primary held-out transfer endpoint.</x:v>
      </x:c>
      <x:c r="O160" s="31" t="str">
        <x:v>Primary confirmatory</x:v>
      </x:c>
    </x:row>
    <x:row r="161" ht="44" customHeight="1">
      <x:c r="A161" s="31" t="str">
        <x:v>PVLA-CT-TR-14</x:v>
      </x:c>
      <x:c r="B161" s="31" t="str">
        <x:v>Primary VLA</x:v>
      </x:c>
      <x:c r="C161" s="31" t="str">
        <x:v>Counting</x:v>
      </x:c>
      <x:c r="D161" s="31" t="str">
        <x:v>Main held-out transfer</x:v>
      </x:c>
      <x:c r="E161" s="31" t="str">
        <x:v>Semantic/compositional transfer</x:v>
      </x:c>
      <x:c r="F161" s="31" t="str"/>
      <x:c r="G161" s="31" t="str">
        <x:v>C-CF10-B</x:v>
      </x:c>
      <x:c r="H161" s="31" t="str">
        <x:v>Leave exactly three objects in the bowl.</x:v>
      </x:c>
      <x:c r="I161" s="31" t="str">
        <x:v>Leave exactly three objects in the bowl.</x:v>
      </x:c>
      <x:c r="J161" s="31" t="str">
        <x:v>C-CF10B: bowl=[yellow block, green pencil sharpener] (2); table=[airplane toy without propellers, blue pen]; robot home; acceptable action=add either table object.</x:v>
      </x:c>
      <x:c r="K161" s="31" t="str">
        <x:v>ADD one table object</x:v>
      </x:c>
      <x:c r="L161" s="31" t="str">
        <x:v>Binary task success; paired with the main matched-control row.</x:v>
      </x:c>
      <x:c r="M161" s="31" t="str">
        <x:v>VLA_Evaluation_Checklist_660_Final_Updated.xlsx — evaluation episode 619</x:v>
      </x:c>
      <x:c r="N161" s="31" t="str">
        <x:v>Primary held-out transfer endpoint.</x:v>
      </x:c>
      <x:c r="O161" s="31" t="str">
        <x:v>Primary confirmatory</x:v>
      </x:c>
    </x:row>
    <x:row r="162" ht="44" customHeight="1">
      <x:c r="A162" s="31" t="str">
        <x:v>PVLA-CT-TR-15</x:v>
      </x:c>
      <x:c r="B162" s="31" t="str">
        <x:v>Primary VLA</x:v>
      </x:c>
      <x:c r="C162" s="31" t="str">
        <x:v>Counting</x:v>
      </x:c>
      <x:c r="D162" s="31" t="str">
        <x:v>Main held-out transfer</x:v>
      </x:c>
      <x:c r="E162" s="31" t="str">
        <x:v>Semantic/compositional transfer</x:v>
      </x:c>
      <x:c r="F162" s="31" t="str"/>
      <x:c r="G162" s="31" t="str">
        <x:v>C-CF12-A</x:v>
      </x:c>
      <x:c r="H162" s="31" t="str">
        <x:v>Leave exactly one object in the bowl.</x:v>
      </x:c>
      <x:c r="I162" s="31" t="str">
        <x:v>Leave exactly one object in the bowl.</x:v>
      </x:c>
      <x:c r="J162" s="31" t="str">
        <x:v>C-CF12A: bowl=[airplane toy without propellers, blue pen] (2); table=[yellow block, green pencil sharpener]; robot home; acceptable action=remove either bowl object.</x:v>
      </x:c>
      <x:c r="K162" s="31" t="str">
        <x:v>REMOVE one bowl object</x:v>
      </x:c>
      <x:c r="L162" s="31" t="str">
        <x:v>Binary task success; paired with the main matched-control row.</x:v>
      </x:c>
      <x:c r="M162" s="31" t="str">
        <x:v>VLA_Evaluation_Checklist_660_Final_Updated.xlsx — evaluation episode 622</x:v>
      </x:c>
      <x:c r="N162" s="31" t="str">
        <x:v>Primary held-out transfer endpoint.</x:v>
      </x:c>
      <x:c r="O162" s="31" t="str">
        <x:v>Primary confirmatory</x:v>
      </x:c>
    </x:row>
    <x:row r="163" ht="44" customHeight="1">
      <x:c r="A163" s="31" t="str">
        <x:v>PVLA-CT-TR-16</x:v>
      </x:c>
      <x:c r="B163" s="31" t="str">
        <x:v>Primary VLA</x:v>
      </x:c>
      <x:c r="C163" s="31" t="str">
        <x:v>Counting</x:v>
      </x:c>
      <x:c r="D163" s="31" t="str">
        <x:v>Main held-out transfer</x:v>
      </x:c>
      <x:c r="E163" s="31" t="str">
        <x:v>Semantic/compositional transfer</x:v>
      </x:c>
      <x:c r="F163" s="31" t="str"/>
      <x:c r="G163" s="31" t="str">
        <x:v>C-CF12-B</x:v>
      </x:c>
      <x:c r="H163" s="31" t="str">
        <x:v>Leave exactly three objects in the bowl.</x:v>
      </x:c>
      <x:c r="I163" s="31" t="str">
        <x:v>Leave exactly three objects in the bowl.</x:v>
      </x:c>
      <x:c r="J163" s="31" t="str">
        <x:v>C-CF12B: bowl=[airplane toy without propellers, blue pen] (2); table=[yellow block, green pencil sharpener]; robot home; acceptable action=add either table object.</x:v>
      </x:c>
      <x:c r="K163" s="31" t="str">
        <x:v>ADD one table object</x:v>
      </x:c>
      <x:c r="L163" s="31" t="str">
        <x:v>Binary task success; paired with the main matched-control row.</x:v>
      </x:c>
      <x:c r="M163" s="31" t="str">
        <x:v>VLA_Evaluation_Checklist_660_Final_Updated.xlsx — evaluation episode 623</x:v>
      </x:c>
      <x:c r="N163" s="31" t="str">
        <x:v>Primary held-out transfer endpoint.</x:v>
      </x:c>
      <x:c r="O163" s="31" t="str">
        <x:v>Primary confirmatory</x:v>
      </x:c>
    </x:row>
    <x:row r="164" ht="44" customHeight="1">
      <x:c r="A164" s="31" t="str">
        <x:v>PVLA-CT-CTL-01</x:v>
      </x:c>
      <x:c r="B164" s="31" t="str">
        <x:v>Primary VLA</x:v>
      </x:c>
      <x:c r="C164" s="31" t="str">
        <x:v>Counting</x:v>
      </x:c>
      <x:c r="D164" s="31" t="str">
        <x:v>Main matched control</x:v>
      </x:c>
      <x:c r="E164" s="31" t="str">
        <x:v>Matched motor/scene control</x:v>
      </x:c>
      <x:c r="F164" s="31" t="str"/>
      <x:c r="G164" s="31" t="str">
        <x:v>C-CF01-A</x:v>
      </x:c>
      <x:c r="H164" s="31" t="str">
        <x:v>Remove the blue pen from the bowl.</x:v>
      </x:c>
      <x:c r="I164" s="31" t="str">
        <x:v>Remove the blue pen from the bowl.</x:v>
      </x:c>
      <x:c r="J164" s="31" t="str">
        <x:v>C-CF01-CA: bowl=[blue pen, yellow block] (2); table=[green pencil sharpener, airplane toy without propellers]; robot home; acceptable action=remove either bowl object.</x:v>
      </x:c>
      <x:c r="K164" s="31" t="str">
        <x:v>REMOVE blue pen</x:v>
      </x:c>
      <x:c r="L164" s="31" t="str">
        <x:v>Binary task success; paired with the main transfer row.</x:v>
      </x:c>
      <x:c r="M164" s="31" t="str">
        <x:v>VLA_Evaluation_Checklist_660_Final_Updated.xlsx — evaluation episode 630</x:v>
      </x:c>
      <x:c r="N164" s="31" t="str">
        <x:v>Primary motor/scene control for the transfer gap.</x:v>
      </x:c>
      <x:c r="O164" s="31" t="str">
        <x:v>Primary confirmatory</x:v>
      </x:c>
    </x:row>
    <x:row r="165" ht="44" customHeight="1">
      <x:c r="A165" s="31" t="str">
        <x:v>PVLA-CT-CTL-02</x:v>
      </x:c>
      <x:c r="B165" s="31" t="str">
        <x:v>Primary VLA</x:v>
      </x:c>
      <x:c r="C165" s="31" t="str">
        <x:v>Counting</x:v>
      </x:c>
      <x:c r="D165" s="31" t="str">
        <x:v>Main matched control</x:v>
      </x:c>
      <x:c r="E165" s="31" t="str">
        <x:v>Matched motor/scene control</x:v>
      </x:c>
      <x:c r="F165" s="31" t="str"/>
      <x:c r="G165" s="31" t="str">
        <x:v>C-CF01-B</x:v>
      </x:c>
      <x:c r="H165" s="31" t="str">
        <x:v>Put the green pencil sharpener in the bowl.</x:v>
      </x:c>
      <x:c r="I165" s="31" t="str">
        <x:v>Put the green pencil sharpener in the bowl.</x:v>
      </x:c>
      <x:c r="J165" s="31" t="str">
        <x:v>C-CF01-CB: bowl=[blue pen, yellow block] (2); table=[green pencil sharpener, airplane toy without propellers]; robot home; acceptable action=add either table object.</x:v>
      </x:c>
      <x:c r="K165" s="31" t="str">
        <x:v>ADD green pencil sharpener</x:v>
      </x:c>
      <x:c r="L165" s="31" t="str">
        <x:v>Binary task success; paired with the main transfer row.</x:v>
      </x:c>
      <x:c r="M165" s="31" t="str">
        <x:v>VLA_Evaluation_Checklist_660_Final_Updated.xlsx — evaluation episode 631</x:v>
      </x:c>
      <x:c r="N165" s="31" t="str">
        <x:v>Primary motor/scene control for the transfer gap.</x:v>
      </x:c>
      <x:c r="O165" s="31" t="str">
        <x:v>Primary confirmatory</x:v>
      </x:c>
    </x:row>
    <x:row r="166" ht="44" customHeight="1">
      <x:c r="A166" s="31" t="str">
        <x:v>PVLA-CT-CTL-03</x:v>
      </x:c>
      <x:c r="B166" s="31" t="str">
        <x:v>Primary VLA</x:v>
      </x:c>
      <x:c r="C166" s="31" t="str">
        <x:v>Counting</x:v>
      </x:c>
      <x:c r="D166" s="31" t="str">
        <x:v>Main matched control</x:v>
      </x:c>
      <x:c r="E166" s="31" t="str">
        <x:v>Matched motor/scene control</x:v>
      </x:c>
      <x:c r="F166" s="31" t="str"/>
      <x:c r="G166" s="31" t="str">
        <x:v>C-CF03-A</x:v>
      </x:c>
      <x:c r="H166" s="31" t="str">
        <x:v>Remove the green pencil sharpener from the bowl.</x:v>
      </x:c>
      <x:c r="I166" s="31" t="str">
        <x:v>Remove the green pencil sharpener from the bowl.</x:v>
      </x:c>
      <x:c r="J166" s="31" t="str">
        <x:v>C-CF03-CA: bowl=[green pencil sharpener, airplane toy without propellers] (2); table=[blue pen, yellow block]; robot home; acceptable action=remove either bowl object.</x:v>
      </x:c>
      <x:c r="K166" s="31" t="str">
        <x:v>REMOVE green pencil sharpener</x:v>
      </x:c>
      <x:c r="L166" s="31" t="str">
        <x:v>Binary task success; paired with the main transfer row.</x:v>
      </x:c>
      <x:c r="M166" s="31" t="str">
        <x:v>VLA_Evaluation_Checklist_660_Final_Updated.xlsx — evaluation episode 634</x:v>
      </x:c>
      <x:c r="N166" s="31" t="str">
        <x:v>Primary motor/scene control for the transfer gap.</x:v>
      </x:c>
      <x:c r="O166" s="31" t="str">
        <x:v>Primary confirmatory</x:v>
      </x:c>
    </x:row>
    <x:row r="167" ht="44" customHeight="1">
      <x:c r="A167" s="31" t="str">
        <x:v>PVLA-CT-CTL-04</x:v>
      </x:c>
      <x:c r="B167" s="31" t="str">
        <x:v>Primary VLA</x:v>
      </x:c>
      <x:c r="C167" s="31" t="str">
        <x:v>Counting</x:v>
      </x:c>
      <x:c r="D167" s="31" t="str">
        <x:v>Main matched control</x:v>
      </x:c>
      <x:c r="E167" s="31" t="str">
        <x:v>Matched motor/scene control</x:v>
      </x:c>
      <x:c r="F167" s="31" t="str"/>
      <x:c r="G167" s="31" t="str">
        <x:v>C-CF03-B</x:v>
      </x:c>
      <x:c r="H167" s="31" t="str">
        <x:v>Put the blue pen in the bowl.</x:v>
      </x:c>
      <x:c r="I167" s="31" t="str">
        <x:v>Put the blue pen in the bowl.</x:v>
      </x:c>
      <x:c r="J167" s="31" t="str">
        <x:v>C-CF03-CB: bowl=[green pencil sharpener, airplane toy without propellers] (2); table=[blue pen, yellow block]; robot home; acceptable action=add either table object.</x:v>
      </x:c>
      <x:c r="K167" s="31" t="str">
        <x:v>ADD blue pen</x:v>
      </x:c>
      <x:c r="L167" s="31" t="str">
        <x:v>Binary task success; paired with the main transfer row.</x:v>
      </x:c>
      <x:c r="M167" s="31" t="str">
        <x:v>VLA_Evaluation_Checklist_660_Final_Updated.xlsx — evaluation episode 635</x:v>
      </x:c>
      <x:c r="N167" s="31" t="str">
        <x:v>Primary motor/scene control for the transfer gap.</x:v>
      </x:c>
      <x:c r="O167" s="31" t="str">
        <x:v>Primary confirmatory</x:v>
      </x:c>
    </x:row>
    <x:row r="168" ht="44" customHeight="1">
      <x:c r="A168" s="31" t="str">
        <x:v>PVLA-CT-CTL-05</x:v>
      </x:c>
      <x:c r="B168" s="31" t="str">
        <x:v>Primary VLA</x:v>
      </x:c>
      <x:c r="C168" s="31" t="str">
        <x:v>Counting</x:v>
      </x:c>
      <x:c r="D168" s="31" t="str">
        <x:v>Main matched control</x:v>
      </x:c>
      <x:c r="E168" s="31" t="str">
        <x:v>Matched motor/scene control</x:v>
      </x:c>
      <x:c r="F168" s="31" t="str"/>
      <x:c r="G168" s="31" t="str">
        <x:v>C-CF04-A</x:v>
      </x:c>
      <x:c r="H168" s="31" t="str">
        <x:v>Remove the airplane toy without propellers from the bowl.</x:v>
      </x:c>
      <x:c r="I168" s="31" t="str">
        <x:v>Remove the airplane toy without propellers from the bowl.</x:v>
      </x:c>
      <x:c r="J168" s="31" t="str">
        <x:v>C-CF04-CA: bowl=[airplane toy without propellers, blue pen] (2); table=[yellow block, green pencil sharpener]; robot home; acceptable action=remove either bowl object.</x:v>
      </x:c>
      <x:c r="K168" s="31" t="str">
        <x:v>REMOVE airplane toy without propellers</x:v>
      </x:c>
      <x:c r="L168" s="31" t="str">
        <x:v>Binary task success; paired with the main transfer row.</x:v>
      </x:c>
      <x:c r="M168" s="31" t="str">
        <x:v>VLA_Evaluation_Checklist_660_Final_Updated.xlsx — evaluation episode 636</x:v>
      </x:c>
      <x:c r="N168" s="31" t="str">
        <x:v>Primary motor/scene control for the transfer gap.</x:v>
      </x:c>
      <x:c r="O168" s="31" t="str">
        <x:v>Primary confirmatory</x:v>
      </x:c>
    </x:row>
    <x:row r="169" ht="44" customHeight="1">
      <x:c r="A169" s="31" t="str">
        <x:v>PVLA-CT-CTL-06</x:v>
      </x:c>
      <x:c r="B169" s="31" t="str">
        <x:v>Primary VLA</x:v>
      </x:c>
      <x:c r="C169" s="31" t="str">
        <x:v>Counting</x:v>
      </x:c>
      <x:c r="D169" s="31" t="str">
        <x:v>Main matched control</x:v>
      </x:c>
      <x:c r="E169" s="31" t="str">
        <x:v>Matched motor/scene control</x:v>
      </x:c>
      <x:c r="F169" s="31" t="str"/>
      <x:c r="G169" s="31" t="str">
        <x:v>C-CF04-B</x:v>
      </x:c>
      <x:c r="H169" s="31" t="str">
        <x:v>Put the yellow block in the bowl.</x:v>
      </x:c>
      <x:c r="I169" s="31" t="str">
        <x:v>Put the yellow block in the bowl.</x:v>
      </x:c>
      <x:c r="J169" s="31" t="str">
        <x:v>C-CF04-CB: bowl=[airplane toy without propellers, blue pen] (2); table=[yellow block, green pencil sharpener]; robot home; acceptable action=add either table object.</x:v>
      </x:c>
      <x:c r="K169" s="31" t="str">
        <x:v>ADD yellow block</x:v>
      </x:c>
      <x:c r="L169" s="31" t="str">
        <x:v>Binary task success; paired with the main transfer row.</x:v>
      </x:c>
      <x:c r="M169" s="31" t="str">
        <x:v>VLA_Evaluation_Checklist_660_Final_Updated.xlsx — evaluation episode 637</x:v>
      </x:c>
      <x:c r="N169" s="31" t="str">
        <x:v>Primary motor/scene control for the transfer gap.</x:v>
      </x:c>
      <x:c r="O169" s="31" t="str">
        <x:v>Primary confirmatory</x:v>
      </x:c>
    </x:row>
    <x:row r="170" ht="44" customHeight="1">
      <x:c r="A170" s="31" t="str">
        <x:v>PVLA-CT-CTL-07</x:v>
      </x:c>
      <x:c r="B170" s="31" t="str">
        <x:v>Primary VLA</x:v>
      </x:c>
      <x:c r="C170" s="31" t="str">
        <x:v>Counting</x:v>
      </x:c>
      <x:c r="D170" s="31" t="str">
        <x:v>Main matched control</x:v>
      </x:c>
      <x:c r="E170" s="31" t="str">
        <x:v>Matched motor/scene control</x:v>
      </x:c>
      <x:c r="F170" s="31" t="str"/>
      <x:c r="G170" s="31" t="str">
        <x:v>C-CF06-A</x:v>
      </x:c>
      <x:c r="H170" s="31" t="str">
        <x:v>Remove the yellow block from the bowl.</x:v>
      </x:c>
      <x:c r="I170" s="31" t="str">
        <x:v>Remove the yellow block from the bowl.</x:v>
      </x:c>
      <x:c r="J170" s="31" t="str">
        <x:v>C-CF06-CA: bowl=[yellow block, green pencil sharpener] (2); table=[airplane toy without propellers, blue pen]; robot home; acceptable action=remove either bowl object.</x:v>
      </x:c>
      <x:c r="K170" s="31" t="str">
        <x:v>REMOVE yellow block</x:v>
      </x:c>
      <x:c r="L170" s="31" t="str">
        <x:v>Binary task success; paired with the main transfer row.</x:v>
      </x:c>
      <x:c r="M170" s="31" t="str">
        <x:v>VLA_Evaluation_Checklist_660_Final_Updated.xlsx — evaluation episode 640</x:v>
      </x:c>
      <x:c r="N170" s="31" t="str">
        <x:v>Primary motor/scene control for the transfer gap.</x:v>
      </x:c>
      <x:c r="O170" s="31" t="str">
        <x:v>Primary confirmatory</x:v>
      </x:c>
    </x:row>
    <x:row r="171" ht="44" customHeight="1">
      <x:c r="A171" s="31" t="str">
        <x:v>PVLA-CT-CTL-08</x:v>
      </x:c>
      <x:c r="B171" s="31" t="str">
        <x:v>Primary VLA</x:v>
      </x:c>
      <x:c r="C171" s="31" t="str">
        <x:v>Counting</x:v>
      </x:c>
      <x:c r="D171" s="31" t="str">
        <x:v>Main matched control</x:v>
      </x:c>
      <x:c r="E171" s="31" t="str">
        <x:v>Matched motor/scene control</x:v>
      </x:c>
      <x:c r="F171" s="31" t="str"/>
      <x:c r="G171" s="31" t="str">
        <x:v>C-CF06-B</x:v>
      </x:c>
      <x:c r="H171" s="31" t="str">
        <x:v>Put the airplane toy without propellers in the bowl.</x:v>
      </x:c>
      <x:c r="I171" s="31" t="str">
        <x:v>Put the airplane toy without propellers in the bowl.</x:v>
      </x:c>
      <x:c r="J171" s="31" t="str">
        <x:v>C-CF06-CB: bowl=[yellow block, green pencil sharpener] (2); table=[airplane toy without propellers, blue pen]; robot home; acceptable action=add either table object.</x:v>
      </x:c>
      <x:c r="K171" s="31" t="str">
        <x:v>ADD airplane toy without propellers</x:v>
      </x:c>
      <x:c r="L171" s="31" t="str">
        <x:v>Binary task success; paired with the main transfer row.</x:v>
      </x:c>
      <x:c r="M171" s="31" t="str">
        <x:v>VLA_Evaluation_Checklist_660_Final_Updated.xlsx — evaluation episode 641</x:v>
      </x:c>
      <x:c r="N171" s="31" t="str">
        <x:v>Primary motor/scene control for the transfer gap.</x:v>
      </x:c>
      <x:c r="O171" s="31" t="str">
        <x:v>Primary confirmatory</x:v>
      </x:c>
    </x:row>
    <x:row r="172" ht="44" customHeight="1">
      <x:c r="A172" s="31" t="str">
        <x:v>PVLA-CT-CTL-09</x:v>
      </x:c>
      <x:c r="B172" s="31" t="str">
        <x:v>Primary VLA</x:v>
      </x:c>
      <x:c r="C172" s="31" t="str">
        <x:v>Counting</x:v>
      </x:c>
      <x:c r="D172" s="31" t="str">
        <x:v>Main matched control</x:v>
      </x:c>
      <x:c r="E172" s="31" t="str">
        <x:v>Matched motor/scene control</x:v>
      </x:c>
      <x:c r="F172" s="31" t="str"/>
      <x:c r="G172" s="31" t="str">
        <x:v>C-CF07-A</x:v>
      </x:c>
      <x:c r="H172" s="31" t="str">
        <x:v>Remove the green pencil sharpener from the bowl.</x:v>
      </x:c>
      <x:c r="I172" s="31" t="str">
        <x:v>Remove the green pencil sharpener from the bowl.</x:v>
      </x:c>
      <x:c r="J172" s="31" t="str">
        <x:v>C-CF07-CA: bowl=[green pencil sharpener, airplane toy without propellers] (2); table=[blue pen, yellow block]; robot home; acceptable action=remove either bowl object.</x:v>
      </x:c>
      <x:c r="K172" s="31" t="str">
        <x:v>REMOVE green pencil sharpener</x:v>
      </x:c>
      <x:c r="L172" s="31" t="str">
        <x:v>Binary task success; paired with the main transfer row.</x:v>
      </x:c>
      <x:c r="M172" s="31" t="str">
        <x:v>VLA_Evaluation_Checklist_660_Final_Updated.xlsx — evaluation episode 642</x:v>
      </x:c>
      <x:c r="N172" s="31" t="str">
        <x:v>Primary motor/scene control for the transfer gap.</x:v>
      </x:c>
      <x:c r="O172" s="31" t="str">
        <x:v>Primary confirmatory</x:v>
      </x:c>
    </x:row>
    <x:row r="173" ht="44" customHeight="1">
      <x:c r="A173" s="31" t="str">
        <x:v>PVLA-CT-CTL-10</x:v>
      </x:c>
      <x:c r="B173" s="31" t="str">
        <x:v>Primary VLA</x:v>
      </x:c>
      <x:c r="C173" s="31" t="str">
        <x:v>Counting</x:v>
      </x:c>
      <x:c r="D173" s="31" t="str">
        <x:v>Main matched control</x:v>
      </x:c>
      <x:c r="E173" s="31" t="str">
        <x:v>Matched motor/scene control</x:v>
      </x:c>
      <x:c r="F173" s="31" t="str"/>
      <x:c r="G173" s="31" t="str">
        <x:v>C-CF07-B</x:v>
      </x:c>
      <x:c r="H173" s="31" t="str">
        <x:v>Put the blue pen in the bowl.</x:v>
      </x:c>
      <x:c r="I173" s="31" t="str">
        <x:v>Put the blue pen in the bowl.</x:v>
      </x:c>
      <x:c r="J173" s="31" t="str">
        <x:v>C-CF07-CB: bowl=[green pencil sharpener, airplane toy without propellers] (2); table=[blue pen, yellow block]; robot home; acceptable action=add either table object.</x:v>
      </x:c>
      <x:c r="K173" s="31" t="str">
        <x:v>ADD blue pen</x:v>
      </x:c>
      <x:c r="L173" s="31" t="str">
        <x:v>Binary task success; paired with the main transfer row.</x:v>
      </x:c>
      <x:c r="M173" s="31" t="str">
        <x:v>VLA_Evaluation_Checklist_660_Final_Updated.xlsx — evaluation episode 643</x:v>
      </x:c>
      <x:c r="N173" s="31" t="str">
        <x:v>Primary motor/scene control for the transfer gap.</x:v>
      </x:c>
      <x:c r="O173" s="31" t="str">
        <x:v>Primary confirmatory</x:v>
      </x:c>
    </x:row>
    <x:row r="174" ht="44" customHeight="1">
      <x:c r="A174" s="31" t="str">
        <x:v>PVLA-CT-CTL-11</x:v>
      </x:c>
      <x:c r="B174" s="31" t="str">
        <x:v>Primary VLA</x:v>
      </x:c>
      <x:c r="C174" s="31" t="str">
        <x:v>Counting</x:v>
      </x:c>
      <x:c r="D174" s="31" t="str">
        <x:v>Main matched control</x:v>
      </x:c>
      <x:c r="E174" s="31" t="str">
        <x:v>Matched motor/scene control</x:v>
      </x:c>
      <x:c r="F174" s="31" t="str"/>
      <x:c r="G174" s="31" t="str">
        <x:v>C-CF09-A</x:v>
      </x:c>
      <x:c r="H174" s="31" t="str">
        <x:v>Remove the blue pen from the bowl.</x:v>
      </x:c>
      <x:c r="I174" s="31" t="str">
        <x:v>Remove the blue pen from the bowl.</x:v>
      </x:c>
      <x:c r="J174" s="31" t="str">
        <x:v>C-CF09-CA: bowl=[blue pen, yellow block] (2); table=[green pencil sharpener, airplane toy without propellers]; robot home; acceptable action=remove either bowl object.</x:v>
      </x:c>
      <x:c r="K174" s="31" t="str">
        <x:v>REMOVE blue pen</x:v>
      </x:c>
      <x:c r="L174" s="31" t="str">
        <x:v>Binary task success; paired with the main transfer row.</x:v>
      </x:c>
      <x:c r="M174" s="31" t="str">
        <x:v>VLA_Evaluation_Checklist_660_Final_Updated.xlsx — evaluation episode 646</x:v>
      </x:c>
      <x:c r="N174" s="31" t="str">
        <x:v>Primary motor/scene control for the transfer gap.</x:v>
      </x:c>
      <x:c r="O174" s="31" t="str">
        <x:v>Primary confirmatory</x:v>
      </x:c>
    </x:row>
    <x:row r="175" ht="44" customHeight="1">
      <x:c r="A175" s="31" t="str">
        <x:v>PVLA-CT-CTL-12</x:v>
      </x:c>
      <x:c r="B175" s="31" t="str">
        <x:v>Primary VLA</x:v>
      </x:c>
      <x:c r="C175" s="31" t="str">
        <x:v>Counting</x:v>
      </x:c>
      <x:c r="D175" s="31" t="str">
        <x:v>Main matched control</x:v>
      </x:c>
      <x:c r="E175" s="31" t="str">
        <x:v>Matched motor/scene control</x:v>
      </x:c>
      <x:c r="F175" s="31" t="str"/>
      <x:c r="G175" s="31" t="str">
        <x:v>C-CF09-B</x:v>
      </x:c>
      <x:c r="H175" s="31" t="str">
        <x:v>Put the green pencil sharpener in the bowl.</x:v>
      </x:c>
      <x:c r="I175" s="31" t="str">
        <x:v>Put the green pencil sharpener in the bowl.</x:v>
      </x:c>
      <x:c r="J175" s="31" t="str">
        <x:v>C-CF09-CB: bowl=[blue pen, yellow block] (2); table=[green pencil sharpener, airplane toy without propellers]; robot home; acceptable action=add either table object.</x:v>
      </x:c>
      <x:c r="K175" s="31" t="str">
        <x:v>ADD green pencil sharpener</x:v>
      </x:c>
      <x:c r="L175" s="31" t="str">
        <x:v>Binary task success; paired with the main transfer row.</x:v>
      </x:c>
      <x:c r="M175" s="31" t="str">
        <x:v>VLA_Evaluation_Checklist_660_Final_Updated.xlsx — evaluation episode 647</x:v>
      </x:c>
      <x:c r="N175" s="31" t="str">
        <x:v>Primary motor/scene control for the transfer gap.</x:v>
      </x:c>
      <x:c r="O175" s="31" t="str">
        <x:v>Primary confirmatory</x:v>
      </x:c>
    </x:row>
    <x:row r="176" ht="44" customHeight="1">
      <x:c r="A176" s="31" t="str">
        <x:v>PVLA-CT-CTL-13</x:v>
      </x:c>
      <x:c r="B176" s="31" t="str">
        <x:v>Primary VLA</x:v>
      </x:c>
      <x:c r="C176" s="31" t="str">
        <x:v>Counting</x:v>
      </x:c>
      <x:c r="D176" s="31" t="str">
        <x:v>Main matched control</x:v>
      </x:c>
      <x:c r="E176" s="31" t="str">
        <x:v>Matched motor/scene control</x:v>
      </x:c>
      <x:c r="F176" s="31" t="str"/>
      <x:c r="G176" s="31" t="str">
        <x:v>C-CF10-A</x:v>
      </x:c>
      <x:c r="H176" s="31" t="str">
        <x:v>Remove the yellow block from the bowl.</x:v>
      </x:c>
      <x:c r="I176" s="31" t="str">
        <x:v>Remove the yellow block from the bowl.</x:v>
      </x:c>
      <x:c r="J176" s="31" t="str">
        <x:v>C-CF10-CA: bowl=[yellow block, green pencil sharpener] (2); table=[airplane toy without propellers, blue pen]; robot home; acceptable action=remove either bowl object.</x:v>
      </x:c>
      <x:c r="K176" s="31" t="str">
        <x:v>REMOVE yellow block</x:v>
      </x:c>
      <x:c r="L176" s="31" t="str">
        <x:v>Binary task success; paired with the main transfer row.</x:v>
      </x:c>
      <x:c r="M176" s="31" t="str">
        <x:v>VLA_Evaluation_Checklist_660_Final_Updated.xlsx — evaluation episode 648</x:v>
      </x:c>
      <x:c r="N176" s="31" t="str">
        <x:v>Primary motor/scene control for the transfer gap.</x:v>
      </x:c>
      <x:c r="O176" s="31" t="str">
        <x:v>Primary confirmatory</x:v>
      </x:c>
    </x:row>
    <x:row r="177" ht="44" customHeight="1">
      <x:c r="A177" s="31" t="str">
        <x:v>PVLA-CT-CTL-14</x:v>
      </x:c>
      <x:c r="B177" s="31" t="str">
        <x:v>Primary VLA</x:v>
      </x:c>
      <x:c r="C177" s="31" t="str">
        <x:v>Counting</x:v>
      </x:c>
      <x:c r="D177" s="31" t="str">
        <x:v>Main matched control</x:v>
      </x:c>
      <x:c r="E177" s="31" t="str">
        <x:v>Matched motor/scene control</x:v>
      </x:c>
      <x:c r="F177" s="31" t="str"/>
      <x:c r="G177" s="31" t="str">
        <x:v>C-CF10-B</x:v>
      </x:c>
      <x:c r="H177" s="31" t="str">
        <x:v>Put the airplane toy without propellers in the bowl.</x:v>
      </x:c>
      <x:c r="I177" s="31" t="str">
        <x:v>Put the airplane toy without propellers in the bowl.</x:v>
      </x:c>
      <x:c r="J177" s="31" t="str">
        <x:v>C-CF10-CB: bowl=[yellow block, green pencil sharpener] (2); table=[airplane toy without propellers, blue pen]; robot home; acceptable action=add either table object.</x:v>
      </x:c>
      <x:c r="K177" s="31" t="str">
        <x:v>ADD airplane toy without propellers</x:v>
      </x:c>
      <x:c r="L177" s="31" t="str">
        <x:v>Binary task success; paired with the main transfer row.</x:v>
      </x:c>
      <x:c r="M177" s="31" t="str">
        <x:v>VLA_Evaluation_Checklist_660_Final_Updated.xlsx — evaluation episode 649</x:v>
      </x:c>
      <x:c r="N177" s="31" t="str">
        <x:v>Primary motor/scene control for the transfer gap.</x:v>
      </x:c>
      <x:c r="O177" s="31" t="str">
        <x:v>Primary confirmatory</x:v>
      </x:c>
    </x:row>
    <x:row r="178" ht="44" customHeight="1">
      <x:c r="A178" s="31" t="str">
        <x:v>PVLA-CT-CTL-15</x:v>
      </x:c>
      <x:c r="B178" s="31" t="str">
        <x:v>Primary VLA</x:v>
      </x:c>
      <x:c r="C178" s="31" t="str">
        <x:v>Counting</x:v>
      </x:c>
      <x:c r="D178" s="31" t="str">
        <x:v>Main matched control</x:v>
      </x:c>
      <x:c r="E178" s="31" t="str">
        <x:v>Matched motor/scene control</x:v>
      </x:c>
      <x:c r="F178" s="31" t="str"/>
      <x:c r="G178" s="31" t="str">
        <x:v>C-CF12-A</x:v>
      </x:c>
      <x:c r="H178" s="31" t="str">
        <x:v>Remove the airplane toy without propellers from the bowl.</x:v>
      </x:c>
      <x:c r="I178" s="31" t="str">
        <x:v>Remove the airplane toy without propellers from the bowl.</x:v>
      </x:c>
      <x:c r="J178" s="31" t="str">
        <x:v>C-CF12-CA: bowl=[airplane toy without propellers, blue pen] (2); table=[yellow block, green pencil sharpener]; robot home; acceptable action=remove either bowl object.</x:v>
      </x:c>
      <x:c r="K178" s="31" t="str">
        <x:v>REMOVE airplane toy without propellers</x:v>
      </x:c>
      <x:c r="L178" s="31" t="str">
        <x:v>Binary task success; paired with the main transfer row.</x:v>
      </x:c>
      <x:c r="M178" s="31" t="str">
        <x:v>VLA_Evaluation_Checklist_660_Final_Updated.xlsx — evaluation episode 652</x:v>
      </x:c>
      <x:c r="N178" s="31" t="str">
        <x:v>Primary motor/scene control for the transfer gap.</x:v>
      </x:c>
      <x:c r="O178" s="31" t="str">
        <x:v>Primary confirmatory</x:v>
      </x:c>
    </x:row>
    <x:row r="179" ht="44" customHeight="1">
      <x:c r="A179" s="31" t="str">
        <x:v>PVLA-CT-CTL-16</x:v>
      </x:c>
      <x:c r="B179" s="31" t="str">
        <x:v>Primary VLA</x:v>
      </x:c>
      <x:c r="C179" s="31" t="str">
        <x:v>Counting</x:v>
      </x:c>
      <x:c r="D179" s="31" t="str">
        <x:v>Main matched control</x:v>
      </x:c>
      <x:c r="E179" s="31" t="str">
        <x:v>Matched motor/scene control</x:v>
      </x:c>
      <x:c r="F179" s="31" t="str"/>
      <x:c r="G179" s="31" t="str">
        <x:v>C-CF12-B</x:v>
      </x:c>
      <x:c r="H179" s="31" t="str">
        <x:v>Put the yellow block in the bowl.</x:v>
      </x:c>
      <x:c r="I179" s="31" t="str">
        <x:v>Put the yellow block in the bowl.</x:v>
      </x:c>
      <x:c r="J179" s="31" t="str">
        <x:v>C-CF12-CB: bowl=[airplane toy without propellers, blue pen] (2); table=[yellow block, green pencil sharpener]; robot home; acceptable action=add either table object.</x:v>
      </x:c>
      <x:c r="K179" s="31" t="str">
        <x:v>ADD yellow block</x:v>
      </x:c>
      <x:c r="L179" s="31" t="str">
        <x:v>Binary task success; paired with the main transfer row.</x:v>
      </x:c>
      <x:c r="M179" s="31" t="str">
        <x:v>VLA_Evaluation_Checklist_660_Final_Updated.xlsx — evaluation episode 653</x:v>
      </x:c>
      <x:c r="N179" s="31" t="str">
        <x:v>Primary motor/scene control for the transfer gap.</x:v>
      </x:c>
      <x:c r="O179" s="31" t="str">
        <x:v>Primary confirmatory</x:v>
      </x:c>
    </x:row>
    <x:row r="180" ht="44" customHeight="1">
      <x:c r="A180" s="31" t="str">
        <x:v>PVLA-CT-ABL-BLK-01</x:v>
      </x:c>
      <x:c r="B180" s="31" t="str">
        <x:v>Primary VLA</x:v>
      </x:c>
      <x:c r="C180" s="31" t="str">
        <x:v>Counting</x:v>
      </x:c>
      <x:c r="D180" s="31" t="str">
        <x:v>Language ablation — blank</x:v>
      </x:c>
      <x:c r="E180" s="31" t="str">
        <x:v>Empty instruction</x:v>
      </x:c>
      <x:c r="F180" s="31" t="str">
        <x:v>PVLA-CT-TR-01</x:v>
      </x:c>
      <x:c r="G180" s="31" t="str">
        <x:v>C-CF01-A</x:v>
      </x:c>
      <x:c r="H180" s="31" t="str">
        <x:v>[EMPTY STRING — provide no instruction tokens]</x:v>
      </x:c>
      <x:c r="I180" s="31" t="str">
        <x:v>Leave exactly one object in the bowl.</x:v>
      </x:c>
      <x:c r="J180" s="31" t="str">
        <x:v>C-CF01A: bowl=[blue pen, yellow block] (2); table=[green pencil sharpener, airplane toy without propellers]; robot home; acceptable action=remove either bowl object.</x:v>
      </x:c>
      <x:c r="K180" s="31" t="str">
        <x:v>No prespecified task success under blank language; record any action/selected target.</x:v>
      </x:c>
      <x:c r="L180" s="31" t="str">
        <x:v>Do not score ordinary task success. Record action occurrence and agreement with the parent correct-prompt rollout.</x:v>
      </x:c>
      <x:c r="M180" s="31" t="str">
        <x:v>Generated from PVLA-CT-TR-01</x:v>
      </x:c>
      <x:c r="N180" s="31" t="str">
        <x:v>Causal language-sensitivity diagnostic.</x:v>
      </x:c>
      <x:c r="O180" s="31" t="str">
        <x:v>Secondary pre-specified</x:v>
      </x:c>
    </x:row>
    <x:row r="181" ht="44" customHeight="1">
      <x:c r="A181" s="31" t="str">
        <x:v>PVLA-CT-ABL-BLK-02</x:v>
      </x:c>
      <x:c r="B181" s="31" t="str">
        <x:v>Primary VLA</x:v>
      </x:c>
      <x:c r="C181" s="31" t="str">
        <x:v>Counting</x:v>
      </x:c>
      <x:c r="D181" s="31" t="str">
        <x:v>Language ablation — blank</x:v>
      </x:c>
      <x:c r="E181" s="31" t="str">
        <x:v>Empty instruction</x:v>
      </x:c>
      <x:c r="F181" s="31" t="str">
        <x:v>PVLA-CT-TR-02</x:v>
      </x:c>
      <x:c r="G181" s="31" t="str">
        <x:v>C-CF01-B</x:v>
      </x:c>
      <x:c r="H181" s="31" t="str">
        <x:v>[EMPTY STRING — provide no instruction tokens]</x:v>
      </x:c>
      <x:c r="I181" s="31" t="str">
        <x:v>Leave exactly three objects in the bowl.</x:v>
      </x:c>
      <x:c r="J181" s="31" t="str">
        <x:v>C-CF01B: bowl=[blue pen, yellow block] (2); table=[green pencil sharpener, airplane toy without propellers]; robot home; acceptable action=add either table object.</x:v>
      </x:c>
      <x:c r="K181" s="31" t="str">
        <x:v>No prespecified task success under blank language; record any action/selected target.</x:v>
      </x:c>
      <x:c r="L181" s="31" t="str">
        <x:v>Do not score ordinary task success. Record action occurrence and agreement with the parent correct-prompt rollout.</x:v>
      </x:c>
      <x:c r="M181" s="31" t="str">
        <x:v>Generated from PVLA-CT-TR-02</x:v>
      </x:c>
      <x:c r="N181" s="31" t="str">
        <x:v>Causal language-sensitivity diagnostic.</x:v>
      </x:c>
      <x:c r="O181" s="31" t="str">
        <x:v>Secondary pre-specified</x:v>
      </x:c>
    </x:row>
    <x:row r="182" ht="44" customHeight="1">
      <x:c r="A182" s="31" t="str">
        <x:v>PVLA-CT-ABL-BLK-03</x:v>
      </x:c>
      <x:c r="B182" s="31" t="str">
        <x:v>Primary VLA</x:v>
      </x:c>
      <x:c r="C182" s="31" t="str">
        <x:v>Counting</x:v>
      </x:c>
      <x:c r="D182" s="31" t="str">
        <x:v>Language ablation — blank</x:v>
      </x:c>
      <x:c r="E182" s="31" t="str">
        <x:v>Empty instruction</x:v>
      </x:c>
      <x:c r="F182" s="31" t="str">
        <x:v>PVLA-CT-TR-03</x:v>
      </x:c>
      <x:c r="G182" s="31" t="str">
        <x:v>C-CF03-A</x:v>
      </x:c>
      <x:c r="H182" s="31" t="str">
        <x:v>[EMPTY STRING — provide no instruction tokens]</x:v>
      </x:c>
      <x:c r="I182" s="31" t="str">
        <x:v>Leave exactly one object in the bowl.</x:v>
      </x:c>
      <x:c r="J182" s="31" t="str">
        <x:v>C-CF03A: bowl=[green pencil sharpener, airplane toy without propellers] (2); table=[blue pen, yellow block]; robot home; acceptable action=remove either bowl object.</x:v>
      </x:c>
      <x:c r="K182" s="31" t="str">
        <x:v>No prespecified task success under blank language; record any action/selected target.</x:v>
      </x:c>
      <x:c r="L182" s="31" t="str">
        <x:v>Do not score ordinary task success. Record action occurrence and agreement with the parent correct-prompt rollout.</x:v>
      </x:c>
      <x:c r="M182" s="31" t="str">
        <x:v>Generated from PVLA-CT-TR-03</x:v>
      </x:c>
      <x:c r="N182" s="31" t="str">
        <x:v>Causal language-sensitivity diagnostic.</x:v>
      </x:c>
      <x:c r="O182" s="31" t="str">
        <x:v>Secondary pre-specified</x:v>
      </x:c>
    </x:row>
    <x:row r="183" ht="44" customHeight="1">
      <x:c r="A183" s="31" t="str">
        <x:v>PVLA-CT-ABL-BLK-04</x:v>
      </x:c>
      <x:c r="B183" s="31" t="str">
        <x:v>Primary VLA</x:v>
      </x:c>
      <x:c r="C183" s="31" t="str">
        <x:v>Counting</x:v>
      </x:c>
      <x:c r="D183" s="31" t="str">
        <x:v>Language ablation — blank</x:v>
      </x:c>
      <x:c r="E183" s="31" t="str">
        <x:v>Empty instruction</x:v>
      </x:c>
      <x:c r="F183" s="31" t="str">
        <x:v>PVLA-CT-TR-04</x:v>
      </x:c>
      <x:c r="G183" s="31" t="str">
        <x:v>C-CF03-B</x:v>
      </x:c>
      <x:c r="H183" s="31" t="str">
        <x:v>[EMPTY STRING — provide no instruction tokens]</x:v>
      </x:c>
      <x:c r="I183" s="31" t="str">
        <x:v>Leave exactly three objects in the bowl.</x:v>
      </x:c>
      <x:c r="J183" s="31" t="str">
        <x:v>C-CF03B: bowl=[green pencil sharpener, airplane toy without propellers] (2); table=[blue pen, yellow block]; robot home; acceptable action=add either table object.</x:v>
      </x:c>
      <x:c r="K183" s="31" t="str">
        <x:v>No prespecified task success under blank language; record any action/selected target.</x:v>
      </x:c>
      <x:c r="L183" s="31" t="str">
        <x:v>Do not score ordinary task success. Record action occurrence and agreement with the parent correct-prompt rollout.</x:v>
      </x:c>
      <x:c r="M183" s="31" t="str">
        <x:v>Generated from PVLA-CT-TR-04</x:v>
      </x:c>
      <x:c r="N183" s="31" t="str">
        <x:v>Causal language-sensitivity diagnostic.</x:v>
      </x:c>
      <x:c r="O183" s="31" t="str">
        <x:v>Secondary pre-specified</x:v>
      </x:c>
    </x:row>
    <x:row r="184" ht="44" customHeight="1">
      <x:c r="A184" s="31" t="str">
        <x:v>PVLA-CT-ABL-CF-01</x:v>
      </x:c>
      <x:c r="B184" s="31" t="str">
        <x:v>Primary VLA</x:v>
      </x:c>
      <x:c r="C184" s="31" t="str">
        <x:v>Counting</x:v>
      </x:c>
      <x:c r="D184" s="31" t="str">
        <x:v>Language ablation — counterfactual</x:v>
      </x:c>
      <x:c r="E184" s="31" t="str">
        <x:v>Same scene, changed instruction</x:v>
      </x:c>
      <x:c r="F184" s="31" t="str">
        <x:v>PVLA-CT-TR-05</x:v>
      </x:c>
      <x:c r="G184" s="31" t="str">
        <x:v>C-CF04-A</x:v>
      </x:c>
      <x:c r="H184" s="31" t="str">
        <x:v>Leave exactly three objects in the bowl.</x:v>
      </x:c>
      <x:c r="I184" s="31" t="str">
        <x:v>Leave exactly three objects in the bowl.</x:v>
      </x:c>
      <x:c r="J184" s="31" t="str">
        <x:v>C-CF04A: bowl=[airplane toy without propellers, blue pen] (2); table=[yellow block, green pencil sharpener]; robot home; acceptable action=remove either bowl object.</x:v>
      </x:c>
      <x:c r="K184" s="31" t="str">
        <x:v>ADD one table object</x:v>
      </x:c>
      <x:c r="L184" s="31" t="str">
        <x:v>Binary success for the counterfactual instruction and paired action-switch analysis versus the parent.</x:v>
      </x:c>
      <x:c r="M184" s="31" t="str">
        <x:v>Generated from PVLA-CT-TR-05</x:v>
      </x:c>
      <x:c r="N184" s="31" t="str">
        <x:v>Causal language-sensitivity diagnostic.</x:v>
      </x:c>
      <x:c r="O184" s="31" t="str">
        <x:v>Secondary pre-specified</x:v>
      </x:c>
    </x:row>
    <x:row r="185" ht="44" customHeight="1">
      <x:c r="A185" s="31" t="str">
        <x:v>PVLA-CT-ABL-CF-02</x:v>
      </x:c>
      <x:c r="B185" s="31" t="str">
        <x:v>Primary VLA</x:v>
      </x:c>
      <x:c r="C185" s="31" t="str">
        <x:v>Counting</x:v>
      </x:c>
      <x:c r="D185" s="31" t="str">
        <x:v>Language ablation — counterfactual</x:v>
      </x:c>
      <x:c r="E185" s="31" t="str">
        <x:v>Same scene, changed instruction</x:v>
      </x:c>
      <x:c r="F185" s="31" t="str">
        <x:v>PVLA-CT-TR-06</x:v>
      </x:c>
      <x:c r="G185" s="31" t="str">
        <x:v>C-CF04-B</x:v>
      </x:c>
      <x:c r="H185" s="31" t="str">
        <x:v>Leave exactly one object in the bowl.</x:v>
      </x:c>
      <x:c r="I185" s="31" t="str">
        <x:v>Leave exactly one object in the bowl.</x:v>
      </x:c>
      <x:c r="J185" s="31" t="str">
        <x:v>C-CF04B: bowl=[airplane toy without propellers, blue pen] (2); table=[yellow block, green pencil sharpener]; robot home; acceptable action=add either table object.</x:v>
      </x:c>
      <x:c r="K185" s="31" t="str">
        <x:v>REMOVE one bowl object</x:v>
      </x:c>
      <x:c r="L185" s="31" t="str">
        <x:v>Binary success for the counterfactual instruction and paired action-switch analysis versus the parent.</x:v>
      </x:c>
      <x:c r="M185" s="31" t="str">
        <x:v>Generated from PVLA-CT-TR-06</x:v>
      </x:c>
      <x:c r="N185" s="31" t="str">
        <x:v>Causal language-sensitivity diagnostic.</x:v>
      </x:c>
      <x:c r="O185" s="31" t="str">
        <x:v>Secondary pre-specified</x:v>
      </x:c>
    </x:row>
    <x:row r="186" ht="44" customHeight="1">
      <x:c r="A186" s="31" t="str">
        <x:v>PVLA-CT-ABL-CF-03</x:v>
      </x:c>
      <x:c r="B186" s="31" t="str">
        <x:v>Primary VLA</x:v>
      </x:c>
      <x:c r="C186" s="31" t="str">
        <x:v>Counting</x:v>
      </x:c>
      <x:c r="D186" s="31" t="str">
        <x:v>Language ablation — counterfactual</x:v>
      </x:c>
      <x:c r="E186" s="31" t="str">
        <x:v>Same scene, changed instruction</x:v>
      </x:c>
      <x:c r="F186" s="31" t="str">
        <x:v>PVLA-CT-TR-07</x:v>
      </x:c>
      <x:c r="G186" s="31" t="str">
        <x:v>C-CF06-A</x:v>
      </x:c>
      <x:c r="H186" s="31" t="str">
        <x:v>Leave exactly three objects in the bowl.</x:v>
      </x:c>
      <x:c r="I186" s="31" t="str">
        <x:v>Leave exactly three objects in the bowl.</x:v>
      </x:c>
      <x:c r="J186" s="31" t="str">
        <x:v>C-CF06A: bowl=[yellow block, green pencil sharpener] (2); table=[airplane toy without propellers, blue pen]; robot home; acceptable action=remove either bowl object.</x:v>
      </x:c>
      <x:c r="K186" s="31" t="str">
        <x:v>ADD one table object</x:v>
      </x:c>
      <x:c r="L186" s="31" t="str">
        <x:v>Binary success for the counterfactual instruction and paired action-switch analysis versus the parent.</x:v>
      </x:c>
      <x:c r="M186" s="31" t="str">
        <x:v>Generated from PVLA-CT-TR-07</x:v>
      </x:c>
      <x:c r="N186" s="31" t="str">
        <x:v>Causal language-sensitivity diagnostic.</x:v>
      </x:c>
      <x:c r="O186" s="31" t="str">
        <x:v>Secondary pre-specified</x:v>
      </x:c>
    </x:row>
    <x:row r="187" ht="44" customHeight="1">
      <x:c r="A187" s="31" t="str">
        <x:v>PVLA-CT-ABL-CF-04</x:v>
      </x:c>
      <x:c r="B187" s="31" t="str">
        <x:v>Primary VLA</x:v>
      </x:c>
      <x:c r="C187" s="31" t="str">
        <x:v>Counting</x:v>
      </x:c>
      <x:c r="D187" s="31" t="str">
        <x:v>Language ablation — counterfactual</x:v>
      </x:c>
      <x:c r="E187" s="31" t="str">
        <x:v>Same scene, changed instruction</x:v>
      </x:c>
      <x:c r="F187" s="31" t="str">
        <x:v>PVLA-CT-TR-08</x:v>
      </x:c>
      <x:c r="G187" s="31" t="str">
        <x:v>C-CF06-B</x:v>
      </x:c>
      <x:c r="H187" s="31" t="str">
        <x:v>Leave exactly one object in the bowl.</x:v>
      </x:c>
      <x:c r="I187" s="31" t="str">
        <x:v>Leave exactly one object in the bowl.</x:v>
      </x:c>
      <x:c r="J187" s="31" t="str">
        <x:v>C-CF06B: bowl=[yellow block, green pencil sharpener] (2); table=[airplane toy without propellers, blue pen]; robot home; acceptable action=add either table object.</x:v>
      </x:c>
      <x:c r="K187" s="31" t="str">
        <x:v>REMOVE one bowl object</x:v>
      </x:c>
      <x:c r="L187" s="31" t="str">
        <x:v>Binary success for the counterfactual instruction and paired action-switch analysis versus the parent.</x:v>
      </x:c>
      <x:c r="M187" s="31" t="str">
        <x:v>Generated from PVLA-CT-TR-08</x:v>
      </x:c>
      <x:c r="N187" s="31" t="str">
        <x:v>Causal language-sensitivity diagnostic.</x:v>
      </x:c>
      <x:c r="O187" s="31" t="str">
        <x:v>Secondary pre-specified</x:v>
      </x:c>
    </x:row>
    <x:row r="188" ht="44" customHeight="1">
      <x:c r="A188" s="31" t="str">
        <x:v>BC-ST-01A</x:v>
      </x:c>
      <x:c r="B188" s="31" t="str">
        <x:v>BC Diagnostic</x:v>
      </x:c>
      <x:c r="C188" s="31" t="str">
        <x:v>State Recognition</x:v>
      </x:c>
      <x:c r="D188" s="31" t="str">
        <x:v>Vision-only counterfactual A</x:v>
      </x:c>
      <x:c r="E188" s="31" t="str">
        <x:v>Identical scene; instruction withheld from policy</x:v>
      </x:c>
      <x:c r="F188" s="31" t="str"/>
      <x:c r="G188" s="31" t="str">
        <x:v>BC-ST-01</x:v>
      </x:c>
      <x:c r="H188" s="31" t="str">
        <x:v>[NO LANGUAGE CHANNEL / INPUT]</x:v>
      </x:c>
      <x:c r="I188" s="31" t="str">
        <x:v>Place the open white cup in the bowl.</x:v>
      </x:c>
      <x:c r="J188" s="31" t="str">
        <x:v>S-CF01-SEEN: P1 white cup A=C/UR [TARGET]; P2 white cup B=O/UR [COMPETITOR]; P3 yellow-white striped cup A=C/UD; P4 brown cup B=O/UD.</x:v>
      </x:c>
      <x:c r="K188" s="31" t="str">
        <x:v>white cup B</x:v>
      </x:c>
      <x:c r="L188" s="31" t="str">
        <x:v>Score against the displayed diagnostic instruction, which is not supplied to BC; analyze paired action switching.</x:v>
      </x:c>
      <x:c r="M188" s="31" t="str">
        <x:v>VLA_Evaluation_Checklist_660_Final_Updated.xlsx — evaluation episode 10</x:v>
      </x:c>
      <x:c r="N188" s="31" t="str">
        <x:v>Vision/motor-prior shortcut diagnostic, not a language-grounding model.</x:v>
      </x:c>
      <x:c r="O188" s="31" t="str">
        <x:v>Diagnostic</x:v>
      </x:c>
    </x:row>
    <x:row r="189" ht="44" customHeight="1">
      <x:c r="A189" s="31" t="str">
        <x:v>BC-ST-01B</x:v>
      </x:c>
      <x:c r="B189" s="31" t="str">
        <x:v>BC Diagnostic</x:v>
      </x:c>
      <x:c r="C189" s="31" t="str">
        <x:v>State Recognition</x:v>
      </x:c>
      <x:c r="D189" s="31" t="str">
        <x:v>Vision-only counterfactual B</x:v>
      </x:c>
      <x:c r="E189" s="31" t="str">
        <x:v>Identical scene; instruction withheld from policy</x:v>
      </x:c>
      <x:c r="F189" s="31" t="str"/>
      <x:c r="G189" s="31" t="str">
        <x:v>BC-ST-01</x:v>
      </x:c>
      <x:c r="H189" s="31" t="str">
        <x:v>[NO LANGUAGE CHANNEL / INPUT]</x:v>
      </x:c>
      <x:c r="I189" s="31" t="str">
        <x:v>Place the closed white cup in the bowl.</x:v>
      </x:c>
      <x:c r="J189" s="31" t="str">
        <x:v>S-CF01-HELD: P1 white cup A=C/UR [TARGET]; P2 white cup B=O/UR [COMPETITOR]; P3 yellow-white striped cup A=C/UD; P4 brown cup B=O/UD.</x:v>
      </x:c>
      <x:c r="K189" s="31" t="str">
        <x:v>white cup A</x:v>
      </x:c>
      <x:c r="L189" s="31" t="str">
        <x:v>Score against the displayed diagnostic instruction, which is not supplied to BC; analyze paired action switching.</x:v>
      </x:c>
      <x:c r="M189" s="31" t="str">
        <x:v>VLA_Evaluation_Checklist_660_Final_Updated.xlsx — evaluation episode 50</x:v>
      </x:c>
      <x:c r="N189" s="31" t="str">
        <x:v>Vision/motor-prior shortcut diagnostic, not a language-grounding model.</x:v>
      </x:c>
      <x:c r="O189" s="31" t="str">
        <x:v>Diagnostic</x:v>
      </x:c>
    </x:row>
    <x:row r="190" ht="44" customHeight="1">
      <x:c r="A190" s="31" t="str">
        <x:v>BC-ST-02A</x:v>
      </x:c>
      <x:c r="B190" s="31" t="str">
        <x:v>BC Diagnostic</x:v>
      </x:c>
      <x:c r="C190" s="31" t="str">
        <x:v>State Recognition</x:v>
      </x:c>
      <x:c r="D190" s="31" t="str">
        <x:v>Vision-only counterfactual A</x:v>
      </x:c>
      <x:c r="E190" s="31" t="str">
        <x:v>Identical scene; instruction withheld from policy</x:v>
      </x:c>
      <x:c r="F190" s="31" t="str"/>
      <x:c r="G190" s="31" t="str">
        <x:v>BC-ST-02</x:v>
      </x:c>
      <x:c r="H190" s="31" t="str">
        <x:v>[NO LANGUAGE CHANNEL / INPUT]</x:v>
      </x:c>
      <x:c r="I190" s="31" t="str">
        <x:v>Place the upside-down yellow-white striped cup in the bowl.</x:v>
      </x:c>
      <x:c r="J190" s="31" t="str">
        <x:v>S-CF02-SEEN: P1 brown cup B=C/UR; P2 yellow-white striped cup B=O/UR [TARGET]; P3 yellow-white striped cup A=O/UD [COMPETITOR]; P4 glass spice container B=C/UD.</x:v>
      </x:c>
      <x:c r="K190" s="31" t="str">
        <x:v>yellow-white striped cup A</x:v>
      </x:c>
      <x:c r="L190" s="31" t="str">
        <x:v>Score against the displayed diagnostic instruction, which is not supplied to BC; analyze paired action switching.</x:v>
      </x:c>
      <x:c r="M190" s="31" t="str">
        <x:v>VLA_Evaluation_Checklist_660_Final_Updated.xlsx — evaluation episode 11</x:v>
      </x:c>
      <x:c r="N190" s="31" t="str">
        <x:v>Vision/motor-prior shortcut diagnostic, not a language-grounding model.</x:v>
      </x:c>
      <x:c r="O190" s="31" t="str">
        <x:v>Diagnostic</x:v>
      </x:c>
    </x:row>
    <x:row r="191" ht="44" customHeight="1">
      <x:c r="A191" s="31" t="str">
        <x:v>BC-ST-02B</x:v>
      </x:c>
      <x:c r="B191" s="31" t="str">
        <x:v>BC Diagnostic</x:v>
      </x:c>
      <x:c r="C191" s="31" t="str">
        <x:v>State Recognition</x:v>
      </x:c>
      <x:c r="D191" s="31" t="str">
        <x:v>Vision-only counterfactual B</x:v>
      </x:c>
      <x:c r="E191" s="31" t="str">
        <x:v>Identical scene; instruction withheld from policy</x:v>
      </x:c>
      <x:c r="F191" s="31" t="str"/>
      <x:c r="G191" s="31" t="str">
        <x:v>BC-ST-02</x:v>
      </x:c>
      <x:c r="H191" s="31" t="str">
        <x:v>[NO LANGUAGE CHANNEL / INPUT]</x:v>
      </x:c>
      <x:c r="I191" s="31" t="str">
        <x:v>Place the upright yellow-white striped cup in the bowl.</x:v>
      </x:c>
      <x:c r="J191" s="31" t="str">
        <x:v>S-CF02-HELD: P1 brown cup B=C/UR; P2 yellow-white striped cup B=O/UR [TARGET]; P3 yellow-white striped cup A=O/UD [COMPETITOR]; P4 glass spice container B=C/UD.</x:v>
      </x:c>
      <x:c r="K191" s="31" t="str">
        <x:v>yellow-white striped cup B</x:v>
      </x:c>
      <x:c r="L191" s="31" t="str">
        <x:v>Score against the displayed diagnostic instruction, which is not supplied to BC; analyze paired action switching.</x:v>
      </x:c>
      <x:c r="M191" s="31" t="str">
        <x:v>VLA_Evaluation_Checklist_660_Final_Updated.xlsx — evaluation episode 51</x:v>
      </x:c>
      <x:c r="N191" s="31" t="str">
        <x:v>Vision/motor-prior shortcut diagnostic, not a language-grounding model.</x:v>
      </x:c>
      <x:c r="O191" s="31" t="str">
        <x:v>Diagnostic</x:v>
      </x:c>
    </x:row>
    <x:row r="192" ht="44" customHeight="1">
      <x:c r="A192" s="31" t="str">
        <x:v>BC-ST-03A</x:v>
      </x:c>
      <x:c r="B192" s="31" t="str">
        <x:v>BC Diagnostic</x:v>
      </x:c>
      <x:c r="C192" s="31" t="str">
        <x:v>State Recognition</x:v>
      </x:c>
      <x:c r="D192" s="31" t="str">
        <x:v>Vision-only counterfactual A</x:v>
      </x:c>
      <x:c r="E192" s="31" t="str">
        <x:v>Identical scene; instruction withheld from policy</x:v>
      </x:c>
      <x:c r="F192" s="31" t="str"/>
      <x:c r="G192" s="31" t="str">
        <x:v>BC-ST-03</x:v>
      </x:c>
      <x:c r="H192" s="31" t="str">
        <x:v>[NO LANGUAGE CHANNEL / INPUT]</x:v>
      </x:c>
      <x:c r="I192" s="31" t="str">
        <x:v>Place the open glass spice container in the bowl.</x:v>
      </x:c>
      <x:c r="J192" s="31" t="str">
        <x:v>S-CF03-SEEN: P1 white cup A=C/UR; P2 yellow-white striped cup A=O/UR; P3 glass spice container B=C/UD [TARGET]; P4 glass spice container A=O/UD [COMPETITOR].</x:v>
      </x:c>
      <x:c r="K192" s="31" t="str">
        <x:v>glass spice container A</x:v>
      </x:c>
      <x:c r="L192" s="31" t="str">
        <x:v>Score against the displayed diagnostic instruction, which is not supplied to BC; analyze paired action switching.</x:v>
      </x:c>
      <x:c r="M192" s="31" t="str">
        <x:v>VLA_Evaluation_Checklist_660_Final_Updated.xlsx — evaluation episode 12</x:v>
      </x:c>
      <x:c r="N192" s="31" t="str">
        <x:v>Vision/motor-prior shortcut diagnostic, not a language-grounding model.</x:v>
      </x:c>
      <x:c r="O192" s="31" t="str">
        <x:v>Diagnostic</x:v>
      </x:c>
    </x:row>
    <x:row r="193" ht="44" customHeight="1">
      <x:c r="A193" s="31" t="str">
        <x:v>BC-ST-03B</x:v>
      </x:c>
      <x:c r="B193" s="31" t="str">
        <x:v>BC Diagnostic</x:v>
      </x:c>
      <x:c r="C193" s="31" t="str">
        <x:v>State Recognition</x:v>
      </x:c>
      <x:c r="D193" s="31" t="str">
        <x:v>Vision-only counterfactual B</x:v>
      </x:c>
      <x:c r="E193" s="31" t="str">
        <x:v>Identical scene; instruction withheld from policy</x:v>
      </x:c>
      <x:c r="F193" s="31" t="str"/>
      <x:c r="G193" s="31" t="str">
        <x:v>BC-ST-03</x:v>
      </x:c>
      <x:c r="H193" s="31" t="str">
        <x:v>[NO LANGUAGE CHANNEL / INPUT]</x:v>
      </x:c>
      <x:c r="I193" s="31" t="str">
        <x:v>Place the closed glass spice container in the bowl.</x:v>
      </x:c>
      <x:c r="J193" s="31" t="str">
        <x:v>S-CF03-HELD: P1 white cup A=C/UR; P2 yellow-white striped cup A=O/UR; P3 glass spice container B=C/UD [TARGET]; P4 glass spice container A=O/UD [COMPETITOR].</x:v>
      </x:c>
      <x:c r="K193" s="31" t="str">
        <x:v>glass spice container B</x:v>
      </x:c>
      <x:c r="L193" s="31" t="str">
        <x:v>Score against the displayed diagnostic instruction, which is not supplied to BC; analyze paired action switching.</x:v>
      </x:c>
      <x:c r="M193" s="31" t="str">
        <x:v>VLA_Evaluation_Checklist_660_Final_Updated.xlsx — evaluation episode 52</x:v>
      </x:c>
      <x:c r="N193" s="31" t="str">
        <x:v>Vision/motor-prior shortcut diagnostic, not a language-grounding model.</x:v>
      </x:c>
      <x:c r="O193" s="31" t="str">
        <x:v>Diagnostic</x:v>
      </x:c>
    </x:row>
    <x:row r="194" ht="44" customHeight="1">
      <x:c r="A194" s="31" t="str">
        <x:v>BC-ST-04A</x:v>
      </x:c>
      <x:c r="B194" s="31" t="str">
        <x:v>BC Diagnostic</x:v>
      </x:c>
      <x:c r="C194" s="31" t="str">
        <x:v>State Recognition</x:v>
      </x:c>
      <x:c r="D194" s="31" t="str">
        <x:v>Vision-only counterfactual A</x:v>
      </x:c>
      <x:c r="E194" s="31" t="str">
        <x:v>Identical scene; instruction withheld from policy</x:v>
      </x:c>
      <x:c r="F194" s="31" t="str"/>
      <x:c r="G194" s="31" t="str">
        <x:v>BC-ST-04</x:v>
      </x:c>
      <x:c r="H194" s="31" t="str">
        <x:v>[NO LANGUAGE CHANNEL / INPUT]</x:v>
      </x:c>
      <x:c r="I194" s="31" t="str">
        <x:v>Place the upside-down white cup in the bowl.</x:v>
      </x:c>
      <x:c r="J194" s="31" t="str">
        <x:v>S-CF04-SEEN: P1 white cup A=C/UD [COMPETITOR]; P2 yellow-white striped cup B=O/UR; P3 brown cup A=O/UD; P4 white cup B=C/UR [TARGET].</x:v>
      </x:c>
      <x:c r="K194" s="31" t="str">
        <x:v>white cup A</x:v>
      </x:c>
      <x:c r="L194" s="31" t="str">
        <x:v>Score against the displayed diagnostic instruction, which is not supplied to BC; analyze paired action switching.</x:v>
      </x:c>
      <x:c r="M194" s="31" t="str">
        <x:v>VLA_Evaluation_Checklist_660_Final_Updated.xlsx — evaluation episode 13</x:v>
      </x:c>
      <x:c r="N194" s="31" t="str">
        <x:v>Vision/motor-prior shortcut diagnostic, not a language-grounding model.</x:v>
      </x:c>
      <x:c r="O194" s="31" t="str">
        <x:v>Diagnostic</x:v>
      </x:c>
    </x:row>
    <x:row r="195" ht="44" customHeight="1">
      <x:c r="A195" s="31" t="str">
        <x:v>BC-ST-04B</x:v>
      </x:c>
      <x:c r="B195" s="31" t="str">
        <x:v>BC Diagnostic</x:v>
      </x:c>
      <x:c r="C195" s="31" t="str">
        <x:v>State Recognition</x:v>
      </x:c>
      <x:c r="D195" s="31" t="str">
        <x:v>Vision-only counterfactual B</x:v>
      </x:c>
      <x:c r="E195" s="31" t="str">
        <x:v>Identical scene; instruction withheld from policy</x:v>
      </x:c>
      <x:c r="F195" s="31" t="str"/>
      <x:c r="G195" s="31" t="str">
        <x:v>BC-ST-04</x:v>
      </x:c>
      <x:c r="H195" s="31" t="str">
        <x:v>[NO LANGUAGE CHANNEL / INPUT]</x:v>
      </x:c>
      <x:c r="I195" s="31" t="str">
        <x:v>Place the upright white cup in the bowl.</x:v>
      </x:c>
      <x:c r="J195" s="31" t="str">
        <x:v>S-CF04-HELD: P1 white cup A=C/UD [COMPETITOR]; P2 yellow-white striped cup B=O/UR; P3 brown cup A=O/UD; P4 white cup B=C/UR [TARGET].</x:v>
      </x:c>
      <x:c r="K195" s="31" t="str">
        <x:v>white cup B</x:v>
      </x:c>
      <x:c r="L195" s="31" t="str">
        <x:v>Score against the displayed diagnostic instruction, which is not supplied to BC; analyze paired action switching.</x:v>
      </x:c>
      <x:c r="M195" s="31" t="str">
        <x:v>VLA_Evaluation_Checklist_660_Final_Updated.xlsx — evaluation episode 53</x:v>
      </x:c>
      <x:c r="N195" s="31" t="str">
        <x:v>Vision/motor-prior shortcut diagnostic, not a language-grounding model.</x:v>
      </x:c>
      <x:c r="O195" s="31" t="str">
        <x:v>Diagnostic</x:v>
      </x:c>
    </x:row>
    <x:row r="196" ht="44" customHeight="1">
      <x:c r="A196" s="31" t="str">
        <x:v>BC-ST-05A</x:v>
      </x:c>
      <x:c r="B196" s="31" t="str">
        <x:v>BC Diagnostic</x:v>
      </x:c>
      <x:c r="C196" s="31" t="str">
        <x:v>State Recognition</x:v>
      </x:c>
      <x:c r="D196" s="31" t="str">
        <x:v>Vision-only counterfactual A</x:v>
      </x:c>
      <x:c r="E196" s="31" t="str">
        <x:v>Identical scene; instruction withheld from policy</x:v>
      </x:c>
      <x:c r="F196" s="31" t="str"/>
      <x:c r="G196" s="31" t="str">
        <x:v>BC-ST-05</x:v>
      </x:c>
      <x:c r="H196" s="31" t="str">
        <x:v>[NO LANGUAGE CHANNEL / INPUT]</x:v>
      </x:c>
      <x:c r="I196" s="31" t="str">
        <x:v>Place the open brown cup in the bowl.</x:v>
      </x:c>
      <x:c r="J196" s="31" t="str">
        <x:v>S-CF05-SEEN: P1 brown cup A=C/UR [TARGET]; P2 brown cup B=O/UR [COMPETITOR]; P3 glass spice container A=C/UD; P4 white cup B=O/UD.</x:v>
      </x:c>
      <x:c r="K196" s="31" t="str">
        <x:v>brown cup B</x:v>
      </x:c>
      <x:c r="L196" s="31" t="str">
        <x:v>Score against the displayed diagnostic instruction, which is not supplied to BC; analyze paired action switching.</x:v>
      </x:c>
      <x:c r="M196" s="31" t="str">
        <x:v>VLA_Evaluation_Checklist_660_Final_Updated.xlsx — evaluation episode 14</x:v>
      </x:c>
      <x:c r="N196" s="31" t="str">
        <x:v>Vision/motor-prior shortcut diagnostic, not a language-grounding model.</x:v>
      </x:c>
      <x:c r="O196" s="31" t="str">
        <x:v>Diagnostic</x:v>
      </x:c>
    </x:row>
    <x:row r="197" ht="44" customHeight="1">
      <x:c r="A197" s="31" t="str">
        <x:v>BC-ST-05B</x:v>
      </x:c>
      <x:c r="B197" s="31" t="str">
        <x:v>BC Diagnostic</x:v>
      </x:c>
      <x:c r="C197" s="31" t="str">
        <x:v>State Recognition</x:v>
      </x:c>
      <x:c r="D197" s="31" t="str">
        <x:v>Vision-only counterfactual B</x:v>
      </x:c>
      <x:c r="E197" s="31" t="str">
        <x:v>Identical scene; instruction withheld from policy</x:v>
      </x:c>
      <x:c r="F197" s="31" t="str"/>
      <x:c r="G197" s="31" t="str">
        <x:v>BC-ST-05</x:v>
      </x:c>
      <x:c r="H197" s="31" t="str">
        <x:v>[NO LANGUAGE CHANNEL / INPUT]</x:v>
      </x:c>
      <x:c r="I197" s="31" t="str">
        <x:v>Place the closed brown cup in the bowl.</x:v>
      </x:c>
      <x:c r="J197" s="31" t="str">
        <x:v>S-CF05-HELD: P1 brown cup A=C/UR [TARGET]; P2 brown cup B=O/UR [COMPETITOR]; P3 glass spice container A=C/UD; P4 white cup B=O/UD.</x:v>
      </x:c>
      <x:c r="K197" s="31" t="str">
        <x:v>brown cup A</x:v>
      </x:c>
      <x:c r="L197" s="31" t="str">
        <x:v>Score against the displayed diagnostic instruction, which is not supplied to BC; analyze paired action switching.</x:v>
      </x:c>
      <x:c r="M197" s="31" t="str">
        <x:v>VLA_Evaluation_Checklist_660_Final_Updated.xlsx — evaluation episode 54</x:v>
      </x:c>
      <x:c r="N197" s="31" t="str">
        <x:v>Vision/motor-prior shortcut diagnostic, not a language-grounding model.</x:v>
      </x:c>
      <x:c r="O197" s="31" t="str">
        <x:v>Diagnostic</x:v>
      </x:c>
    </x:row>
    <x:row r="198" ht="44" customHeight="1">
      <x:c r="A198" s="31" t="str">
        <x:v>BC-ST-06A</x:v>
      </x:c>
      <x:c r="B198" s="31" t="str">
        <x:v>BC Diagnostic</x:v>
      </x:c>
      <x:c r="C198" s="31" t="str">
        <x:v>State Recognition</x:v>
      </x:c>
      <x:c r="D198" s="31" t="str">
        <x:v>Vision-only counterfactual A</x:v>
      </x:c>
      <x:c r="E198" s="31" t="str">
        <x:v>Identical scene; instruction withheld from policy</x:v>
      </x:c>
      <x:c r="F198" s="31" t="str"/>
      <x:c r="G198" s="31" t="str">
        <x:v>BC-ST-06</x:v>
      </x:c>
      <x:c r="H198" s="31" t="str">
        <x:v>[NO LANGUAGE CHANNEL / INPUT]</x:v>
      </x:c>
      <x:c r="I198" s="31" t="str">
        <x:v>Place the upside-down glass spice container in the bowl.</x:v>
      </x:c>
      <x:c r="J198" s="31" t="str">
        <x:v>S-CF06-SEEN: P1 white cup B=C/UR; P2 glass spice container A=O/UR [TARGET]; P3 glass spice container B=O/UD [COMPETITOR]; P4 yellow-white striped cup B=C/UD.</x:v>
      </x:c>
      <x:c r="K198" s="31" t="str">
        <x:v>glass spice container B</x:v>
      </x:c>
      <x:c r="L198" s="31" t="str">
        <x:v>Score against the displayed diagnostic instruction, which is not supplied to BC; analyze paired action switching.</x:v>
      </x:c>
      <x:c r="M198" s="31" t="str">
        <x:v>VLA_Evaluation_Checklist_660_Final_Updated.xlsx — evaluation episode 15</x:v>
      </x:c>
      <x:c r="N198" s="31" t="str">
        <x:v>Vision/motor-prior shortcut diagnostic, not a language-grounding model.</x:v>
      </x:c>
      <x:c r="O198" s="31" t="str">
        <x:v>Diagnostic</x:v>
      </x:c>
    </x:row>
    <x:row r="199" ht="44" customHeight="1">
      <x:c r="A199" s="31" t="str">
        <x:v>BC-ST-06B</x:v>
      </x:c>
      <x:c r="B199" s="31" t="str">
        <x:v>BC Diagnostic</x:v>
      </x:c>
      <x:c r="C199" s="31" t="str">
        <x:v>State Recognition</x:v>
      </x:c>
      <x:c r="D199" s="31" t="str">
        <x:v>Vision-only counterfactual B</x:v>
      </x:c>
      <x:c r="E199" s="31" t="str">
        <x:v>Identical scene; instruction withheld from policy</x:v>
      </x:c>
      <x:c r="F199" s="31" t="str"/>
      <x:c r="G199" s="31" t="str">
        <x:v>BC-ST-06</x:v>
      </x:c>
      <x:c r="H199" s="31" t="str">
        <x:v>[NO LANGUAGE CHANNEL / INPUT]</x:v>
      </x:c>
      <x:c r="I199" s="31" t="str">
        <x:v>Place the upright glass spice container in the bowl.</x:v>
      </x:c>
      <x:c r="J199" s="31" t="str">
        <x:v>S-CF06-HELD: P1 white cup B=C/UR; P2 glass spice container A=O/UR [TARGET]; P3 glass spice container B=O/UD [COMPETITOR]; P4 yellow-white striped cup B=C/UD.</x:v>
      </x:c>
      <x:c r="K199" s="31" t="str">
        <x:v>glass spice container A</x:v>
      </x:c>
      <x:c r="L199" s="31" t="str">
        <x:v>Score against the displayed diagnostic instruction, which is not supplied to BC; analyze paired action switching.</x:v>
      </x:c>
      <x:c r="M199" s="31" t="str">
        <x:v>VLA_Evaluation_Checklist_660_Final_Updated.xlsx — evaluation episode 55</x:v>
      </x:c>
      <x:c r="N199" s="31" t="str">
        <x:v>Vision/motor-prior shortcut diagnostic, not a language-grounding model.</x:v>
      </x:c>
      <x:c r="O199" s="31" t="str">
        <x:v>Diagnostic</x:v>
      </x:c>
    </x:row>
    <x:row r="200" ht="44" customHeight="1">
      <x:c r="A200" s="31" t="str">
        <x:v>BC-ST-07A</x:v>
      </x:c>
      <x:c r="B200" s="31" t="str">
        <x:v>BC Diagnostic</x:v>
      </x:c>
      <x:c r="C200" s="31" t="str">
        <x:v>State Recognition</x:v>
      </x:c>
      <x:c r="D200" s="31" t="str">
        <x:v>Vision-only counterfactual A</x:v>
      </x:c>
      <x:c r="E200" s="31" t="str">
        <x:v>Identical scene; instruction withheld from policy</x:v>
      </x:c>
      <x:c r="F200" s="31" t="str"/>
      <x:c r="G200" s="31" t="str">
        <x:v>BC-ST-07</x:v>
      </x:c>
      <x:c r="H200" s="31" t="str">
        <x:v>[NO LANGUAGE CHANNEL / INPUT]</x:v>
      </x:c>
      <x:c r="I200" s="31" t="str">
        <x:v>Place the open yellow-white striped cup in the bowl.</x:v>
      </x:c>
      <x:c r="J200" s="31" t="str">
        <x:v>S-CF07-SEEN: P1 brown cup A=C/UR; P2 glass spice container A=O/UR; P3 yellow-white striped cup A=C/UD [TARGET]; P4 yellow-white striped cup B=O/UD [COMPETITOR].</x:v>
      </x:c>
      <x:c r="K200" s="31" t="str">
        <x:v>yellow-white striped cup B</x:v>
      </x:c>
      <x:c r="L200" s="31" t="str">
        <x:v>Score against the displayed diagnostic instruction, which is not supplied to BC; analyze paired action switching.</x:v>
      </x:c>
      <x:c r="M200" s="31" t="str">
        <x:v>VLA_Evaluation_Checklist_660_Final_Updated.xlsx — evaluation episode 16</x:v>
      </x:c>
      <x:c r="N200" s="31" t="str">
        <x:v>Vision/motor-prior shortcut diagnostic, not a language-grounding model.</x:v>
      </x:c>
      <x:c r="O200" s="31" t="str">
        <x:v>Diagnostic</x:v>
      </x:c>
    </x:row>
    <x:row r="201" ht="44" customHeight="1">
      <x:c r="A201" s="31" t="str">
        <x:v>BC-ST-07B</x:v>
      </x:c>
      <x:c r="B201" s="31" t="str">
        <x:v>BC Diagnostic</x:v>
      </x:c>
      <x:c r="C201" s="31" t="str">
        <x:v>State Recognition</x:v>
      </x:c>
      <x:c r="D201" s="31" t="str">
        <x:v>Vision-only counterfactual B</x:v>
      </x:c>
      <x:c r="E201" s="31" t="str">
        <x:v>Identical scene; instruction withheld from policy</x:v>
      </x:c>
      <x:c r="F201" s="31" t="str"/>
      <x:c r="G201" s="31" t="str">
        <x:v>BC-ST-07</x:v>
      </x:c>
      <x:c r="H201" s="31" t="str">
        <x:v>[NO LANGUAGE CHANNEL / INPUT]</x:v>
      </x:c>
      <x:c r="I201" s="31" t="str">
        <x:v>Place the closed yellow-white striped cup in the bowl.</x:v>
      </x:c>
      <x:c r="J201" s="31" t="str">
        <x:v>S-CF07-HELD: P1 brown cup A=C/UR; P2 glass spice container A=O/UR; P3 yellow-white striped cup A=C/UD [TARGET]; P4 yellow-white striped cup B=O/UD [COMPETITOR].</x:v>
      </x:c>
      <x:c r="K201" s="31" t="str">
        <x:v>yellow-white striped cup A</x:v>
      </x:c>
      <x:c r="L201" s="31" t="str">
        <x:v>Score against the displayed diagnostic instruction, which is not supplied to BC; analyze paired action switching.</x:v>
      </x:c>
      <x:c r="M201" s="31" t="str">
        <x:v>VLA_Evaluation_Checklist_660_Final_Updated.xlsx — evaluation episode 56</x:v>
      </x:c>
      <x:c r="N201" s="31" t="str">
        <x:v>Vision/motor-prior shortcut diagnostic, not a language-grounding model.</x:v>
      </x:c>
      <x:c r="O201" s="31" t="str">
        <x:v>Diagnostic</x:v>
      </x:c>
    </x:row>
    <x:row r="202" ht="44" customHeight="1">
      <x:c r="A202" s="31" t="str">
        <x:v>BC-ST-08A</x:v>
      </x:c>
      <x:c r="B202" s="31" t="str">
        <x:v>BC Diagnostic</x:v>
      </x:c>
      <x:c r="C202" s="31" t="str">
        <x:v>State Recognition</x:v>
      </x:c>
      <x:c r="D202" s="31" t="str">
        <x:v>Vision-only counterfactual A</x:v>
      </x:c>
      <x:c r="E202" s="31" t="str">
        <x:v>Identical scene; instruction withheld from policy</x:v>
      </x:c>
      <x:c r="F202" s="31" t="str"/>
      <x:c r="G202" s="31" t="str">
        <x:v>BC-ST-08</x:v>
      </x:c>
      <x:c r="H202" s="31" t="str">
        <x:v>[NO LANGUAGE CHANNEL / INPUT]</x:v>
      </x:c>
      <x:c r="I202" s="31" t="str">
        <x:v>Place the upside-down brown cup in the bowl.</x:v>
      </x:c>
      <x:c r="J202" s="31" t="str">
        <x:v>S-CF08-SEEN: P1 brown cup A=C/UD [COMPETITOR]; P2 glass spice container B=O/UR; P3 white cup A=O/UD; P4 brown cup B=C/UR [TARGET].</x:v>
      </x:c>
      <x:c r="K202" s="31" t="str">
        <x:v>brown cup A</x:v>
      </x:c>
      <x:c r="L202" s="31" t="str">
        <x:v>Score against the displayed diagnostic instruction, which is not supplied to BC; analyze paired action switching.</x:v>
      </x:c>
      <x:c r="M202" s="31" t="str">
        <x:v>VLA_Evaluation_Checklist_660_Final_Updated.xlsx — evaluation episode 17</x:v>
      </x:c>
      <x:c r="N202" s="31" t="str">
        <x:v>Vision/motor-prior shortcut diagnostic, not a language-grounding model.</x:v>
      </x:c>
      <x:c r="O202" s="31" t="str">
        <x:v>Diagnostic</x:v>
      </x:c>
    </x:row>
    <x:row r="203" ht="44" customHeight="1">
      <x:c r="A203" s="31" t="str">
        <x:v>BC-ST-08B</x:v>
      </x:c>
      <x:c r="B203" s="31" t="str">
        <x:v>BC Diagnostic</x:v>
      </x:c>
      <x:c r="C203" s="31" t="str">
        <x:v>State Recognition</x:v>
      </x:c>
      <x:c r="D203" s="31" t="str">
        <x:v>Vision-only counterfactual B</x:v>
      </x:c>
      <x:c r="E203" s="31" t="str">
        <x:v>Identical scene; instruction withheld from policy</x:v>
      </x:c>
      <x:c r="F203" s="31" t="str"/>
      <x:c r="G203" s="31" t="str">
        <x:v>BC-ST-08</x:v>
      </x:c>
      <x:c r="H203" s="31" t="str">
        <x:v>[NO LANGUAGE CHANNEL / INPUT]</x:v>
      </x:c>
      <x:c r="I203" s="31" t="str">
        <x:v>Place the upright brown cup in the bowl.</x:v>
      </x:c>
      <x:c r="J203" s="31" t="str">
        <x:v>S-CF08-HELD: P1 brown cup A=C/UD [COMPETITOR]; P2 glass spice container B=O/UR; P3 white cup A=O/UD; P4 brown cup B=C/UR [TARGET].</x:v>
      </x:c>
      <x:c r="K203" s="31" t="str">
        <x:v>brown cup B</x:v>
      </x:c>
      <x:c r="L203" s="31" t="str">
        <x:v>Score against the displayed diagnostic instruction, which is not supplied to BC; analyze paired action switching.</x:v>
      </x:c>
      <x:c r="M203" s="31" t="str">
        <x:v>VLA_Evaluation_Checklist_660_Final_Updated.xlsx — evaluation episode 57</x:v>
      </x:c>
      <x:c r="N203" s="31" t="str">
        <x:v>Vision/motor-prior shortcut diagnostic, not a language-grounding model.</x:v>
      </x:c>
      <x:c r="O203" s="31" t="str">
        <x:v>Diagnostic</x:v>
      </x:c>
    </x:row>
    <x:row r="204" ht="44" customHeight="1">
      <x:c r="A204" s="31" t="str">
        <x:v>BC-ST-09A</x:v>
      </x:c>
      <x:c r="B204" s="31" t="str">
        <x:v>BC Diagnostic</x:v>
      </x:c>
      <x:c r="C204" s="31" t="str">
        <x:v>State Recognition</x:v>
      </x:c>
      <x:c r="D204" s="31" t="str">
        <x:v>Vision-only counterfactual A</x:v>
      </x:c>
      <x:c r="E204" s="31" t="str">
        <x:v>Identical scene; instruction withheld from policy</x:v>
      </x:c>
      <x:c r="F204" s="31" t="str"/>
      <x:c r="G204" s="31" t="str">
        <x:v>BC-ST-09</x:v>
      </x:c>
      <x:c r="H204" s="31" t="str">
        <x:v>[NO LANGUAGE CHANNEL / INPUT]</x:v>
      </x:c>
      <x:c r="I204" s="31" t="str">
        <x:v>Place the open white cup in the bowl.</x:v>
      </x:c>
      <x:c r="J204" s="31" t="str">
        <x:v>S-CF09-SEEN: P1 white cup A=C/UR [TARGET]; P2 white cup B=O/UR [COMPETITOR]; P3 yellow-white striped cup A=C/UD; P4 brown cup B=O/UD.</x:v>
      </x:c>
      <x:c r="K204" s="31" t="str">
        <x:v>white cup B</x:v>
      </x:c>
      <x:c r="L204" s="31" t="str">
        <x:v>Score against the displayed diagnostic instruction, which is not supplied to BC; analyze paired action switching.</x:v>
      </x:c>
      <x:c r="M204" s="31" t="str">
        <x:v>VLA_Evaluation_Checklist_660_Final_Updated.xlsx — evaluation episode 18</x:v>
      </x:c>
      <x:c r="N204" s="31" t="str">
        <x:v>Vision/motor-prior shortcut diagnostic, not a language-grounding model.</x:v>
      </x:c>
      <x:c r="O204" s="31" t="str">
        <x:v>Diagnostic</x:v>
      </x:c>
    </x:row>
    <x:row r="205" ht="44" customHeight="1">
      <x:c r="A205" s="31" t="str">
        <x:v>BC-ST-09B</x:v>
      </x:c>
      <x:c r="B205" s="31" t="str">
        <x:v>BC Diagnostic</x:v>
      </x:c>
      <x:c r="C205" s="31" t="str">
        <x:v>State Recognition</x:v>
      </x:c>
      <x:c r="D205" s="31" t="str">
        <x:v>Vision-only counterfactual B</x:v>
      </x:c>
      <x:c r="E205" s="31" t="str">
        <x:v>Identical scene; instruction withheld from policy</x:v>
      </x:c>
      <x:c r="F205" s="31" t="str"/>
      <x:c r="G205" s="31" t="str">
        <x:v>BC-ST-09</x:v>
      </x:c>
      <x:c r="H205" s="31" t="str">
        <x:v>[NO LANGUAGE CHANNEL / INPUT]</x:v>
      </x:c>
      <x:c r="I205" s="31" t="str">
        <x:v>Place the closed white cup in the bowl.</x:v>
      </x:c>
      <x:c r="J205" s="31" t="str">
        <x:v>S-CF09-HELD: P1 white cup A=C/UR [TARGET]; P2 white cup B=O/UR [COMPETITOR]; P3 yellow-white striped cup A=C/UD; P4 brown cup B=O/UD.</x:v>
      </x:c>
      <x:c r="K205" s="31" t="str">
        <x:v>white cup A</x:v>
      </x:c>
      <x:c r="L205" s="31" t="str">
        <x:v>Score against the displayed diagnostic instruction, which is not supplied to BC; analyze paired action switching.</x:v>
      </x:c>
      <x:c r="M205" s="31" t="str">
        <x:v>VLA_Evaluation_Checklist_660_Final_Updated.xlsx — evaluation episode 58</x:v>
      </x:c>
      <x:c r="N205" s="31" t="str">
        <x:v>Vision/motor-prior shortcut diagnostic, not a language-grounding model.</x:v>
      </x:c>
      <x:c r="O205" s="31" t="str">
        <x:v>Diagnostic</x:v>
      </x:c>
    </x:row>
    <x:row r="206" ht="44" customHeight="1">
      <x:c r="A206" s="31" t="str">
        <x:v>BC-ST-10A</x:v>
      </x:c>
      <x:c r="B206" s="31" t="str">
        <x:v>BC Diagnostic</x:v>
      </x:c>
      <x:c r="C206" s="31" t="str">
        <x:v>State Recognition</x:v>
      </x:c>
      <x:c r="D206" s="31" t="str">
        <x:v>Vision-only counterfactual A</x:v>
      </x:c>
      <x:c r="E206" s="31" t="str">
        <x:v>Identical scene; instruction withheld from policy</x:v>
      </x:c>
      <x:c r="F206" s="31" t="str"/>
      <x:c r="G206" s="31" t="str">
        <x:v>BC-ST-10</x:v>
      </x:c>
      <x:c r="H206" s="31" t="str">
        <x:v>[NO LANGUAGE CHANNEL / INPUT]</x:v>
      </x:c>
      <x:c r="I206" s="31" t="str">
        <x:v>Place the upside-down yellow-white striped cup in the bowl.</x:v>
      </x:c>
      <x:c r="J206" s="31" t="str">
        <x:v>S-CF10-SEEN: P1 brown cup B=C/UR; P2 yellow-white striped cup B=O/UR [TARGET]; P3 yellow-white striped cup A=O/UD [COMPETITOR]; P4 glass spice container B=C/UD.</x:v>
      </x:c>
      <x:c r="K206" s="31" t="str">
        <x:v>yellow-white striped cup A</x:v>
      </x:c>
      <x:c r="L206" s="31" t="str">
        <x:v>Score against the displayed diagnostic instruction, which is not supplied to BC; analyze paired action switching.</x:v>
      </x:c>
      <x:c r="M206" s="31" t="str">
        <x:v>VLA_Evaluation_Checklist_660_Final_Updated.xlsx — evaluation episode 19</x:v>
      </x:c>
      <x:c r="N206" s="31" t="str">
        <x:v>Vision/motor-prior shortcut diagnostic, not a language-grounding model.</x:v>
      </x:c>
      <x:c r="O206" s="31" t="str">
        <x:v>Diagnostic</x:v>
      </x:c>
    </x:row>
    <x:row r="207" ht="44" customHeight="1">
      <x:c r="A207" s="31" t="str">
        <x:v>BC-ST-10B</x:v>
      </x:c>
      <x:c r="B207" s="31" t="str">
        <x:v>BC Diagnostic</x:v>
      </x:c>
      <x:c r="C207" s="31" t="str">
        <x:v>State Recognition</x:v>
      </x:c>
      <x:c r="D207" s="31" t="str">
        <x:v>Vision-only counterfactual B</x:v>
      </x:c>
      <x:c r="E207" s="31" t="str">
        <x:v>Identical scene; instruction withheld from policy</x:v>
      </x:c>
      <x:c r="F207" s="31" t="str"/>
      <x:c r="G207" s="31" t="str">
        <x:v>BC-ST-10</x:v>
      </x:c>
      <x:c r="H207" s="31" t="str">
        <x:v>[NO LANGUAGE CHANNEL / INPUT]</x:v>
      </x:c>
      <x:c r="I207" s="31" t="str">
        <x:v>Place the upright yellow-white striped cup in the bowl.</x:v>
      </x:c>
      <x:c r="J207" s="31" t="str">
        <x:v>S-CF10-HELD: P1 brown cup B=C/UR; P2 yellow-white striped cup B=O/UR [TARGET]; P3 yellow-white striped cup A=O/UD [COMPETITOR]; P4 glass spice container B=C/UD.</x:v>
      </x:c>
      <x:c r="K207" s="31" t="str">
        <x:v>yellow-white striped cup B</x:v>
      </x:c>
      <x:c r="L207" s="31" t="str">
        <x:v>Score against the displayed diagnostic instruction, which is not supplied to BC; analyze paired action switching.</x:v>
      </x:c>
      <x:c r="M207" s="31" t="str">
        <x:v>VLA_Evaluation_Checklist_660_Final_Updated.xlsx — evaluation episode 59</x:v>
      </x:c>
      <x:c r="N207" s="31" t="str">
        <x:v>Vision/motor-prior shortcut diagnostic, not a language-grounding model.</x:v>
      </x:c>
      <x:c r="O207" s="31" t="str">
        <x:v>Diagnostic</x:v>
      </x:c>
    </x:row>
    <x:row r="208" ht="44" customHeight="1">
      <x:c r="A208" s="31" t="str">
        <x:v>BC-RP-01A</x:v>
      </x:c>
      <x:c r="B208" s="31" t="str">
        <x:v>BC Diagnostic</x:v>
      </x:c>
      <x:c r="C208" s="31" t="str">
        <x:v>Relational Placement</x:v>
      </x:c>
      <x:c r="D208" s="31" t="str">
        <x:v>Vision-only counterfactual A</x:v>
      </x:c>
      <x:c r="E208" s="31" t="str">
        <x:v>Identical scene; instruction withheld from policy</x:v>
      </x:c>
      <x:c r="F208" s="31" t="str"/>
      <x:c r="G208" s="31" t="str">
        <x:v>BC-RP-01</x:v>
      </x:c>
      <x:c r="H208" s="31" t="str">
        <x:v>[NO LANGUAGE CHANNEL / INPUT]</x:v>
      </x:c>
      <x:c r="I208" s="31" t="str">
        <x:v>Place the green pen in front of the red block.</x:v>
      </x:c>
      <x:c r="J208" s="31" t="str">
        <x:v>R-CF01-HELD: red block at center [REFERENCE]; green pen starts 18 cm behind the reference [TARGET START]; pink marker and blue block are distractors outside the commanded goal sector.</x:v>
      </x:c>
      <x:c r="K208" s="31" t="str">
        <x:v>green pen → in front of red block</x:v>
      </x:c>
      <x:c r="L208" s="31" t="str">
        <x:v>Score against the displayed diagnostic instruction, which is not supplied to BC; analyze paired action switching.</x:v>
      </x:c>
      <x:c r="M208" s="31" t="str">
        <x:v>VLA_Evaluation_Checklist_660_Final_Updated.xlsx — evaluation episode 270</x:v>
      </x:c>
      <x:c r="N208" s="31" t="str">
        <x:v>Vision/motor-prior shortcut diagnostic, not a language-grounding model.</x:v>
      </x:c>
      <x:c r="O208" s="31" t="str">
        <x:v>Diagnostic</x:v>
      </x:c>
    </x:row>
    <x:row r="209" ht="44" customHeight="1">
      <x:c r="A209" s="31" t="str">
        <x:v>BC-RP-01B</x:v>
      </x:c>
      <x:c r="B209" s="31" t="str">
        <x:v>BC Diagnostic</x:v>
      </x:c>
      <x:c r="C209" s="31" t="str">
        <x:v>Relational Placement</x:v>
      </x:c>
      <x:c r="D209" s="31" t="str">
        <x:v>Vision-only counterfactual B</x:v>
      </x:c>
      <x:c r="E209" s="31" t="str">
        <x:v>Identical scene; instruction withheld from policy</x:v>
      </x:c>
      <x:c r="F209" s="31" t="str"/>
      <x:c r="G209" s="31" t="str">
        <x:v>BC-RP-01</x:v>
      </x:c>
      <x:c r="H209" s="31" t="str">
        <x:v>[NO LANGUAGE CHANNEL / INPUT]</x:v>
      </x:c>
      <x:c r="I209" s="31" t="str">
        <x:v>Place the green pen behind the red block.</x:v>
      </x:c>
      <x:c r="J209" s="31" t="str">
        <x:v>R-CF01-HELD: red block at center [REFERENCE]; green pen starts 18 cm behind the reference [TARGET START]; pink marker and blue block are distractors outside the commanded goal sector.</x:v>
      </x:c>
      <x:c r="K209" s="31" t="str">
        <x:v>green pen → behind red block</x:v>
      </x:c>
      <x:c r="L209" s="31" t="str">
        <x:v>Score against the displayed diagnostic instruction, which is not supplied to BC; analyze paired action switching.</x:v>
      </x:c>
      <x:c r="M209" s="31" t="str">
        <x:v>VLA_Evaluation_Checklist_660_Final_Updated.xlsx — evaluation episode 270</x:v>
      </x:c>
      <x:c r="N209" s="31" t="str">
        <x:v>Vision/motor-prior shortcut diagnostic, not a language-grounding model.</x:v>
      </x:c>
      <x:c r="O209" s="31" t="str">
        <x:v>Diagnostic</x:v>
      </x:c>
    </x:row>
    <x:row r="210" ht="44" customHeight="1">
      <x:c r="A210" s="31" t="str">
        <x:v>BC-RP-02A</x:v>
      </x:c>
      <x:c r="B210" s="31" t="str">
        <x:v>BC Diagnostic</x:v>
      </x:c>
      <x:c r="C210" s="31" t="str">
        <x:v>Relational Placement</x:v>
      </x:c>
      <x:c r="D210" s="31" t="str">
        <x:v>Vision-only counterfactual A</x:v>
      </x:c>
      <x:c r="E210" s="31" t="str">
        <x:v>Identical scene; instruction withheld from policy</x:v>
      </x:c>
      <x:c r="F210" s="31" t="str"/>
      <x:c r="G210" s="31" t="str">
        <x:v>BC-RP-02</x:v>
      </x:c>
      <x:c r="H210" s="31" t="str">
        <x:v>[NO LANGUAGE CHANNEL / INPUT]</x:v>
      </x:c>
      <x:c r="I210" s="31" t="str">
        <x:v>Place the red block in front of the green pen.</x:v>
      </x:c>
      <x:c r="J210" s="31" t="str">
        <x:v>R-CF04-HELD: green pen at front-left [REFERENCE]; red block starts 18 cm behind the reference [TARGET START]; blue block and pink marker are distractors outside the commanded goal sector.</x:v>
      </x:c>
      <x:c r="K210" s="31" t="str">
        <x:v>red block → in front of green pen</x:v>
      </x:c>
      <x:c r="L210" s="31" t="str">
        <x:v>Score against the displayed diagnostic instruction, which is not supplied to BC; analyze paired action switching.</x:v>
      </x:c>
      <x:c r="M210" s="31" t="str">
        <x:v>VLA_Evaluation_Checklist_660_Final_Updated.xlsx — evaluation episode 273</x:v>
      </x:c>
      <x:c r="N210" s="31" t="str">
        <x:v>Vision/motor-prior shortcut diagnostic, not a language-grounding model.</x:v>
      </x:c>
      <x:c r="O210" s="31" t="str">
        <x:v>Diagnostic</x:v>
      </x:c>
    </x:row>
    <x:row r="211" ht="44" customHeight="1">
      <x:c r="A211" s="31" t="str">
        <x:v>BC-RP-02B</x:v>
      </x:c>
      <x:c r="B211" s="31" t="str">
        <x:v>BC Diagnostic</x:v>
      </x:c>
      <x:c r="C211" s="31" t="str">
        <x:v>Relational Placement</x:v>
      </x:c>
      <x:c r="D211" s="31" t="str">
        <x:v>Vision-only counterfactual B</x:v>
      </x:c>
      <x:c r="E211" s="31" t="str">
        <x:v>Identical scene; instruction withheld from policy</x:v>
      </x:c>
      <x:c r="F211" s="31" t="str"/>
      <x:c r="G211" s="31" t="str">
        <x:v>BC-RP-02</x:v>
      </x:c>
      <x:c r="H211" s="31" t="str">
        <x:v>[NO LANGUAGE CHANNEL / INPUT]</x:v>
      </x:c>
      <x:c r="I211" s="31" t="str">
        <x:v>Place the red block behind the green pen.</x:v>
      </x:c>
      <x:c r="J211" s="31" t="str">
        <x:v>R-CF04-HELD: green pen at front-left [REFERENCE]; red block starts 18 cm behind the reference [TARGET START]; blue block and pink marker are distractors outside the commanded goal sector.</x:v>
      </x:c>
      <x:c r="K211" s="31" t="str">
        <x:v>red block → behind green pen</x:v>
      </x:c>
      <x:c r="L211" s="31" t="str">
        <x:v>Score against the displayed diagnostic instruction, which is not supplied to BC; analyze paired action switching.</x:v>
      </x:c>
      <x:c r="M211" s="31" t="str">
        <x:v>VLA_Evaluation_Checklist_660_Final_Updated.xlsx — evaluation episode 273</x:v>
      </x:c>
      <x:c r="N211" s="31" t="str">
        <x:v>Vision/motor-prior shortcut diagnostic, not a language-grounding model.</x:v>
      </x:c>
      <x:c r="O211" s="31" t="str">
        <x:v>Diagnostic</x:v>
      </x:c>
    </x:row>
    <x:row r="212" ht="44" customHeight="1">
      <x:c r="A212" s="31" t="str">
        <x:v>BC-RP-03A</x:v>
      </x:c>
      <x:c r="B212" s="31" t="str">
        <x:v>BC Diagnostic</x:v>
      </x:c>
      <x:c r="C212" s="31" t="str">
        <x:v>Relational Placement</x:v>
      </x:c>
      <x:c r="D212" s="31" t="str">
        <x:v>Vision-only counterfactual A</x:v>
      </x:c>
      <x:c r="E212" s="31" t="str">
        <x:v>Identical scene; instruction withheld from policy</x:v>
      </x:c>
      <x:c r="F212" s="31" t="str"/>
      <x:c r="G212" s="31" t="str">
        <x:v>BC-RP-03</x:v>
      </x:c>
      <x:c r="H212" s="31" t="str">
        <x:v>[NO LANGUAGE CHANNEL / INPUT]</x:v>
      </x:c>
      <x:c r="I212" s="31" t="str">
        <x:v>Place the green pen behind the red block.</x:v>
      </x:c>
      <x:c r="J212" s="31" t="str">
        <x:v>R-CF07-HELD: red block at back-left [REFERENCE]; green pen starts 18 cm in front of the reference [TARGET START]; pink marker and blue block are distractors outside the commanded goal sector.</x:v>
      </x:c>
      <x:c r="K212" s="31" t="str">
        <x:v>green pen → behind red block</x:v>
      </x:c>
      <x:c r="L212" s="31" t="str">
        <x:v>Score against the displayed diagnostic instruction, which is not supplied to BC; analyze paired action switching.</x:v>
      </x:c>
      <x:c r="M212" s="31" t="str">
        <x:v>VLA_Evaluation_Checklist_660_Final_Updated.xlsx — evaluation episode 276</x:v>
      </x:c>
      <x:c r="N212" s="31" t="str">
        <x:v>Vision/motor-prior shortcut diagnostic, not a language-grounding model.</x:v>
      </x:c>
      <x:c r="O212" s="31" t="str">
        <x:v>Diagnostic</x:v>
      </x:c>
    </x:row>
    <x:row r="213" ht="44" customHeight="1">
      <x:c r="A213" s="31" t="str">
        <x:v>BC-RP-03B</x:v>
      </x:c>
      <x:c r="B213" s="31" t="str">
        <x:v>BC Diagnostic</x:v>
      </x:c>
      <x:c r="C213" s="31" t="str">
        <x:v>Relational Placement</x:v>
      </x:c>
      <x:c r="D213" s="31" t="str">
        <x:v>Vision-only counterfactual B</x:v>
      </x:c>
      <x:c r="E213" s="31" t="str">
        <x:v>Identical scene; instruction withheld from policy</x:v>
      </x:c>
      <x:c r="F213" s="31" t="str"/>
      <x:c r="G213" s="31" t="str">
        <x:v>BC-RP-03</x:v>
      </x:c>
      <x:c r="H213" s="31" t="str">
        <x:v>[NO LANGUAGE CHANNEL / INPUT]</x:v>
      </x:c>
      <x:c r="I213" s="31" t="str">
        <x:v>Place the green pen in front of the red block.</x:v>
      </x:c>
      <x:c r="J213" s="31" t="str">
        <x:v>R-CF07-HELD: red block at back-left [REFERENCE]; green pen starts 18 cm in front of the reference [TARGET START]; pink marker and blue block are distractors outside the commanded goal sector.</x:v>
      </x:c>
      <x:c r="K213" s="31" t="str">
        <x:v>green pen → in front of red block</x:v>
      </x:c>
      <x:c r="L213" s="31" t="str">
        <x:v>Score against the displayed diagnostic instruction, which is not supplied to BC; analyze paired action switching.</x:v>
      </x:c>
      <x:c r="M213" s="31" t="str">
        <x:v>VLA_Evaluation_Checklist_660_Final_Updated.xlsx — evaluation episode 276</x:v>
      </x:c>
      <x:c r="N213" s="31" t="str">
        <x:v>Vision/motor-prior shortcut diagnostic, not a language-grounding model.</x:v>
      </x:c>
      <x:c r="O213" s="31" t="str">
        <x:v>Diagnostic</x:v>
      </x:c>
    </x:row>
    <x:row r="214" ht="44" customHeight="1">
      <x:c r="A214" s="31" t="str">
        <x:v>BC-RP-04A</x:v>
      </x:c>
      <x:c r="B214" s="31" t="str">
        <x:v>BC Diagnostic</x:v>
      </x:c>
      <x:c r="C214" s="31" t="str">
        <x:v>Relational Placement</x:v>
      </x:c>
      <x:c r="D214" s="31" t="str">
        <x:v>Vision-only counterfactual A</x:v>
      </x:c>
      <x:c r="E214" s="31" t="str">
        <x:v>Identical scene; instruction withheld from policy</x:v>
      </x:c>
      <x:c r="F214" s="31" t="str"/>
      <x:c r="G214" s="31" t="str">
        <x:v>BC-RP-04</x:v>
      </x:c>
      <x:c r="H214" s="31" t="str">
        <x:v>[NO LANGUAGE CHANNEL / INPUT]</x:v>
      </x:c>
      <x:c r="I214" s="31" t="str">
        <x:v>Place the green pen to the right of the red block.</x:v>
      </x:c>
      <x:c r="J214" s="31" t="str">
        <x:v>R-CF11-HELD: red block at center [REFERENCE]; green pen starts 21 cm to the left of the reference [TARGET START]; pink marker and blue block are distractors outside the commanded goal sector.</x:v>
      </x:c>
      <x:c r="K214" s="31" t="str">
        <x:v>green pen → to the right of red block</x:v>
      </x:c>
      <x:c r="L214" s="31" t="str">
        <x:v>Score against the displayed diagnostic instruction, which is not supplied to BC; analyze paired action switching.</x:v>
      </x:c>
      <x:c r="M214" s="31" t="str">
        <x:v>VLA_Evaluation_Checklist_660_Final_Updated.xlsx — evaluation episode 280</x:v>
      </x:c>
      <x:c r="N214" s="31" t="str">
        <x:v>Vision/motor-prior shortcut diagnostic, not a language-grounding model.</x:v>
      </x:c>
      <x:c r="O214" s="31" t="str">
        <x:v>Diagnostic</x:v>
      </x:c>
    </x:row>
    <x:row r="215" ht="44" customHeight="1">
      <x:c r="A215" s="31" t="str">
        <x:v>BC-RP-04B</x:v>
      </x:c>
      <x:c r="B215" s="31" t="str">
        <x:v>BC Diagnostic</x:v>
      </x:c>
      <x:c r="C215" s="31" t="str">
        <x:v>Relational Placement</x:v>
      </x:c>
      <x:c r="D215" s="31" t="str">
        <x:v>Vision-only counterfactual B</x:v>
      </x:c>
      <x:c r="E215" s="31" t="str">
        <x:v>Identical scene; instruction withheld from policy</x:v>
      </x:c>
      <x:c r="F215" s="31" t="str"/>
      <x:c r="G215" s="31" t="str">
        <x:v>BC-RP-04</x:v>
      </x:c>
      <x:c r="H215" s="31" t="str">
        <x:v>[NO LANGUAGE CHANNEL / INPUT]</x:v>
      </x:c>
      <x:c r="I215" s="31" t="str">
        <x:v>Place the green pen to the left of the red block.</x:v>
      </x:c>
      <x:c r="J215" s="31" t="str">
        <x:v>R-CF11-HELD: red block at center [REFERENCE]; green pen starts 21 cm to the left of the reference [TARGET START]; pink marker and blue block are distractors outside the commanded goal sector.</x:v>
      </x:c>
      <x:c r="K215" s="31" t="str">
        <x:v>green pen → to the left of red block</x:v>
      </x:c>
      <x:c r="L215" s="31" t="str">
        <x:v>Score against the displayed diagnostic instruction, which is not supplied to BC; analyze paired action switching.</x:v>
      </x:c>
      <x:c r="M215" s="31" t="str">
        <x:v>VLA_Evaluation_Checklist_660_Final_Updated.xlsx — evaluation episode 280</x:v>
      </x:c>
      <x:c r="N215" s="31" t="str">
        <x:v>Vision/motor-prior shortcut diagnostic, not a language-grounding model.</x:v>
      </x:c>
      <x:c r="O215" s="31" t="str">
        <x:v>Diagnostic</x:v>
      </x:c>
    </x:row>
    <x:row r="216" ht="44" customHeight="1">
      <x:c r="A216" s="31" t="str">
        <x:v>BC-RP-05A</x:v>
      </x:c>
      <x:c r="B216" s="31" t="str">
        <x:v>BC Diagnostic</x:v>
      </x:c>
      <x:c r="C216" s="31" t="str">
        <x:v>Relational Placement</x:v>
      </x:c>
      <x:c r="D216" s="31" t="str">
        <x:v>Vision-only counterfactual A</x:v>
      </x:c>
      <x:c r="E216" s="31" t="str">
        <x:v>Identical scene; instruction withheld from policy</x:v>
      </x:c>
      <x:c r="F216" s="31" t="str"/>
      <x:c r="G216" s="31" t="str">
        <x:v>BC-RP-05</x:v>
      </x:c>
      <x:c r="H216" s="31" t="str">
        <x:v>[NO LANGUAGE CHANNEL / INPUT]</x:v>
      </x:c>
      <x:c r="I216" s="31" t="str">
        <x:v>Place the red block to the right of the green pen.</x:v>
      </x:c>
      <x:c r="J216" s="31" t="str">
        <x:v>R-CF14-HELD: green pen at front-left [REFERENCE]; red block starts 21 cm to the left of the reference [TARGET START]; blue block and pink marker are distractors outside the commanded goal sector.</x:v>
      </x:c>
      <x:c r="K216" s="31" t="str">
        <x:v>red block → to the right of green pen</x:v>
      </x:c>
      <x:c r="L216" s="31" t="str">
        <x:v>Score against the displayed diagnostic instruction, which is not supplied to BC; analyze paired action switching.</x:v>
      </x:c>
      <x:c r="M216" s="31" t="str">
        <x:v>VLA_Evaluation_Checklist_660_Final_Updated.xlsx — evaluation episode 283</x:v>
      </x:c>
      <x:c r="N216" s="31" t="str">
        <x:v>Vision/motor-prior shortcut diagnostic, not a language-grounding model.</x:v>
      </x:c>
      <x:c r="O216" s="31" t="str">
        <x:v>Diagnostic</x:v>
      </x:c>
    </x:row>
    <x:row r="217" ht="44" customHeight="1">
      <x:c r="A217" s="31" t="str">
        <x:v>BC-RP-05B</x:v>
      </x:c>
      <x:c r="B217" s="31" t="str">
        <x:v>BC Diagnostic</x:v>
      </x:c>
      <x:c r="C217" s="31" t="str">
        <x:v>Relational Placement</x:v>
      </x:c>
      <x:c r="D217" s="31" t="str">
        <x:v>Vision-only counterfactual B</x:v>
      </x:c>
      <x:c r="E217" s="31" t="str">
        <x:v>Identical scene; instruction withheld from policy</x:v>
      </x:c>
      <x:c r="F217" s="31" t="str"/>
      <x:c r="G217" s="31" t="str">
        <x:v>BC-RP-05</x:v>
      </x:c>
      <x:c r="H217" s="31" t="str">
        <x:v>[NO LANGUAGE CHANNEL / INPUT]</x:v>
      </x:c>
      <x:c r="I217" s="31" t="str">
        <x:v>Place the red block to the left of the green pen.</x:v>
      </x:c>
      <x:c r="J217" s="31" t="str">
        <x:v>R-CF14-HELD: green pen at front-left [REFERENCE]; red block starts 21 cm to the left of the reference [TARGET START]; blue block and pink marker are distractors outside the commanded goal sector.</x:v>
      </x:c>
      <x:c r="K217" s="31" t="str">
        <x:v>red block → to the left of green pen</x:v>
      </x:c>
      <x:c r="L217" s="31" t="str">
        <x:v>Score against the displayed diagnostic instruction, which is not supplied to BC; analyze paired action switching.</x:v>
      </x:c>
      <x:c r="M217" s="31" t="str">
        <x:v>VLA_Evaluation_Checklist_660_Final_Updated.xlsx — evaluation episode 283</x:v>
      </x:c>
      <x:c r="N217" s="31" t="str">
        <x:v>Vision/motor-prior shortcut diagnostic, not a language-grounding model.</x:v>
      </x:c>
      <x:c r="O217" s="31" t="str">
        <x:v>Diagnostic</x:v>
      </x:c>
    </x:row>
    <x:row r="218" ht="44" customHeight="1">
      <x:c r="A218" s="31" t="str">
        <x:v>BC-RP-06A</x:v>
      </x:c>
      <x:c r="B218" s="31" t="str">
        <x:v>BC Diagnostic</x:v>
      </x:c>
      <x:c r="C218" s="31" t="str">
        <x:v>Relational Placement</x:v>
      </x:c>
      <x:c r="D218" s="31" t="str">
        <x:v>Vision-only counterfactual A</x:v>
      </x:c>
      <x:c r="E218" s="31" t="str">
        <x:v>Identical scene; instruction withheld from policy</x:v>
      </x:c>
      <x:c r="F218" s="31" t="str"/>
      <x:c r="G218" s="31" t="str">
        <x:v>BC-RP-06</x:v>
      </x:c>
      <x:c r="H218" s="31" t="str">
        <x:v>[NO LANGUAGE CHANNEL / INPUT]</x:v>
      </x:c>
      <x:c r="I218" s="31" t="str">
        <x:v>Place the green pen in front of the red block.</x:v>
      </x:c>
      <x:c r="J218" s="31" t="str">
        <x:v>R-CF17-HELD: red block at back-left [REFERENCE]; green pen starts 21 cm behind the reference [TARGET START]; pink marker and blue block are distractors outside the commanded goal sector.</x:v>
      </x:c>
      <x:c r="K218" s="31" t="str">
        <x:v>green pen → in front of red block</x:v>
      </x:c>
      <x:c r="L218" s="31" t="str">
        <x:v>Score against the displayed diagnostic instruction, which is not supplied to BC; analyze paired action switching.</x:v>
      </x:c>
      <x:c r="M218" s="31" t="str">
        <x:v>VLA_Evaluation_Checklist_660_Final_Updated.xlsx — evaluation episode 286</x:v>
      </x:c>
      <x:c r="N218" s="31" t="str">
        <x:v>Vision/motor-prior shortcut diagnostic, not a language-grounding model.</x:v>
      </x:c>
      <x:c r="O218" s="31" t="str">
        <x:v>Diagnostic</x:v>
      </x:c>
    </x:row>
    <x:row r="219" ht="44" customHeight="1">
      <x:c r="A219" s="31" t="str">
        <x:v>BC-RP-06B</x:v>
      </x:c>
      <x:c r="B219" s="31" t="str">
        <x:v>BC Diagnostic</x:v>
      </x:c>
      <x:c r="C219" s="31" t="str">
        <x:v>Relational Placement</x:v>
      </x:c>
      <x:c r="D219" s="31" t="str">
        <x:v>Vision-only counterfactual B</x:v>
      </x:c>
      <x:c r="E219" s="31" t="str">
        <x:v>Identical scene; instruction withheld from policy</x:v>
      </x:c>
      <x:c r="F219" s="31" t="str"/>
      <x:c r="G219" s="31" t="str">
        <x:v>BC-RP-06</x:v>
      </x:c>
      <x:c r="H219" s="31" t="str">
        <x:v>[NO LANGUAGE CHANNEL / INPUT]</x:v>
      </x:c>
      <x:c r="I219" s="31" t="str">
        <x:v>Place the green pen behind the red block.</x:v>
      </x:c>
      <x:c r="J219" s="31" t="str">
        <x:v>R-CF17-HELD: red block at back-left [REFERENCE]; green pen starts 21 cm behind the reference [TARGET START]; pink marker and blue block are distractors outside the commanded goal sector.</x:v>
      </x:c>
      <x:c r="K219" s="31" t="str">
        <x:v>green pen → behind red block</x:v>
      </x:c>
      <x:c r="L219" s="31" t="str">
        <x:v>Score against the displayed diagnostic instruction, which is not supplied to BC; analyze paired action switching.</x:v>
      </x:c>
      <x:c r="M219" s="31" t="str">
        <x:v>VLA_Evaluation_Checklist_660_Final_Updated.xlsx — evaluation episode 286</x:v>
      </x:c>
      <x:c r="N219" s="31" t="str">
        <x:v>Vision/motor-prior shortcut diagnostic, not a language-grounding model.</x:v>
      </x:c>
      <x:c r="O219" s="31" t="str">
        <x:v>Diagnostic</x:v>
      </x:c>
    </x:row>
    <x:row r="220" ht="44" customHeight="1">
      <x:c r="A220" s="31" t="str">
        <x:v>BC-RP-07A</x:v>
      </x:c>
      <x:c r="B220" s="31" t="str">
        <x:v>BC Diagnostic</x:v>
      </x:c>
      <x:c r="C220" s="31" t="str">
        <x:v>Relational Placement</x:v>
      </x:c>
      <x:c r="D220" s="31" t="str">
        <x:v>Vision-only counterfactual A</x:v>
      </x:c>
      <x:c r="E220" s="31" t="str">
        <x:v>Identical scene; instruction withheld from policy</x:v>
      </x:c>
      <x:c r="F220" s="31" t="str"/>
      <x:c r="G220" s="31" t="str">
        <x:v>BC-RP-07</x:v>
      </x:c>
      <x:c r="H220" s="31" t="str">
        <x:v>[NO LANGUAGE CHANNEL / INPUT]</x:v>
      </x:c>
      <x:c r="I220" s="31" t="str">
        <x:v>Place the red block in front of the green pen.</x:v>
      </x:c>
      <x:c r="J220" s="31" t="str">
        <x:v>R-CF20-HELD: green pen at front-right [REFERENCE]; red block starts 21 cm behind the reference [TARGET START]; blue block and pink marker are distractors outside the commanded goal sector.</x:v>
      </x:c>
      <x:c r="K220" s="31" t="str">
        <x:v>red block → in front of green pen</x:v>
      </x:c>
      <x:c r="L220" s="31" t="str">
        <x:v>Score against the displayed diagnostic instruction, which is not supplied to BC; analyze paired action switching.</x:v>
      </x:c>
      <x:c r="M220" s="31" t="str">
        <x:v>VLA_Evaluation_Checklist_660_Final_Updated.xlsx — evaluation episode 289</x:v>
      </x:c>
      <x:c r="N220" s="31" t="str">
        <x:v>Vision/motor-prior shortcut diagnostic, not a language-grounding model.</x:v>
      </x:c>
      <x:c r="O220" s="31" t="str">
        <x:v>Diagnostic</x:v>
      </x:c>
    </x:row>
    <x:row r="221" ht="44" customHeight="1">
      <x:c r="A221" s="31" t="str">
        <x:v>BC-RP-07B</x:v>
      </x:c>
      <x:c r="B221" s="31" t="str">
        <x:v>BC Diagnostic</x:v>
      </x:c>
      <x:c r="C221" s="31" t="str">
        <x:v>Relational Placement</x:v>
      </x:c>
      <x:c r="D221" s="31" t="str">
        <x:v>Vision-only counterfactual B</x:v>
      </x:c>
      <x:c r="E221" s="31" t="str">
        <x:v>Identical scene; instruction withheld from policy</x:v>
      </x:c>
      <x:c r="F221" s="31" t="str"/>
      <x:c r="G221" s="31" t="str">
        <x:v>BC-RP-07</x:v>
      </x:c>
      <x:c r="H221" s="31" t="str">
        <x:v>[NO LANGUAGE CHANNEL / INPUT]</x:v>
      </x:c>
      <x:c r="I221" s="31" t="str">
        <x:v>Place the red block behind the green pen.</x:v>
      </x:c>
      <x:c r="J221" s="31" t="str">
        <x:v>R-CF20-HELD: green pen at front-right [REFERENCE]; red block starts 21 cm behind the reference [TARGET START]; blue block and pink marker are distractors outside the commanded goal sector.</x:v>
      </x:c>
      <x:c r="K221" s="31" t="str">
        <x:v>red block → behind green pen</x:v>
      </x:c>
      <x:c r="L221" s="31" t="str">
        <x:v>Score against the displayed diagnostic instruction, which is not supplied to BC; analyze paired action switching.</x:v>
      </x:c>
      <x:c r="M221" s="31" t="str">
        <x:v>VLA_Evaluation_Checklist_660_Final_Updated.xlsx — evaluation episode 289</x:v>
      </x:c>
      <x:c r="N221" s="31" t="str">
        <x:v>Vision/motor-prior shortcut diagnostic, not a language-grounding model.</x:v>
      </x:c>
      <x:c r="O221" s="31" t="str">
        <x:v>Diagnostic</x:v>
      </x:c>
    </x:row>
    <x:row r="222" ht="44" customHeight="1">
      <x:c r="A222" s="31" t="str">
        <x:v>BC-RP-08A</x:v>
      </x:c>
      <x:c r="B222" s="31" t="str">
        <x:v>BC Diagnostic</x:v>
      </x:c>
      <x:c r="C222" s="31" t="str">
        <x:v>Relational Placement</x:v>
      </x:c>
      <x:c r="D222" s="31" t="str">
        <x:v>Vision-only counterfactual A</x:v>
      </x:c>
      <x:c r="E222" s="31" t="str">
        <x:v>Identical scene; instruction withheld from policy</x:v>
      </x:c>
      <x:c r="F222" s="31" t="str"/>
      <x:c r="G222" s="31" t="str">
        <x:v>BC-RP-08</x:v>
      </x:c>
      <x:c r="H222" s="31" t="str">
        <x:v>[NO LANGUAGE CHANNEL / INPUT]</x:v>
      </x:c>
      <x:c r="I222" s="31" t="str">
        <x:v>Place the red block to the left of the green pen.</x:v>
      </x:c>
      <x:c r="J222" s="31" t="str">
        <x:v>R-CF24-HELD: green pen at front-left [REFERENCE]; red block starts 24 cm to the right of the reference [TARGET START]; blue block and pink marker are distractors outside the commanded goal sector.</x:v>
      </x:c>
      <x:c r="K222" s="31" t="str">
        <x:v>red block → to the left of green pen</x:v>
      </x:c>
      <x:c r="L222" s="31" t="str">
        <x:v>Score against the displayed diagnostic instruction, which is not supplied to BC; analyze paired action switching.</x:v>
      </x:c>
      <x:c r="M222" s="31" t="str">
        <x:v>VLA_Evaluation_Checklist_660_Final_Updated.xlsx — evaluation episode 293</x:v>
      </x:c>
      <x:c r="N222" s="31" t="str">
        <x:v>Vision/motor-prior shortcut diagnostic, not a language-grounding model.</x:v>
      </x:c>
      <x:c r="O222" s="31" t="str">
        <x:v>Diagnostic</x:v>
      </x:c>
    </x:row>
    <x:row r="223" ht="44" customHeight="1">
      <x:c r="A223" s="31" t="str">
        <x:v>BC-RP-08B</x:v>
      </x:c>
      <x:c r="B223" s="31" t="str">
        <x:v>BC Diagnostic</x:v>
      </x:c>
      <x:c r="C223" s="31" t="str">
        <x:v>Relational Placement</x:v>
      </x:c>
      <x:c r="D223" s="31" t="str">
        <x:v>Vision-only counterfactual B</x:v>
      </x:c>
      <x:c r="E223" s="31" t="str">
        <x:v>Identical scene; instruction withheld from policy</x:v>
      </x:c>
      <x:c r="F223" s="31" t="str"/>
      <x:c r="G223" s="31" t="str">
        <x:v>BC-RP-08</x:v>
      </x:c>
      <x:c r="H223" s="31" t="str">
        <x:v>[NO LANGUAGE CHANNEL / INPUT]</x:v>
      </x:c>
      <x:c r="I223" s="31" t="str">
        <x:v>Place the red block to the right of the green pen.</x:v>
      </x:c>
      <x:c r="J223" s="31" t="str">
        <x:v>R-CF24-HELD: green pen at front-left [REFERENCE]; red block starts 24 cm to the right of the reference [TARGET START]; blue block and pink marker are distractors outside the commanded goal sector.</x:v>
      </x:c>
      <x:c r="K223" s="31" t="str">
        <x:v>red block → to the right of green pen</x:v>
      </x:c>
      <x:c r="L223" s="31" t="str">
        <x:v>Score against the displayed diagnostic instruction, which is not supplied to BC; analyze paired action switching.</x:v>
      </x:c>
      <x:c r="M223" s="31" t="str">
        <x:v>VLA_Evaluation_Checklist_660_Final_Updated.xlsx — evaluation episode 293</x:v>
      </x:c>
      <x:c r="N223" s="31" t="str">
        <x:v>Vision/motor-prior shortcut diagnostic, not a language-grounding model.</x:v>
      </x:c>
      <x:c r="O223" s="31" t="str">
        <x:v>Diagnostic</x:v>
      </x:c>
    </x:row>
    <x:row r="224" ht="44" customHeight="1">
      <x:c r="A224" s="31" t="str">
        <x:v>BC-RP-09A</x:v>
      </x:c>
      <x:c r="B224" s="31" t="str">
        <x:v>BC Diagnostic</x:v>
      </x:c>
      <x:c r="C224" s="31" t="str">
        <x:v>Relational Placement</x:v>
      </x:c>
      <x:c r="D224" s="31" t="str">
        <x:v>Vision-only counterfactual A</x:v>
      </x:c>
      <x:c r="E224" s="31" t="str">
        <x:v>Identical scene; instruction withheld from policy</x:v>
      </x:c>
      <x:c r="F224" s="31" t="str"/>
      <x:c r="G224" s="31" t="str">
        <x:v>BC-RP-09</x:v>
      </x:c>
      <x:c r="H224" s="31" t="str">
        <x:v>[NO LANGUAGE CHANNEL / INPUT]</x:v>
      </x:c>
      <x:c r="I224" s="31" t="str">
        <x:v>Place the green pen to the right of the red block.</x:v>
      </x:c>
      <x:c r="J224" s="31" t="str">
        <x:v>R-CF27-HELD: red block at back-left [REFERENCE]; green pen starts 24 cm to the left of the reference [TARGET START]; pink marker and blue block are distractors outside the commanded goal sector.</x:v>
      </x:c>
      <x:c r="K224" s="31" t="str">
        <x:v>green pen → to the right of red block</x:v>
      </x:c>
      <x:c r="L224" s="31" t="str">
        <x:v>Score against the displayed diagnostic instruction, which is not supplied to BC; analyze paired action switching.</x:v>
      </x:c>
      <x:c r="M224" s="31" t="str">
        <x:v>VLA_Evaluation_Checklist_660_Final_Updated.xlsx — evaluation episode 296</x:v>
      </x:c>
      <x:c r="N224" s="31" t="str">
        <x:v>Vision/motor-prior shortcut diagnostic, not a language-grounding model.</x:v>
      </x:c>
      <x:c r="O224" s="31" t="str">
        <x:v>Diagnostic</x:v>
      </x:c>
    </x:row>
    <x:row r="225" ht="44" customHeight="1">
      <x:c r="A225" s="31" t="str">
        <x:v>BC-RP-09B</x:v>
      </x:c>
      <x:c r="B225" s="31" t="str">
        <x:v>BC Diagnostic</x:v>
      </x:c>
      <x:c r="C225" s="31" t="str">
        <x:v>Relational Placement</x:v>
      </x:c>
      <x:c r="D225" s="31" t="str">
        <x:v>Vision-only counterfactual B</x:v>
      </x:c>
      <x:c r="E225" s="31" t="str">
        <x:v>Identical scene; instruction withheld from policy</x:v>
      </x:c>
      <x:c r="F225" s="31" t="str"/>
      <x:c r="G225" s="31" t="str">
        <x:v>BC-RP-09</x:v>
      </x:c>
      <x:c r="H225" s="31" t="str">
        <x:v>[NO LANGUAGE CHANNEL / INPUT]</x:v>
      </x:c>
      <x:c r="I225" s="31" t="str">
        <x:v>Place the green pen to the left of the red block.</x:v>
      </x:c>
      <x:c r="J225" s="31" t="str">
        <x:v>R-CF27-HELD: red block at back-left [REFERENCE]; green pen starts 24 cm to the left of the reference [TARGET START]; pink marker and blue block are distractors outside the commanded goal sector.</x:v>
      </x:c>
      <x:c r="K225" s="31" t="str">
        <x:v>green pen → to the left of red block</x:v>
      </x:c>
      <x:c r="L225" s="31" t="str">
        <x:v>Score against the displayed diagnostic instruction, which is not supplied to BC; analyze paired action switching.</x:v>
      </x:c>
      <x:c r="M225" s="31" t="str">
        <x:v>VLA_Evaluation_Checklist_660_Final_Updated.xlsx — evaluation episode 296</x:v>
      </x:c>
      <x:c r="N225" s="31" t="str">
        <x:v>Vision/motor-prior shortcut diagnostic, not a language-grounding model.</x:v>
      </x:c>
      <x:c r="O225" s="31" t="str">
        <x:v>Diagnostic</x:v>
      </x:c>
    </x:row>
    <x:row r="226" ht="44" customHeight="1">
      <x:c r="A226" s="31" t="str">
        <x:v>BC-RP-10A</x:v>
      </x:c>
      <x:c r="B226" s="31" t="str">
        <x:v>BC Diagnostic</x:v>
      </x:c>
      <x:c r="C226" s="31" t="str">
        <x:v>Relational Placement</x:v>
      </x:c>
      <x:c r="D226" s="31" t="str">
        <x:v>Vision-only counterfactual A</x:v>
      </x:c>
      <x:c r="E226" s="31" t="str">
        <x:v>Identical scene; instruction withheld from policy</x:v>
      </x:c>
      <x:c r="F226" s="31" t="str"/>
      <x:c r="G226" s="31" t="str">
        <x:v>BC-RP-10</x:v>
      </x:c>
      <x:c r="H226" s="31" t="str">
        <x:v>[NO LANGUAGE CHANNEL / INPUT]</x:v>
      </x:c>
      <x:c r="I226" s="31" t="str">
        <x:v>Place the red block to the right of the green pen.</x:v>
      </x:c>
      <x:c r="J226" s="31" t="str">
        <x:v>R-CF30-HELD: green pen at front-right [REFERENCE]; red block starts 24 cm to the left of the reference [TARGET START]; blue block and pink marker are distractors outside the commanded goal sector.</x:v>
      </x:c>
      <x:c r="K226" s="31" t="str">
        <x:v>red block → to the right of green pen</x:v>
      </x:c>
      <x:c r="L226" s="31" t="str">
        <x:v>Score against the displayed diagnostic instruction, which is not supplied to BC; analyze paired action switching.</x:v>
      </x:c>
      <x:c r="M226" s="31" t="str">
        <x:v>VLA_Evaluation_Checklist_660_Final_Updated.xlsx — evaluation episode 299</x:v>
      </x:c>
      <x:c r="N226" s="31" t="str">
        <x:v>Vision/motor-prior shortcut diagnostic, not a language-grounding model.</x:v>
      </x:c>
      <x:c r="O226" s="31" t="str">
        <x:v>Diagnostic</x:v>
      </x:c>
    </x:row>
    <x:row r="227" ht="44" customHeight="1">
      <x:c r="A227" s="31" t="str">
        <x:v>BC-RP-10B</x:v>
      </x:c>
      <x:c r="B227" s="31" t="str">
        <x:v>BC Diagnostic</x:v>
      </x:c>
      <x:c r="C227" s="31" t="str">
        <x:v>Relational Placement</x:v>
      </x:c>
      <x:c r="D227" s="31" t="str">
        <x:v>Vision-only counterfactual B</x:v>
      </x:c>
      <x:c r="E227" s="31" t="str">
        <x:v>Identical scene; instruction withheld from policy</x:v>
      </x:c>
      <x:c r="F227" s="31" t="str"/>
      <x:c r="G227" s="31" t="str">
        <x:v>BC-RP-10</x:v>
      </x:c>
      <x:c r="H227" s="31" t="str">
        <x:v>[NO LANGUAGE CHANNEL / INPUT]</x:v>
      </x:c>
      <x:c r="I227" s="31" t="str">
        <x:v>Place the red block to the left of the green pen.</x:v>
      </x:c>
      <x:c r="J227" s="31" t="str">
        <x:v>R-CF30-HELD: green pen at front-right [REFERENCE]; red block starts 24 cm to the left of the reference [TARGET START]; blue block and pink marker are distractors outside the commanded goal sector.</x:v>
      </x:c>
      <x:c r="K227" s="31" t="str">
        <x:v>red block → to the left of green pen</x:v>
      </x:c>
      <x:c r="L227" s="31" t="str">
        <x:v>Score against the displayed diagnostic instruction, which is not supplied to BC; analyze paired action switching.</x:v>
      </x:c>
      <x:c r="M227" s="31" t="str">
        <x:v>VLA_Evaluation_Checklist_660_Final_Updated.xlsx — evaluation episode 299</x:v>
      </x:c>
      <x:c r="N227" s="31" t="str">
        <x:v>Vision/motor-prior shortcut diagnostic, not a language-grounding model.</x:v>
      </x:c>
      <x:c r="O227" s="31" t="str">
        <x:v>Diagnostic</x:v>
      </x:c>
    </x:row>
    <x:row r="228" ht="44" customHeight="1">
      <x:c r="A228" s="31" t="str">
        <x:v>BC-CT-01A</x:v>
      </x:c>
      <x:c r="B228" s="31" t="str">
        <x:v>BC Diagnostic</x:v>
      </x:c>
      <x:c r="C228" s="31" t="str">
        <x:v>Counting</x:v>
      </x:c>
      <x:c r="D228" s="31" t="str">
        <x:v>Vision-only counterfactual A</x:v>
      </x:c>
      <x:c r="E228" s="31" t="str">
        <x:v>Identical scene; instruction withheld from policy</x:v>
      </x:c>
      <x:c r="F228" s="31" t="str"/>
      <x:c r="G228" s="31" t="str">
        <x:v>BC-CT-01</x:v>
      </x:c>
      <x:c r="H228" s="31" t="str">
        <x:v>[NO LANGUAGE CHANNEL / INPUT]</x:v>
      </x:c>
      <x:c r="I228" s="31" t="str">
        <x:v>Leave exactly one object in the bowl.</x:v>
      </x:c>
      <x:c r="J228" s="31" t="str">
        <x:v>C-CF01A: bowl=[blue pen, yellow block] (2); table=[green pencil sharpener, airplane toy without propellers]; robot home; acceptable action=remove either bowl object.</x:v>
      </x:c>
      <x:c r="K228" s="31" t="str">
        <x:v>REMOVE one bowl object</x:v>
      </x:c>
      <x:c r="L228" s="31" t="str">
        <x:v>Score against the displayed diagnostic instruction, which is not supplied to BC; analyze paired action switching.</x:v>
      </x:c>
      <x:c r="M228" s="31" t="str">
        <x:v>VLA_Evaluation_Checklist_660_Final_Updated.xlsx — evaluation episode 600</x:v>
      </x:c>
      <x:c r="N228" s="31" t="str">
        <x:v>Vision/motor-prior shortcut diagnostic, not a language-grounding model.</x:v>
      </x:c>
      <x:c r="O228" s="31" t="str">
        <x:v>Diagnostic</x:v>
      </x:c>
    </x:row>
    <x:row r="229" ht="44" customHeight="1">
      <x:c r="A229" s="31" t="str">
        <x:v>BC-CT-01B</x:v>
      </x:c>
      <x:c r="B229" s="31" t="str">
        <x:v>BC Diagnostic</x:v>
      </x:c>
      <x:c r="C229" s="31" t="str">
        <x:v>Counting</x:v>
      </x:c>
      <x:c r="D229" s="31" t="str">
        <x:v>Vision-only counterfactual B</x:v>
      </x:c>
      <x:c r="E229" s="31" t="str">
        <x:v>Identical scene; instruction withheld from policy</x:v>
      </x:c>
      <x:c r="F229" s="31" t="str"/>
      <x:c r="G229" s="31" t="str">
        <x:v>BC-CT-01</x:v>
      </x:c>
      <x:c r="H229" s="31" t="str">
        <x:v>[NO LANGUAGE CHANNEL / INPUT]</x:v>
      </x:c>
      <x:c r="I229" s="31" t="str">
        <x:v>Leave exactly three objects in the bowl.</x:v>
      </x:c>
      <x:c r="J229" s="31" t="str">
        <x:v>C-CF01B: bowl=[blue pen, yellow block] (2); table=[green pencil sharpener, airplane toy without propellers]; robot home; acceptable action=add either table object.</x:v>
      </x:c>
      <x:c r="K229" s="31" t="str">
        <x:v>ADD one table object</x:v>
      </x:c>
      <x:c r="L229" s="31" t="str">
        <x:v>Score against the displayed diagnostic instruction, which is not supplied to BC; analyze paired action switching.</x:v>
      </x:c>
      <x:c r="M229" s="31" t="str">
        <x:v>VLA_Evaluation_Checklist_660_Final_Updated.xlsx — evaluation episode 601</x:v>
      </x:c>
      <x:c r="N229" s="31" t="str">
        <x:v>Vision/motor-prior shortcut diagnostic, not a language-grounding model.</x:v>
      </x:c>
      <x:c r="O229" s="31" t="str">
        <x:v>Diagnostic</x:v>
      </x:c>
    </x:row>
    <x:row r="230" ht="44" customHeight="1">
      <x:c r="A230" s="31" t="str">
        <x:v>BC-CT-02A</x:v>
      </x:c>
      <x:c r="B230" s="31" t="str">
        <x:v>BC Diagnostic</x:v>
      </x:c>
      <x:c r="C230" s="31" t="str">
        <x:v>Counting</x:v>
      </x:c>
      <x:c r="D230" s="31" t="str">
        <x:v>Vision-only counterfactual A</x:v>
      </x:c>
      <x:c r="E230" s="31" t="str">
        <x:v>Identical scene; instruction withheld from policy</x:v>
      </x:c>
      <x:c r="F230" s="31" t="str"/>
      <x:c r="G230" s="31" t="str">
        <x:v>BC-CT-02</x:v>
      </x:c>
      <x:c r="H230" s="31" t="str">
        <x:v>[NO LANGUAGE CHANNEL / INPUT]</x:v>
      </x:c>
      <x:c r="I230" s="31" t="str">
        <x:v>Leave exactly one object in the bowl.</x:v>
      </x:c>
      <x:c r="J230" s="31" t="str">
        <x:v>C-CF02A: bowl=[yellow block, green pencil sharpener] (2); table=[airplane toy without propellers, blue pen]; robot home; acceptable action=remove either bowl object.</x:v>
      </x:c>
      <x:c r="K230" s="31" t="str">
        <x:v>REMOVE one bowl object</x:v>
      </x:c>
      <x:c r="L230" s="31" t="str">
        <x:v>Score against the displayed diagnostic instruction, which is not supplied to BC; analyze paired action switching.</x:v>
      </x:c>
      <x:c r="M230" s="31" t="str">
        <x:v>VLA_Evaluation_Checklist_660_Final_Updated.xlsx — evaluation episode 602</x:v>
      </x:c>
      <x:c r="N230" s="31" t="str">
        <x:v>Vision/motor-prior shortcut diagnostic, not a language-grounding model.</x:v>
      </x:c>
      <x:c r="O230" s="31" t="str">
        <x:v>Diagnostic</x:v>
      </x:c>
    </x:row>
    <x:row r="231" ht="44" customHeight="1">
      <x:c r="A231" s="31" t="str">
        <x:v>BC-CT-02B</x:v>
      </x:c>
      <x:c r="B231" s="31" t="str">
        <x:v>BC Diagnostic</x:v>
      </x:c>
      <x:c r="C231" s="31" t="str">
        <x:v>Counting</x:v>
      </x:c>
      <x:c r="D231" s="31" t="str">
        <x:v>Vision-only counterfactual B</x:v>
      </x:c>
      <x:c r="E231" s="31" t="str">
        <x:v>Identical scene; instruction withheld from policy</x:v>
      </x:c>
      <x:c r="F231" s="31" t="str"/>
      <x:c r="G231" s="31" t="str">
        <x:v>BC-CT-02</x:v>
      </x:c>
      <x:c r="H231" s="31" t="str">
        <x:v>[NO LANGUAGE CHANNEL / INPUT]</x:v>
      </x:c>
      <x:c r="I231" s="31" t="str">
        <x:v>Leave exactly three objects in the bowl.</x:v>
      </x:c>
      <x:c r="J231" s="31" t="str">
        <x:v>C-CF02B: bowl=[yellow block, green pencil sharpener] (2); table=[airplane toy without propellers, blue pen]; robot home; acceptable action=add either table object.</x:v>
      </x:c>
      <x:c r="K231" s="31" t="str">
        <x:v>ADD one table object</x:v>
      </x:c>
      <x:c r="L231" s="31" t="str">
        <x:v>Score against the displayed diagnostic instruction, which is not supplied to BC; analyze paired action switching.</x:v>
      </x:c>
      <x:c r="M231" s="31" t="str">
        <x:v>VLA_Evaluation_Checklist_660_Final_Updated.xlsx — evaluation episode 603</x:v>
      </x:c>
      <x:c r="N231" s="31" t="str">
        <x:v>Vision/motor-prior shortcut diagnostic, not a language-grounding model.</x:v>
      </x:c>
      <x:c r="O231" s="31" t="str">
        <x:v>Diagnostic</x:v>
      </x:c>
    </x:row>
    <x:row r="232" ht="44" customHeight="1">
      <x:c r="A232" s="31" t="str">
        <x:v>BC-CT-03A</x:v>
      </x:c>
      <x:c r="B232" s="31" t="str">
        <x:v>BC Diagnostic</x:v>
      </x:c>
      <x:c r="C232" s="31" t="str">
        <x:v>Counting</x:v>
      </x:c>
      <x:c r="D232" s="31" t="str">
        <x:v>Vision-only counterfactual A</x:v>
      </x:c>
      <x:c r="E232" s="31" t="str">
        <x:v>Identical scene; instruction withheld from policy</x:v>
      </x:c>
      <x:c r="F232" s="31" t="str"/>
      <x:c r="G232" s="31" t="str">
        <x:v>BC-CT-03</x:v>
      </x:c>
      <x:c r="H232" s="31" t="str">
        <x:v>[NO LANGUAGE CHANNEL / INPUT]</x:v>
      </x:c>
      <x:c r="I232" s="31" t="str">
        <x:v>Leave exactly one object in the bowl.</x:v>
      </x:c>
      <x:c r="J232" s="31" t="str">
        <x:v>C-CF03A: bowl=[green pencil sharpener, airplane toy without propellers] (2); table=[blue pen, yellow block]; robot home; acceptable action=remove either bowl object.</x:v>
      </x:c>
      <x:c r="K232" s="31" t="str">
        <x:v>REMOVE one bowl object</x:v>
      </x:c>
      <x:c r="L232" s="31" t="str">
        <x:v>Score against the displayed diagnostic instruction, which is not supplied to BC; analyze paired action switching.</x:v>
      </x:c>
      <x:c r="M232" s="31" t="str">
        <x:v>VLA_Evaluation_Checklist_660_Final_Updated.xlsx — evaluation episode 604</x:v>
      </x:c>
      <x:c r="N232" s="31" t="str">
        <x:v>Vision/motor-prior shortcut diagnostic, not a language-grounding model.</x:v>
      </x:c>
      <x:c r="O232" s="31" t="str">
        <x:v>Diagnostic</x:v>
      </x:c>
    </x:row>
    <x:row r="233" ht="44" customHeight="1">
      <x:c r="A233" s="31" t="str">
        <x:v>BC-CT-03B</x:v>
      </x:c>
      <x:c r="B233" s="31" t="str">
        <x:v>BC Diagnostic</x:v>
      </x:c>
      <x:c r="C233" s="31" t="str">
        <x:v>Counting</x:v>
      </x:c>
      <x:c r="D233" s="31" t="str">
        <x:v>Vision-only counterfactual B</x:v>
      </x:c>
      <x:c r="E233" s="31" t="str">
        <x:v>Identical scene; instruction withheld from policy</x:v>
      </x:c>
      <x:c r="F233" s="31" t="str"/>
      <x:c r="G233" s="31" t="str">
        <x:v>BC-CT-03</x:v>
      </x:c>
      <x:c r="H233" s="31" t="str">
        <x:v>[NO LANGUAGE CHANNEL / INPUT]</x:v>
      </x:c>
      <x:c r="I233" s="31" t="str">
        <x:v>Leave exactly three objects in the bowl.</x:v>
      </x:c>
      <x:c r="J233" s="31" t="str">
        <x:v>C-CF03B: bowl=[green pencil sharpener, airplane toy without propellers] (2); table=[blue pen, yellow block]; robot home; acceptable action=add either table object.</x:v>
      </x:c>
      <x:c r="K233" s="31" t="str">
        <x:v>ADD one table object</x:v>
      </x:c>
      <x:c r="L233" s="31" t="str">
        <x:v>Score against the displayed diagnostic instruction, which is not supplied to BC; analyze paired action switching.</x:v>
      </x:c>
      <x:c r="M233" s="31" t="str">
        <x:v>VLA_Evaluation_Checklist_660_Final_Updated.xlsx — evaluation episode 605</x:v>
      </x:c>
      <x:c r="N233" s="31" t="str">
        <x:v>Vision/motor-prior shortcut diagnostic, not a language-grounding model.</x:v>
      </x:c>
      <x:c r="O233" s="31" t="str">
        <x:v>Diagnostic</x:v>
      </x:c>
    </x:row>
    <x:row r="234" ht="44" customHeight="1">
      <x:c r="A234" s="31" t="str">
        <x:v>BC-CT-04A</x:v>
      </x:c>
      <x:c r="B234" s="31" t="str">
        <x:v>BC Diagnostic</x:v>
      </x:c>
      <x:c r="C234" s="31" t="str">
        <x:v>Counting</x:v>
      </x:c>
      <x:c r="D234" s="31" t="str">
        <x:v>Vision-only counterfactual A</x:v>
      </x:c>
      <x:c r="E234" s="31" t="str">
        <x:v>Identical scene; instruction withheld from policy</x:v>
      </x:c>
      <x:c r="F234" s="31" t="str"/>
      <x:c r="G234" s="31" t="str">
        <x:v>BC-CT-04</x:v>
      </x:c>
      <x:c r="H234" s="31" t="str">
        <x:v>[NO LANGUAGE CHANNEL / INPUT]</x:v>
      </x:c>
      <x:c r="I234" s="31" t="str">
        <x:v>Leave exactly one object in the bowl.</x:v>
      </x:c>
      <x:c r="J234" s="31" t="str">
        <x:v>C-CF04A: bowl=[airplane toy without propellers, blue pen] (2); table=[yellow block, green pencil sharpener]; robot home; acceptable action=remove either bowl object.</x:v>
      </x:c>
      <x:c r="K234" s="31" t="str">
        <x:v>REMOVE one bowl object</x:v>
      </x:c>
      <x:c r="L234" s="31" t="str">
        <x:v>Score against the displayed diagnostic instruction, which is not supplied to BC; analyze paired action switching.</x:v>
      </x:c>
      <x:c r="M234" s="31" t="str">
        <x:v>VLA_Evaluation_Checklist_660_Final_Updated.xlsx — evaluation episode 606</x:v>
      </x:c>
      <x:c r="N234" s="31" t="str">
        <x:v>Vision/motor-prior shortcut diagnostic, not a language-grounding model.</x:v>
      </x:c>
      <x:c r="O234" s="31" t="str">
        <x:v>Diagnostic</x:v>
      </x:c>
    </x:row>
    <x:row r="235" ht="44" customHeight="1">
      <x:c r="A235" s="31" t="str">
        <x:v>BC-CT-04B</x:v>
      </x:c>
      <x:c r="B235" s="31" t="str">
        <x:v>BC Diagnostic</x:v>
      </x:c>
      <x:c r="C235" s="31" t="str">
        <x:v>Counting</x:v>
      </x:c>
      <x:c r="D235" s="31" t="str">
        <x:v>Vision-only counterfactual B</x:v>
      </x:c>
      <x:c r="E235" s="31" t="str">
        <x:v>Identical scene; instruction withheld from policy</x:v>
      </x:c>
      <x:c r="F235" s="31" t="str"/>
      <x:c r="G235" s="31" t="str">
        <x:v>BC-CT-04</x:v>
      </x:c>
      <x:c r="H235" s="31" t="str">
        <x:v>[NO LANGUAGE CHANNEL / INPUT]</x:v>
      </x:c>
      <x:c r="I235" s="31" t="str">
        <x:v>Leave exactly three objects in the bowl.</x:v>
      </x:c>
      <x:c r="J235" s="31" t="str">
        <x:v>C-CF04B: bowl=[airplane toy without propellers, blue pen] (2); table=[yellow block, green pencil sharpener]; robot home; acceptable action=add either table object.</x:v>
      </x:c>
      <x:c r="K235" s="31" t="str">
        <x:v>ADD one table object</x:v>
      </x:c>
      <x:c r="L235" s="31" t="str">
        <x:v>Score against the displayed diagnostic instruction, which is not supplied to BC; analyze paired action switching.</x:v>
      </x:c>
      <x:c r="M235" s="31" t="str">
        <x:v>VLA_Evaluation_Checklist_660_Final_Updated.xlsx — evaluation episode 607</x:v>
      </x:c>
      <x:c r="N235" s="31" t="str">
        <x:v>Vision/motor-prior shortcut diagnostic, not a language-grounding model.</x:v>
      </x:c>
      <x:c r="O235" s="31" t="str">
        <x:v>Diagnostic</x:v>
      </x:c>
    </x:row>
    <x:row r="236" ht="44" customHeight="1">
      <x:c r="A236" s="31" t="str">
        <x:v>BC-CT-05A</x:v>
      </x:c>
      <x:c r="B236" s="31" t="str">
        <x:v>BC Diagnostic</x:v>
      </x:c>
      <x:c r="C236" s="31" t="str">
        <x:v>Counting</x:v>
      </x:c>
      <x:c r="D236" s="31" t="str">
        <x:v>Vision-only counterfactual A</x:v>
      </x:c>
      <x:c r="E236" s="31" t="str">
        <x:v>Identical scene; instruction withheld from policy</x:v>
      </x:c>
      <x:c r="F236" s="31" t="str"/>
      <x:c r="G236" s="31" t="str">
        <x:v>BC-CT-05</x:v>
      </x:c>
      <x:c r="H236" s="31" t="str">
        <x:v>[NO LANGUAGE CHANNEL / INPUT]</x:v>
      </x:c>
      <x:c r="I236" s="31" t="str">
        <x:v>Leave exactly one object in the bowl.</x:v>
      </x:c>
      <x:c r="J236" s="31" t="str">
        <x:v>C-CF05A: bowl=[blue pen, yellow block] (2); table=[green pencil sharpener, airplane toy without propellers]; robot home; acceptable action=remove either bowl object.</x:v>
      </x:c>
      <x:c r="K236" s="31" t="str">
        <x:v>REMOVE one bowl object</x:v>
      </x:c>
      <x:c r="L236" s="31" t="str">
        <x:v>Score against the displayed diagnostic instruction, which is not supplied to BC; analyze paired action switching.</x:v>
      </x:c>
      <x:c r="M236" s="31" t="str">
        <x:v>VLA_Evaluation_Checklist_660_Final_Updated.xlsx — evaluation episode 608</x:v>
      </x:c>
      <x:c r="N236" s="31" t="str">
        <x:v>Vision/motor-prior shortcut diagnostic, not a language-grounding model.</x:v>
      </x:c>
      <x:c r="O236" s="31" t="str">
        <x:v>Diagnostic</x:v>
      </x:c>
    </x:row>
    <x:row r="237" ht="44" customHeight="1">
      <x:c r="A237" s="31" t="str">
        <x:v>BC-CT-05B</x:v>
      </x:c>
      <x:c r="B237" s="31" t="str">
        <x:v>BC Diagnostic</x:v>
      </x:c>
      <x:c r="C237" s="31" t="str">
        <x:v>Counting</x:v>
      </x:c>
      <x:c r="D237" s="31" t="str">
        <x:v>Vision-only counterfactual B</x:v>
      </x:c>
      <x:c r="E237" s="31" t="str">
        <x:v>Identical scene; instruction withheld from policy</x:v>
      </x:c>
      <x:c r="F237" s="31" t="str"/>
      <x:c r="G237" s="31" t="str">
        <x:v>BC-CT-05</x:v>
      </x:c>
      <x:c r="H237" s="31" t="str">
        <x:v>[NO LANGUAGE CHANNEL / INPUT]</x:v>
      </x:c>
      <x:c r="I237" s="31" t="str">
        <x:v>Leave exactly three objects in the bowl.</x:v>
      </x:c>
      <x:c r="J237" s="31" t="str">
        <x:v>C-CF05B: bowl=[blue pen, yellow block] (2); table=[green pencil sharpener, airplane toy without propellers]; robot home; acceptable action=add either table object.</x:v>
      </x:c>
      <x:c r="K237" s="31" t="str">
        <x:v>ADD one table object</x:v>
      </x:c>
      <x:c r="L237" s="31" t="str">
        <x:v>Score against the displayed diagnostic instruction, which is not supplied to BC; analyze paired action switching.</x:v>
      </x:c>
      <x:c r="M237" s="31" t="str">
        <x:v>VLA_Evaluation_Checklist_660_Final_Updated.xlsx — evaluation episode 609</x:v>
      </x:c>
      <x:c r="N237" s="31" t="str">
        <x:v>Vision/motor-prior shortcut diagnostic, not a language-grounding model.</x:v>
      </x:c>
      <x:c r="O237" s="31" t="str">
        <x:v>Diagnostic</x:v>
      </x:c>
    </x:row>
    <x:row r="238" ht="44" customHeight="1">
      <x:c r="A238" s="31" t="str">
        <x:v>BC-CT-06A</x:v>
      </x:c>
      <x:c r="B238" s="31" t="str">
        <x:v>BC Diagnostic</x:v>
      </x:c>
      <x:c r="C238" s="31" t="str">
        <x:v>Counting</x:v>
      </x:c>
      <x:c r="D238" s="31" t="str">
        <x:v>Vision-only counterfactual A</x:v>
      </x:c>
      <x:c r="E238" s="31" t="str">
        <x:v>Identical scene; instruction withheld from policy</x:v>
      </x:c>
      <x:c r="F238" s="31" t="str"/>
      <x:c r="G238" s="31" t="str">
        <x:v>BC-CT-06</x:v>
      </x:c>
      <x:c r="H238" s="31" t="str">
        <x:v>[NO LANGUAGE CHANNEL / INPUT]</x:v>
      </x:c>
      <x:c r="I238" s="31" t="str">
        <x:v>Leave exactly one object in the bowl.</x:v>
      </x:c>
      <x:c r="J238" s="31" t="str">
        <x:v>C-CF06A: bowl=[yellow block, green pencil sharpener] (2); table=[airplane toy without propellers, blue pen]; robot home; acceptable action=remove either bowl object.</x:v>
      </x:c>
      <x:c r="K238" s="31" t="str">
        <x:v>REMOVE one bowl object</x:v>
      </x:c>
      <x:c r="L238" s="31" t="str">
        <x:v>Score against the displayed diagnostic instruction, which is not supplied to BC; analyze paired action switching.</x:v>
      </x:c>
      <x:c r="M238" s="31" t="str">
        <x:v>VLA_Evaluation_Checklist_660_Final_Updated.xlsx — evaluation episode 610</x:v>
      </x:c>
      <x:c r="N238" s="31" t="str">
        <x:v>Vision/motor-prior shortcut diagnostic, not a language-grounding model.</x:v>
      </x:c>
      <x:c r="O238" s="31" t="str">
        <x:v>Diagnostic</x:v>
      </x:c>
    </x:row>
    <x:row r="239" ht="44" customHeight="1">
      <x:c r="A239" s="31" t="str">
        <x:v>BC-CT-06B</x:v>
      </x:c>
      <x:c r="B239" s="31" t="str">
        <x:v>BC Diagnostic</x:v>
      </x:c>
      <x:c r="C239" s="31" t="str">
        <x:v>Counting</x:v>
      </x:c>
      <x:c r="D239" s="31" t="str">
        <x:v>Vision-only counterfactual B</x:v>
      </x:c>
      <x:c r="E239" s="31" t="str">
        <x:v>Identical scene; instruction withheld from policy</x:v>
      </x:c>
      <x:c r="F239" s="31" t="str"/>
      <x:c r="G239" s="31" t="str">
        <x:v>BC-CT-06</x:v>
      </x:c>
      <x:c r="H239" s="31" t="str">
        <x:v>[NO LANGUAGE CHANNEL / INPUT]</x:v>
      </x:c>
      <x:c r="I239" s="31" t="str">
        <x:v>Leave exactly three objects in the bowl.</x:v>
      </x:c>
      <x:c r="J239" s="31" t="str">
        <x:v>C-CF06B: bowl=[yellow block, green pencil sharpener] (2); table=[airplane toy without propellers, blue pen]; robot home; acceptable action=add either table object.</x:v>
      </x:c>
      <x:c r="K239" s="31" t="str">
        <x:v>ADD one table object</x:v>
      </x:c>
      <x:c r="L239" s="31" t="str">
        <x:v>Score against the displayed diagnostic instruction, which is not supplied to BC; analyze paired action switching.</x:v>
      </x:c>
      <x:c r="M239" s="31" t="str">
        <x:v>VLA_Evaluation_Checklist_660_Final_Updated.xlsx — evaluation episode 611</x:v>
      </x:c>
      <x:c r="N239" s="31" t="str">
        <x:v>Vision/motor-prior shortcut diagnostic, not a language-grounding model.</x:v>
      </x:c>
      <x:c r="O239" s="31" t="str">
        <x:v>Diagnostic</x:v>
      </x:c>
    </x:row>
    <x:row r="240" ht="44" customHeight="1">
      <x:c r="A240" s="31" t="str">
        <x:v>BC-CT-07A</x:v>
      </x:c>
      <x:c r="B240" s="31" t="str">
        <x:v>BC Diagnostic</x:v>
      </x:c>
      <x:c r="C240" s="31" t="str">
        <x:v>Counting</x:v>
      </x:c>
      <x:c r="D240" s="31" t="str">
        <x:v>Vision-only counterfactual A</x:v>
      </x:c>
      <x:c r="E240" s="31" t="str">
        <x:v>Identical scene; instruction withheld from policy</x:v>
      </x:c>
      <x:c r="F240" s="31" t="str"/>
      <x:c r="G240" s="31" t="str">
        <x:v>BC-CT-07</x:v>
      </x:c>
      <x:c r="H240" s="31" t="str">
        <x:v>[NO LANGUAGE CHANNEL / INPUT]</x:v>
      </x:c>
      <x:c r="I240" s="31" t="str">
        <x:v>Leave exactly one object in the bowl.</x:v>
      </x:c>
      <x:c r="J240" s="31" t="str">
        <x:v>C-CF07A: bowl=[green pencil sharpener, airplane toy without propellers] (2); table=[blue pen, yellow block]; robot home; acceptable action=remove either bowl object.</x:v>
      </x:c>
      <x:c r="K240" s="31" t="str">
        <x:v>REMOVE one bowl object</x:v>
      </x:c>
      <x:c r="L240" s="31" t="str">
        <x:v>Score against the displayed diagnostic instruction, which is not supplied to BC; analyze paired action switching.</x:v>
      </x:c>
      <x:c r="M240" s="31" t="str">
        <x:v>VLA_Evaluation_Checklist_660_Final_Updated.xlsx — evaluation episode 612</x:v>
      </x:c>
      <x:c r="N240" s="31" t="str">
        <x:v>Vision/motor-prior shortcut diagnostic, not a language-grounding model.</x:v>
      </x:c>
      <x:c r="O240" s="31" t="str">
        <x:v>Diagnostic</x:v>
      </x:c>
    </x:row>
    <x:row r="241" ht="44" customHeight="1">
      <x:c r="A241" s="31" t="str">
        <x:v>BC-CT-07B</x:v>
      </x:c>
      <x:c r="B241" s="31" t="str">
        <x:v>BC Diagnostic</x:v>
      </x:c>
      <x:c r="C241" s="31" t="str">
        <x:v>Counting</x:v>
      </x:c>
      <x:c r="D241" s="31" t="str">
        <x:v>Vision-only counterfactual B</x:v>
      </x:c>
      <x:c r="E241" s="31" t="str">
        <x:v>Identical scene; instruction withheld from policy</x:v>
      </x:c>
      <x:c r="F241" s="31" t="str"/>
      <x:c r="G241" s="31" t="str">
        <x:v>BC-CT-07</x:v>
      </x:c>
      <x:c r="H241" s="31" t="str">
        <x:v>[NO LANGUAGE CHANNEL / INPUT]</x:v>
      </x:c>
      <x:c r="I241" s="31" t="str">
        <x:v>Leave exactly three objects in the bowl.</x:v>
      </x:c>
      <x:c r="J241" s="31" t="str">
        <x:v>C-CF07B: bowl=[green pencil sharpener, airplane toy without propellers] (2); table=[blue pen, yellow block]; robot home; acceptable action=add either table object.</x:v>
      </x:c>
      <x:c r="K241" s="31" t="str">
        <x:v>ADD one table object</x:v>
      </x:c>
      <x:c r="L241" s="31" t="str">
        <x:v>Score against the displayed diagnostic instruction, which is not supplied to BC; analyze paired action switching.</x:v>
      </x:c>
      <x:c r="M241" s="31" t="str">
        <x:v>VLA_Evaluation_Checklist_660_Final_Updated.xlsx — evaluation episode 613</x:v>
      </x:c>
      <x:c r="N241" s="31" t="str">
        <x:v>Vision/motor-prior shortcut diagnostic, not a language-grounding model.</x:v>
      </x:c>
      <x:c r="O241" s="31" t="str">
        <x:v>Diagnostic</x:v>
      </x:c>
    </x:row>
    <x:row r="242" ht="44" customHeight="1">
      <x:c r="A242" s="31" t="str">
        <x:v>BC-CT-08A</x:v>
      </x:c>
      <x:c r="B242" s="31" t="str">
        <x:v>BC Diagnostic</x:v>
      </x:c>
      <x:c r="C242" s="31" t="str">
        <x:v>Counting</x:v>
      </x:c>
      <x:c r="D242" s="31" t="str">
        <x:v>Vision-only counterfactual A</x:v>
      </x:c>
      <x:c r="E242" s="31" t="str">
        <x:v>Identical scene; instruction withheld from policy</x:v>
      </x:c>
      <x:c r="F242" s="31" t="str"/>
      <x:c r="G242" s="31" t="str">
        <x:v>BC-CT-08</x:v>
      </x:c>
      <x:c r="H242" s="31" t="str">
        <x:v>[NO LANGUAGE CHANNEL / INPUT]</x:v>
      </x:c>
      <x:c r="I242" s="31" t="str">
        <x:v>Leave exactly one object in the bowl.</x:v>
      </x:c>
      <x:c r="J242" s="31" t="str">
        <x:v>C-CF08A: bowl=[airplane toy without propellers, blue pen] (2); table=[yellow block, green pencil sharpener]; robot home; acceptable action=remove either bowl object.</x:v>
      </x:c>
      <x:c r="K242" s="31" t="str">
        <x:v>REMOVE one bowl object</x:v>
      </x:c>
      <x:c r="L242" s="31" t="str">
        <x:v>Score against the displayed diagnostic instruction, which is not supplied to BC; analyze paired action switching.</x:v>
      </x:c>
      <x:c r="M242" s="31" t="str">
        <x:v>VLA_Evaluation_Checklist_660_Final_Updated.xlsx — evaluation episode 614</x:v>
      </x:c>
      <x:c r="N242" s="31" t="str">
        <x:v>Vision/motor-prior shortcut diagnostic, not a language-grounding model.</x:v>
      </x:c>
      <x:c r="O242" s="31" t="str">
        <x:v>Diagnostic</x:v>
      </x:c>
    </x:row>
    <x:row r="243" ht="44" customHeight="1">
      <x:c r="A243" s="31" t="str">
        <x:v>BC-CT-08B</x:v>
      </x:c>
      <x:c r="B243" s="31" t="str">
        <x:v>BC Diagnostic</x:v>
      </x:c>
      <x:c r="C243" s="31" t="str">
        <x:v>Counting</x:v>
      </x:c>
      <x:c r="D243" s="31" t="str">
        <x:v>Vision-only counterfactual B</x:v>
      </x:c>
      <x:c r="E243" s="31" t="str">
        <x:v>Identical scene; instruction withheld from policy</x:v>
      </x:c>
      <x:c r="F243" s="31" t="str"/>
      <x:c r="G243" s="31" t="str">
        <x:v>BC-CT-08</x:v>
      </x:c>
      <x:c r="H243" s="31" t="str">
        <x:v>[NO LANGUAGE CHANNEL / INPUT]</x:v>
      </x:c>
      <x:c r="I243" s="31" t="str">
        <x:v>Leave exactly three objects in the bowl.</x:v>
      </x:c>
      <x:c r="J243" s="31" t="str">
        <x:v>C-CF08B: bowl=[airplane toy without propellers, blue pen] (2); table=[yellow block, green pencil sharpener]; robot home; acceptable action=add either table object.</x:v>
      </x:c>
      <x:c r="K243" s="31" t="str">
        <x:v>ADD one table object</x:v>
      </x:c>
      <x:c r="L243" s="31" t="str">
        <x:v>Score against the displayed diagnostic instruction, which is not supplied to BC; analyze paired action switching.</x:v>
      </x:c>
      <x:c r="M243" s="31" t="str">
        <x:v>VLA_Evaluation_Checklist_660_Final_Updated.xlsx — evaluation episode 615</x:v>
      </x:c>
      <x:c r="N243" s="31" t="str">
        <x:v>Vision/motor-prior shortcut diagnostic, not a language-grounding model.</x:v>
      </x:c>
      <x:c r="O243" s="31" t="str">
        <x:v>Diagnostic</x:v>
      </x:c>
    </x:row>
    <x:row r="244" ht="44" customHeight="1">
      <x:c r="A244" s="31" t="str">
        <x:v>BC-CT-09A</x:v>
      </x:c>
      <x:c r="B244" s="31" t="str">
        <x:v>BC Diagnostic</x:v>
      </x:c>
      <x:c r="C244" s="31" t="str">
        <x:v>Counting</x:v>
      </x:c>
      <x:c r="D244" s="31" t="str">
        <x:v>Vision-only counterfactual A</x:v>
      </x:c>
      <x:c r="E244" s="31" t="str">
        <x:v>Identical scene; instruction withheld from policy</x:v>
      </x:c>
      <x:c r="F244" s="31" t="str"/>
      <x:c r="G244" s="31" t="str">
        <x:v>BC-CT-09</x:v>
      </x:c>
      <x:c r="H244" s="31" t="str">
        <x:v>[NO LANGUAGE CHANNEL / INPUT]</x:v>
      </x:c>
      <x:c r="I244" s="31" t="str">
        <x:v>Leave exactly one object in the bowl.</x:v>
      </x:c>
      <x:c r="J244" s="31" t="str">
        <x:v>C-CF09A: bowl=[blue pen, yellow block] (2); table=[green pencil sharpener, airplane toy without propellers]; robot home; acceptable action=remove either bowl object.</x:v>
      </x:c>
      <x:c r="K244" s="31" t="str">
        <x:v>REMOVE one bowl object</x:v>
      </x:c>
      <x:c r="L244" s="31" t="str">
        <x:v>Score against the displayed diagnostic instruction, which is not supplied to BC; analyze paired action switching.</x:v>
      </x:c>
      <x:c r="M244" s="31" t="str">
        <x:v>VLA_Evaluation_Checklist_660_Final_Updated.xlsx — evaluation episode 616</x:v>
      </x:c>
      <x:c r="N244" s="31" t="str">
        <x:v>Vision/motor-prior shortcut diagnostic, not a language-grounding model.</x:v>
      </x:c>
      <x:c r="O244" s="31" t="str">
        <x:v>Diagnostic</x:v>
      </x:c>
    </x:row>
    <x:row r="245" ht="44" customHeight="1">
      <x:c r="A245" s="31" t="str">
        <x:v>BC-CT-09B</x:v>
      </x:c>
      <x:c r="B245" s="31" t="str">
        <x:v>BC Diagnostic</x:v>
      </x:c>
      <x:c r="C245" s="31" t="str">
        <x:v>Counting</x:v>
      </x:c>
      <x:c r="D245" s="31" t="str">
        <x:v>Vision-only counterfactual B</x:v>
      </x:c>
      <x:c r="E245" s="31" t="str">
        <x:v>Identical scene; instruction withheld from policy</x:v>
      </x:c>
      <x:c r="F245" s="31" t="str"/>
      <x:c r="G245" s="31" t="str">
        <x:v>BC-CT-09</x:v>
      </x:c>
      <x:c r="H245" s="31" t="str">
        <x:v>[NO LANGUAGE CHANNEL / INPUT]</x:v>
      </x:c>
      <x:c r="I245" s="31" t="str">
        <x:v>Leave exactly three objects in the bowl.</x:v>
      </x:c>
      <x:c r="J245" s="31" t="str">
        <x:v>C-CF09B: bowl=[blue pen, yellow block] (2); table=[green pencil sharpener, airplane toy without propellers]; robot home; acceptable action=add either table object.</x:v>
      </x:c>
      <x:c r="K245" s="31" t="str">
        <x:v>ADD one table object</x:v>
      </x:c>
      <x:c r="L245" s="31" t="str">
        <x:v>Score against the displayed diagnostic instruction, which is not supplied to BC; analyze paired action switching.</x:v>
      </x:c>
      <x:c r="M245" s="31" t="str">
        <x:v>VLA_Evaluation_Checklist_660_Final_Updated.xlsx — evaluation episode 617</x:v>
      </x:c>
      <x:c r="N245" s="31" t="str">
        <x:v>Vision/motor-prior shortcut diagnostic, not a language-grounding model.</x:v>
      </x:c>
      <x:c r="O245" s="31" t="str">
        <x:v>Diagnostic</x:v>
      </x:c>
    </x:row>
    <x:row r="246" ht="44" customHeight="1">
      <x:c r="A246" s="31" t="str">
        <x:v>BC-CT-10A</x:v>
      </x:c>
      <x:c r="B246" s="31" t="str">
        <x:v>BC Diagnostic</x:v>
      </x:c>
      <x:c r="C246" s="31" t="str">
        <x:v>Counting</x:v>
      </x:c>
      <x:c r="D246" s="31" t="str">
        <x:v>Vision-only counterfactual A</x:v>
      </x:c>
      <x:c r="E246" s="31" t="str">
        <x:v>Identical scene; instruction withheld from policy</x:v>
      </x:c>
      <x:c r="F246" s="31" t="str"/>
      <x:c r="G246" s="31" t="str">
        <x:v>BC-CT-10</x:v>
      </x:c>
      <x:c r="H246" s="31" t="str">
        <x:v>[NO LANGUAGE CHANNEL / INPUT]</x:v>
      </x:c>
      <x:c r="I246" s="31" t="str">
        <x:v>Leave exactly one object in the bowl.</x:v>
      </x:c>
      <x:c r="J246" s="31" t="str">
        <x:v>C-CF10A: bowl=[yellow block, green pencil sharpener] (2); table=[airplane toy without propellers, blue pen]; robot home; acceptable action=remove either bowl object.</x:v>
      </x:c>
      <x:c r="K246" s="31" t="str">
        <x:v>REMOVE one bowl object</x:v>
      </x:c>
      <x:c r="L246" s="31" t="str">
        <x:v>Score against the displayed diagnostic instruction, which is not supplied to BC; analyze paired action switching.</x:v>
      </x:c>
      <x:c r="M246" s="31" t="str">
        <x:v>VLA_Evaluation_Checklist_660_Final_Updated.xlsx — evaluation episode 618</x:v>
      </x:c>
      <x:c r="N246" s="31" t="str">
        <x:v>Vision/motor-prior shortcut diagnostic, not a language-grounding model.</x:v>
      </x:c>
      <x:c r="O246" s="31" t="str">
        <x:v>Diagnostic</x:v>
      </x:c>
    </x:row>
    <x:row r="247" ht="44" customHeight="1">
      <x:c r="A247" s="31" t="str">
        <x:v>BC-CT-10B</x:v>
      </x:c>
      <x:c r="B247" s="31" t="str">
        <x:v>BC Diagnostic</x:v>
      </x:c>
      <x:c r="C247" s="31" t="str">
        <x:v>Counting</x:v>
      </x:c>
      <x:c r="D247" s="31" t="str">
        <x:v>Vision-only counterfactual B</x:v>
      </x:c>
      <x:c r="E247" s="31" t="str">
        <x:v>Identical scene; instruction withheld from policy</x:v>
      </x:c>
      <x:c r="F247" s="31" t="str"/>
      <x:c r="G247" s="31" t="str">
        <x:v>BC-CT-10</x:v>
      </x:c>
      <x:c r="H247" s="31" t="str">
        <x:v>[NO LANGUAGE CHANNEL / INPUT]</x:v>
      </x:c>
      <x:c r="I247" s="31" t="str">
        <x:v>Leave exactly three objects in the bowl.</x:v>
      </x:c>
      <x:c r="J247" s="31" t="str">
        <x:v>C-CF10B: bowl=[yellow block, green pencil sharpener] (2); table=[airplane toy without propellers, blue pen]; robot home; acceptable action=add either table object.</x:v>
      </x:c>
      <x:c r="K247" s="31" t="str">
        <x:v>ADD one table object</x:v>
      </x:c>
      <x:c r="L247" s="31" t="str">
        <x:v>Score against the displayed diagnostic instruction, which is not supplied to BC; analyze paired action switching.</x:v>
      </x:c>
      <x:c r="M247" s="31" t="str">
        <x:v>VLA_Evaluation_Checklist_660_Final_Updated.xlsx — evaluation episode 619</x:v>
      </x:c>
      <x:c r="N247" s="31" t="str">
        <x:v>Vision/motor-prior shortcut diagnostic, not a language-grounding model.</x:v>
      </x:c>
      <x:c r="O247" s="31" t="str">
        <x:v>Diagnostic</x:v>
      </x:c>
    </x:row>
    <x:row r="248" ht="44" customHeight="1">
      <x:c r="A248" s="31" t="str">
        <x:v>SEC-XT-ST-A01</x:v>
      </x:c>
      <x:c r="B248" s="31" t="str">
        <x:v>Secondary Exploratory</x:v>
      </x:c>
      <x:c r="C248" s="31" t="str">
        <x:v>State Recognition</x:v>
      </x:c>
      <x:c r="D248" s="31" t="str">
        <x:v>Exploratory cross-task A</x:v>
      </x:c>
      <x:c r="E248" s="31" t="str">
        <x:v>Held-out state + cross-task objects; one designated seed only</x:v>
      </x:c>
      <x:c r="F248" s="31" t="str"/>
      <x:c r="G248" s="31" t="str">
        <x:v>XT-ST01</x:v>
      </x:c>
      <x:c r="H248" s="31" t="str">
        <x:v>Place the upright crushed soda can in the bowl.</x:v>
      </x:c>
      <x:c r="I248" s="31" t="str">
        <x:v>Place the upright crushed soda can in the bowl.</x:v>
      </x:c>
      <x:c r="J248" s="31" t="str">
        <x:v>XT-ST01: P1 Coke=UD; P2 Pepsi=UR; P3 red block; P4 blue pen. Same scene as paired trial; only one crushed soda can is upright.</x:v>
      </x:c>
      <x:c r="K248" s="31" t="str">
        <x:v>crushed Pepsi can</x:v>
      </x:c>
      <x:c r="L248" s="31" t="str">
        <x:v>Binary task success; compare only with the paired cross-task row and report descriptively.</x:v>
      </x:c>
      <x:c r="M248" s="31" t="str">
        <x:v>VLA_Cross_Task_Object_Transfer_Evaluation_60.xlsx — trial 1</x:v>
      </x:c>
      <x:c r="N248" s="31" t="str">
        <x:v>One-seed cross-task object-transfer appendix; not powered for confirmatory inference.</x:v>
      </x:c>
      <x:c r="O248" s="31" t="str">
        <x:v>Exploratory paired</x:v>
      </x:c>
    </x:row>
    <x:row r="249" ht="44" customHeight="1">
      <x:c r="A249" s="31" t="str">
        <x:v>SEC-XT-ST-A02</x:v>
      </x:c>
      <x:c r="B249" s="31" t="str">
        <x:v>Secondary Exploratory</x:v>
      </x:c>
      <x:c r="C249" s="31" t="str">
        <x:v>State Recognition</x:v>
      </x:c>
      <x:c r="D249" s="31" t="str">
        <x:v>Exploratory cross-task A</x:v>
      </x:c>
      <x:c r="E249" s="31" t="str">
        <x:v>Held-out state + cross-task objects; one designated seed only</x:v>
      </x:c>
      <x:c r="F249" s="31" t="str"/>
      <x:c r="G249" s="31" t="str">
        <x:v>XT-ST02</x:v>
      </x:c>
      <x:c r="H249" s="31" t="str">
        <x:v>Place the upright crushed soda can in the bowl.</x:v>
      </x:c>
      <x:c r="I249" s="31" t="str">
        <x:v>Place the upright crushed soda can in the bowl.</x:v>
      </x:c>
      <x:c r="J249" s="31" t="str">
        <x:v>XT-ST02: P1 Pepsi=UD; P2 pink marker; P3 Coke=UR; P4 yellow block. Same scene as paired trial; only one crushed soda can is upright.</x:v>
      </x:c>
      <x:c r="K249" s="31" t="str">
        <x:v>crushed Coke can</x:v>
      </x:c>
      <x:c r="L249" s="31" t="str">
        <x:v>Binary task success; compare only with the paired cross-task row and report descriptively.</x:v>
      </x:c>
      <x:c r="M249" s="31" t="str">
        <x:v>VLA_Cross_Task_Object_Transfer_Evaluation_60.xlsx — trial 3</x:v>
      </x:c>
      <x:c r="N249" s="31" t="str">
        <x:v>One-seed cross-task object-transfer appendix; not powered for confirmatory inference.</x:v>
      </x:c>
      <x:c r="O249" s="31" t="str">
        <x:v>Exploratory paired</x:v>
      </x:c>
    </x:row>
    <x:row r="250" ht="44" customHeight="1">
      <x:c r="A250" s="31" t="str">
        <x:v>SEC-XT-ST-A03</x:v>
      </x:c>
      <x:c r="B250" s="31" t="str">
        <x:v>Secondary Exploratory</x:v>
      </x:c>
      <x:c r="C250" s="31" t="str">
        <x:v>State Recognition</x:v>
      </x:c>
      <x:c r="D250" s="31" t="str">
        <x:v>Exploratory cross-task A</x:v>
      </x:c>
      <x:c r="E250" s="31" t="str">
        <x:v>Held-out state + cross-task objects; one designated seed only</x:v>
      </x:c>
      <x:c r="F250" s="31" t="str"/>
      <x:c r="G250" s="31" t="str">
        <x:v>XT-ST03</x:v>
      </x:c>
      <x:c r="H250" s="31" t="str">
        <x:v>Place the upright crushed soda can in the bowl.</x:v>
      </x:c>
      <x:c r="I250" s="31" t="str">
        <x:v>Place the upright crushed soda can in the bowl.</x:v>
      </x:c>
      <x:c r="J250" s="31" t="str">
        <x:v>XT-ST03: P1 green highlighter; P2 Coke=UR; P3 Pepsi=UD; P4 red block. Same scene as paired trial; only one crushed soda can is upright.</x:v>
      </x:c>
      <x:c r="K250" s="31" t="str">
        <x:v>crushed Coke can</x:v>
      </x:c>
      <x:c r="L250" s="31" t="str">
        <x:v>Binary task success; compare only with the paired cross-task row and report descriptively.</x:v>
      </x:c>
      <x:c r="M250" s="31" t="str">
        <x:v>VLA_Cross_Task_Object_Transfer_Evaluation_60.xlsx — trial 5</x:v>
      </x:c>
      <x:c r="N250" s="31" t="str">
        <x:v>One-seed cross-task object-transfer appendix; not powered for confirmatory inference.</x:v>
      </x:c>
      <x:c r="O250" s="31" t="str">
        <x:v>Exploratory paired</x:v>
      </x:c>
    </x:row>
    <x:row r="251" ht="44" customHeight="1">
      <x:c r="A251" s="31" t="str">
        <x:v>SEC-XT-ST-A04</x:v>
      </x:c>
      <x:c r="B251" s="31" t="str">
        <x:v>Secondary Exploratory</x:v>
      </x:c>
      <x:c r="C251" s="31" t="str">
        <x:v>State Recognition</x:v>
      </x:c>
      <x:c r="D251" s="31" t="str">
        <x:v>Exploratory cross-task A</x:v>
      </x:c>
      <x:c r="E251" s="31" t="str">
        <x:v>Held-out state + cross-task objects; one designated seed only</x:v>
      </x:c>
      <x:c r="F251" s="31" t="str"/>
      <x:c r="G251" s="31" t="str">
        <x:v>XT-ST04</x:v>
      </x:c>
      <x:c r="H251" s="31" t="str">
        <x:v>Place the upright crushed soda can in the bowl.</x:v>
      </x:c>
      <x:c r="I251" s="31" t="str">
        <x:v>Place the upright crushed soda can in the bowl.</x:v>
      </x:c>
      <x:c r="J251" s="31" t="str">
        <x:v>XT-ST04: P1 Coke=UD; P2 blue tape ball; P3 brown cup; P4 Pepsi=UR. Same scene as paired trial; only one crushed soda can is upright.</x:v>
      </x:c>
      <x:c r="K251" s="31" t="str">
        <x:v>crushed Pepsi can</x:v>
      </x:c>
      <x:c r="L251" s="31" t="str">
        <x:v>Binary task success; compare only with the paired cross-task row and report descriptively.</x:v>
      </x:c>
      <x:c r="M251" s="31" t="str">
        <x:v>VLA_Cross_Task_Object_Transfer_Evaluation_60.xlsx — trial 7</x:v>
      </x:c>
      <x:c r="N251" s="31" t="str">
        <x:v>One-seed cross-task object-transfer appendix; not powered for confirmatory inference.</x:v>
      </x:c>
      <x:c r="O251" s="31" t="str">
        <x:v>Exploratory paired</x:v>
      </x:c>
    </x:row>
    <x:row r="252" ht="44" customHeight="1">
      <x:c r="A252" s="31" t="str">
        <x:v>SEC-XT-ST-B01</x:v>
      </x:c>
      <x:c r="B252" s="31" t="str">
        <x:v>Secondary Exploratory</x:v>
      </x:c>
      <x:c r="C252" s="31" t="str">
        <x:v>State Recognition</x:v>
      </x:c>
      <x:c r="D252" s="31" t="str">
        <x:v>Exploratory cross-task B</x:v>
      </x:c>
      <x:c r="E252" s="31" t="str">
        <x:v>Seen state + cross-task objects; one designated seed only</x:v>
      </x:c>
      <x:c r="F252" s="31" t="str"/>
      <x:c r="G252" s="31" t="str">
        <x:v>XT-ST01</x:v>
      </x:c>
      <x:c r="H252" s="31" t="str">
        <x:v>Place the upside-down crushed soda can in the bowl.</x:v>
      </x:c>
      <x:c r="I252" s="31" t="str">
        <x:v>Place the upside-down crushed soda can in the bowl.</x:v>
      </x:c>
      <x:c r="J252" s="31" t="str">
        <x:v>XT-ST01: P1 Coke=UD; P2 Pepsi=UR; P3 red block; P4 blue pen. Both crushed soda cans are visible; only one is upside-down.</x:v>
      </x:c>
      <x:c r="K252" s="31" t="str">
        <x:v>crushed Coke can</x:v>
      </x:c>
      <x:c r="L252" s="31" t="str">
        <x:v>Binary task success; compare only with the paired cross-task row and report descriptively.</x:v>
      </x:c>
      <x:c r="M252" s="31" t="str">
        <x:v>VLA_Cross_Task_Object_Transfer_Evaluation_60.xlsx — trial 0</x:v>
      </x:c>
      <x:c r="N252" s="31" t="str">
        <x:v>One-seed cross-task object-transfer appendix; not powered for confirmatory inference.</x:v>
      </x:c>
      <x:c r="O252" s="31" t="str">
        <x:v>Exploratory paired</x:v>
      </x:c>
    </x:row>
    <x:row r="253" ht="44" customHeight="1">
      <x:c r="A253" s="31" t="str">
        <x:v>SEC-XT-ST-B02</x:v>
      </x:c>
      <x:c r="B253" s="31" t="str">
        <x:v>Secondary Exploratory</x:v>
      </x:c>
      <x:c r="C253" s="31" t="str">
        <x:v>State Recognition</x:v>
      </x:c>
      <x:c r="D253" s="31" t="str">
        <x:v>Exploratory cross-task B</x:v>
      </x:c>
      <x:c r="E253" s="31" t="str">
        <x:v>Seen state + cross-task objects; one designated seed only</x:v>
      </x:c>
      <x:c r="F253" s="31" t="str"/>
      <x:c r="G253" s="31" t="str">
        <x:v>XT-ST02</x:v>
      </x:c>
      <x:c r="H253" s="31" t="str">
        <x:v>Place the upside-down crushed soda can in the bowl.</x:v>
      </x:c>
      <x:c r="I253" s="31" t="str">
        <x:v>Place the upside-down crushed soda can in the bowl.</x:v>
      </x:c>
      <x:c r="J253" s="31" t="str">
        <x:v>XT-ST02: P1 Pepsi=UD; P2 pink marker; P3 Coke=UR; P4 yellow block. Both crushed soda cans are visible; only one is upside-down.</x:v>
      </x:c>
      <x:c r="K253" s="31" t="str">
        <x:v>crushed Pepsi can</x:v>
      </x:c>
      <x:c r="L253" s="31" t="str">
        <x:v>Binary task success; compare only with the paired cross-task row and report descriptively.</x:v>
      </x:c>
      <x:c r="M253" s="31" t="str">
        <x:v>VLA_Cross_Task_Object_Transfer_Evaluation_60.xlsx — trial 2</x:v>
      </x:c>
      <x:c r="N253" s="31" t="str">
        <x:v>One-seed cross-task object-transfer appendix; not powered for confirmatory inference.</x:v>
      </x:c>
      <x:c r="O253" s="31" t="str">
        <x:v>Exploratory paired</x:v>
      </x:c>
    </x:row>
    <x:row r="254" ht="44" customHeight="1">
      <x:c r="A254" s="31" t="str">
        <x:v>SEC-XT-ST-B03</x:v>
      </x:c>
      <x:c r="B254" s="31" t="str">
        <x:v>Secondary Exploratory</x:v>
      </x:c>
      <x:c r="C254" s="31" t="str">
        <x:v>State Recognition</x:v>
      </x:c>
      <x:c r="D254" s="31" t="str">
        <x:v>Exploratory cross-task B</x:v>
      </x:c>
      <x:c r="E254" s="31" t="str">
        <x:v>Seen state + cross-task objects; one designated seed only</x:v>
      </x:c>
      <x:c r="F254" s="31" t="str"/>
      <x:c r="G254" s="31" t="str">
        <x:v>XT-ST03</x:v>
      </x:c>
      <x:c r="H254" s="31" t="str">
        <x:v>Place the upside-down crushed soda can in the bowl.</x:v>
      </x:c>
      <x:c r="I254" s="31" t="str">
        <x:v>Place the upside-down crushed soda can in the bowl.</x:v>
      </x:c>
      <x:c r="J254" s="31" t="str">
        <x:v>XT-ST03: P1 green highlighter; P2 Coke=UR; P3 Pepsi=UD; P4 red block. Both crushed soda cans are visible; only one is upside-down.</x:v>
      </x:c>
      <x:c r="K254" s="31" t="str">
        <x:v>crushed Pepsi can</x:v>
      </x:c>
      <x:c r="L254" s="31" t="str">
        <x:v>Binary task success; compare only with the paired cross-task row and report descriptively.</x:v>
      </x:c>
      <x:c r="M254" s="31" t="str">
        <x:v>VLA_Cross_Task_Object_Transfer_Evaluation_60.xlsx — trial 4</x:v>
      </x:c>
      <x:c r="N254" s="31" t="str">
        <x:v>One-seed cross-task object-transfer appendix; not powered for confirmatory inference.</x:v>
      </x:c>
      <x:c r="O254" s="31" t="str">
        <x:v>Exploratory paired</x:v>
      </x:c>
    </x:row>
    <x:row r="255" ht="44" customHeight="1">
      <x:c r="A255" s="31" t="str">
        <x:v>SEC-XT-ST-B04</x:v>
      </x:c>
      <x:c r="B255" s="31" t="str">
        <x:v>Secondary Exploratory</x:v>
      </x:c>
      <x:c r="C255" s="31" t="str">
        <x:v>State Recognition</x:v>
      </x:c>
      <x:c r="D255" s="31" t="str">
        <x:v>Exploratory cross-task B</x:v>
      </x:c>
      <x:c r="E255" s="31" t="str">
        <x:v>Seen state + cross-task objects; one designated seed only</x:v>
      </x:c>
      <x:c r="F255" s="31" t="str"/>
      <x:c r="G255" s="31" t="str">
        <x:v>XT-ST04</x:v>
      </x:c>
      <x:c r="H255" s="31" t="str">
        <x:v>Place the upside-down crushed soda can in the bowl.</x:v>
      </x:c>
      <x:c r="I255" s="31" t="str">
        <x:v>Place the upside-down crushed soda can in the bowl.</x:v>
      </x:c>
      <x:c r="J255" s="31" t="str">
        <x:v>XT-ST04: P1 Coke=UD; P2 blue tape ball; P3 brown cup; P4 Pepsi=UR. Both crushed soda cans are visible; only one is upside-down.</x:v>
      </x:c>
      <x:c r="K255" s="31" t="str">
        <x:v>crushed Coke can</x:v>
      </x:c>
      <x:c r="L255" s="31" t="str">
        <x:v>Binary task success; compare only with the paired cross-task row and report descriptively.</x:v>
      </x:c>
      <x:c r="M255" s="31" t="str">
        <x:v>VLA_Cross_Task_Object_Transfer_Evaluation_60.xlsx — trial 6</x:v>
      </x:c>
      <x:c r="N255" s="31" t="str">
        <x:v>One-seed cross-task object-transfer appendix; not powered for confirmatory inference.</x:v>
      </x:c>
      <x:c r="O255" s="31" t="str">
        <x:v>Exploratory paired</x:v>
      </x:c>
    </x:row>
    <x:row r="256" ht="44" customHeight="1">
      <x:c r="A256" s="31" t="str">
        <x:v>SEC-XT-RP-A01</x:v>
      </x:c>
      <x:c r="B256" s="31" t="str">
        <x:v>Secondary Exploratory</x:v>
      </x:c>
      <x:c r="C256" s="31" t="str">
        <x:v>Relational Placement</x:v>
      </x:c>
      <x:c r="D256" s="31" t="str">
        <x:v>Exploratory cross-task A</x:v>
      </x:c>
      <x:c r="E256" s="31" t="str">
        <x:v>Cross-task objects only; one designated seed only</x:v>
      </x:c>
      <x:c r="F256" s="31" t="str"/>
      <x:c r="G256" s="31" t="str">
        <x:v>XT-RP01</x:v>
      </x:c>
      <x:c r="H256" s="31" t="str">
        <x:v>Place the yellow block to the left of the blue pen.</x:v>
      </x:c>
      <x:c r="I256" s="31" t="str">
        <x:v>Place the yellow block to the left of the blue pen.</x:v>
      </x:c>
      <x:c r="J256" s="31" t="str">
        <x:v>XT-RP01: yellow block and blue pen in open workspace; target starts directly in front of reference. Keep other distractors away from the goal region. Relations use the robot-base frame.</x:v>
      </x:c>
      <x:c r="K256" s="31" t="str">
        <x:v>yellow block placed left blue pen</x:v>
      </x:c>
      <x:c r="L256" s="31" t="str">
        <x:v>Binary task success; compare only with the paired cross-task row and report descriptively.</x:v>
      </x:c>
      <x:c r="M256" s="31" t="str">
        <x:v>VLA_Cross_Task_Object_Transfer_Evaluation_60.xlsx — trial 10</x:v>
      </x:c>
      <x:c r="N256" s="31" t="str">
        <x:v>One-seed cross-task object-transfer appendix; not powered for confirmatory inference.</x:v>
      </x:c>
      <x:c r="O256" s="31" t="str">
        <x:v>Exploratory paired</x:v>
      </x:c>
    </x:row>
    <x:row r="257" ht="44" customHeight="1">
      <x:c r="A257" s="31" t="str">
        <x:v>SEC-XT-RP-A02</x:v>
      </x:c>
      <x:c r="B257" s="31" t="str">
        <x:v>Secondary Exploratory</x:v>
      </x:c>
      <x:c r="C257" s="31" t="str">
        <x:v>Relational Placement</x:v>
      </x:c>
      <x:c r="D257" s="31" t="str">
        <x:v>Exploratory cross-task A</x:v>
      </x:c>
      <x:c r="E257" s="31" t="str">
        <x:v>Cross-task objects only; one designated seed only</x:v>
      </x:c>
      <x:c r="F257" s="31" t="str"/>
      <x:c r="G257" s="31" t="str">
        <x:v>XT-RP02</x:v>
      </x:c>
      <x:c r="H257" s="31" t="str">
        <x:v>Place the crushed Coke can in front of the white cup.</x:v>
      </x:c>
      <x:c r="I257" s="31" t="str">
        <x:v>Place the crushed Coke can in front of the white cup.</x:v>
      </x:c>
      <x:c r="J257" s="31" t="str">
        <x:v>XT-RP02: crushed Coke can and white cup in open workspace; target starts directly left of reference. Keep other distractors away from the goal region. Relations use the robot-base frame.</x:v>
      </x:c>
      <x:c r="K257" s="31" t="str">
        <x:v>crushed Coke can placed front white cup</x:v>
      </x:c>
      <x:c r="L257" s="31" t="str">
        <x:v>Binary task success; compare only with the paired cross-task row and report descriptively.</x:v>
      </x:c>
      <x:c r="M257" s="31" t="str">
        <x:v>VLA_Cross_Task_Object_Transfer_Evaluation_60.xlsx — trial 12</x:v>
      </x:c>
      <x:c r="N257" s="31" t="str">
        <x:v>One-seed cross-task object-transfer appendix; not powered for confirmatory inference.</x:v>
      </x:c>
      <x:c r="O257" s="31" t="str">
        <x:v>Exploratory paired</x:v>
      </x:c>
    </x:row>
    <x:row r="258" ht="44" customHeight="1">
      <x:c r="A258" s="31" t="str">
        <x:v>SEC-XT-RP-A03</x:v>
      </x:c>
      <x:c r="B258" s="31" t="str">
        <x:v>Secondary Exploratory</x:v>
      </x:c>
      <x:c r="C258" s="31" t="str">
        <x:v>Relational Placement</x:v>
      </x:c>
      <x:c r="D258" s="31" t="str">
        <x:v>Exploratory cross-task A</x:v>
      </x:c>
      <x:c r="E258" s="31" t="str">
        <x:v>Cross-task objects only; one designated seed only</x:v>
      </x:c>
      <x:c r="F258" s="31" t="str"/>
      <x:c r="G258" s="31" t="str">
        <x:v>XT-RP03</x:v>
      </x:c>
      <x:c r="H258" s="31" t="str">
        <x:v>Place the brown cup to the left of the green pencil sharpener.</x:v>
      </x:c>
      <x:c r="I258" s="31" t="str">
        <x:v>Place the brown cup to the left of the green pencil sharpener.</x:v>
      </x:c>
      <x:c r="J258" s="31" t="str">
        <x:v>XT-RP03: brown cup and green pencil sharpener in open workspace; target starts directly in front of reference. Keep other distractors away from the goal region. Relations use the robot-base frame.</x:v>
      </x:c>
      <x:c r="K258" s="31" t="str">
        <x:v>brown cup placed left green pencil sharpener</x:v>
      </x:c>
      <x:c r="L258" s="31" t="str">
        <x:v>Binary task success; compare only with the paired cross-task row and report descriptively.</x:v>
      </x:c>
      <x:c r="M258" s="31" t="str">
        <x:v>VLA_Cross_Task_Object_Transfer_Evaluation_60.xlsx — trial 14</x:v>
      </x:c>
      <x:c r="N258" s="31" t="str">
        <x:v>One-seed cross-task object-transfer appendix; not powered for confirmatory inference.</x:v>
      </x:c>
      <x:c r="O258" s="31" t="str">
        <x:v>Exploratory paired</x:v>
      </x:c>
    </x:row>
    <x:row r="259" ht="44" customHeight="1">
      <x:c r="A259" s="31" t="str">
        <x:v>SEC-XT-RP-A04</x:v>
      </x:c>
      <x:c r="B259" s="31" t="str">
        <x:v>Secondary Exploratory</x:v>
      </x:c>
      <x:c r="C259" s="31" t="str">
        <x:v>Relational Placement</x:v>
      </x:c>
      <x:c r="D259" s="31" t="str">
        <x:v>Exploratory cross-task A</x:v>
      </x:c>
      <x:c r="E259" s="31" t="str">
        <x:v>Cross-task objects only; one designated seed only</x:v>
      </x:c>
      <x:c r="F259" s="31" t="str"/>
      <x:c r="G259" s="31" t="str">
        <x:v>XT-RP04</x:v>
      </x:c>
      <x:c r="H259" s="31" t="str">
        <x:v>Place the blue tape ball in front of the glass spice container.</x:v>
      </x:c>
      <x:c r="I259" s="31" t="str">
        <x:v>Place the blue tape ball in front of the glass spice container.</x:v>
      </x:c>
      <x:c r="J259" s="31" t="str">
        <x:v>XT-RP04: blue tape ball and glass spice container in open workspace; target starts directly left of reference. Keep other distractors away from the goal region. Relations use the robot-base frame.</x:v>
      </x:c>
      <x:c r="K259" s="31" t="str">
        <x:v>blue tape ball placed front glass spice container</x:v>
      </x:c>
      <x:c r="L259" s="31" t="str">
        <x:v>Binary task success; compare only with the paired cross-task row and report descriptively.</x:v>
      </x:c>
      <x:c r="M259" s="31" t="str">
        <x:v>VLA_Cross_Task_Object_Transfer_Evaluation_60.xlsx — trial 16</x:v>
      </x:c>
      <x:c r="N259" s="31" t="str">
        <x:v>One-seed cross-task object-transfer appendix; not powered for confirmatory inference.</x:v>
      </x:c>
      <x:c r="O259" s="31" t="str">
        <x:v>Exploratory paired</x:v>
      </x:c>
    </x:row>
    <x:row r="260" ht="44" customHeight="1">
      <x:c r="A260" s="31" t="str">
        <x:v>SEC-XT-RP-B01</x:v>
      </x:c>
      <x:c r="B260" s="31" t="str">
        <x:v>Secondary Exploratory</x:v>
      </x:c>
      <x:c r="C260" s="31" t="str">
        <x:v>Relational Placement</x:v>
      </x:c>
      <x:c r="D260" s="31" t="str">
        <x:v>Exploratory cross-task B</x:v>
      </x:c>
      <x:c r="E260" s="31" t="str">
        <x:v>Cross-task objects only; one designated seed only</x:v>
      </x:c>
      <x:c r="F260" s="31" t="str"/>
      <x:c r="G260" s="31" t="str">
        <x:v>XT-RP01</x:v>
      </x:c>
      <x:c r="H260" s="31" t="str">
        <x:v>Place the yellow block to the right of the blue pen.</x:v>
      </x:c>
      <x:c r="I260" s="31" t="str">
        <x:v>Place the yellow block to the right of the blue pen.</x:v>
      </x:c>
      <x:c r="J260" s="31" t="str">
        <x:v>XT-RP01: yellow block and blue pen in open workspace; target starts directly in front of reference. Keep other distractors away from the goal region. Relations use the robot-base frame.</x:v>
      </x:c>
      <x:c r="K260" s="31" t="str">
        <x:v>yellow block placed right blue pen</x:v>
      </x:c>
      <x:c r="L260" s="31" t="str">
        <x:v>Binary task success; compare only with the paired cross-task row and report descriptively.</x:v>
      </x:c>
      <x:c r="M260" s="31" t="str">
        <x:v>VLA_Cross_Task_Object_Transfer_Evaluation_60.xlsx — trial 11</x:v>
      </x:c>
      <x:c r="N260" s="31" t="str">
        <x:v>One-seed cross-task object-transfer appendix; not powered for confirmatory inference.</x:v>
      </x:c>
      <x:c r="O260" s="31" t="str">
        <x:v>Exploratory paired</x:v>
      </x:c>
    </x:row>
    <x:row r="261" ht="44" customHeight="1">
      <x:c r="A261" s="31" t="str">
        <x:v>SEC-XT-RP-B02</x:v>
      </x:c>
      <x:c r="B261" s="31" t="str">
        <x:v>Secondary Exploratory</x:v>
      </x:c>
      <x:c r="C261" s="31" t="str">
        <x:v>Relational Placement</x:v>
      </x:c>
      <x:c r="D261" s="31" t="str">
        <x:v>Exploratory cross-task B</x:v>
      </x:c>
      <x:c r="E261" s="31" t="str">
        <x:v>Cross-task objects only; one designated seed only</x:v>
      </x:c>
      <x:c r="F261" s="31" t="str"/>
      <x:c r="G261" s="31" t="str">
        <x:v>XT-RP02</x:v>
      </x:c>
      <x:c r="H261" s="31" t="str">
        <x:v>Place the crushed Coke can behind the white cup.</x:v>
      </x:c>
      <x:c r="I261" s="31" t="str">
        <x:v>Place the crushed Coke can behind the white cup.</x:v>
      </x:c>
      <x:c r="J261" s="31" t="str">
        <x:v>XT-RP02: crushed Coke can and white cup in open workspace; target starts directly left of reference. Keep other distractors away from the goal region. Relations use the robot-base frame.</x:v>
      </x:c>
      <x:c r="K261" s="31" t="str">
        <x:v>crushed Coke can placed behind white cup</x:v>
      </x:c>
      <x:c r="L261" s="31" t="str">
        <x:v>Binary task success; compare only with the paired cross-task row and report descriptively.</x:v>
      </x:c>
      <x:c r="M261" s="31" t="str">
        <x:v>VLA_Cross_Task_Object_Transfer_Evaluation_60.xlsx — trial 13</x:v>
      </x:c>
      <x:c r="N261" s="31" t="str">
        <x:v>One-seed cross-task object-transfer appendix; not powered for confirmatory inference.</x:v>
      </x:c>
      <x:c r="O261" s="31" t="str">
        <x:v>Exploratory paired</x:v>
      </x:c>
    </x:row>
    <x:row r="262" ht="44" customHeight="1">
      <x:c r="A262" s="31" t="str">
        <x:v>SEC-XT-RP-B03</x:v>
      </x:c>
      <x:c r="B262" s="31" t="str">
        <x:v>Secondary Exploratory</x:v>
      </x:c>
      <x:c r="C262" s="31" t="str">
        <x:v>Relational Placement</x:v>
      </x:c>
      <x:c r="D262" s="31" t="str">
        <x:v>Exploratory cross-task B</x:v>
      </x:c>
      <x:c r="E262" s="31" t="str">
        <x:v>Cross-task objects only; one designated seed only</x:v>
      </x:c>
      <x:c r="F262" s="31" t="str"/>
      <x:c r="G262" s="31" t="str">
        <x:v>XT-RP03</x:v>
      </x:c>
      <x:c r="H262" s="31" t="str">
        <x:v>Place the brown cup to the right of the green pencil sharpener.</x:v>
      </x:c>
      <x:c r="I262" s="31" t="str">
        <x:v>Place the brown cup to the right of the green pencil sharpener.</x:v>
      </x:c>
      <x:c r="J262" s="31" t="str">
        <x:v>XT-RP03: brown cup and green pencil sharpener in open workspace; target starts directly in front of reference. Keep other distractors away from the goal region. Relations use the robot-base frame.</x:v>
      </x:c>
      <x:c r="K262" s="31" t="str">
        <x:v>brown cup placed right green pencil sharpener</x:v>
      </x:c>
      <x:c r="L262" s="31" t="str">
        <x:v>Binary task success; compare only with the paired cross-task row and report descriptively.</x:v>
      </x:c>
      <x:c r="M262" s="31" t="str">
        <x:v>VLA_Cross_Task_Object_Transfer_Evaluation_60.xlsx — trial 15</x:v>
      </x:c>
      <x:c r="N262" s="31" t="str">
        <x:v>One-seed cross-task object-transfer appendix; not powered for confirmatory inference.</x:v>
      </x:c>
      <x:c r="O262" s="31" t="str">
        <x:v>Exploratory paired</x:v>
      </x:c>
    </x:row>
    <x:row r="263" ht="44" customHeight="1">
      <x:c r="A263" s="31" t="str">
        <x:v>SEC-XT-RP-B04</x:v>
      </x:c>
      <x:c r="B263" s="31" t="str">
        <x:v>Secondary Exploratory</x:v>
      </x:c>
      <x:c r="C263" s="31" t="str">
        <x:v>Relational Placement</x:v>
      </x:c>
      <x:c r="D263" s="31" t="str">
        <x:v>Exploratory cross-task B</x:v>
      </x:c>
      <x:c r="E263" s="31" t="str">
        <x:v>Cross-task objects only; one designated seed only</x:v>
      </x:c>
      <x:c r="F263" s="31" t="str"/>
      <x:c r="G263" s="31" t="str">
        <x:v>XT-RP04</x:v>
      </x:c>
      <x:c r="H263" s="31" t="str">
        <x:v>Place the blue tape ball behind the glass spice container.</x:v>
      </x:c>
      <x:c r="I263" s="31" t="str">
        <x:v>Place the blue tape ball behind the glass spice container.</x:v>
      </x:c>
      <x:c r="J263" s="31" t="str">
        <x:v>XT-RP04: blue tape ball and glass spice container in open workspace; target starts directly left of reference. Keep other distractors away from the goal region. Relations use the robot-base frame.</x:v>
      </x:c>
      <x:c r="K263" s="31" t="str">
        <x:v>blue tape ball placed behind glass spice container</x:v>
      </x:c>
      <x:c r="L263" s="31" t="str">
        <x:v>Binary task success; compare only with the paired cross-task row and report descriptively.</x:v>
      </x:c>
      <x:c r="M263" s="31" t="str">
        <x:v>VLA_Cross_Task_Object_Transfer_Evaluation_60.xlsx — trial 17</x:v>
      </x:c>
      <x:c r="N263" s="31" t="str">
        <x:v>One-seed cross-task object-transfer appendix; not powered for confirmatory inference.</x:v>
      </x:c>
      <x:c r="O263" s="31" t="str">
        <x:v>Exploratory paired</x:v>
      </x:c>
    </x:row>
    <x:row r="264" ht="44" customHeight="1">
      <x:c r="A264" s="31" t="str">
        <x:v>SEC-XT-CT-A01</x:v>
      </x:c>
      <x:c r="B264" s="31" t="str">
        <x:v>Secondary Exploratory</x:v>
      </x:c>
      <x:c r="C264" s="31" t="str">
        <x:v>Counting</x:v>
      </x:c>
      <x:c r="D264" s="31" t="str">
        <x:v>Exploratory cross-task A</x:v>
      </x:c>
      <x:c r="E264" s="31" t="str">
        <x:v>Seen count + cross-task objects; one designated seed only</x:v>
      </x:c>
      <x:c r="F264" s="31" t="str"/>
      <x:c r="G264" s="31" t="str">
        <x:v>XT-CT01</x:v>
      </x:c>
      <x:c r="H264" s="31" t="str">
        <x:v>Leave exactly zero objects in the bowl.</x:v>
      </x:c>
      <x:c r="I264" s="31" t="str">
        <x:v>Leave exactly zero objects in the bowl.</x:v>
      </x:c>
      <x:c r="J264" s="31" t="str">
        <x:v>XT-CT01: Start with exactly 1 object in the bowl (white cup); 3 objects on the table (red block, crushed Coke can, green block).</x:v>
      </x:c>
      <x:c r="K264" s="31" t="str">
        <x:v>REMOVE the single bowl object; final count = 0</x:v>
      </x:c>
      <x:c r="L264" s="31" t="str">
        <x:v>Binary task success; compare only with the paired cross-task row and report descriptively.</x:v>
      </x:c>
      <x:c r="M264" s="31" t="str">
        <x:v>VLA_Cross_Task_Object_Transfer_Evaluation_60.xlsx — trial 40</x:v>
      </x:c>
      <x:c r="N264" s="31" t="str">
        <x:v>One-seed cross-task object-transfer appendix; not powered for confirmatory inference.</x:v>
      </x:c>
      <x:c r="O264" s="31" t="str">
        <x:v>Exploratory paired</x:v>
      </x:c>
    </x:row>
    <x:row r="265" ht="44" customHeight="1">
      <x:c r="A265" s="31" t="str">
        <x:v>SEC-XT-CT-A02</x:v>
      </x:c>
      <x:c r="B265" s="31" t="str">
        <x:v>Secondary Exploratory</x:v>
      </x:c>
      <x:c r="C265" s="31" t="str">
        <x:v>Counting</x:v>
      </x:c>
      <x:c r="D265" s="31" t="str">
        <x:v>Exploratory cross-task A</x:v>
      </x:c>
      <x:c r="E265" s="31" t="str">
        <x:v>Seen count + cross-task objects; one designated seed only</x:v>
      </x:c>
      <x:c r="F265" s="31" t="str"/>
      <x:c r="G265" s="31" t="str">
        <x:v>XT-CT02</x:v>
      </x:c>
      <x:c r="H265" s="31" t="str">
        <x:v>Leave exactly zero objects in the bowl.</x:v>
      </x:c>
      <x:c r="I265" s="31" t="str">
        <x:v>Leave exactly zero objects in the bowl.</x:v>
      </x:c>
      <x:c r="J265" s="31" t="str">
        <x:v>XT-CT02: Start with exactly 1 object in the bowl (yellow-white striped cup); 3 objects on the table (pink marker, crushed Coke can, juggling ball).</x:v>
      </x:c>
      <x:c r="K265" s="31" t="str">
        <x:v>REMOVE the single bowl object; final count = 0</x:v>
      </x:c>
      <x:c r="L265" s="31" t="str">
        <x:v>Binary task success; compare only with the paired cross-task row and report descriptively.</x:v>
      </x:c>
      <x:c r="M265" s="31" t="str">
        <x:v>VLA_Cross_Task_Object_Transfer_Evaluation_60.xlsx — trial 42</x:v>
      </x:c>
      <x:c r="N265" s="31" t="str">
        <x:v>One-seed cross-task object-transfer appendix; not powered for confirmatory inference.</x:v>
      </x:c>
      <x:c r="O265" s="31" t="str">
        <x:v>Exploratory paired</x:v>
      </x:c>
    </x:row>
    <x:row r="266" ht="44" customHeight="1">
      <x:c r="A266" s="31" t="str">
        <x:v>SEC-XT-CT-A03</x:v>
      </x:c>
      <x:c r="B266" s="31" t="str">
        <x:v>Secondary Exploratory</x:v>
      </x:c>
      <x:c r="C266" s="31" t="str">
        <x:v>Counting</x:v>
      </x:c>
      <x:c r="D266" s="31" t="str">
        <x:v>Exploratory cross-task A</x:v>
      </x:c>
      <x:c r="E266" s="31" t="str">
        <x:v>Seen count + cross-task objects; one designated seed only</x:v>
      </x:c>
      <x:c r="F266" s="31" t="str"/>
      <x:c r="G266" s="31" t="str">
        <x:v>XT-CT03</x:v>
      </x:c>
      <x:c r="H266" s="31" t="str">
        <x:v>Leave exactly zero objects in the bowl.</x:v>
      </x:c>
      <x:c r="I266" s="31" t="str">
        <x:v>Leave exactly zero objects in the bowl.</x:v>
      </x:c>
      <x:c r="J266" s="31" t="str">
        <x:v>XT-CT03: Start with exactly 1 object in the bowl (brown cup); 3 objects on the table (blue block, yellow pen, red pencil sharpener).</x:v>
      </x:c>
      <x:c r="K266" s="31" t="str">
        <x:v>REMOVE the single bowl object; final count = 0</x:v>
      </x:c>
      <x:c r="L266" s="31" t="str">
        <x:v>Binary task success; compare only with the paired cross-task row and report descriptively.</x:v>
      </x:c>
      <x:c r="M266" s="31" t="str">
        <x:v>VLA_Cross_Task_Object_Transfer_Evaluation_60.xlsx — trial 44</x:v>
      </x:c>
      <x:c r="N266" s="31" t="str">
        <x:v>One-seed cross-task object-transfer appendix; not powered for confirmatory inference.</x:v>
      </x:c>
      <x:c r="O266" s="31" t="str">
        <x:v>Exploratory paired</x:v>
      </x:c>
    </x:row>
    <x:row r="267" ht="44" customHeight="1">
      <x:c r="A267" s="31" t="str">
        <x:v>SEC-XT-CT-A04</x:v>
      </x:c>
      <x:c r="B267" s="31" t="str">
        <x:v>Secondary Exploratory</x:v>
      </x:c>
      <x:c r="C267" s="31" t="str">
        <x:v>Counting</x:v>
      </x:c>
      <x:c r="D267" s="31" t="str">
        <x:v>Exploratory cross-task A</x:v>
      </x:c>
      <x:c r="E267" s="31" t="str">
        <x:v>Seen count + cross-task objects; one designated seed only</x:v>
      </x:c>
      <x:c r="F267" s="31" t="str"/>
      <x:c r="G267" s="31" t="str">
        <x:v>XT-CT04</x:v>
      </x:c>
      <x:c r="H267" s="31" t="str">
        <x:v>Leave exactly zero objects in the bowl.</x:v>
      </x:c>
      <x:c r="I267" s="31" t="str">
        <x:v>Leave exactly zero objects in the bowl.</x:v>
      </x:c>
      <x:c r="J267" s="31" t="str">
        <x:v>XT-CT04: Start with exactly 1 object in the bowl (glass spice container); 3 objects on the table (green pen, airplane toy with propellers, red block).</x:v>
      </x:c>
      <x:c r="K267" s="31" t="str">
        <x:v>REMOVE the single bowl object; final count = 0</x:v>
      </x:c>
      <x:c r="L267" s="31" t="str">
        <x:v>Binary task success; compare only with the paired cross-task row and report descriptively.</x:v>
      </x:c>
      <x:c r="M267" s="31" t="str">
        <x:v>VLA_Cross_Task_Object_Transfer_Evaluation_60.xlsx — trial 46</x:v>
      </x:c>
      <x:c r="N267" s="31" t="str">
        <x:v>One-seed cross-task object-transfer appendix; not powered for confirmatory inference.</x:v>
      </x:c>
      <x:c r="O267" s="31" t="str">
        <x:v>Exploratory paired</x:v>
      </x:c>
    </x:row>
    <x:row r="268" ht="44" customHeight="1">
      <x:c r="A268" s="31" t="str">
        <x:v>SEC-XT-CT-B01</x:v>
      </x:c>
      <x:c r="B268" s="31" t="str">
        <x:v>Secondary Exploratory</x:v>
      </x:c>
      <x:c r="C268" s="31" t="str">
        <x:v>Counting</x:v>
      </x:c>
      <x:c r="D268" s="31" t="str">
        <x:v>Exploratory cross-task B</x:v>
      </x:c>
      <x:c r="E268" s="31" t="str">
        <x:v>Seen count + cross-task objects; one designated seed only</x:v>
      </x:c>
      <x:c r="F268" s="31" t="str"/>
      <x:c r="G268" s="31" t="str">
        <x:v>XT-CT01</x:v>
      </x:c>
      <x:c r="H268" s="31" t="str">
        <x:v>Leave exactly two objects in the bowl.</x:v>
      </x:c>
      <x:c r="I268" s="31" t="str">
        <x:v>Leave exactly two objects in the bowl.</x:v>
      </x:c>
      <x:c r="J268" s="31" t="str">
        <x:v>XT-CT01: Start with exactly 1 object in the bowl (white cup); 3 objects on the table (red block, crushed Coke can, green block).</x:v>
      </x:c>
      <x:c r="K268" s="31" t="str">
        <x:v>ADD any one table object; final count = 2</x:v>
      </x:c>
      <x:c r="L268" s="31" t="str">
        <x:v>Binary task success; compare only with the paired cross-task row and report descriptively.</x:v>
      </x:c>
      <x:c r="M268" s="31" t="str">
        <x:v>VLA_Cross_Task_Object_Transfer_Evaluation_60.xlsx — trial 41</x:v>
      </x:c>
      <x:c r="N268" s="31" t="str">
        <x:v>One-seed cross-task object-transfer appendix; not powered for confirmatory inference.</x:v>
      </x:c>
      <x:c r="O268" s="31" t="str">
        <x:v>Exploratory paired</x:v>
      </x:c>
    </x:row>
    <x:row r="269" ht="44" customHeight="1">
      <x:c r="A269" s="31" t="str">
        <x:v>SEC-XT-CT-B02</x:v>
      </x:c>
      <x:c r="B269" s="31" t="str">
        <x:v>Secondary Exploratory</x:v>
      </x:c>
      <x:c r="C269" s="31" t="str">
        <x:v>Counting</x:v>
      </x:c>
      <x:c r="D269" s="31" t="str">
        <x:v>Exploratory cross-task B</x:v>
      </x:c>
      <x:c r="E269" s="31" t="str">
        <x:v>Seen count + cross-task objects; one designated seed only</x:v>
      </x:c>
      <x:c r="F269" s="31" t="str"/>
      <x:c r="G269" s="31" t="str">
        <x:v>XT-CT02</x:v>
      </x:c>
      <x:c r="H269" s="31" t="str">
        <x:v>Leave exactly two objects in the bowl.</x:v>
      </x:c>
      <x:c r="I269" s="31" t="str">
        <x:v>Leave exactly two objects in the bowl.</x:v>
      </x:c>
      <x:c r="J269" s="31" t="str">
        <x:v>XT-CT02: Start with exactly 1 object in the bowl (yellow-white striped cup); 3 objects on the table (pink marker, crushed Coke can, juggling ball).</x:v>
      </x:c>
      <x:c r="K269" s="31" t="str">
        <x:v>ADD any one table object; final count = 2</x:v>
      </x:c>
      <x:c r="L269" s="31" t="str">
        <x:v>Binary task success; compare only with the paired cross-task row and report descriptively.</x:v>
      </x:c>
      <x:c r="M269" s="31" t="str">
        <x:v>VLA_Cross_Task_Object_Transfer_Evaluation_60.xlsx — trial 43</x:v>
      </x:c>
      <x:c r="N269" s="31" t="str">
        <x:v>One-seed cross-task object-transfer appendix; not powered for confirmatory inference.</x:v>
      </x:c>
      <x:c r="O269" s="31" t="str">
        <x:v>Exploratory paired</x:v>
      </x:c>
    </x:row>
    <x:row r="270" ht="44" customHeight="1">
      <x:c r="A270" s="31" t="str">
        <x:v>SEC-XT-CT-B03</x:v>
      </x:c>
      <x:c r="B270" s="31" t="str">
        <x:v>Secondary Exploratory</x:v>
      </x:c>
      <x:c r="C270" s="31" t="str">
        <x:v>Counting</x:v>
      </x:c>
      <x:c r="D270" s="31" t="str">
        <x:v>Exploratory cross-task B</x:v>
      </x:c>
      <x:c r="E270" s="31" t="str">
        <x:v>Seen count + cross-task objects; one designated seed only</x:v>
      </x:c>
      <x:c r="F270" s="31" t="str"/>
      <x:c r="G270" s="31" t="str">
        <x:v>XT-CT03</x:v>
      </x:c>
      <x:c r="H270" s="31" t="str">
        <x:v>Leave exactly two objects in the bowl.</x:v>
      </x:c>
      <x:c r="I270" s="31" t="str">
        <x:v>Leave exactly two objects in the bowl.</x:v>
      </x:c>
      <x:c r="J270" s="31" t="str">
        <x:v>XT-CT03: Start with exactly 1 object in the bowl (brown cup); 3 objects on the table (blue block, yellow pen, red pencil sharpener).</x:v>
      </x:c>
      <x:c r="K270" s="31" t="str">
        <x:v>ADD any one table object; final count = 2</x:v>
      </x:c>
      <x:c r="L270" s="31" t="str">
        <x:v>Binary task success; compare only with the paired cross-task row and report descriptively.</x:v>
      </x:c>
      <x:c r="M270" s="31" t="str">
        <x:v>VLA_Cross_Task_Object_Transfer_Evaluation_60.xlsx — trial 45</x:v>
      </x:c>
      <x:c r="N270" s="31" t="str">
        <x:v>One-seed cross-task object-transfer appendix; not powered for confirmatory inference.</x:v>
      </x:c>
      <x:c r="O270" s="31" t="str">
        <x:v>Exploratory paired</x:v>
      </x:c>
    </x:row>
    <x:row r="271" ht="44" customHeight="1">
      <x:c r="A271" s="31" t="str">
        <x:v>SEC-XT-CT-B04</x:v>
      </x:c>
      <x:c r="B271" s="31" t="str">
        <x:v>Secondary Exploratory</x:v>
      </x:c>
      <x:c r="C271" s="31" t="str">
        <x:v>Counting</x:v>
      </x:c>
      <x:c r="D271" s="31" t="str">
        <x:v>Exploratory cross-task B</x:v>
      </x:c>
      <x:c r="E271" s="31" t="str">
        <x:v>Seen count + cross-task objects; one designated seed only</x:v>
      </x:c>
      <x:c r="F271" s="31" t="str"/>
      <x:c r="G271" s="31" t="str">
        <x:v>XT-CT04</x:v>
      </x:c>
      <x:c r="H271" s="31" t="str">
        <x:v>Leave exactly two objects in the bowl.</x:v>
      </x:c>
      <x:c r="I271" s="31" t="str">
        <x:v>Leave exactly two objects in the bowl.</x:v>
      </x:c>
      <x:c r="J271" s="31" t="str">
        <x:v>XT-CT04: Start with exactly 1 object in the bowl (glass spice container); 3 objects on the table (green pen, airplane toy with propellers, red block).</x:v>
      </x:c>
      <x:c r="K271" s="31" t="str">
        <x:v>ADD any one table object; final count = 2</x:v>
      </x:c>
      <x:c r="L271" s="31" t="str">
        <x:v>Binary task success; compare only with the paired cross-task row and report descriptively.</x:v>
      </x:c>
      <x:c r="M271" s="31" t="str">
        <x:v>VLA_Cross_Task_Object_Transfer_Evaluation_60.xlsx — trial 47</x:v>
      </x:c>
      <x:c r="N271" s="31" t="str">
        <x:v>One-seed cross-task object-transfer appendix; not powered for confirmatory inference.</x:v>
      </x:c>
      <x:c r="O271" s="31" t="str">
        <x:v>Exploratory paired</x:v>
      </x:c>
    </x:row>
  </x:sheetData>
  <x:pageMargins left="0.7" right="0.7" top="0.75" bottom="0.75" header="0.3" footer="0.3"/>
  <x:tableParts count="1">
    <x:tablePart xmlns:r="http://schemas.openxmlformats.org/officeDocument/2006/relationships" r:id="Raed8717377f54a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3" hidden="0" customWidth="1"/>
    <x:col min="4" max="4" width="14" hidden="0" customWidth="1"/>
    <x:col min="5" max="5" width="18" hidden="0" customWidth="1"/>
    <x:col min="6" max="6" width="24" hidden="0" customWidth="1"/>
    <x:col min="7" max="7" width="10" hidden="0" customWidth="1"/>
    <x:col min="8" max="8" width="24" hidden="0" customWidth="1"/>
    <x:col min="9" max="9" width="29" hidden="0" customWidth="1"/>
    <x:col min="10" max="10" width="21" hidden="0" customWidth="1"/>
    <x:col min="11" max="11" width="17" hidden="0" customWidth="1"/>
    <x:col min="12" max="12" width="42" hidden="0" customWidth="1"/>
    <x:col min="13" max="13" width="42" hidden="0" customWidth="1"/>
    <x:col min="14" max="14" width="66" hidden="0" customWidth="1"/>
    <x:col min="15" max="15" width="30" hidden="0" customWidth="1"/>
    <x:col min="16" max="16" width="15" hidden="0" customWidth="1"/>
    <x:col min="17" max="17" width="20" hidden="0" customWidth="1"/>
    <x:col min="18" max="18" width="34" hidden="0" customWidth="1"/>
    <x:col min="19" max="19" width="17" hidden="0" customWidth="1"/>
    <x:col min="20" max="20" width="12" hidden="0" customWidth="1"/>
    <x:col min="21" max="21" width="24" hidden="0" customWidth="1"/>
  </x:cols>
  <x:sheetData>
    <x:row r="1" ht="32" customHeight="1">
      <x:c r="A1" s="16" t="str">
        <x:v>Status</x:v>
      </x:c>
      <x:c r="B1" s="17" t="str">
        <x:v>Rollout #</x:v>
      </x:c>
      <x:c r="C1" s="17" t="str">
        <x:v>Planned Block</x:v>
      </x:c>
      <x:c r="D1" s="17" t="str">
        <x:v>Within-Block Order</x:v>
      </x:c>
      <x:c r="E1" s="17" t="str">
        <x:v>Evaluation Block</x:v>
      </x:c>
      <x:c r="F1" s="17" t="str">
        <x:v>Model / Policy</x:v>
      </x:c>
      <x:c r="G1" s="17" t="str">
        <x:v>Train Seed</x:v>
      </x:c>
      <x:c r="H1" s="17" t="str">
        <x:v>Task</x:v>
      </x:c>
      <x:c r="I1" s="17" t="str">
        <x:v>Condition</x:v>
      </x:c>
      <x:c r="J1" s="17" t="str">
        <x:v>Spec ID</x:v>
      </x:c>
      <x:c r="K1" s="17" t="str">
        <x:v>Pair ID</x:v>
      </x:c>
      <x:c r="L1" s="17" t="str">
        <x:v>Policy Input Prompt</x:v>
      </x:c>
      <x:c r="M1" s="17" t="str">
        <x:v>Scoring Instruction</x:v>
      </x:c>
      <x:c r="N1" s="17" t="str">
        <x:v>Scene Description</x:v>
      </x:c>
      <x:c r="O1" s="17" t="str">
        <x:v>Expected Target / Action</x:v>
      </x:c>
      <x:c r="P1" s="17" t="str">
        <x:v>Session ID</x:v>
      </x:c>
      <x:c r="Q1" s="17" t="str">
        <x:v>Video / File ID</x:v>
      </x:c>
      <x:c r="R1" s="17" t="str">
        <x:v>Operator Notes</x:v>
      </x:c>
      <x:c r="S1" s="17" t="str">
        <x:v>Adjudicated Success</x:v>
      </x:c>
      <x:c r="T1" s="17" t="str">
        <x:v>Invalid?</x:v>
      </x:c>
      <x:c r="U1" s="18" t="str">
        <x:v>Failure Mode</x:v>
      </x:c>
    </x:row>
    <x:row r="2" ht="44" customHeight="1">
      <x:c r="A2" s="34" t="str">
        <x:v>Not Started</x:v>
      </x:c>
      <x:c r="B2" s="34" t="n">
        <x:v>0</x:v>
      </x:c>
      <x:c r="C2" s="34" t="str">
        <x:v>P01</x:v>
      </x:c>
      <x:c r="D2" s="34" t="n">
        <x:v>1</x:v>
      </x:c>
      <x:c r="E2" s="34" t="str">
        <x:v>Primary VLA</x:v>
      </x:c>
      <x:c r="F2" s="34" t="str">
        <x:v>π0.5</x:v>
      </x:c>
      <x:c r="G2" s="34" t="n">
        <x:v>1</x:v>
      </x:c>
      <x:c r="H2" s="34" t="str">
        <x:v>State Recognition</x:v>
      </x:c>
      <x:c r="I2" s="34" t="str">
        <x:v>Main matched control</x:v>
      </x:c>
      <x:c r="J2" s="34" t="str">
        <x:v>PVLA-ST-CTL-07</x:v>
      </x:c>
      <x:c r="K2" s="34" t="str">
        <x:v>S-CF13</x:v>
      </x:c>
      <x:c r="L2" s="30" t="str">
        <x:v>Place a brown cup in the bowl.</x:v>
      </x:c>
      <x:c r="M2" s="30" t="str">
        <x:v>Place a brown cup in the bowl.</x:v>
      </x:c>
      <x:c r="N2" s="30" t="str">
        <x:v>S-CF13-CTRL: P1 brown cup A=C/UR [TARGET]; P3 glass spice container A=C/UD; P4 white cup B=O/UD.</x:v>
      </x:c>
      <x:c r="O2" s="30" t="str">
        <x:v>brown cup A</x:v>
      </x:c>
      <x:c r="P2" s="30" t="str"/>
      <x:c r="Q2" s="30" t="str"/>
      <x:c r="R2" s="30" t="str"/>
      <x:c r="S2" s="30" t="str">
        <x:f>IF('Blind Scoring'!I2="","",'Blind Scoring'!I2)</x:f>
      </x:c>
      <x:c r="T2" s="30" t="str">
        <x:f>'Blind Scoring'!J2</x:f>
        <x:v>No</x:v>
      </x:c>
      <x:c r="U2" s="30" t="str">
        <x:f>IF('Blind Scoring'!L2="","",'Blind Scoring'!L2)</x:f>
      </x:c>
    </x:row>
    <x:row r="3" ht="44" customHeight="1">
      <x:c r="A3" s="35" t="str">
        <x:v>Not Started</x:v>
      </x:c>
      <x:c r="B3" s="35" t="n">
        <x:v>1</x:v>
      </x:c>
      <x:c r="C3" s="35" t="str">
        <x:v>P01</x:v>
      </x:c>
      <x:c r="D3" s="35" t="n">
        <x:v>2</x:v>
      </x:c>
      <x:c r="E3" s="35" t="str">
        <x:v>Primary VLA</x:v>
      </x:c>
      <x:c r="F3" s="35" t="str">
        <x:v>π0.5</x:v>
      </x:c>
      <x:c r="G3" s="35" t="n">
        <x:v>1</x:v>
      </x:c>
      <x:c r="H3" s="35" t="str">
        <x:v>State Recognition</x:v>
      </x:c>
      <x:c r="I3" s="35" t="str">
        <x:v>Exact-scene paraphrase</x:v>
      </x:c>
      <x:c r="J3" s="35" t="str">
        <x:v>PVLA-ST-PAR-06</x:v>
      </x:c>
      <x:c r="K3" s="35" t="str">
        <x:v>S-CF15</x:v>
      </x:c>
      <x:c r="L3" s="31" t="str">
        <x:v>Move the yellow-white striped cup that is open into the bowl.</x:v>
      </x:c>
      <x:c r="M3" s="31" t="str">
        <x:v>Move the yellow-white striped cup that is open into the bowl.</x:v>
      </x:c>
      <x:c r="N3" s="31" t="str">
        <x:v>S-CF15-PARA: P1 brown cup A=C/UR; P2 glass spice container A=O/UR; P3 yellow-white striped cup A=C/UD [TARGET]; P4 yellow-white striped cup B=O/UD [COMPETITOR].</x:v>
      </x:c>
      <x:c r="O3" s="31" t="str">
        <x:v>yellow-white striped cup B</x:v>
      </x:c>
      <x:c r="P3" s="31" t="str"/>
      <x:c r="Q3" s="31" t="str"/>
      <x:c r="R3" s="31" t="str"/>
      <x:c r="S3" s="31" t="str">
        <x:f>IF('Blind Scoring'!I3="","",'Blind Scoring'!I3)</x:f>
      </x:c>
      <x:c r="T3" s="31" t="str">
        <x:f>'Blind Scoring'!J3</x:f>
        <x:v>No</x:v>
      </x:c>
      <x:c r="U3" s="31" t="str">
        <x:f>IF('Blind Scoring'!L3="","",'Blind Scoring'!L3)</x:f>
      </x:c>
    </x:row>
    <x:row r="4" ht="44" customHeight="1">
      <x:c r="A4" s="35" t="str">
        <x:v>Not Started</x:v>
      </x:c>
      <x:c r="B4" s="35" t="n">
        <x:v>2</x:v>
      </x:c>
      <x:c r="C4" s="35" t="str">
        <x:v>P01</x:v>
      </x:c>
      <x:c r="D4" s="35" t="n">
        <x:v>3</x:v>
      </x:c>
      <x:c r="E4" s="35" t="str">
        <x:v>Primary VLA</x:v>
      </x:c>
      <x:c r="F4" s="35" t="str">
        <x:v>π0.5</x:v>
      </x:c>
      <x:c r="G4" s="35" t="n">
        <x:v>1</x:v>
      </x:c>
      <x:c r="H4" s="35" t="str">
        <x:v>State Recognition</x:v>
      </x:c>
      <x:c r="I4" s="35" t="str">
        <x:v>Training reconstruction</x:v>
      </x:c>
      <x:c r="J4" s="35" t="str">
        <x:v>PVLA-ST-REC-06</x:v>
      </x:c>
      <x:c r="K4" s="35" t="str"/>
      <x:c r="L4" s="31" t="str">
        <x:v>Move a glass spice container into the bowl.</x:v>
      </x:c>
      <x:c r="M4" s="31" t="str">
        <x:v>Move a glass spice container into the bowl.</x:v>
      </x:c>
      <x:c r="N4" s="31" t="str">
        <x:v>Reconstruct planned final training episode 191: glass spice container A, brown cup A, white cup B; start=Home. Match camera, calibration, bowl pose, and object geometry exactly.</x:v>
      </x:c>
      <x:c r="O4" s="31" t="str">
        <x:v>glass spice container A</x:v>
      </x:c>
      <x:c r="P4" s="31" t="str"/>
      <x:c r="Q4" s="31" t="str"/>
      <x:c r="R4" s="31" t="str"/>
      <x:c r="S4" s="31" t="str">
        <x:f>IF('Blind Scoring'!I4="","",'Blind Scoring'!I4)</x:f>
      </x:c>
      <x:c r="T4" s="31" t="str">
        <x:f>'Blind Scoring'!J4</x:f>
        <x:v>No</x:v>
      </x:c>
      <x:c r="U4" s="31" t="str">
        <x:f>IF('Blind Scoring'!L4="","",'Blind Scoring'!L4)</x:f>
      </x:c>
    </x:row>
    <x:row r="5" ht="44" customHeight="1">
      <x:c r="A5" s="35" t="str">
        <x:v>Not Started</x:v>
      </x:c>
      <x:c r="B5" s="35" t="n">
        <x:v>3</x:v>
      </x:c>
      <x:c r="C5" s="35" t="str">
        <x:v>P01</x:v>
      </x:c>
      <x:c r="D5" s="35" t="n">
        <x:v>4</x:v>
      </x:c>
      <x:c r="E5" s="35" t="str">
        <x:v>Primary VLA</x:v>
      </x:c>
      <x:c r="F5" s="35" t="str">
        <x:v>π0.5</x:v>
      </x:c>
      <x:c r="G5" s="35" t="n">
        <x:v>1</x:v>
      </x:c>
      <x:c r="H5" s="35" t="str">
        <x:v>State Recognition</x:v>
      </x:c>
      <x:c r="I5" s="35" t="str">
        <x:v>Main matched control</x:v>
      </x:c>
      <x:c r="J5" s="35" t="str">
        <x:v>PVLA-ST-CTL-13</x:v>
      </x:c>
      <x:c r="K5" s="35" t="str">
        <x:v>S-CF24</x:v>
      </x:c>
      <x:c r="L5" s="31" t="str">
        <x:v>Place a brown cup in the bowl.</x:v>
      </x:c>
      <x:c r="M5" s="31" t="str">
        <x:v>Place a brown cup in the bowl.</x:v>
      </x:c>
      <x:c r="N5" s="31" t="str">
        <x:v>S-CF24-CTRL: P2 glass spice container B=O/UR; P3 white cup A=O/UD; P4 brown cup B=C/UR [TARGET].</x:v>
      </x:c>
      <x:c r="O5" s="31" t="str">
        <x:v>brown cup B</x:v>
      </x:c>
      <x:c r="P5" s="31" t="str"/>
      <x:c r="Q5" s="31" t="str"/>
      <x:c r="R5" s="31" t="str"/>
      <x:c r="S5" s="31" t="str">
        <x:f>IF('Blind Scoring'!I5="","",'Blind Scoring'!I5)</x:f>
      </x:c>
      <x:c r="T5" s="31" t="str">
        <x:f>'Blind Scoring'!J5</x:f>
        <x:v>No</x:v>
      </x:c>
      <x:c r="U5" s="31" t="str">
        <x:f>IF('Blind Scoring'!L5="","",'Blind Scoring'!L5)</x:f>
      </x:c>
    </x:row>
    <x:row r="6" ht="44" customHeight="1">
      <x:c r="A6" s="35" t="str">
        <x:v>Not Started</x:v>
      </x:c>
      <x:c r="B6" s="35" t="n">
        <x:v>4</x:v>
      </x:c>
      <x:c r="C6" s="35" t="str">
        <x:v>P01</x:v>
      </x:c>
      <x:c r="D6" s="35" t="n">
        <x:v>5</x:v>
      </x:c>
      <x:c r="E6" s="35" t="str">
        <x:v>Primary VLA</x:v>
      </x:c>
      <x:c r="F6" s="35" t="str">
        <x:v>π0.5</x:v>
      </x:c>
      <x:c r="G6" s="35" t="n">
        <x:v>1</x:v>
      </x:c>
      <x:c r="H6" s="35" t="str">
        <x:v>State Recognition</x:v>
      </x:c>
      <x:c r="I6" s="35" t="str">
        <x:v>Main matched control</x:v>
      </x:c>
      <x:c r="J6" s="35" t="str">
        <x:v>PVLA-ST-CTL-11</x:v>
      </x:c>
      <x:c r="K6" s="35" t="str">
        <x:v>S-CF20</x:v>
      </x:c>
      <x:c r="L6" s="31" t="str">
        <x:v>Place a white cup in the bowl.</x:v>
      </x:c>
      <x:c r="M6" s="31" t="str">
        <x:v>Place a white cup in the bowl.</x:v>
      </x:c>
      <x:c r="N6" s="31" t="str">
        <x:v>S-CF20-CTRL: P2 yellow-white striped cup B=O/UR; P3 brown cup A=O/UD; P4 white cup B=C/UR [TARGET].</x:v>
      </x:c>
      <x:c r="O6" s="31" t="str">
        <x:v>white cup B</x:v>
      </x:c>
      <x:c r="P6" s="31" t="str"/>
      <x:c r="Q6" s="31" t="str"/>
      <x:c r="R6" s="31" t="str"/>
      <x:c r="S6" s="31" t="str">
        <x:f>IF('Blind Scoring'!I6="","",'Blind Scoring'!I6)</x:f>
      </x:c>
      <x:c r="T6" s="31" t="str">
        <x:f>'Blind Scoring'!J6</x:f>
        <x:v>No</x:v>
      </x:c>
      <x:c r="U6" s="31" t="str">
        <x:f>IF('Blind Scoring'!L6="","",'Blind Scoring'!L6)</x:f>
      </x:c>
    </x:row>
    <x:row r="7" ht="44" customHeight="1">
      <x:c r="A7" s="35" t="str">
        <x:v>Not Started</x:v>
      </x:c>
      <x:c r="B7" s="35" t="n">
        <x:v>5</x:v>
      </x:c>
      <x:c r="C7" s="35" t="str">
        <x:v>P01</x:v>
      </x:c>
      <x:c r="D7" s="35" t="n">
        <x:v>6</x:v>
      </x:c>
      <x:c r="E7" s="35" t="str">
        <x:v>Primary VLA</x:v>
      </x:c>
      <x:c r="F7" s="35" t="str">
        <x:v>π0.5</x:v>
      </x:c>
      <x:c r="G7" s="35" t="n">
        <x:v>1</x:v>
      </x:c>
      <x:c r="H7" s="35" t="str">
        <x:v>State Recognition</x:v>
      </x:c>
      <x:c r="I7" s="35" t="str">
        <x:v>Novel layout + seen language</x:v>
      </x:c>
      <x:c r="J7" s="35" t="str">
        <x:v>PVLA-ST-NOV-01</x:v>
      </x:c>
      <x:c r="K7" s="35" t="str">
        <x:v>S-CF01</x:v>
      </x:c>
      <x:c r="L7" s="31" t="str">
        <x:v>Place the open white cup in the bowl.</x:v>
      </x:c>
      <x:c r="M7" s="31" t="str">
        <x:v>Place the open white cup in the bowl.</x:v>
      </x:c>
      <x:c r="N7" s="31" t="str">
        <x:v>S-CF01-SEEN: P1 white cup A=C/UR [TARGET]; P2 white cup B=O/UR [COMPETITOR]; P3 yellow-white striped cup A=C/UD; P4 brown cup B=O/UD.</x:v>
      </x:c>
      <x:c r="O7" s="31" t="str">
        <x:v>white cup B</x:v>
      </x:c>
      <x:c r="P7" s="31" t="str"/>
      <x:c r="Q7" s="31" t="str"/>
      <x:c r="R7" s="31" t="str"/>
      <x:c r="S7" s="31" t="str">
        <x:f>IF('Blind Scoring'!I7="","",'Blind Scoring'!I7)</x:f>
      </x:c>
      <x:c r="T7" s="31" t="str">
        <x:f>'Blind Scoring'!J7</x:f>
        <x:v>No</x:v>
      </x:c>
      <x:c r="U7" s="31" t="str">
        <x:f>IF('Blind Scoring'!L7="","",'Blind Scoring'!L7)</x:f>
      </x:c>
    </x:row>
    <x:row r="8" ht="44" customHeight="1">
      <x:c r="A8" s="35" t="str">
        <x:v>Not Started</x:v>
      </x:c>
      <x:c r="B8" s="35" t="n">
        <x:v>6</x:v>
      </x:c>
      <x:c r="C8" s="35" t="str">
        <x:v>P01</x:v>
      </x:c>
      <x:c r="D8" s="35" t="n">
        <x:v>7</x:v>
      </x:c>
      <x:c r="E8" s="35" t="str">
        <x:v>Primary VLA</x:v>
      </x:c>
      <x:c r="F8" s="35" t="str">
        <x:v>π0.5</x:v>
      </x:c>
      <x:c r="G8" s="35" t="n">
        <x:v>1</x:v>
      </x:c>
      <x:c r="H8" s="35" t="str">
        <x:v>State Recognition</x:v>
      </x:c>
      <x:c r="I8" s="35" t="str">
        <x:v>Exact-scene paraphrase</x:v>
      </x:c>
      <x:c r="J8" s="35" t="str">
        <x:v>PVLA-ST-PAR-01</x:v>
      </x:c>
      <x:c r="K8" s="35" t="str">
        <x:v>S-CF01</x:v>
      </x:c>
      <x:c r="L8" s="31" t="str">
        <x:v>Put the open white cup in the bowl.</x:v>
      </x:c>
      <x:c r="M8" s="31" t="str">
        <x:v>Put the open white cup in the bowl.</x:v>
      </x:c>
      <x:c r="N8" s="31" t="str">
        <x:v>S-CF01-PARA: P1 white cup A=C/UR [TARGET]; P2 white cup B=O/UR [COMPETITOR]; P3 yellow-white striped cup A=C/UD; P4 brown cup B=O/UD.</x:v>
      </x:c>
      <x:c r="O8" s="31" t="str">
        <x:v>white cup B</x:v>
      </x:c>
      <x:c r="P8" s="31" t="str"/>
      <x:c r="Q8" s="31" t="str"/>
      <x:c r="R8" s="31" t="str"/>
      <x:c r="S8" s="31" t="str">
        <x:f>IF('Blind Scoring'!I8="","",'Blind Scoring'!I8)</x:f>
      </x:c>
      <x:c r="T8" s="31" t="str">
        <x:f>'Blind Scoring'!J8</x:f>
        <x:v>No</x:v>
      </x:c>
      <x:c r="U8" s="31" t="str">
        <x:f>IF('Blind Scoring'!L8="","",'Blind Scoring'!L8)</x:f>
      </x:c>
    </x:row>
    <x:row r="9" ht="44" customHeight="1">
      <x:c r="A9" s="35" t="str">
        <x:v>Not Started</x:v>
      </x:c>
      <x:c r="B9" s="35" t="n">
        <x:v>7</x:v>
      </x:c>
      <x:c r="C9" s="35" t="str">
        <x:v>P01</x:v>
      </x:c>
      <x:c r="D9" s="35" t="n">
        <x:v>8</x:v>
      </x:c>
      <x:c r="E9" s="35" t="str">
        <x:v>Primary VLA</x:v>
      </x:c>
      <x:c r="F9" s="35" t="str">
        <x:v>π0.5</x:v>
      </x:c>
      <x:c r="G9" s="35" t="n">
        <x:v>1</x:v>
      </x:c>
      <x:c r="H9" s="35" t="str">
        <x:v>State Recognition</x:v>
      </x:c>
      <x:c r="I9" s="35" t="str">
        <x:v>Main held-out transfer</x:v>
      </x:c>
      <x:c r="J9" s="35" t="str">
        <x:v>PVLA-ST-TR-14</x:v>
      </x:c>
      <x:c r="K9" s="35" t="str">
        <x:v>S-CF26</x:v>
      </x:c>
      <x:c r="L9" s="31" t="str">
        <x:v>Place the upright yellow-white striped cup in the bowl.</x:v>
      </x:c>
      <x:c r="M9" s="31" t="str">
        <x:v>Place the upright yellow-white striped cup in the bowl.</x:v>
      </x:c>
      <x:c r="N9" s="31" t="str">
        <x:v>S-CF26-HELD: P1 brown cup B=C/UR; P2 yellow-white striped cup B=O/UR [TARGET]; P3 yellow-white striped cup A=O/UD [COMPETITOR]; P4 glass spice container B=C/UD.</x:v>
      </x:c>
      <x:c r="O9" s="31" t="str">
        <x:v>yellow-white striped cup B</x:v>
      </x:c>
      <x:c r="P9" s="31" t="str"/>
      <x:c r="Q9" s="31" t="str"/>
      <x:c r="R9" s="31" t="str"/>
      <x:c r="S9" s="31" t="str">
        <x:f>IF('Blind Scoring'!I9="","",'Blind Scoring'!I9)</x:f>
      </x:c>
      <x:c r="T9" s="31" t="str">
        <x:f>'Blind Scoring'!J9</x:f>
        <x:v>No</x:v>
      </x:c>
      <x:c r="U9" s="31" t="str">
        <x:f>IF('Blind Scoring'!L9="","",'Blind Scoring'!L9)</x:f>
      </x:c>
    </x:row>
    <x:row r="10" ht="44" customHeight="1">
      <x:c r="A10" s="35" t="str">
        <x:v>Not Started</x:v>
      </x:c>
      <x:c r="B10" s="35" t="n">
        <x:v>8</x:v>
      </x:c>
      <x:c r="C10" s="35" t="str">
        <x:v>P01</x:v>
      </x:c>
      <x:c r="D10" s="35" t="n">
        <x:v>9</x:v>
      </x:c>
      <x:c r="E10" s="35" t="str">
        <x:v>Primary VLA</x:v>
      </x:c>
      <x:c r="F10" s="35" t="str">
        <x:v>π0.5</x:v>
      </x:c>
      <x:c r="G10" s="35" t="n">
        <x:v>1</x:v>
      </x:c>
      <x:c r="H10" s="35" t="str">
        <x:v>State Recognition</x:v>
      </x:c>
      <x:c r="I10" s="35" t="str">
        <x:v>Main matched control</x:v>
      </x:c>
      <x:c r="J10" s="35" t="str">
        <x:v>PVLA-ST-CTL-09</x:v>
      </x:c>
      <x:c r="K10" s="35" t="str">
        <x:v>S-CF16</x:v>
      </x:c>
      <x:c r="L10" s="31" t="str">
        <x:v>Place a brown cup in the bowl.</x:v>
      </x:c>
      <x:c r="M10" s="31" t="str">
        <x:v>Place a brown cup in the bowl.</x:v>
      </x:c>
      <x:c r="N10" s="31" t="str">
        <x:v>S-CF16-CTRL: P2 glass spice container B=O/UR; P3 white cup A=O/UD; P4 brown cup B=C/UR [TARGET].</x:v>
      </x:c>
      <x:c r="O10" s="31" t="str">
        <x:v>brown cup B</x:v>
      </x:c>
      <x:c r="P10" s="31" t="str"/>
      <x:c r="Q10" s="31" t="str"/>
      <x:c r="R10" s="31" t="str"/>
      <x:c r="S10" s="31" t="str">
        <x:f>IF('Blind Scoring'!I10="","",'Blind Scoring'!I10)</x:f>
      </x:c>
      <x:c r="T10" s="31" t="str">
        <x:f>'Blind Scoring'!J10</x:f>
        <x:v>No</x:v>
      </x:c>
      <x:c r="U10" s="31" t="str">
        <x:f>IF('Blind Scoring'!L10="","",'Blind Scoring'!L10)</x:f>
      </x:c>
    </x:row>
    <x:row r="11" ht="44" customHeight="1">
      <x:c r="A11" s="35" t="str">
        <x:v>Not Started</x:v>
      </x:c>
      <x:c r="B11" s="35" t="n">
        <x:v>9</x:v>
      </x:c>
      <x:c r="C11" s="35" t="str">
        <x:v>P01</x:v>
      </x:c>
      <x:c r="D11" s="35" t="n">
        <x:v>10</x:v>
      </x:c>
      <x:c r="E11" s="35" t="str">
        <x:v>Primary VLA</x:v>
      </x:c>
      <x:c r="F11" s="35" t="str">
        <x:v>π0.5</x:v>
      </x:c>
      <x:c r="G11" s="35" t="n">
        <x:v>1</x:v>
      </x:c>
      <x:c r="H11" s="35" t="str">
        <x:v>State Recognition</x:v>
      </x:c>
      <x:c r="I11" s="35" t="str">
        <x:v>Main held-out transfer</x:v>
      </x:c>
      <x:c r="J11" s="35" t="str">
        <x:v>PVLA-ST-TR-11</x:v>
      </x:c>
      <x:c r="K11" s="35" t="str">
        <x:v>S-CF20</x:v>
      </x:c>
      <x:c r="L11" s="31" t="str">
        <x:v>Place the upright white cup in the bowl.</x:v>
      </x:c>
      <x:c r="M11" s="31" t="str">
        <x:v>Place the upright white cup in the bowl.</x:v>
      </x:c>
      <x:c r="N11" s="31" t="str">
        <x:v>S-CF20-HELD: P1 white cup A=C/UD [COMPETITOR]; P2 yellow-white striped cup B=O/UR; P3 brown cup A=O/UD; P4 white cup B=C/UR [TARGET].</x:v>
      </x:c>
      <x:c r="O11" s="31" t="str">
        <x:v>white cup B</x:v>
      </x:c>
      <x:c r="P11" s="31" t="str"/>
      <x:c r="Q11" s="31" t="str"/>
      <x:c r="R11" s="31" t="str"/>
      <x:c r="S11" s="31" t="str">
        <x:f>IF('Blind Scoring'!I11="","",'Blind Scoring'!I11)</x:f>
      </x:c>
      <x:c r="T11" s="31" t="str">
        <x:f>'Blind Scoring'!J11</x:f>
        <x:v>No</x:v>
      </x:c>
      <x:c r="U11" s="31" t="str">
        <x:f>IF('Blind Scoring'!L11="","",'Blind Scoring'!L11)</x:f>
      </x:c>
    </x:row>
    <x:row r="12" ht="44" customHeight="1">
      <x:c r="A12" s="35" t="str">
        <x:v>Not Started</x:v>
      </x:c>
      <x:c r="B12" s="35" t="n">
        <x:v>10</x:v>
      </x:c>
      <x:c r="C12" s="35" t="str">
        <x:v>P01</x:v>
      </x:c>
      <x:c r="D12" s="35" t="n">
        <x:v>11</x:v>
      </x:c>
      <x:c r="E12" s="35" t="str">
        <x:v>Primary VLA</x:v>
      </x:c>
      <x:c r="F12" s="35" t="str">
        <x:v>π0.5</x:v>
      </x:c>
      <x:c r="G12" s="35" t="n">
        <x:v>1</x:v>
      </x:c>
      <x:c r="H12" s="35" t="str">
        <x:v>State Recognition</x:v>
      </x:c>
      <x:c r="I12" s="35" t="str">
        <x:v>Main held-out transfer</x:v>
      </x:c>
      <x:c r="J12" s="35" t="str">
        <x:v>PVLA-ST-TR-13</x:v>
      </x:c>
      <x:c r="K12" s="35" t="str">
        <x:v>S-CF24</x:v>
      </x:c>
      <x:c r="L12" s="31" t="str">
        <x:v>Place the upright brown cup in the bowl.</x:v>
      </x:c>
      <x:c r="M12" s="31" t="str">
        <x:v>Place the upright brown cup in the bowl.</x:v>
      </x:c>
      <x:c r="N12" s="31" t="str">
        <x:v>S-CF24-HELD: P1 brown cup A=C/UD [COMPETITOR]; P2 glass spice container B=O/UR; P3 white cup A=O/UD; P4 brown cup B=C/UR [TARGET].</x:v>
      </x:c>
      <x:c r="O12" s="31" t="str">
        <x:v>brown cup B</x:v>
      </x:c>
      <x:c r="P12" s="31" t="str"/>
      <x:c r="Q12" s="31" t="str"/>
      <x:c r="R12" s="31" t="str"/>
      <x:c r="S12" s="31" t="str">
        <x:f>IF('Blind Scoring'!I12="","",'Blind Scoring'!I12)</x:f>
      </x:c>
      <x:c r="T12" s="31" t="str">
        <x:f>'Blind Scoring'!J12</x:f>
        <x:v>No</x:v>
      </x:c>
      <x:c r="U12" s="31" t="str">
        <x:f>IF('Blind Scoring'!L12="","",'Blind Scoring'!L12)</x:f>
      </x:c>
    </x:row>
    <x:row r="13" ht="44" customHeight="1">
      <x:c r="A13" s="35" t="str">
        <x:v>Not Started</x:v>
      </x:c>
      <x:c r="B13" s="35" t="n">
        <x:v>11</x:v>
      </x:c>
      <x:c r="C13" s="35" t="str">
        <x:v>P01</x:v>
      </x:c>
      <x:c r="D13" s="35" t="n">
        <x:v>12</x:v>
      </x:c>
      <x:c r="E13" s="35" t="str">
        <x:v>Primary VLA</x:v>
      </x:c>
      <x:c r="F13" s="35" t="str">
        <x:v>π0.5</x:v>
      </x:c>
      <x:c r="G13" s="35" t="n">
        <x:v>1</x:v>
      </x:c>
      <x:c r="H13" s="35" t="str">
        <x:v>State Recognition</x:v>
      </x:c>
      <x:c r="I13" s="35" t="str">
        <x:v>Language ablation — counterfactual</x:v>
      </x:c>
      <x:c r="J13" s="35" t="str">
        <x:v>PVLA-ST-ABL-CF-04</x:v>
      </x:c>
      <x:c r="K13" s="35" t="str">
        <x:v>S-CF15</x:v>
      </x:c>
      <x:c r="L13" s="31" t="str">
        <x:v>Place the open yellow-white striped cup in the bowl.</x:v>
      </x:c>
      <x:c r="M13" s="31" t="str">
        <x:v>Place the open yellow-white striped cup in the bowl.</x:v>
      </x:c>
      <x:c r="N13" s="31" t="str">
        <x:v>S-CF15-HELD: P1 brown cup A=C/UR; P2 glass spice container A=O/UR; P3 yellow-white striped cup A=C/UD [TARGET]; P4 yellow-white striped cup B=O/UD [COMPETITOR].</x:v>
      </x:c>
      <x:c r="O13" s="31" t="str">
        <x:v>yellow-white striped cup B</x:v>
      </x:c>
      <x:c r="P13" s="31" t="str"/>
      <x:c r="Q13" s="31" t="str"/>
      <x:c r="R13" s="31" t="str"/>
      <x:c r="S13" s="31" t="str">
        <x:f>IF('Blind Scoring'!I13="","",'Blind Scoring'!I13)</x:f>
      </x:c>
      <x:c r="T13" s="31" t="str">
        <x:f>'Blind Scoring'!J13</x:f>
        <x:v>No</x:v>
      </x:c>
      <x:c r="U13" s="31" t="str">
        <x:f>IF('Blind Scoring'!L13="","",'Blind Scoring'!L13)</x:f>
      </x:c>
    </x:row>
    <x:row r="14" ht="44" customHeight="1">
      <x:c r="A14" s="35" t="str">
        <x:v>Not Started</x:v>
      </x:c>
      <x:c r="B14" s="35" t="n">
        <x:v>12</x:v>
      </x:c>
      <x:c r="C14" s="35" t="str">
        <x:v>P01</x:v>
      </x:c>
      <x:c r="D14" s="35" t="n">
        <x:v>13</x:v>
      </x:c>
      <x:c r="E14" s="35" t="str">
        <x:v>Primary VLA</x:v>
      </x:c>
      <x:c r="F14" s="35" t="str">
        <x:v>π0.5</x:v>
      </x:c>
      <x:c r="G14" s="35" t="n">
        <x:v>1</x:v>
      </x:c>
      <x:c r="H14" s="35" t="str">
        <x:v>State Recognition</x:v>
      </x:c>
      <x:c r="I14" s="35" t="str">
        <x:v>Main held-out transfer</x:v>
      </x:c>
      <x:c r="J14" s="35" t="str">
        <x:v>PVLA-ST-TR-02</x:v>
      </x:c>
      <x:c r="K14" s="35" t="str">
        <x:v>S-CF03</x:v>
      </x:c>
      <x:c r="L14" s="31" t="str">
        <x:v>Place the closed glass spice container in the bowl.</x:v>
      </x:c>
      <x:c r="M14" s="31" t="str">
        <x:v>Place the closed glass spice container in the bowl.</x:v>
      </x:c>
      <x:c r="N14" s="31" t="str">
        <x:v>S-CF03-HELD: P1 white cup A=C/UR; P2 yellow-white striped cup A=O/UR; P3 glass spice container B=C/UD [TARGET]; P4 glass spice container A=O/UD [COMPETITOR].</x:v>
      </x:c>
      <x:c r="O14" s="31" t="str">
        <x:v>glass spice container B</x:v>
      </x:c>
      <x:c r="P14" s="31" t="str"/>
      <x:c r="Q14" s="31" t="str"/>
      <x:c r="R14" s="31" t="str"/>
      <x:c r="S14" s="31" t="str">
        <x:f>IF('Blind Scoring'!I14="","",'Blind Scoring'!I14)</x:f>
      </x:c>
      <x:c r="T14" s="31" t="str">
        <x:f>'Blind Scoring'!J14</x:f>
        <x:v>No</x:v>
      </x:c>
      <x:c r="U14" s="31" t="str">
        <x:f>IF('Blind Scoring'!L14="","",'Blind Scoring'!L14)</x:f>
      </x:c>
    </x:row>
    <x:row r="15" ht="44" customHeight="1">
      <x:c r="A15" s="35" t="str">
        <x:v>Not Started</x:v>
      </x:c>
      <x:c r="B15" s="35" t="n">
        <x:v>13</x:v>
      </x:c>
      <x:c r="C15" s="35" t="str">
        <x:v>P01</x:v>
      </x:c>
      <x:c r="D15" s="35" t="n">
        <x:v>14</x:v>
      </x:c>
      <x:c r="E15" s="35" t="str">
        <x:v>Primary VLA</x:v>
      </x:c>
      <x:c r="F15" s="35" t="str">
        <x:v>π0.5</x:v>
      </x:c>
      <x:c r="G15" s="35" t="n">
        <x:v>1</x:v>
      </x:c>
      <x:c r="H15" s="35" t="str">
        <x:v>State Recognition</x:v>
      </x:c>
      <x:c r="I15" s="35" t="str">
        <x:v>Exact-scene paraphrase</x:v>
      </x:c>
      <x:c r="J15" s="35" t="str">
        <x:v>PVLA-ST-PAR-07</x:v>
      </x:c>
      <x:c r="K15" s="35" t="str">
        <x:v>S-CF17</x:v>
      </x:c>
      <x:c r="L15" s="31" t="str">
        <x:v>Find the white cup with its opening uncovered and move it into the bowl.</x:v>
      </x:c>
      <x:c r="M15" s="31" t="str">
        <x:v>Find the white cup with its opening uncovered and move it into the bowl.</x:v>
      </x:c>
      <x:c r="N15" s="31" t="str">
        <x:v>S-CF17-PARA: P1 white cup A=C/UR [TARGET]; P2 white cup B=O/UR [COMPETITOR]; P3 yellow-white striped cup A=C/UD; P4 brown cup B=O/UD.</x:v>
      </x:c>
      <x:c r="O15" s="31" t="str">
        <x:v>white cup B</x:v>
      </x:c>
      <x:c r="P15" s="31" t="str"/>
      <x:c r="Q15" s="31" t="str"/>
      <x:c r="R15" s="31" t="str"/>
      <x:c r="S15" s="31" t="str">
        <x:f>IF('Blind Scoring'!I15="","",'Blind Scoring'!I15)</x:f>
      </x:c>
      <x:c r="T15" s="31" t="str">
        <x:f>'Blind Scoring'!J15</x:f>
        <x:v>No</x:v>
      </x:c>
      <x:c r="U15" s="31" t="str">
        <x:f>IF('Blind Scoring'!L15="","",'Blind Scoring'!L15)</x:f>
      </x:c>
    </x:row>
    <x:row r="16" ht="44" customHeight="1">
      <x:c r="A16" s="35" t="str">
        <x:v>Not Started</x:v>
      </x:c>
      <x:c r="B16" s="35" t="n">
        <x:v>14</x:v>
      </x:c>
      <x:c r="C16" s="35" t="str">
        <x:v>P01</x:v>
      </x:c>
      <x:c r="D16" s="35" t="n">
        <x:v>15</x:v>
      </x:c>
      <x:c r="E16" s="35" t="str">
        <x:v>Primary VLA</x:v>
      </x:c>
      <x:c r="F16" s="35" t="str">
        <x:v>π0.5</x:v>
      </x:c>
      <x:c r="G16" s="35" t="n">
        <x:v>1</x:v>
      </x:c>
      <x:c r="H16" s="35" t="str">
        <x:v>State Recognition</x:v>
      </x:c>
      <x:c r="I16" s="35" t="str">
        <x:v>Novel layout + seen language</x:v>
      </x:c>
      <x:c r="J16" s="35" t="str">
        <x:v>PVLA-ST-NOV-04</x:v>
      </x:c>
      <x:c r="K16" s="35" t="str">
        <x:v>S-CF09</x:v>
      </x:c>
      <x:c r="L16" s="31" t="str">
        <x:v>Place the open white cup in the bowl.</x:v>
      </x:c>
      <x:c r="M16" s="31" t="str">
        <x:v>Place the open white cup in the bowl.</x:v>
      </x:c>
      <x:c r="N16" s="31" t="str">
        <x:v>S-CF09-SEEN: P1 white cup A=C/UR [TARGET]; P2 white cup B=O/UR [COMPETITOR]; P3 yellow-white striped cup A=C/UD; P4 brown cup B=O/UD.</x:v>
      </x:c>
      <x:c r="O16" s="31" t="str">
        <x:v>white cup B</x:v>
      </x:c>
      <x:c r="P16" s="31" t="str"/>
      <x:c r="Q16" s="31" t="str"/>
      <x:c r="R16" s="31" t="str"/>
      <x:c r="S16" s="31" t="str">
        <x:f>IF('Blind Scoring'!I16="","",'Blind Scoring'!I16)</x:f>
      </x:c>
      <x:c r="T16" s="31" t="str">
        <x:f>'Blind Scoring'!J16</x:f>
        <x:v>No</x:v>
      </x:c>
      <x:c r="U16" s="31" t="str">
        <x:f>IF('Blind Scoring'!L16="","",'Blind Scoring'!L16)</x:f>
      </x:c>
    </x:row>
    <x:row r="17" ht="44" customHeight="1">
      <x:c r="A17" s="35" t="str">
        <x:v>Not Started</x:v>
      </x:c>
      <x:c r="B17" s="35" t="n">
        <x:v>15</x:v>
      </x:c>
      <x:c r="C17" s="35" t="str">
        <x:v>P01</x:v>
      </x:c>
      <x:c r="D17" s="35" t="n">
        <x:v>16</x:v>
      </x:c>
      <x:c r="E17" s="35" t="str">
        <x:v>Primary VLA</x:v>
      </x:c>
      <x:c r="F17" s="35" t="str">
        <x:v>π0.5</x:v>
      </x:c>
      <x:c r="G17" s="35" t="n">
        <x:v>1</x:v>
      </x:c>
      <x:c r="H17" s="35" t="str">
        <x:v>State Recognition</x:v>
      </x:c>
      <x:c r="I17" s="35" t="str">
        <x:v>Main held-out transfer</x:v>
      </x:c>
      <x:c r="J17" s="35" t="str">
        <x:v>PVLA-ST-TR-03</x:v>
      </x:c>
      <x:c r="K17" s="35" t="str">
        <x:v>S-CF05</x:v>
      </x:c>
      <x:c r="L17" s="31" t="str">
        <x:v>Place the closed brown cup in the bowl.</x:v>
      </x:c>
      <x:c r="M17" s="31" t="str">
        <x:v>Place the closed brown cup in the bowl.</x:v>
      </x:c>
      <x:c r="N17" s="31" t="str">
        <x:v>S-CF05-HELD: P1 brown cup A=C/UR [TARGET]; P2 brown cup B=O/UR [COMPETITOR]; P3 glass spice container A=C/UD; P4 white cup B=O/UD.</x:v>
      </x:c>
      <x:c r="O17" s="31" t="str">
        <x:v>brown cup A</x:v>
      </x:c>
      <x:c r="P17" s="31" t="str"/>
      <x:c r="Q17" s="31" t="str"/>
      <x:c r="R17" s="31" t="str"/>
      <x:c r="S17" s="31" t="str">
        <x:f>IF('Blind Scoring'!I17="","",'Blind Scoring'!I17)</x:f>
      </x:c>
      <x:c r="T17" s="31" t="str">
        <x:f>'Blind Scoring'!J17</x:f>
        <x:v>No</x:v>
      </x:c>
      <x:c r="U17" s="31" t="str">
        <x:f>IF('Blind Scoring'!L17="","",'Blind Scoring'!L17)</x:f>
      </x:c>
    </x:row>
    <x:row r="18" ht="44" customHeight="1">
      <x:c r="A18" s="35" t="str">
        <x:v>Not Started</x:v>
      </x:c>
      <x:c r="B18" s="35" t="n">
        <x:v>16</x:v>
      </x:c>
      <x:c r="C18" s="35" t="str">
        <x:v>P01</x:v>
      </x:c>
      <x:c r="D18" s="35" t="n">
        <x:v>17</x:v>
      </x:c>
      <x:c r="E18" s="35" t="str">
        <x:v>Primary VLA</x:v>
      </x:c>
      <x:c r="F18" s="35" t="str">
        <x:v>π0.5</x:v>
      </x:c>
      <x:c r="G18" s="35" t="n">
        <x:v>1</x:v>
      </x:c>
      <x:c r="H18" s="35" t="str">
        <x:v>State Recognition</x:v>
      </x:c>
      <x:c r="I18" s="35" t="str">
        <x:v>Main held-out transfer</x:v>
      </x:c>
      <x:c r="J18" s="35" t="str">
        <x:v>PVLA-ST-TR-04</x:v>
      </x:c>
      <x:c r="K18" s="35" t="str">
        <x:v>S-CF07</x:v>
      </x:c>
      <x:c r="L18" s="31" t="str">
        <x:v>Place the closed yellow-white striped cup in the bowl.</x:v>
      </x:c>
      <x:c r="M18" s="31" t="str">
        <x:v>Place the closed yellow-white striped cup in the bowl.</x:v>
      </x:c>
      <x:c r="N18" s="31" t="str">
        <x:v>S-CF07-HELD: P1 brown cup A=C/UR; P2 glass spice container A=O/UR; P3 yellow-white striped cup A=C/UD [TARGET]; P4 yellow-white striped cup B=O/UD [COMPETITOR].</x:v>
      </x:c>
      <x:c r="O18" s="31" t="str">
        <x:v>yellow-white striped cup A</x:v>
      </x:c>
      <x:c r="P18" s="31" t="str"/>
      <x:c r="Q18" s="31" t="str"/>
      <x:c r="R18" s="31" t="str"/>
      <x:c r="S18" s="31" t="str">
        <x:f>IF('Blind Scoring'!I18="","",'Blind Scoring'!I18)</x:f>
      </x:c>
      <x:c r="T18" s="31" t="str">
        <x:f>'Blind Scoring'!J18</x:f>
        <x:v>No</x:v>
      </x:c>
      <x:c r="U18" s="31" t="str">
        <x:f>IF('Blind Scoring'!L18="","",'Blind Scoring'!L18)</x:f>
      </x:c>
    </x:row>
    <x:row r="19" ht="44" customHeight="1">
      <x:c r="A19" s="35" t="str">
        <x:v>Not Started</x:v>
      </x:c>
      <x:c r="B19" s="35" t="n">
        <x:v>17</x:v>
      </x:c>
      <x:c r="C19" s="35" t="str">
        <x:v>P01</x:v>
      </x:c>
      <x:c r="D19" s="35" t="n">
        <x:v>18</x:v>
      </x:c>
      <x:c r="E19" s="35" t="str">
        <x:v>Primary VLA</x:v>
      </x:c>
      <x:c r="F19" s="35" t="str">
        <x:v>π0.5</x:v>
      </x:c>
      <x:c r="G19" s="35" t="n">
        <x:v>1</x:v>
      </x:c>
      <x:c r="H19" s="35" t="str">
        <x:v>State Recognition</x:v>
      </x:c>
      <x:c r="I19" s="35" t="str">
        <x:v>Language ablation — counterfactual</x:v>
      </x:c>
      <x:c r="J19" s="35" t="str">
        <x:v>PVLA-ST-ABL-CF-02</x:v>
      </x:c>
      <x:c r="K19" s="35" t="str">
        <x:v>S-CF11</x:v>
      </x:c>
      <x:c r="L19" s="31" t="str">
        <x:v>Place the open glass spice container in the bowl.</x:v>
      </x:c>
      <x:c r="M19" s="31" t="str">
        <x:v>Place the open glass spice container in the bowl.</x:v>
      </x:c>
      <x:c r="N19" s="31" t="str">
        <x:v>S-CF11-HELD: P1 white cup A=C/UR; P2 yellow-white striped cup A=O/UR; P3 glass spice container B=C/UD [TARGET]; P4 glass spice container A=O/UD [COMPETITOR].</x:v>
      </x:c>
      <x:c r="O19" s="31" t="str">
        <x:v>glass spice container A</x:v>
      </x:c>
      <x:c r="P19" s="31" t="str"/>
      <x:c r="Q19" s="31" t="str"/>
      <x:c r="R19" s="31" t="str"/>
      <x:c r="S19" s="31" t="str">
        <x:f>IF('Blind Scoring'!I19="","",'Blind Scoring'!I19)</x:f>
      </x:c>
      <x:c r="T19" s="31" t="str">
        <x:f>'Blind Scoring'!J19</x:f>
        <x:v>No</x:v>
      </x:c>
      <x:c r="U19" s="31" t="str">
        <x:f>IF('Blind Scoring'!L19="","",'Blind Scoring'!L19)</x:f>
      </x:c>
    </x:row>
    <x:row r="20" ht="44" customHeight="1">
      <x:c r="A20" s="35" t="str">
        <x:v>Not Started</x:v>
      </x:c>
      <x:c r="B20" s="35" t="n">
        <x:v>18</x:v>
      </x:c>
      <x:c r="C20" s="35" t="str">
        <x:v>P01</x:v>
      </x:c>
      <x:c r="D20" s="35" t="n">
        <x:v>19</x:v>
      </x:c>
      <x:c r="E20" s="35" t="str">
        <x:v>Primary VLA</x:v>
      </x:c>
      <x:c r="F20" s="35" t="str">
        <x:v>π0.5</x:v>
      </x:c>
      <x:c r="G20" s="35" t="n">
        <x:v>1</x:v>
      </x:c>
      <x:c r="H20" s="35" t="str">
        <x:v>State Recognition</x:v>
      </x:c>
      <x:c r="I20" s="35" t="str">
        <x:v>Exact-scene paraphrase</x:v>
      </x:c>
      <x:c r="J20" s="35" t="str">
        <x:v>PVLA-ST-PAR-02</x:v>
      </x:c>
      <x:c r="K20" s="35" t="str">
        <x:v>S-CF04</x:v>
      </x:c>
      <x:c r="L20" s="31" t="str">
        <x:v>Put the inverted white cup into the bowl.</x:v>
      </x:c>
      <x:c r="M20" s="31" t="str">
        <x:v>Put the inverted white cup into the bowl.</x:v>
      </x:c>
      <x:c r="N20" s="31" t="str">
        <x:v>S-CF04-PARA: P1 white cup A=C/UD [COMPETITOR]; P2 yellow-white striped cup B=O/UR; P3 brown cup A=O/UD; P4 white cup B=C/UR [TARGET].</x:v>
      </x:c>
      <x:c r="O20" s="31" t="str">
        <x:v>white cup A</x:v>
      </x:c>
      <x:c r="P20" s="31" t="str"/>
      <x:c r="Q20" s="31" t="str"/>
      <x:c r="R20" s="31" t="str"/>
      <x:c r="S20" s="31" t="str">
        <x:f>IF('Blind Scoring'!I20="","",'Blind Scoring'!I20)</x:f>
      </x:c>
      <x:c r="T20" s="31" t="str">
        <x:f>'Blind Scoring'!J20</x:f>
        <x:v>No</x:v>
      </x:c>
      <x:c r="U20" s="31" t="str">
        <x:f>IF('Blind Scoring'!L20="","",'Blind Scoring'!L20)</x:f>
      </x:c>
    </x:row>
    <x:row r="21" ht="44" customHeight="1">
      <x:c r="A21" s="35" t="str">
        <x:v>Not Started</x:v>
      </x:c>
      <x:c r="B21" s="35" t="n">
        <x:v>19</x:v>
      </x:c>
      <x:c r="C21" s="35" t="str">
        <x:v>P01</x:v>
      </x:c>
      <x:c r="D21" s="35" t="n">
        <x:v>20</x:v>
      </x:c>
      <x:c r="E21" s="35" t="str">
        <x:v>Primary VLA</x:v>
      </x:c>
      <x:c r="F21" s="35" t="str">
        <x:v>π0.5</x:v>
      </x:c>
      <x:c r="G21" s="35" t="n">
        <x:v>1</x:v>
      </x:c>
      <x:c r="H21" s="35" t="str">
        <x:v>State Recognition</x:v>
      </x:c>
      <x:c r="I21" s="35" t="str">
        <x:v>Training reconstruction</x:v>
      </x:c>
      <x:c r="J21" s="35" t="str">
        <x:v>PVLA-ST-REC-04</x:v>
      </x:c>
      <x:c r="K21" s="35" t="str"/>
      <x:c r="L21" s="31" t="str">
        <x:v>Move the open brown cup into the bowl.</x:v>
      </x:c>
      <x:c r="M21" s="31" t="str">
        <x:v>Move the open brown cup into the bowl.</x:v>
      </x:c>
      <x:c r="N21" s="31" t="str">
        <x:v>Reconstruct planned final training episode 104: brown cup B, brown cup A, glass spice container A; start=Recovery. Match camera, calibration, bowl pose, and object geometry exactly.</x:v>
      </x:c>
      <x:c r="O21" s="31" t="str">
        <x:v>brown cup B</x:v>
      </x:c>
      <x:c r="P21" s="31" t="str"/>
      <x:c r="Q21" s="31" t="str"/>
      <x:c r="R21" s="31" t="str"/>
      <x:c r="S21" s="31" t="str">
        <x:f>IF('Blind Scoring'!I21="","",'Blind Scoring'!I21)</x:f>
      </x:c>
      <x:c r="T21" s="31" t="str">
        <x:f>'Blind Scoring'!J21</x:f>
        <x:v>No</x:v>
      </x:c>
      <x:c r="U21" s="31" t="str">
        <x:f>IF('Blind Scoring'!L21="","",'Blind Scoring'!L21)</x:f>
      </x:c>
    </x:row>
    <x:row r="22" ht="44" customHeight="1">
      <x:c r="A22" s="35" t="str">
        <x:v>Not Started</x:v>
      </x:c>
      <x:c r="B22" s="35" t="n">
        <x:v>20</x:v>
      </x:c>
      <x:c r="C22" s="35" t="str">
        <x:v>P01</x:v>
      </x:c>
      <x:c r="D22" s="35" t="n">
        <x:v>21</x:v>
      </x:c>
      <x:c r="E22" s="35" t="str">
        <x:v>Primary VLA</x:v>
      </x:c>
      <x:c r="F22" s="35" t="str">
        <x:v>π0.5</x:v>
      </x:c>
      <x:c r="G22" s="35" t="n">
        <x:v>1</x:v>
      </x:c>
      <x:c r="H22" s="35" t="str">
        <x:v>State Recognition</x:v>
      </x:c>
      <x:c r="I22" s="35" t="str">
        <x:v>Novel layout + seen language</x:v>
      </x:c>
      <x:c r="J22" s="35" t="str">
        <x:v>PVLA-ST-NOV-03</x:v>
      </x:c>
      <x:c r="K22" s="35" t="str">
        <x:v>S-CF06</x:v>
      </x:c>
      <x:c r="L22" s="31" t="str">
        <x:v>Place the upside-down glass spice container in the bowl.</x:v>
      </x:c>
      <x:c r="M22" s="31" t="str">
        <x:v>Place the upside-down glass spice container in the bowl.</x:v>
      </x:c>
      <x:c r="N22" s="31" t="str">
        <x:v>S-CF06-SEEN: P1 white cup B=C/UR; P2 glass spice container A=O/UR [TARGET]; P3 glass spice container B=O/UD [COMPETITOR]; P4 yellow-white striped cup B=C/UD.</x:v>
      </x:c>
      <x:c r="O22" s="31" t="str">
        <x:v>glass spice container B</x:v>
      </x:c>
      <x:c r="P22" s="31" t="str"/>
      <x:c r="Q22" s="31" t="str"/>
      <x:c r="R22" s="31" t="str"/>
      <x:c r="S22" s="31" t="str">
        <x:f>IF('Blind Scoring'!I22="","",'Blind Scoring'!I22)</x:f>
      </x:c>
      <x:c r="T22" s="31" t="str">
        <x:f>'Blind Scoring'!J22</x:f>
        <x:v>No</x:v>
      </x:c>
      <x:c r="U22" s="31" t="str">
        <x:f>IF('Blind Scoring'!L22="","",'Blind Scoring'!L22)</x:f>
      </x:c>
    </x:row>
    <x:row r="23" ht="44" customHeight="1">
      <x:c r="A23" s="35" t="str">
        <x:v>Not Started</x:v>
      </x:c>
      <x:c r="B23" s="35" t="n">
        <x:v>21</x:v>
      </x:c>
      <x:c r="C23" s="35" t="str">
        <x:v>P01</x:v>
      </x:c>
      <x:c r="D23" s="35" t="n">
        <x:v>22</x:v>
      </x:c>
      <x:c r="E23" s="35" t="str">
        <x:v>Primary VLA</x:v>
      </x:c>
      <x:c r="F23" s="35" t="str">
        <x:v>π0.5</x:v>
      </x:c>
      <x:c r="G23" s="35" t="n">
        <x:v>1</x:v>
      </x:c>
      <x:c r="H23" s="35" t="str">
        <x:v>State Recognition</x:v>
      </x:c>
      <x:c r="I23" s="35" t="str">
        <x:v>Training reconstruction</x:v>
      </x:c>
      <x:c r="J23" s="35" t="str">
        <x:v>PVLA-ST-REC-03</x:v>
      </x:c>
      <x:c r="K23" s="35" t="str"/>
      <x:c r="L23" s="31" t="str">
        <x:v>Put a brown cup in the bowl.</x:v>
      </x:c>
      <x:c r="M23" s="31" t="str">
        <x:v>Put a brown cup in the bowl.</x:v>
      </x:c>
      <x:c r="N23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23" s="31" t="str">
        <x:v>brown cup B</x:v>
      </x:c>
      <x:c r="P23" s="31" t="str"/>
      <x:c r="Q23" s="31" t="str"/>
      <x:c r="R23" s="31" t="str"/>
      <x:c r="S23" s="31" t="str">
        <x:f>IF('Blind Scoring'!I23="","",'Blind Scoring'!I23)</x:f>
      </x:c>
      <x:c r="T23" s="31" t="str">
        <x:f>'Blind Scoring'!J23</x:f>
        <x:v>No</x:v>
      </x:c>
      <x:c r="U23" s="31" t="str">
        <x:f>IF('Blind Scoring'!L23="","",'Blind Scoring'!L23)</x:f>
      </x:c>
    </x:row>
    <x:row r="24" ht="44" customHeight="1">
      <x:c r="A24" s="35" t="str">
        <x:v>Not Started</x:v>
      </x:c>
      <x:c r="B24" s="35" t="n">
        <x:v>22</x:v>
      </x:c>
      <x:c r="C24" s="35" t="str">
        <x:v>P01</x:v>
      </x:c>
      <x:c r="D24" s="35" t="n">
        <x:v>23</x:v>
      </x:c>
      <x:c r="E24" s="35" t="str">
        <x:v>Primary VLA</x:v>
      </x:c>
      <x:c r="F24" s="35" t="str">
        <x:v>π0.5</x:v>
      </x:c>
      <x:c r="G24" s="35" t="n">
        <x:v>1</x:v>
      </x:c>
      <x:c r="H24" s="35" t="str">
        <x:v>State Recognition</x:v>
      </x:c>
      <x:c r="I24" s="35" t="str">
        <x:v>Main held-out transfer</x:v>
      </x:c>
      <x:c r="J24" s="35" t="str">
        <x:v>PVLA-ST-TR-12</x:v>
      </x:c>
      <x:c r="K24" s="35" t="str">
        <x:v>S-CF22</x:v>
      </x:c>
      <x:c r="L24" s="31" t="str">
        <x:v>Place the upright glass spice container in the bowl.</x:v>
      </x:c>
      <x:c r="M24" s="31" t="str">
        <x:v>Place the upright glass spice container in the bowl.</x:v>
      </x:c>
      <x:c r="N24" s="31" t="str">
        <x:v>S-CF22-HELD: P1 white cup B=C/UR; P2 glass spice container A=O/UR [TARGET]; P3 glass spice container B=O/UD [COMPETITOR]; P4 yellow-white striped cup B=C/UD.</x:v>
      </x:c>
      <x:c r="O24" s="31" t="str">
        <x:v>glass spice container A</x:v>
      </x:c>
      <x:c r="P24" s="31" t="str"/>
      <x:c r="Q24" s="31" t="str"/>
      <x:c r="R24" s="31" t="str"/>
      <x:c r="S24" s="31" t="str">
        <x:f>IF('Blind Scoring'!I24="","",'Blind Scoring'!I24)</x:f>
      </x:c>
      <x:c r="T24" s="31" t="str">
        <x:f>'Blind Scoring'!J24</x:f>
        <x:v>No</x:v>
      </x:c>
      <x:c r="U24" s="31" t="str">
        <x:f>IF('Blind Scoring'!L24="","",'Blind Scoring'!L24)</x:f>
      </x:c>
    </x:row>
    <x:row r="25" ht="44" customHeight="1">
      <x:c r="A25" s="35" t="str">
        <x:v>Not Started</x:v>
      </x:c>
      <x:c r="B25" s="35" t="n">
        <x:v>23</x:v>
      </x:c>
      <x:c r="C25" s="35" t="str">
        <x:v>P01</x:v>
      </x:c>
      <x:c r="D25" s="35" t="n">
        <x:v>24</x:v>
      </x:c>
      <x:c r="E25" s="35" t="str">
        <x:v>Primary VLA</x:v>
      </x:c>
      <x:c r="F25" s="35" t="str">
        <x:v>π0.5</x:v>
      </x:c>
      <x:c r="G25" s="35" t="n">
        <x:v>1</x:v>
      </x:c>
      <x:c r="H25" s="35" t="str">
        <x:v>State Recognition</x:v>
      </x:c>
      <x:c r="I25" s="35" t="str">
        <x:v>Main held-out transfer</x:v>
      </x:c>
      <x:c r="J25" s="35" t="str">
        <x:v>PVLA-ST-TR-06</x:v>
      </x:c>
      <x:c r="K25" s="35" t="str">
        <x:v>S-CF11</x:v>
      </x:c>
      <x:c r="L25" s="31" t="str">
        <x:v>Place the closed glass spice container in the bowl.</x:v>
      </x:c>
      <x:c r="M25" s="31" t="str">
        <x:v>Place the closed glass spice container in the bowl.</x:v>
      </x:c>
      <x:c r="N25" s="31" t="str">
        <x:v>S-CF11-HELD: P1 white cup A=C/UR; P2 yellow-white striped cup A=O/UR; P3 glass spice container B=C/UD [TARGET]; P4 glass spice container A=O/UD [COMPETITOR].</x:v>
      </x:c>
      <x:c r="O25" s="31" t="str">
        <x:v>glass spice container B</x:v>
      </x:c>
      <x:c r="P25" s="31" t="str"/>
      <x:c r="Q25" s="31" t="str"/>
      <x:c r="R25" s="31" t="str"/>
      <x:c r="S25" s="31" t="str">
        <x:f>IF('Blind Scoring'!I25="","",'Blind Scoring'!I25)</x:f>
      </x:c>
      <x:c r="T25" s="31" t="str">
        <x:f>'Blind Scoring'!J25</x:f>
        <x:v>No</x:v>
      </x:c>
      <x:c r="U25" s="31" t="str">
        <x:f>IF('Blind Scoring'!L25="","",'Blind Scoring'!L25)</x:f>
      </x:c>
    </x:row>
    <x:row r="26" ht="44" customHeight="1">
      <x:c r="A26" s="35" t="str">
        <x:v>Not Started</x:v>
      </x:c>
      <x:c r="B26" s="35" t="n">
        <x:v>24</x:v>
      </x:c>
      <x:c r="C26" s="35" t="str">
        <x:v>P01</x:v>
      </x:c>
      <x:c r="D26" s="35" t="n">
        <x:v>25</x:v>
      </x:c>
      <x:c r="E26" s="35" t="str">
        <x:v>Primary VLA</x:v>
      </x:c>
      <x:c r="F26" s="35" t="str">
        <x:v>π0.5</x:v>
      </x:c>
      <x:c r="G26" s="35" t="n">
        <x:v>1</x:v>
      </x:c>
      <x:c r="H26" s="35" t="str">
        <x:v>State Recognition</x:v>
      </x:c>
      <x:c r="I26" s="35" t="str">
        <x:v>Language ablation — blank</x:v>
      </x:c>
      <x:c r="J26" s="35" t="str">
        <x:v>PVLA-ST-ABL-BLK-04</x:v>
      </x:c>
      <x:c r="K26" s="35" t="str">
        <x:v>S-CF07</x:v>
      </x:c>
      <x:c r="L26" s="31" t="str">
        <x:v>[EMPTY STRING — provide no instruction tokens]</x:v>
      </x:c>
      <x:c r="M26" s="31" t="str">
        <x:v>Place the closed yellow-white striped cup in the bowl.</x:v>
      </x:c>
      <x:c r="N26" s="31" t="str">
        <x:v>S-CF07-HELD: P1 brown cup A=C/UR; P2 glass spice container A=O/UR; P3 yellow-white striped cup A=C/UD [TARGET]; P4 yellow-white striped cup B=O/UD [COMPETITOR].</x:v>
      </x:c>
      <x:c r="O26" s="31" t="str">
        <x:v>No prespecified task success under blank language; record any action/selected target.</x:v>
      </x:c>
      <x:c r="P26" s="31" t="str"/>
      <x:c r="Q26" s="31" t="str"/>
      <x:c r="R26" s="31" t="str"/>
      <x:c r="S26" s="31" t="str">
        <x:f>IF('Blind Scoring'!I26="","",'Blind Scoring'!I26)</x:f>
      </x:c>
      <x:c r="T26" s="31" t="str">
        <x:f>'Blind Scoring'!J26</x:f>
        <x:v>No</x:v>
      </x:c>
      <x:c r="U26" s="31" t="str">
        <x:f>IF('Blind Scoring'!L26="","",'Blind Scoring'!L26)</x:f>
      </x:c>
    </x:row>
    <x:row r="27" ht="44" customHeight="1">
      <x:c r="A27" s="35" t="str">
        <x:v>Not Started</x:v>
      </x:c>
      <x:c r="B27" s="35" t="n">
        <x:v>25</x:v>
      </x:c>
      <x:c r="C27" s="35" t="str">
        <x:v>P01</x:v>
      </x:c>
      <x:c r="D27" s="35" t="n">
        <x:v>26</x:v>
      </x:c>
      <x:c r="E27" s="35" t="str">
        <x:v>Primary VLA</x:v>
      </x:c>
      <x:c r="F27" s="35" t="str">
        <x:v>π0.5</x:v>
      </x:c>
      <x:c r="G27" s="35" t="n">
        <x:v>1</x:v>
      </x:c>
      <x:c r="H27" s="35" t="str">
        <x:v>State Recognition</x:v>
      </x:c>
      <x:c r="I27" s="35" t="str">
        <x:v>Main matched control</x:v>
      </x:c>
      <x:c r="J27" s="35" t="str">
        <x:v>PVLA-ST-CTL-01</x:v>
      </x:c>
      <x:c r="K27" s="35" t="str">
        <x:v>S-CF01</x:v>
      </x:c>
      <x:c r="L27" s="31" t="str">
        <x:v>Place a white cup in the bowl.</x:v>
      </x:c>
      <x:c r="M27" s="31" t="str">
        <x:v>Place a white cup in the bowl.</x:v>
      </x:c>
      <x:c r="N27" s="31" t="str">
        <x:v>S-CF01-CTRL: P1 white cup A=C/UR [TARGET]; P3 yellow-white striped cup A=C/UD; P4 brown cup B=O/UD.</x:v>
      </x:c>
      <x:c r="O27" s="31" t="str">
        <x:v>white cup A</x:v>
      </x:c>
      <x:c r="P27" s="31" t="str"/>
      <x:c r="Q27" s="31" t="str"/>
      <x:c r="R27" s="31" t="str"/>
      <x:c r="S27" s="31" t="str">
        <x:f>IF('Blind Scoring'!I27="","",'Blind Scoring'!I27)</x:f>
      </x:c>
      <x:c r="T27" s="31" t="str">
        <x:f>'Blind Scoring'!J27</x:f>
        <x:v>No</x:v>
      </x:c>
      <x:c r="U27" s="31" t="str">
        <x:f>IF('Blind Scoring'!L27="","",'Blind Scoring'!L27)</x:f>
      </x:c>
    </x:row>
    <x:row r="28" ht="44" customHeight="1">
      <x:c r="A28" s="35" t="str">
        <x:v>Not Started</x:v>
      </x:c>
      <x:c r="B28" s="35" t="n">
        <x:v>26</x:v>
      </x:c>
      <x:c r="C28" s="35" t="str">
        <x:v>P01</x:v>
      </x:c>
      <x:c r="D28" s="35" t="n">
        <x:v>27</x:v>
      </x:c>
      <x:c r="E28" s="35" t="str">
        <x:v>Primary VLA</x:v>
      </x:c>
      <x:c r="F28" s="35" t="str">
        <x:v>π0.5</x:v>
      </x:c>
      <x:c r="G28" s="35" t="n">
        <x:v>1</x:v>
      </x:c>
      <x:c r="H28" s="35" t="str">
        <x:v>State Recognition</x:v>
      </x:c>
      <x:c r="I28" s="35" t="str">
        <x:v>Training reconstruction</x:v>
      </x:c>
      <x:c r="J28" s="35" t="str">
        <x:v>PVLA-ST-REC-05</x:v>
      </x:c>
      <x:c r="K28" s="35" t="str"/>
      <x:c r="L28" s="31" t="str">
        <x:v>Put the open glass spice container in the bowl.</x:v>
      </x:c>
      <x:c r="M28" s="31" t="str">
        <x:v>Put the open glass spice container in the bowl.</x:v>
      </x:c>
      <x:c r="N28" s="31" t="str">
        <x:v>Reconstruct planned final training episode 160: glass spice container B, glass spice container A, yellow-white striped cup B; start=Home. Match camera, calibration, bowl pose, and object geometry exactly.</x:v>
      </x:c>
      <x:c r="O28" s="31" t="str">
        <x:v>glass spice container B</x:v>
      </x:c>
      <x:c r="P28" s="31" t="str"/>
      <x:c r="Q28" s="31" t="str"/>
      <x:c r="R28" s="31" t="str"/>
      <x:c r="S28" s="31" t="str">
        <x:f>IF('Blind Scoring'!I28="","",'Blind Scoring'!I28)</x:f>
      </x:c>
      <x:c r="T28" s="31" t="str">
        <x:f>'Blind Scoring'!J28</x:f>
        <x:v>No</x:v>
      </x:c>
      <x:c r="U28" s="31" t="str">
        <x:f>IF('Blind Scoring'!L28="","",'Blind Scoring'!L28)</x:f>
      </x:c>
    </x:row>
    <x:row r="29" ht="44" customHeight="1">
      <x:c r="A29" s="35" t="str">
        <x:v>Not Started</x:v>
      </x:c>
      <x:c r="B29" s="35" t="n">
        <x:v>27</x:v>
      </x:c>
      <x:c r="C29" s="35" t="str">
        <x:v>P01</x:v>
      </x:c>
      <x:c r="D29" s="35" t="n">
        <x:v>28</x:v>
      </x:c>
      <x:c r="E29" s="35" t="str">
        <x:v>Primary VLA</x:v>
      </x:c>
      <x:c r="F29" s="35" t="str">
        <x:v>π0.5</x:v>
      </x:c>
      <x:c r="G29" s="35" t="n">
        <x:v>1</x:v>
      </x:c>
      <x:c r="H29" s="35" t="str">
        <x:v>State Recognition</x:v>
      </x:c>
      <x:c r="I29" s="35" t="str">
        <x:v>Main held-out transfer</x:v>
      </x:c>
      <x:c r="J29" s="35" t="str">
        <x:v>PVLA-ST-TR-05</x:v>
      </x:c>
      <x:c r="K29" s="35" t="str">
        <x:v>S-CF09</x:v>
      </x:c>
      <x:c r="L29" s="31" t="str">
        <x:v>Place the closed white cup in the bowl.</x:v>
      </x:c>
      <x:c r="M29" s="31" t="str">
        <x:v>Place the closed white cup in the bowl.</x:v>
      </x:c>
      <x:c r="N29" s="31" t="str">
        <x:v>S-CF09-HELD: P1 white cup A=C/UR [TARGET]; P2 white cup B=O/UR [COMPETITOR]; P3 yellow-white striped cup A=C/UD; P4 brown cup B=O/UD.</x:v>
      </x:c>
      <x:c r="O29" s="31" t="str">
        <x:v>white cup A</x:v>
      </x:c>
      <x:c r="P29" s="31" t="str"/>
      <x:c r="Q29" s="31" t="str"/>
      <x:c r="R29" s="31" t="str"/>
      <x:c r="S29" s="31" t="str">
        <x:f>IF('Blind Scoring'!I29="","",'Blind Scoring'!I29)</x:f>
      </x:c>
      <x:c r="T29" s="31" t="str">
        <x:f>'Blind Scoring'!J29</x:f>
        <x:v>No</x:v>
      </x:c>
      <x:c r="U29" s="31" t="str">
        <x:f>IF('Blind Scoring'!L29="","",'Blind Scoring'!L29)</x:f>
      </x:c>
    </x:row>
    <x:row r="30" ht="44" customHeight="1">
      <x:c r="A30" s="35" t="str">
        <x:v>Not Started</x:v>
      </x:c>
      <x:c r="B30" s="35" t="n">
        <x:v>28</x:v>
      </x:c>
      <x:c r="C30" s="35" t="str">
        <x:v>P01</x:v>
      </x:c>
      <x:c r="D30" s="35" t="n">
        <x:v>29</x:v>
      </x:c>
      <x:c r="E30" s="35" t="str">
        <x:v>Primary VLA</x:v>
      </x:c>
      <x:c r="F30" s="35" t="str">
        <x:v>π0.5</x:v>
      </x:c>
      <x:c r="G30" s="35" t="n">
        <x:v>1</x:v>
      </x:c>
      <x:c r="H30" s="35" t="str">
        <x:v>State Recognition</x:v>
      </x:c>
      <x:c r="I30" s="35" t="str">
        <x:v>Main held-out transfer</x:v>
      </x:c>
      <x:c r="J30" s="35" t="str">
        <x:v>PVLA-ST-TR-08</x:v>
      </x:c>
      <x:c r="K30" s="35" t="str">
        <x:v>S-CF15</x:v>
      </x:c>
      <x:c r="L30" s="31" t="str">
        <x:v>Place the closed yellow-white striped cup in the bowl.</x:v>
      </x:c>
      <x:c r="M30" s="31" t="str">
        <x:v>Place the closed yellow-white striped cup in the bowl.</x:v>
      </x:c>
      <x:c r="N30" s="31" t="str">
        <x:v>S-CF15-HELD: P1 brown cup A=C/UR; P2 glass spice container A=O/UR; P3 yellow-white striped cup A=C/UD [TARGET]; P4 yellow-white striped cup B=O/UD [COMPETITOR].</x:v>
      </x:c>
      <x:c r="O30" s="31" t="str">
        <x:v>yellow-white striped cup A</x:v>
      </x:c>
      <x:c r="P30" s="31" t="str"/>
      <x:c r="Q30" s="31" t="str"/>
      <x:c r="R30" s="31" t="str"/>
      <x:c r="S30" s="31" t="str">
        <x:f>IF('Blind Scoring'!I30="","",'Blind Scoring'!I30)</x:f>
      </x:c>
      <x:c r="T30" s="31" t="str">
        <x:f>'Blind Scoring'!J30</x:f>
        <x:v>No</x:v>
      </x:c>
      <x:c r="U30" s="31" t="str">
        <x:f>IF('Blind Scoring'!L30="","",'Blind Scoring'!L30)</x:f>
      </x:c>
    </x:row>
    <x:row r="31" ht="44" customHeight="1">
      <x:c r="A31" s="35" t="str">
        <x:v>Not Started</x:v>
      </x:c>
      <x:c r="B31" s="35" t="n">
        <x:v>29</x:v>
      </x:c>
      <x:c r="C31" s="35" t="str">
        <x:v>P01</x:v>
      </x:c>
      <x:c r="D31" s="35" t="n">
        <x:v>30</x:v>
      </x:c>
      <x:c r="E31" s="35" t="str">
        <x:v>Primary VLA</x:v>
      </x:c>
      <x:c r="F31" s="35" t="str">
        <x:v>π0.5</x:v>
      </x:c>
      <x:c r="G31" s="35" t="n">
        <x:v>1</x:v>
      </x:c>
      <x:c r="H31" s="35" t="str">
        <x:v>State Recognition</x:v>
      </x:c>
      <x:c r="I31" s="35" t="str">
        <x:v>Main held-out transfer</x:v>
      </x:c>
      <x:c r="J31" s="35" t="str">
        <x:v>PVLA-ST-TR-09</x:v>
      </x:c>
      <x:c r="K31" s="35" t="str">
        <x:v>S-CF16</x:v>
      </x:c>
      <x:c r="L31" s="31" t="str">
        <x:v>Place the upright brown cup in the bowl.</x:v>
      </x:c>
      <x:c r="M31" s="31" t="str">
        <x:v>Place the upright brown cup in the bowl.</x:v>
      </x:c>
      <x:c r="N31" s="31" t="str">
        <x:v>S-CF16-HELD: P1 brown cup A=C/UD [COMPETITOR]; P2 glass spice container B=O/UR; P3 white cup A=O/UD; P4 brown cup B=C/UR [TARGET].</x:v>
      </x:c>
      <x:c r="O31" s="31" t="str">
        <x:v>brown cup B</x:v>
      </x:c>
      <x:c r="P31" s="31" t="str"/>
      <x:c r="Q31" s="31" t="str"/>
      <x:c r="R31" s="31" t="str"/>
      <x:c r="S31" s="31" t="str">
        <x:f>IF('Blind Scoring'!I31="","",'Blind Scoring'!I31)</x:f>
      </x:c>
      <x:c r="T31" s="31" t="str">
        <x:f>'Blind Scoring'!J31</x:f>
        <x:v>No</x:v>
      </x:c>
      <x:c r="U31" s="31" t="str">
        <x:f>IF('Blind Scoring'!L31="","",'Blind Scoring'!L31)</x:f>
      </x:c>
    </x:row>
    <x:row r="32" ht="44" customHeight="1">
      <x:c r="A32" s="35" t="str">
        <x:v>Not Started</x:v>
      </x:c>
      <x:c r="B32" s="35" t="n">
        <x:v>30</x:v>
      </x:c>
      <x:c r="C32" s="35" t="str">
        <x:v>P01</x:v>
      </x:c>
      <x:c r="D32" s="35" t="n">
        <x:v>31</x:v>
      </x:c>
      <x:c r="E32" s="35" t="str">
        <x:v>Primary VLA</x:v>
      </x:c>
      <x:c r="F32" s="35" t="str">
        <x:v>π0.5</x:v>
      </x:c>
      <x:c r="G32" s="35" t="n">
        <x:v>1</x:v>
      </x:c>
      <x:c r="H32" s="35" t="str">
        <x:v>State Recognition</x:v>
      </x:c>
      <x:c r="I32" s="35" t="str">
        <x:v>Novel layout + seen language</x:v>
      </x:c>
      <x:c r="J32" s="35" t="str">
        <x:v>PVLA-ST-NOV-05</x:v>
      </x:c>
      <x:c r="K32" s="35" t="str">
        <x:v>S-CF12</x:v>
      </x:c>
      <x:c r="L32" s="31" t="str">
        <x:v>Place the upside-down white cup in the bowl.</x:v>
      </x:c>
      <x:c r="M32" s="31" t="str">
        <x:v>Place the upside-down white cup in the bowl.</x:v>
      </x:c>
      <x:c r="N32" s="31" t="str">
        <x:v>S-CF12-SEEN: P1 white cup A=C/UD [COMPETITOR]; P2 yellow-white striped cup B=O/UR; P3 brown cup A=O/UD; P4 white cup B=C/UR [TARGET].</x:v>
      </x:c>
      <x:c r="O32" s="31" t="str">
        <x:v>white cup A</x:v>
      </x:c>
      <x:c r="P32" s="31" t="str"/>
      <x:c r="Q32" s="31" t="str"/>
      <x:c r="R32" s="31" t="str"/>
      <x:c r="S32" s="31" t="str">
        <x:f>IF('Blind Scoring'!I32="","",'Blind Scoring'!I32)</x:f>
      </x:c>
      <x:c r="T32" s="31" t="str">
        <x:f>'Blind Scoring'!J32</x:f>
        <x:v>No</x:v>
      </x:c>
      <x:c r="U32" s="31" t="str">
        <x:f>IF('Blind Scoring'!L32="","",'Blind Scoring'!L32)</x:f>
      </x:c>
    </x:row>
    <x:row r="33" ht="44" customHeight="1">
      <x:c r="A33" s="35" t="str">
        <x:v>Not Started</x:v>
      </x:c>
      <x:c r="B33" s="35" t="n">
        <x:v>31</x:v>
      </x:c>
      <x:c r="C33" s="35" t="str">
        <x:v>P01</x:v>
      </x:c>
      <x:c r="D33" s="35" t="n">
        <x:v>32</x:v>
      </x:c>
      <x:c r="E33" s="35" t="str">
        <x:v>Primary VLA</x:v>
      </x:c>
      <x:c r="F33" s="35" t="str">
        <x:v>π0.5</x:v>
      </x:c>
      <x:c r="G33" s="35" t="n">
        <x:v>1</x:v>
      </x:c>
      <x:c r="H33" s="35" t="str">
        <x:v>State Recognition</x:v>
      </x:c>
      <x:c r="I33" s="35" t="str">
        <x:v>Main matched control</x:v>
      </x:c>
      <x:c r="J33" s="35" t="str">
        <x:v>PVLA-ST-CTL-06</x:v>
      </x:c>
      <x:c r="K33" s="35" t="str">
        <x:v>S-CF11</x:v>
      </x:c>
      <x:c r="L33" s="31" t="str">
        <x:v>Place a glass spice container in the bowl.</x:v>
      </x:c>
      <x:c r="M33" s="31" t="str">
        <x:v>Place a glass spice container in the bowl.</x:v>
      </x:c>
      <x:c r="N33" s="31" t="str">
        <x:v>S-CF11-CTRL: P1 white cup A=C/UR; P2 yellow-white striped cup A=O/UR; P3 glass spice container B=C/UD [TARGET].</x:v>
      </x:c>
      <x:c r="O33" s="31" t="str">
        <x:v>glass spice container B</x:v>
      </x:c>
      <x:c r="P33" s="31" t="str"/>
      <x:c r="Q33" s="31" t="str"/>
      <x:c r="R33" s="31" t="str"/>
      <x:c r="S33" s="31" t="str">
        <x:f>IF('Blind Scoring'!I33="","",'Blind Scoring'!I33)</x:f>
      </x:c>
      <x:c r="T33" s="31" t="str">
        <x:f>'Blind Scoring'!J33</x:f>
        <x:v>No</x:v>
      </x:c>
      <x:c r="U33" s="31" t="str">
        <x:f>IF('Blind Scoring'!L33="","",'Blind Scoring'!L33)</x:f>
      </x:c>
    </x:row>
    <x:row r="34" ht="44" customHeight="1">
      <x:c r="A34" s="35" t="str">
        <x:v>Not Started</x:v>
      </x:c>
      <x:c r="B34" s="35" t="n">
        <x:v>32</x:v>
      </x:c>
      <x:c r="C34" s="35" t="str">
        <x:v>P01</x:v>
      </x:c>
      <x:c r="D34" s="35" t="n">
        <x:v>33</x:v>
      </x:c>
      <x:c r="E34" s="35" t="str">
        <x:v>Primary VLA</x:v>
      </x:c>
      <x:c r="F34" s="35" t="str">
        <x:v>π0.5</x:v>
      </x:c>
      <x:c r="G34" s="35" t="n">
        <x:v>1</x:v>
      </x:c>
      <x:c r="H34" s="35" t="str">
        <x:v>State Recognition</x:v>
      </x:c>
      <x:c r="I34" s="35" t="str">
        <x:v>Exact-scene paraphrase</x:v>
      </x:c>
      <x:c r="J34" s="35" t="str">
        <x:v>PVLA-ST-PAR-04</x:v>
      </x:c>
      <x:c r="K34" s="35" t="str">
        <x:v>S-CF09</x:v>
      </x:c>
      <x:c r="L34" s="31" t="str">
        <x:v>Move the white cup that is open into the bowl.</x:v>
      </x:c>
      <x:c r="M34" s="31" t="str">
        <x:v>Move the white cup that is open into the bowl.</x:v>
      </x:c>
      <x:c r="N34" s="31" t="str">
        <x:v>S-CF09-PARA: P1 white cup A=C/UR [TARGET]; P2 white cup B=O/UR [COMPETITOR]; P3 yellow-white striped cup A=C/UD; P4 brown cup B=O/UD.</x:v>
      </x:c>
      <x:c r="O34" s="31" t="str">
        <x:v>white cup B</x:v>
      </x:c>
      <x:c r="P34" s="31" t="str"/>
      <x:c r="Q34" s="31" t="str"/>
      <x:c r="R34" s="31" t="str"/>
      <x:c r="S34" s="31" t="str">
        <x:f>IF('Blind Scoring'!I34="","",'Blind Scoring'!I34)</x:f>
      </x:c>
      <x:c r="T34" s="31" t="str">
        <x:f>'Blind Scoring'!J34</x:f>
        <x:v>No</x:v>
      </x:c>
      <x:c r="U34" s="31" t="str">
        <x:f>IF('Blind Scoring'!L34="","",'Blind Scoring'!L34)</x:f>
      </x:c>
    </x:row>
    <x:row r="35" ht="44" customHeight="1">
      <x:c r="A35" s="35" t="str">
        <x:v>Not Started</x:v>
      </x:c>
      <x:c r="B35" s="35" t="n">
        <x:v>33</x:v>
      </x:c>
      <x:c r="C35" s="35" t="str">
        <x:v>P01</x:v>
      </x:c>
      <x:c r="D35" s="35" t="n">
        <x:v>34</x:v>
      </x:c>
      <x:c r="E35" s="35" t="str">
        <x:v>Primary VLA</x:v>
      </x:c>
      <x:c r="F35" s="35" t="str">
        <x:v>π0.5</x:v>
      </x:c>
      <x:c r="G35" s="35" t="n">
        <x:v>1</x:v>
      </x:c>
      <x:c r="H35" s="35" t="str">
        <x:v>State Recognition</x:v>
      </x:c>
      <x:c r="I35" s="35" t="str">
        <x:v>Main matched control</x:v>
      </x:c>
      <x:c r="J35" s="35" t="str">
        <x:v>PVLA-ST-CTL-14</x:v>
      </x:c>
      <x:c r="K35" s="35" t="str">
        <x:v>S-CF26</x:v>
      </x:c>
      <x:c r="L35" s="31" t="str">
        <x:v>Place a yellow-white striped cup in the bowl.</x:v>
      </x:c>
      <x:c r="M35" s="31" t="str">
        <x:v>Place a yellow-white striped cup in the bowl.</x:v>
      </x:c>
      <x:c r="N35" s="31" t="str">
        <x:v>S-CF26-CTRL: P1 brown cup B=C/UR; P2 yellow-white striped cup B=O/UR [TARGET]; P4 glass spice container B=C/UD.</x:v>
      </x:c>
      <x:c r="O35" s="31" t="str">
        <x:v>yellow-white striped cup B</x:v>
      </x:c>
      <x:c r="P35" s="31" t="str"/>
      <x:c r="Q35" s="31" t="str"/>
      <x:c r="R35" s="31" t="str"/>
      <x:c r="S35" s="31" t="str">
        <x:f>IF('Blind Scoring'!I35="","",'Blind Scoring'!I35)</x:f>
      </x:c>
      <x:c r="T35" s="31" t="str">
        <x:f>'Blind Scoring'!J35</x:f>
        <x:v>No</x:v>
      </x:c>
      <x:c r="U35" s="31" t="str">
        <x:f>IF('Blind Scoring'!L35="","",'Blind Scoring'!L35)</x:f>
      </x:c>
    </x:row>
    <x:row r="36" ht="44" customHeight="1">
      <x:c r="A36" s="35" t="str">
        <x:v>Not Started</x:v>
      </x:c>
      <x:c r="B36" s="35" t="n">
        <x:v>34</x:v>
      </x:c>
      <x:c r="C36" s="35" t="str">
        <x:v>P01</x:v>
      </x:c>
      <x:c r="D36" s="35" t="n">
        <x:v>35</x:v>
      </x:c>
      <x:c r="E36" s="35" t="str">
        <x:v>Primary VLA</x:v>
      </x:c>
      <x:c r="F36" s="35" t="str">
        <x:v>π0.5</x:v>
      </x:c>
      <x:c r="G36" s="35" t="n">
        <x:v>1</x:v>
      </x:c>
      <x:c r="H36" s="35" t="str">
        <x:v>State Recognition</x:v>
      </x:c>
      <x:c r="I36" s="35" t="str">
        <x:v>Main held-out transfer</x:v>
      </x:c>
      <x:c r="J36" s="35" t="str">
        <x:v>PVLA-ST-TR-10</x:v>
      </x:c>
      <x:c r="K36" s="35" t="str">
        <x:v>S-CF18</x:v>
      </x:c>
      <x:c r="L36" s="31" t="str">
        <x:v>Place the upright yellow-white striped cup in the bowl.</x:v>
      </x:c>
      <x:c r="M36" s="31" t="str">
        <x:v>Place the upright yellow-white striped cup in the bowl.</x:v>
      </x:c>
      <x:c r="N36" s="31" t="str">
        <x:v>S-CF18-HELD: P1 brown cup B=C/UR; P2 yellow-white striped cup B=O/UR [TARGET]; P3 yellow-white striped cup A=O/UD [COMPETITOR]; P4 glass spice container B=C/UD.</x:v>
      </x:c>
      <x:c r="O36" s="31" t="str">
        <x:v>yellow-white striped cup B</x:v>
      </x:c>
      <x:c r="P36" s="31" t="str"/>
      <x:c r="Q36" s="31" t="str"/>
      <x:c r="R36" s="31" t="str"/>
      <x:c r="S36" s="31" t="str">
        <x:f>IF('Blind Scoring'!I36="","",'Blind Scoring'!I36)</x:f>
      </x:c>
      <x:c r="T36" s="31" t="str">
        <x:f>'Blind Scoring'!J36</x:f>
        <x:v>No</x:v>
      </x:c>
      <x:c r="U36" s="31" t="str">
        <x:f>IF('Blind Scoring'!L36="","",'Blind Scoring'!L36)</x:f>
      </x:c>
    </x:row>
    <x:row r="37" ht="44" customHeight="1">
      <x:c r="A37" s="35" t="str">
        <x:v>Not Started</x:v>
      </x:c>
      <x:c r="B37" s="35" t="n">
        <x:v>35</x:v>
      </x:c>
      <x:c r="C37" s="35" t="str">
        <x:v>P01</x:v>
      </x:c>
      <x:c r="D37" s="35" t="n">
        <x:v>36</x:v>
      </x:c>
      <x:c r="E37" s="35" t="str">
        <x:v>Primary VLA</x:v>
      </x:c>
      <x:c r="F37" s="35" t="str">
        <x:v>π0.5</x:v>
      </x:c>
      <x:c r="G37" s="35" t="n">
        <x:v>1</x:v>
      </x:c>
      <x:c r="H37" s="35" t="str">
        <x:v>State Recognition</x:v>
      </x:c>
      <x:c r="I37" s="35" t="str">
        <x:v>Language ablation — blank</x:v>
      </x:c>
      <x:c r="J37" s="35" t="str">
        <x:v>PVLA-ST-ABL-BLK-03</x:v>
      </x:c>
      <x:c r="K37" s="35" t="str">
        <x:v>S-CF05</x:v>
      </x:c>
      <x:c r="L37" s="31" t="str">
        <x:v>[EMPTY STRING — provide no instruction tokens]</x:v>
      </x:c>
      <x:c r="M37" s="31" t="str">
        <x:v>Place the closed brown cup in the bowl.</x:v>
      </x:c>
      <x:c r="N37" s="31" t="str">
        <x:v>S-CF05-HELD: P1 brown cup A=C/UR [TARGET]; P2 brown cup B=O/UR [COMPETITOR]; P3 glass spice container A=C/UD; P4 white cup B=O/UD.</x:v>
      </x:c>
      <x:c r="O37" s="31" t="str">
        <x:v>No prespecified task success under blank language; record any action/selected target.</x:v>
      </x:c>
      <x:c r="P37" s="31" t="str"/>
      <x:c r="Q37" s="31" t="str"/>
      <x:c r="R37" s="31" t="str"/>
      <x:c r="S37" s="31" t="str">
        <x:f>IF('Blind Scoring'!I37="","",'Blind Scoring'!I37)</x:f>
      </x:c>
      <x:c r="T37" s="31" t="str">
        <x:f>'Blind Scoring'!J37</x:f>
        <x:v>No</x:v>
      </x:c>
      <x:c r="U37" s="31" t="str">
        <x:f>IF('Blind Scoring'!L37="","",'Blind Scoring'!L37)</x:f>
      </x:c>
    </x:row>
    <x:row r="38" ht="44" customHeight="1">
      <x:c r="A38" s="35" t="str">
        <x:v>Not Started</x:v>
      </x:c>
      <x:c r="B38" s="35" t="n">
        <x:v>36</x:v>
      </x:c>
      <x:c r="C38" s="35" t="str">
        <x:v>P01</x:v>
      </x:c>
      <x:c r="D38" s="35" t="n">
        <x:v>37</x:v>
      </x:c>
      <x:c r="E38" s="35" t="str">
        <x:v>Primary VLA</x:v>
      </x:c>
      <x:c r="F38" s="35" t="str">
        <x:v>π0.5</x:v>
      </x:c>
      <x:c r="G38" s="35" t="n">
        <x:v>1</x:v>
      </x:c>
      <x:c r="H38" s="35" t="str">
        <x:v>State Recognition</x:v>
      </x:c>
      <x:c r="I38" s="35" t="str">
        <x:v>Main matched control</x:v>
      </x:c>
      <x:c r="J38" s="35" t="str">
        <x:v>PVLA-ST-CTL-12</x:v>
      </x:c>
      <x:c r="K38" s="35" t="str">
        <x:v>S-CF22</x:v>
      </x:c>
      <x:c r="L38" s="31" t="str">
        <x:v>Place a glass spice container in the bowl.</x:v>
      </x:c>
      <x:c r="M38" s="31" t="str">
        <x:v>Place a glass spice container in the bowl.</x:v>
      </x:c>
      <x:c r="N38" s="31" t="str">
        <x:v>S-CF22-CTRL: P1 white cup B=C/UR; P2 glass spice container A=O/UR [TARGET]; P4 yellow-white striped cup B=C/UD.</x:v>
      </x:c>
      <x:c r="O38" s="31" t="str">
        <x:v>glass spice container A</x:v>
      </x:c>
      <x:c r="P38" s="31" t="str"/>
      <x:c r="Q38" s="31" t="str"/>
      <x:c r="R38" s="31" t="str"/>
      <x:c r="S38" s="31" t="str">
        <x:f>IF('Blind Scoring'!I38="","",'Blind Scoring'!I38)</x:f>
      </x:c>
      <x:c r="T38" s="31" t="str">
        <x:f>'Blind Scoring'!J38</x:f>
        <x:v>No</x:v>
      </x:c>
      <x:c r="U38" s="31" t="str">
        <x:f>IF('Blind Scoring'!L38="","",'Blind Scoring'!L38)</x:f>
      </x:c>
    </x:row>
    <x:row r="39" ht="44" customHeight="1">
      <x:c r="A39" s="35" t="str">
        <x:v>Not Started</x:v>
      </x:c>
      <x:c r="B39" s="35" t="n">
        <x:v>37</x:v>
      </x:c>
      <x:c r="C39" s="35" t="str">
        <x:v>P01</x:v>
      </x:c>
      <x:c r="D39" s="35" t="n">
        <x:v>38</x:v>
      </x:c>
      <x:c r="E39" s="35" t="str">
        <x:v>Primary VLA</x:v>
      </x:c>
      <x:c r="F39" s="35" t="str">
        <x:v>π0.5</x:v>
      </x:c>
      <x:c r="G39" s="35" t="n">
        <x:v>1</x:v>
      </x:c>
      <x:c r="H39" s="35" t="str">
        <x:v>State Recognition</x:v>
      </x:c>
      <x:c r="I39" s="35" t="str">
        <x:v>Exact-scene paraphrase</x:v>
      </x:c>
      <x:c r="J39" s="35" t="str">
        <x:v>PVLA-ST-PAR-03</x:v>
      </x:c>
      <x:c r="K39" s="35" t="str">
        <x:v>S-CF06</x:v>
      </x:c>
      <x:c r="L39" s="31" t="str">
        <x:v>Move the overturned glass spice container into the bowl.</x:v>
      </x:c>
      <x:c r="M39" s="31" t="str">
        <x:v>Move the overturned glass spice container into the bowl.</x:v>
      </x:c>
      <x:c r="N39" s="31" t="str">
        <x:v>S-CF06-PARA: P1 white cup B=C/UR; P2 glass spice container A=O/UR [TARGET]; P3 glass spice container B=O/UD [COMPETITOR]; P4 yellow-white striped cup B=C/UD.</x:v>
      </x:c>
      <x:c r="O39" s="31" t="str">
        <x:v>glass spice container B</x:v>
      </x:c>
      <x:c r="P39" s="31" t="str"/>
      <x:c r="Q39" s="31" t="str"/>
      <x:c r="R39" s="31" t="str"/>
      <x:c r="S39" s="31" t="str">
        <x:f>IF('Blind Scoring'!I39="","",'Blind Scoring'!I39)</x:f>
      </x:c>
      <x:c r="T39" s="31" t="str">
        <x:f>'Blind Scoring'!J39</x:f>
        <x:v>No</x:v>
      </x:c>
      <x:c r="U39" s="31" t="str">
        <x:f>IF('Blind Scoring'!L39="","",'Blind Scoring'!L39)</x:f>
      </x:c>
    </x:row>
    <x:row r="40" ht="44" customHeight="1">
      <x:c r="A40" s="35" t="str">
        <x:v>Not Started</x:v>
      </x:c>
      <x:c r="B40" s="35" t="n">
        <x:v>38</x:v>
      </x:c>
      <x:c r="C40" s="35" t="str">
        <x:v>P01</x:v>
      </x:c>
      <x:c r="D40" s="35" t="n">
        <x:v>39</x:v>
      </x:c>
      <x:c r="E40" s="35" t="str">
        <x:v>Primary VLA</x:v>
      </x:c>
      <x:c r="F40" s="35" t="str">
        <x:v>π0.5</x:v>
      </x:c>
      <x:c r="G40" s="35" t="n">
        <x:v>1</x:v>
      </x:c>
      <x:c r="H40" s="35" t="str">
        <x:v>State Recognition</x:v>
      </x:c>
      <x:c r="I40" s="35" t="str">
        <x:v>Training reconstruction</x:v>
      </x:c>
      <x:c r="J40" s="35" t="str">
        <x:v>PVLA-ST-REC-01</x:v>
      </x:c>
      <x:c r="K40" s="35" t="str"/>
      <x:c r="L40" s="31" t="str">
        <x:v>Move the open white cup into the bowl.</x:v>
      </x:c>
      <x:c r="M40" s="31" t="str">
        <x:v>Move the open white cup into the bowl.</x:v>
      </x:c>
      <x:c r="N40" s="31" t="str">
        <x:v>Reconstruct planned final training episode 2: white cup A, white cup B, glass spice container A, yellow-white striped cup B; start=Home. Match camera, calibration, bowl pose, and object geometry exactly.</x:v>
      </x:c>
      <x:c r="O40" s="31" t="str">
        <x:v>white cup A</x:v>
      </x:c>
      <x:c r="P40" s="31" t="str"/>
      <x:c r="Q40" s="31" t="str"/>
      <x:c r="R40" s="31" t="str"/>
      <x:c r="S40" s="31" t="str">
        <x:f>IF('Blind Scoring'!I40="","",'Blind Scoring'!I40)</x:f>
      </x:c>
      <x:c r="T40" s="31" t="str">
        <x:f>'Blind Scoring'!J40</x:f>
        <x:v>No</x:v>
      </x:c>
      <x:c r="U40" s="31" t="str">
        <x:f>IF('Blind Scoring'!L40="","",'Blind Scoring'!L40)</x:f>
      </x:c>
    </x:row>
    <x:row r="41" ht="44" customHeight="1">
      <x:c r="A41" s="35" t="str">
        <x:v>Not Started</x:v>
      </x:c>
      <x:c r="B41" s="35" t="n">
        <x:v>39</x:v>
      </x:c>
      <x:c r="C41" s="35" t="str">
        <x:v>P01</x:v>
      </x:c>
      <x:c r="D41" s="35" t="n">
        <x:v>40</x:v>
      </x:c>
      <x:c r="E41" s="35" t="str">
        <x:v>Primary VLA</x:v>
      </x:c>
      <x:c r="F41" s="35" t="str">
        <x:v>π0.5</x:v>
      </x:c>
      <x:c r="G41" s="35" t="n">
        <x:v>1</x:v>
      </x:c>
      <x:c r="H41" s="35" t="str">
        <x:v>State Recognition</x:v>
      </x:c>
      <x:c r="I41" s="35" t="str">
        <x:v>Language ablation — blank</x:v>
      </x:c>
      <x:c r="J41" s="35" t="str">
        <x:v>PVLA-ST-ABL-BLK-01</x:v>
      </x:c>
      <x:c r="K41" s="35" t="str">
        <x:v>S-CF01</x:v>
      </x:c>
      <x:c r="L41" s="31" t="str">
        <x:v>[EMPTY STRING — provide no instruction tokens]</x:v>
      </x:c>
      <x:c r="M41" s="31" t="str">
        <x:v>Place the closed white cup in the bowl.</x:v>
      </x:c>
      <x:c r="N41" s="31" t="str">
        <x:v>S-CF01-HELD: P1 white cup A=C/UR [TARGET]; P2 white cup B=O/UR [COMPETITOR]; P3 yellow-white striped cup A=C/UD; P4 brown cup B=O/UD.</x:v>
      </x:c>
      <x:c r="O41" s="31" t="str">
        <x:v>No prespecified task success under blank language; record any action/selected target.</x:v>
      </x:c>
      <x:c r="P41" s="31" t="str"/>
      <x:c r="Q41" s="31" t="str"/>
      <x:c r="R41" s="31" t="str"/>
      <x:c r="S41" s="31" t="str">
        <x:f>IF('Blind Scoring'!I41="","",'Blind Scoring'!I41)</x:f>
      </x:c>
      <x:c r="T41" s="31" t="str">
        <x:f>'Blind Scoring'!J41</x:f>
        <x:v>No</x:v>
      </x:c>
      <x:c r="U41" s="31" t="str">
        <x:f>IF('Blind Scoring'!L41="","",'Blind Scoring'!L41)</x:f>
      </x:c>
    </x:row>
    <x:row r="42" ht="44" customHeight="1">
      <x:c r="A42" s="35" t="str">
        <x:v>Not Started</x:v>
      </x:c>
      <x:c r="B42" s="35" t="n">
        <x:v>40</x:v>
      </x:c>
      <x:c r="C42" s="35" t="str">
        <x:v>P01</x:v>
      </x:c>
      <x:c r="D42" s="35" t="n">
        <x:v>41</x:v>
      </x:c>
      <x:c r="E42" s="35" t="str">
        <x:v>Primary VLA</x:v>
      </x:c>
      <x:c r="F42" s="35" t="str">
        <x:v>π0.5</x:v>
      </x:c>
      <x:c r="G42" s="35" t="n">
        <x:v>1</x:v>
      </x:c>
      <x:c r="H42" s="35" t="str">
        <x:v>State Recognition</x:v>
      </x:c>
      <x:c r="I42" s="35" t="str">
        <x:v>Main matched control</x:v>
      </x:c>
      <x:c r="J42" s="35" t="str">
        <x:v>PVLA-ST-CTL-04</x:v>
      </x:c>
      <x:c r="K42" s="35" t="str">
        <x:v>S-CF07</x:v>
      </x:c>
      <x:c r="L42" s="31" t="str">
        <x:v>Place a yellow-white striped cup in the bowl.</x:v>
      </x:c>
      <x:c r="M42" s="31" t="str">
        <x:v>Place a yellow-white striped cup in the bowl.</x:v>
      </x:c>
      <x:c r="N42" s="31" t="str">
        <x:v>S-CF07-CTRL: P1 brown cup A=C/UR; P2 glass spice container A=O/UR; P3 yellow-white striped cup A=C/UD [TARGET].</x:v>
      </x:c>
      <x:c r="O42" s="31" t="str">
        <x:v>yellow-white striped cup A</x:v>
      </x:c>
      <x:c r="P42" s="31" t="str"/>
      <x:c r="Q42" s="31" t="str"/>
      <x:c r="R42" s="31" t="str"/>
      <x:c r="S42" s="31" t="str">
        <x:f>IF('Blind Scoring'!I42="","",'Blind Scoring'!I42)</x:f>
      </x:c>
      <x:c r="T42" s="31" t="str">
        <x:f>'Blind Scoring'!J42</x:f>
        <x:v>No</x:v>
      </x:c>
      <x:c r="U42" s="31" t="str">
        <x:f>IF('Blind Scoring'!L42="","",'Blind Scoring'!L42)</x:f>
      </x:c>
    </x:row>
    <x:row r="43" ht="44" customHeight="1">
      <x:c r="A43" s="35" t="str">
        <x:v>Not Started</x:v>
      </x:c>
      <x:c r="B43" s="35" t="n">
        <x:v>41</x:v>
      </x:c>
      <x:c r="C43" s="35" t="str">
        <x:v>P01</x:v>
      </x:c>
      <x:c r="D43" s="35" t="n">
        <x:v>42</x:v>
      </x:c>
      <x:c r="E43" s="35" t="str">
        <x:v>Primary VLA</x:v>
      </x:c>
      <x:c r="F43" s="35" t="str">
        <x:v>π0.5</x:v>
      </x:c>
      <x:c r="G43" s="35" t="n">
        <x:v>1</x:v>
      </x:c>
      <x:c r="H43" s="35" t="str">
        <x:v>State Recognition</x:v>
      </x:c>
      <x:c r="I43" s="35" t="str">
        <x:v>Exact-scene paraphrase</x:v>
      </x:c>
      <x:c r="J43" s="35" t="str">
        <x:v>PVLA-ST-PAR-05</x:v>
      </x:c>
      <x:c r="K43" s="35" t="str">
        <x:v>S-CF12</x:v>
      </x:c>
      <x:c r="L43" s="31" t="str">
        <x:v>Move the overturned white cup into the bowl.</x:v>
      </x:c>
      <x:c r="M43" s="31" t="str">
        <x:v>Move the overturned white cup into the bowl.</x:v>
      </x:c>
      <x:c r="N43" s="31" t="str">
        <x:v>S-CF12-PARA: P1 white cup A=C/UD [COMPETITOR]; P2 yellow-white striped cup B=O/UR; P3 brown cup A=O/UD; P4 white cup B=C/UR [TARGET].</x:v>
      </x:c>
      <x:c r="O43" s="31" t="str">
        <x:v>white cup A</x:v>
      </x:c>
      <x:c r="P43" s="31" t="str"/>
      <x:c r="Q43" s="31" t="str"/>
      <x:c r="R43" s="31" t="str"/>
      <x:c r="S43" s="31" t="str">
        <x:f>IF('Blind Scoring'!I43="","",'Blind Scoring'!I43)</x:f>
      </x:c>
      <x:c r="T43" s="31" t="str">
        <x:f>'Blind Scoring'!J43</x:f>
        <x:v>No</x:v>
      </x:c>
      <x:c r="U43" s="31" t="str">
        <x:f>IF('Blind Scoring'!L43="","",'Blind Scoring'!L43)</x:f>
      </x:c>
    </x:row>
    <x:row r="44" ht="44" customHeight="1">
      <x:c r="A44" s="35" t="str">
        <x:v>Not Started</x:v>
      </x:c>
      <x:c r="B44" s="35" t="n">
        <x:v>42</x:v>
      </x:c>
      <x:c r="C44" s="35" t="str">
        <x:v>P01</x:v>
      </x:c>
      <x:c r="D44" s="35" t="n">
        <x:v>43</x:v>
      </x:c>
      <x:c r="E44" s="35" t="str">
        <x:v>Primary VLA</x:v>
      </x:c>
      <x:c r="F44" s="35" t="str">
        <x:v>π0.5</x:v>
      </x:c>
      <x:c r="G44" s="35" t="n">
        <x:v>1</x:v>
      </x:c>
      <x:c r="H44" s="35" t="str">
        <x:v>State Recognition</x:v>
      </x:c>
      <x:c r="I44" s="35" t="str">
        <x:v>Language ablation — counterfactual</x:v>
      </x:c>
      <x:c r="J44" s="35" t="str">
        <x:v>PVLA-ST-ABL-CF-01</x:v>
      </x:c>
      <x:c r="K44" s="35" t="str">
        <x:v>S-CF09</x:v>
      </x:c>
      <x:c r="L44" s="31" t="str">
        <x:v>Place the open white cup in the bowl.</x:v>
      </x:c>
      <x:c r="M44" s="31" t="str">
        <x:v>Place the open white cup in the bowl.</x:v>
      </x:c>
      <x:c r="N44" s="31" t="str">
        <x:v>S-CF09-HELD: P1 white cup A=C/UR [TARGET]; P2 white cup B=O/UR [COMPETITOR]; P3 yellow-white striped cup A=C/UD; P4 brown cup B=O/UD.</x:v>
      </x:c>
      <x:c r="O44" s="31" t="str">
        <x:v>white cup B</x:v>
      </x:c>
      <x:c r="P44" s="31" t="str"/>
      <x:c r="Q44" s="31" t="str"/>
      <x:c r="R44" s="31" t="str"/>
      <x:c r="S44" s="31" t="str">
        <x:f>IF('Blind Scoring'!I44="","",'Blind Scoring'!I44)</x:f>
      </x:c>
      <x:c r="T44" s="31" t="str">
        <x:f>'Blind Scoring'!J44</x:f>
        <x:v>No</x:v>
      </x:c>
      <x:c r="U44" s="31" t="str">
        <x:f>IF('Blind Scoring'!L44="","",'Blind Scoring'!L44)</x:f>
      </x:c>
    </x:row>
    <x:row r="45" ht="44" customHeight="1">
      <x:c r="A45" s="35" t="str">
        <x:v>Not Started</x:v>
      </x:c>
      <x:c r="B45" s="35" t="n">
        <x:v>43</x:v>
      </x:c>
      <x:c r="C45" s="35" t="str">
        <x:v>P01</x:v>
      </x:c>
      <x:c r="D45" s="35" t="n">
        <x:v>44</x:v>
      </x:c>
      <x:c r="E45" s="35" t="str">
        <x:v>Primary VLA</x:v>
      </x:c>
      <x:c r="F45" s="35" t="str">
        <x:v>π0.5</x:v>
      </x:c>
      <x:c r="G45" s="35" t="n">
        <x:v>1</x:v>
      </x:c>
      <x:c r="H45" s="35" t="str">
        <x:v>State Recognition</x:v>
      </x:c>
      <x:c r="I45" s="35" t="str">
        <x:v>Main matched control</x:v>
      </x:c>
      <x:c r="J45" s="35" t="str">
        <x:v>PVLA-ST-CTL-16</x:v>
      </x:c>
      <x:c r="K45" s="35" t="str">
        <x:v>S-CF30</x:v>
      </x:c>
      <x:c r="L45" s="31" t="str">
        <x:v>Place a glass spice container in the bowl.</x:v>
      </x:c>
      <x:c r="M45" s="31" t="str">
        <x:v>Place a glass spice container in the bowl.</x:v>
      </x:c>
      <x:c r="N45" s="31" t="str">
        <x:v>S-CF30-CTRL: P1 white cup B=C/UR; P2 glass spice container A=O/UR [TARGET]; P4 yellow-white striped cup B=C/UD.</x:v>
      </x:c>
      <x:c r="O45" s="31" t="str">
        <x:v>glass spice container A</x:v>
      </x:c>
      <x:c r="P45" s="31" t="str"/>
      <x:c r="Q45" s="31" t="str"/>
      <x:c r="R45" s="31" t="str"/>
      <x:c r="S45" s="31" t="str">
        <x:f>IF('Blind Scoring'!I45="","",'Blind Scoring'!I45)</x:f>
      </x:c>
      <x:c r="T45" s="31" t="str">
        <x:f>'Blind Scoring'!J45</x:f>
        <x:v>No</x:v>
      </x:c>
      <x:c r="U45" s="31" t="str">
        <x:f>IF('Blind Scoring'!L45="","",'Blind Scoring'!L45)</x:f>
      </x:c>
    </x:row>
    <x:row r="46" ht="44" customHeight="1">
      <x:c r="A46" s="35" t="str">
        <x:v>Not Started</x:v>
      </x:c>
      <x:c r="B46" s="35" t="n">
        <x:v>44</x:v>
      </x:c>
      <x:c r="C46" s="35" t="str">
        <x:v>P01</x:v>
      </x:c>
      <x:c r="D46" s="35" t="n">
        <x:v>45</x:v>
      </x:c>
      <x:c r="E46" s="35" t="str">
        <x:v>Primary VLA</x:v>
      </x:c>
      <x:c r="F46" s="35" t="str">
        <x:v>π0.5</x:v>
      </x:c>
      <x:c r="G46" s="35" t="n">
        <x:v>1</x:v>
      </x:c>
      <x:c r="H46" s="35" t="str">
        <x:v>State Recognition</x:v>
      </x:c>
      <x:c r="I46" s="35" t="str">
        <x:v>Main matched control</x:v>
      </x:c>
      <x:c r="J46" s="35" t="str">
        <x:v>PVLA-ST-CTL-02</x:v>
      </x:c>
      <x:c r="K46" s="35" t="str">
        <x:v>S-CF03</x:v>
      </x:c>
      <x:c r="L46" s="31" t="str">
        <x:v>Place a glass spice container in the bowl.</x:v>
      </x:c>
      <x:c r="M46" s="31" t="str">
        <x:v>Place a glass spice container in the bowl.</x:v>
      </x:c>
      <x:c r="N46" s="31" t="str">
        <x:v>S-CF03-CTRL: P1 white cup A=C/UR; P2 yellow-white striped cup A=O/UR; P3 glass spice container B=C/UD [TARGET].</x:v>
      </x:c>
      <x:c r="O46" s="31" t="str">
        <x:v>glass spice container B</x:v>
      </x:c>
      <x:c r="P46" s="31" t="str"/>
      <x:c r="Q46" s="31" t="str"/>
      <x:c r="R46" s="31" t="str"/>
      <x:c r="S46" s="31" t="str">
        <x:f>IF('Blind Scoring'!I46="","",'Blind Scoring'!I46)</x:f>
      </x:c>
      <x:c r="T46" s="31" t="str">
        <x:f>'Blind Scoring'!J46</x:f>
        <x:v>No</x:v>
      </x:c>
      <x:c r="U46" s="31" t="str">
        <x:f>IF('Blind Scoring'!L46="","",'Blind Scoring'!L46)</x:f>
      </x:c>
    </x:row>
    <x:row r="47" ht="44" customHeight="1">
      <x:c r="A47" s="35" t="str">
        <x:v>Not Started</x:v>
      </x:c>
      <x:c r="B47" s="35" t="n">
        <x:v>45</x:v>
      </x:c>
      <x:c r="C47" s="35" t="str">
        <x:v>P01</x:v>
      </x:c>
      <x:c r="D47" s="35" t="n">
        <x:v>46</x:v>
      </x:c>
      <x:c r="E47" s="35" t="str">
        <x:v>Primary VLA</x:v>
      </x:c>
      <x:c r="F47" s="35" t="str">
        <x:v>π0.5</x:v>
      </x:c>
      <x:c r="G47" s="35" t="n">
        <x:v>1</x:v>
      </x:c>
      <x:c r="H47" s="35" t="str">
        <x:v>State Recognition</x:v>
      </x:c>
      <x:c r="I47" s="35" t="str">
        <x:v>Main held-out transfer</x:v>
      </x:c>
      <x:c r="J47" s="35" t="str">
        <x:v>PVLA-ST-TR-01</x:v>
      </x:c>
      <x:c r="K47" s="35" t="str">
        <x:v>S-CF01</x:v>
      </x:c>
      <x:c r="L47" s="31" t="str">
        <x:v>Place the closed white cup in the bowl.</x:v>
      </x:c>
      <x:c r="M47" s="31" t="str">
        <x:v>Place the closed white cup in the bowl.</x:v>
      </x:c>
      <x:c r="N47" s="31" t="str">
        <x:v>S-CF01-HELD: P1 white cup A=C/UR [TARGET]; P2 white cup B=O/UR [COMPETITOR]; P3 yellow-white striped cup A=C/UD; P4 brown cup B=O/UD.</x:v>
      </x:c>
      <x:c r="O47" s="31" t="str">
        <x:v>white cup A</x:v>
      </x:c>
      <x:c r="P47" s="31" t="str"/>
      <x:c r="Q47" s="31" t="str"/>
      <x:c r="R47" s="31" t="str"/>
      <x:c r="S47" s="31" t="str">
        <x:f>IF('Blind Scoring'!I47="","",'Blind Scoring'!I47)</x:f>
      </x:c>
      <x:c r="T47" s="31" t="str">
        <x:f>'Blind Scoring'!J47</x:f>
        <x:v>No</x:v>
      </x:c>
      <x:c r="U47" s="31" t="str">
        <x:f>IF('Blind Scoring'!L47="","",'Blind Scoring'!L47)</x:f>
      </x:c>
    </x:row>
    <x:row r="48" ht="44" customHeight="1">
      <x:c r="A48" s="35" t="str">
        <x:v>Not Started</x:v>
      </x:c>
      <x:c r="B48" s="35" t="n">
        <x:v>46</x:v>
      </x:c>
      <x:c r="C48" s="35" t="str">
        <x:v>P01</x:v>
      </x:c>
      <x:c r="D48" s="35" t="n">
        <x:v>47</x:v>
      </x:c>
      <x:c r="E48" s="35" t="str">
        <x:v>Primary VLA</x:v>
      </x:c>
      <x:c r="F48" s="35" t="str">
        <x:v>π0.5</x:v>
      </x:c>
      <x:c r="G48" s="35" t="n">
        <x:v>1</x:v>
      </x:c>
      <x:c r="H48" s="35" t="str">
        <x:v>State Recognition</x:v>
      </x:c>
      <x:c r="I48" s="35" t="str">
        <x:v>Main held-out transfer</x:v>
      </x:c>
      <x:c r="J48" s="35" t="str">
        <x:v>PVLA-ST-TR-16</x:v>
      </x:c>
      <x:c r="K48" s="35" t="str">
        <x:v>S-CF30</x:v>
      </x:c>
      <x:c r="L48" s="31" t="str">
        <x:v>Place the upright glass spice container in the bowl.</x:v>
      </x:c>
      <x:c r="M48" s="31" t="str">
        <x:v>Place the upright glass spice container in the bowl.</x:v>
      </x:c>
      <x:c r="N48" s="31" t="str">
        <x:v>S-CF30-HELD: P1 white cup B=C/UR; P2 glass spice container A=O/UR [TARGET]; P3 glass spice container B=O/UD [COMPETITOR]; P4 yellow-white striped cup B=C/UD.</x:v>
      </x:c>
      <x:c r="O48" s="31" t="str">
        <x:v>glass spice container A</x:v>
      </x:c>
      <x:c r="P48" s="31" t="str"/>
      <x:c r="Q48" s="31" t="str"/>
      <x:c r="R48" s="31" t="str"/>
      <x:c r="S48" s="31" t="str">
        <x:f>IF('Blind Scoring'!I48="","",'Blind Scoring'!I48)</x:f>
      </x:c>
      <x:c r="T48" s="31" t="str">
        <x:f>'Blind Scoring'!J48</x:f>
        <x:v>No</x:v>
      </x:c>
      <x:c r="U48" s="31" t="str">
        <x:f>IF('Blind Scoring'!L48="","",'Blind Scoring'!L48)</x:f>
      </x:c>
    </x:row>
    <x:row r="49" ht="44" customHeight="1">
      <x:c r="A49" s="35" t="str">
        <x:v>Not Started</x:v>
      </x:c>
      <x:c r="B49" s="35" t="n">
        <x:v>47</x:v>
      </x:c>
      <x:c r="C49" s="35" t="str">
        <x:v>P01</x:v>
      </x:c>
      <x:c r="D49" s="35" t="n">
        <x:v>48</x:v>
      </x:c>
      <x:c r="E49" s="35" t="str">
        <x:v>Primary VLA</x:v>
      </x:c>
      <x:c r="F49" s="35" t="str">
        <x:v>π0.5</x:v>
      </x:c>
      <x:c r="G49" s="35" t="n">
        <x:v>1</x:v>
      </x:c>
      <x:c r="H49" s="35" t="str">
        <x:v>State Recognition</x:v>
      </x:c>
      <x:c r="I49" s="35" t="str">
        <x:v>Main matched control</x:v>
      </x:c>
      <x:c r="J49" s="35" t="str">
        <x:v>PVLA-ST-CTL-03</x:v>
      </x:c>
      <x:c r="K49" s="35" t="str">
        <x:v>S-CF05</x:v>
      </x:c>
      <x:c r="L49" s="31" t="str">
        <x:v>Place a brown cup in the bowl.</x:v>
      </x:c>
      <x:c r="M49" s="31" t="str">
        <x:v>Place a brown cup in the bowl.</x:v>
      </x:c>
      <x:c r="N49" s="31" t="str">
        <x:v>S-CF05-CTRL: P1 brown cup A=C/UR [TARGET]; P3 glass spice container A=C/UD; P4 white cup B=O/UD.</x:v>
      </x:c>
      <x:c r="O49" s="31" t="str">
        <x:v>brown cup A</x:v>
      </x:c>
      <x:c r="P49" s="31" t="str"/>
      <x:c r="Q49" s="31" t="str"/>
      <x:c r="R49" s="31" t="str"/>
      <x:c r="S49" s="31" t="str">
        <x:f>IF('Blind Scoring'!I49="","",'Blind Scoring'!I49)</x:f>
      </x:c>
      <x:c r="T49" s="31" t="str">
        <x:f>'Blind Scoring'!J49</x:f>
        <x:v>No</x:v>
      </x:c>
      <x:c r="U49" s="31" t="str">
        <x:f>IF('Blind Scoring'!L49="","",'Blind Scoring'!L49)</x:f>
      </x:c>
    </x:row>
    <x:row r="50" ht="44" customHeight="1">
      <x:c r="A50" s="35" t="str">
        <x:v>Not Started</x:v>
      </x:c>
      <x:c r="B50" s="35" t="n">
        <x:v>48</x:v>
      </x:c>
      <x:c r="C50" s="35" t="str">
        <x:v>P01</x:v>
      </x:c>
      <x:c r="D50" s="35" t="n">
        <x:v>49</x:v>
      </x:c>
      <x:c r="E50" s="35" t="str">
        <x:v>Primary VLA</x:v>
      </x:c>
      <x:c r="F50" s="35" t="str">
        <x:v>π0.5</x:v>
      </x:c>
      <x:c r="G50" s="35" t="n">
        <x:v>1</x:v>
      </x:c>
      <x:c r="H50" s="35" t="str">
        <x:v>State Recognition</x:v>
      </x:c>
      <x:c r="I50" s="35" t="str">
        <x:v>Main matched control</x:v>
      </x:c>
      <x:c r="J50" s="35" t="str">
        <x:v>PVLA-ST-CTL-08</x:v>
      </x:c>
      <x:c r="K50" s="35" t="str">
        <x:v>S-CF15</x:v>
      </x:c>
      <x:c r="L50" s="31" t="str">
        <x:v>Place a yellow-white striped cup in the bowl.</x:v>
      </x:c>
      <x:c r="M50" s="31" t="str">
        <x:v>Place a yellow-white striped cup in the bowl.</x:v>
      </x:c>
      <x:c r="N50" s="31" t="str">
        <x:v>S-CF15-CTRL: P1 brown cup A=C/UR; P2 glass spice container A=O/UR; P3 yellow-white striped cup A=C/UD [TARGET].</x:v>
      </x:c>
      <x:c r="O50" s="31" t="str">
        <x:v>yellow-white striped cup A</x:v>
      </x:c>
      <x:c r="P50" s="31" t="str"/>
      <x:c r="Q50" s="31" t="str"/>
      <x:c r="R50" s="31" t="str"/>
      <x:c r="S50" s="31" t="str">
        <x:f>IF('Blind Scoring'!I50="","",'Blind Scoring'!I50)</x:f>
      </x:c>
      <x:c r="T50" s="31" t="str">
        <x:f>'Blind Scoring'!J50</x:f>
        <x:v>No</x:v>
      </x:c>
      <x:c r="U50" s="31" t="str">
        <x:f>IF('Blind Scoring'!L50="","",'Blind Scoring'!L50)</x:f>
      </x:c>
    </x:row>
    <x:row r="51" ht="44" customHeight="1">
      <x:c r="A51" s="35" t="str">
        <x:v>Not Started</x:v>
      </x:c>
      <x:c r="B51" s="35" t="n">
        <x:v>49</x:v>
      </x:c>
      <x:c r="C51" s="35" t="str">
        <x:v>P01</x:v>
      </x:c>
      <x:c r="D51" s="35" t="n">
        <x:v>50</x:v>
      </x:c>
      <x:c r="E51" s="35" t="str">
        <x:v>Primary VLA</x:v>
      </x:c>
      <x:c r="F51" s="35" t="str">
        <x:v>π0.5</x:v>
      </x:c>
      <x:c r="G51" s="35" t="n">
        <x:v>1</x:v>
      </x:c>
      <x:c r="H51" s="35" t="str">
        <x:v>State Recognition</x:v>
      </x:c>
      <x:c r="I51" s="35" t="str">
        <x:v>Main matched control</x:v>
      </x:c>
      <x:c r="J51" s="35" t="str">
        <x:v>PVLA-ST-CTL-10</x:v>
      </x:c>
      <x:c r="K51" s="35" t="str">
        <x:v>S-CF18</x:v>
      </x:c>
      <x:c r="L51" s="31" t="str">
        <x:v>Place a yellow-white striped cup in the bowl.</x:v>
      </x:c>
      <x:c r="M51" s="31" t="str">
        <x:v>Place a yellow-white striped cup in the bowl.</x:v>
      </x:c>
      <x:c r="N51" s="31" t="str">
        <x:v>S-CF18-CTRL: P1 brown cup B=C/UR; P2 yellow-white striped cup B=O/UR [TARGET]; P4 glass spice container B=C/UD.</x:v>
      </x:c>
      <x:c r="O51" s="31" t="str">
        <x:v>yellow-white striped cup B</x:v>
      </x:c>
      <x:c r="P51" s="31" t="str"/>
      <x:c r="Q51" s="31" t="str"/>
      <x:c r="R51" s="31" t="str"/>
      <x:c r="S51" s="31" t="str">
        <x:f>IF('Blind Scoring'!I51="","",'Blind Scoring'!I51)</x:f>
      </x:c>
      <x:c r="T51" s="31" t="str">
        <x:f>'Blind Scoring'!J51</x:f>
        <x:v>No</x:v>
      </x:c>
      <x:c r="U51" s="31" t="str">
        <x:f>IF('Blind Scoring'!L51="","",'Blind Scoring'!L51)</x:f>
      </x:c>
    </x:row>
    <x:row r="52" ht="44" customHeight="1">
      <x:c r="A52" s="35" t="str">
        <x:v>Not Started</x:v>
      </x:c>
      <x:c r="B52" s="35" t="n">
        <x:v>50</x:v>
      </x:c>
      <x:c r="C52" s="35" t="str">
        <x:v>P01</x:v>
      </x:c>
      <x:c r="D52" s="35" t="n">
        <x:v>51</x:v>
      </x:c>
      <x:c r="E52" s="35" t="str">
        <x:v>Primary VLA</x:v>
      </x:c>
      <x:c r="F52" s="35" t="str">
        <x:v>π0.5</x:v>
      </x:c>
      <x:c r="G52" s="35" t="n">
        <x:v>1</x:v>
      </x:c>
      <x:c r="H52" s="35" t="str">
        <x:v>State Recognition</x:v>
      </x:c>
      <x:c r="I52" s="35" t="str">
        <x:v>Language ablation — counterfactual</x:v>
      </x:c>
      <x:c r="J52" s="35" t="str">
        <x:v>PVLA-ST-ABL-CF-03</x:v>
      </x:c>
      <x:c r="K52" s="35" t="str">
        <x:v>S-CF13</x:v>
      </x:c>
      <x:c r="L52" s="31" t="str">
        <x:v>Place the open brown cup in the bowl.</x:v>
      </x:c>
      <x:c r="M52" s="31" t="str">
        <x:v>Place the open brown cup in the bowl.</x:v>
      </x:c>
      <x:c r="N52" s="31" t="str">
        <x:v>S-CF13-HELD: P1 brown cup A=C/UR [TARGET]; P2 brown cup B=O/UR [COMPETITOR]; P3 glass spice container A=C/UD; P4 white cup B=O/UD.</x:v>
      </x:c>
      <x:c r="O52" s="31" t="str">
        <x:v>brown cup B</x:v>
      </x:c>
      <x:c r="P52" s="31" t="str"/>
      <x:c r="Q52" s="31" t="str"/>
      <x:c r="R52" s="31" t="str"/>
      <x:c r="S52" s="31" t="str">
        <x:f>IF('Blind Scoring'!I52="","",'Blind Scoring'!I52)</x:f>
      </x:c>
      <x:c r="T52" s="31" t="str">
        <x:f>'Blind Scoring'!J52</x:f>
        <x:v>No</x:v>
      </x:c>
      <x:c r="U52" s="31" t="str">
        <x:f>IF('Blind Scoring'!L52="","",'Blind Scoring'!L52)</x:f>
      </x:c>
    </x:row>
    <x:row r="53" ht="44" customHeight="1">
      <x:c r="A53" s="35" t="str">
        <x:v>Not Started</x:v>
      </x:c>
      <x:c r="B53" s="35" t="n">
        <x:v>51</x:v>
      </x:c>
      <x:c r="C53" s="35" t="str">
        <x:v>P01</x:v>
      </x:c>
      <x:c r="D53" s="35" t="n">
        <x:v>52</x:v>
      </x:c>
      <x:c r="E53" s="35" t="str">
        <x:v>Primary VLA</x:v>
      </x:c>
      <x:c r="F53" s="35" t="str">
        <x:v>π0.5</x:v>
      </x:c>
      <x:c r="G53" s="35" t="n">
        <x:v>1</x:v>
      </x:c>
      <x:c r="H53" s="35" t="str">
        <x:v>State Recognition</x:v>
      </x:c>
      <x:c r="I53" s="35" t="str">
        <x:v>Language ablation — blank</x:v>
      </x:c>
      <x:c r="J53" s="35" t="str">
        <x:v>PVLA-ST-ABL-BLK-02</x:v>
      </x:c>
      <x:c r="K53" s="35" t="str">
        <x:v>S-CF03</x:v>
      </x:c>
      <x:c r="L53" s="31" t="str">
        <x:v>[EMPTY STRING — provide no instruction tokens]</x:v>
      </x:c>
      <x:c r="M53" s="31" t="str">
        <x:v>Place the closed glass spice container in the bowl.</x:v>
      </x:c>
      <x:c r="N53" s="31" t="str">
        <x:v>S-CF03-HELD: P1 white cup A=C/UR; P2 yellow-white striped cup A=O/UR; P3 glass spice container B=C/UD [TARGET]; P4 glass spice container A=O/UD [COMPETITOR].</x:v>
      </x:c>
      <x:c r="O53" s="31" t="str">
        <x:v>No prespecified task success under blank language; record any action/selected target.</x:v>
      </x:c>
      <x:c r="P53" s="31" t="str"/>
      <x:c r="Q53" s="31" t="str"/>
      <x:c r="R53" s="31" t="str"/>
      <x:c r="S53" s="31" t="str">
        <x:f>IF('Blind Scoring'!I53="","",'Blind Scoring'!I53)</x:f>
      </x:c>
      <x:c r="T53" s="31" t="str">
        <x:f>'Blind Scoring'!J53</x:f>
        <x:v>No</x:v>
      </x:c>
      <x:c r="U53" s="31" t="str">
        <x:f>IF('Blind Scoring'!L53="","",'Blind Scoring'!L53)</x:f>
      </x:c>
    </x:row>
    <x:row r="54" ht="44" customHeight="1">
      <x:c r="A54" s="35" t="str">
        <x:v>Not Started</x:v>
      </x:c>
      <x:c r="B54" s="35" t="n">
        <x:v>52</x:v>
      </x:c>
      <x:c r="C54" s="35" t="str">
        <x:v>P01</x:v>
      </x:c>
      <x:c r="D54" s="35" t="n">
        <x:v>53</x:v>
      </x:c>
      <x:c r="E54" s="35" t="str">
        <x:v>Primary VLA</x:v>
      </x:c>
      <x:c r="F54" s="35" t="str">
        <x:v>π0.5</x:v>
      </x:c>
      <x:c r="G54" s="35" t="n">
        <x:v>1</x:v>
      </x:c>
      <x:c r="H54" s="35" t="str">
        <x:v>State Recognition</x:v>
      </x:c>
      <x:c r="I54" s="35" t="str">
        <x:v>Main matched control</x:v>
      </x:c>
      <x:c r="J54" s="35" t="str">
        <x:v>PVLA-ST-CTL-15</x:v>
      </x:c>
      <x:c r="K54" s="35" t="str">
        <x:v>S-CF28</x:v>
      </x:c>
      <x:c r="L54" s="31" t="str">
        <x:v>Place a white cup in the bowl.</x:v>
      </x:c>
      <x:c r="M54" s="31" t="str">
        <x:v>Place a white cup in the bowl.</x:v>
      </x:c>
      <x:c r="N54" s="31" t="str">
        <x:v>S-CF28-CTRL: P2 yellow-white striped cup B=O/UR; P3 brown cup A=O/UD; P4 white cup B=C/UR [TARGET].</x:v>
      </x:c>
      <x:c r="O54" s="31" t="str">
        <x:v>white cup B</x:v>
      </x:c>
      <x:c r="P54" s="31" t="str"/>
      <x:c r="Q54" s="31" t="str"/>
      <x:c r="R54" s="31" t="str"/>
      <x:c r="S54" s="31" t="str">
        <x:f>IF('Blind Scoring'!I54="","",'Blind Scoring'!I54)</x:f>
      </x:c>
      <x:c r="T54" s="31" t="str">
        <x:f>'Blind Scoring'!J54</x:f>
        <x:v>No</x:v>
      </x:c>
      <x:c r="U54" s="31" t="str">
        <x:f>IF('Blind Scoring'!L54="","",'Blind Scoring'!L54)</x:f>
      </x:c>
    </x:row>
    <x:row r="55" ht="44" customHeight="1">
      <x:c r="A55" s="35" t="str">
        <x:v>Not Started</x:v>
      </x:c>
      <x:c r="B55" s="35" t="n">
        <x:v>53</x:v>
      </x:c>
      <x:c r="C55" s="35" t="str">
        <x:v>P01</x:v>
      </x:c>
      <x:c r="D55" s="35" t="n">
        <x:v>54</x:v>
      </x:c>
      <x:c r="E55" s="35" t="str">
        <x:v>Primary VLA</x:v>
      </x:c>
      <x:c r="F55" s="35" t="str">
        <x:v>π0.5</x:v>
      </x:c>
      <x:c r="G55" s="35" t="n">
        <x:v>1</x:v>
      </x:c>
      <x:c r="H55" s="35" t="str">
        <x:v>State Recognition</x:v>
      </x:c>
      <x:c r="I55" s="35" t="str">
        <x:v>Novel layout + seen language</x:v>
      </x:c>
      <x:c r="J55" s="35" t="str">
        <x:v>PVLA-ST-NOV-06</x:v>
      </x:c>
      <x:c r="K55" s="35" t="str">
        <x:v>S-CF15</x:v>
      </x:c>
      <x:c r="L55" s="31" t="str">
        <x:v>Place the open yellow-white striped cup in the bowl.</x:v>
      </x:c>
      <x:c r="M55" s="31" t="str">
        <x:v>Place the open yellow-white striped cup in the bowl.</x:v>
      </x:c>
      <x:c r="N55" s="31" t="str">
        <x:v>S-CF15-SEEN: P1 brown cup A=C/UR; P2 glass spice container A=O/UR; P3 yellow-white striped cup A=C/UD [TARGET]; P4 yellow-white striped cup B=O/UD [COMPETITOR].</x:v>
      </x:c>
      <x:c r="O55" s="31" t="str">
        <x:v>yellow-white striped cup B</x:v>
      </x:c>
      <x:c r="P55" s="31" t="str"/>
      <x:c r="Q55" s="31" t="str"/>
      <x:c r="R55" s="31" t="str"/>
      <x:c r="S55" s="31" t="str">
        <x:f>IF('Blind Scoring'!I55="","",'Blind Scoring'!I55)</x:f>
      </x:c>
      <x:c r="T55" s="31" t="str">
        <x:f>'Blind Scoring'!J55</x:f>
        <x:v>No</x:v>
      </x:c>
      <x:c r="U55" s="31" t="str">
        <x:f>IF('Blind Scoring'!L55="","",'Blind Scoring'!L55)</x:f>
      </x:c>
    </x:row>
    <x:row r="56" ht="44" customHeight="1">
      <x:c r="A56" s="35" t="str">
        <x:v>Not Started</x:v>
      </x:c>
      <x:c r="B56" s="35" t="n">
        <x:v>54</x:v>
      </x:c>
      <x:c r="C56" s="35" t="str">
        <x:v>P01</x:v>
      </x:c>
      <x:c r="D56" s="35" t="n">
        <x:v>55</x:v>
      </x:c>
      <x:c r="E56" s="35" t="str">
        <x:v>Primary VLA</x:v>
      </x:c>
      <x:c r="F56" s="35" t="str">
        <x:v>π0.5</x:v>
      </x:c>
      <x:c r="G56" s="35" t="n">
        <x:v>1</x:v>
      </x:c>
      <x:c r="H56" s="35" t="str">
        <x:v>State Recognition</x:v>
      </x:c>
      <x:c r="I56" s="35" t="str">
        <x:v>Main held-out transfer</x:v>
      </x:c>
      <x:c r="J56" s="35" t="str">
        <x:v>PVLA-ST-TR-15</x:v>
      </x:c>
      <x:c r="K56" s="35" t="str">
        <x:v>S-CF28</x:v>
      </x:c>
      <x:c r="L56" s="31" t="str">
        <x:v>Place the upright white cup in the bowl.</x:v>
      </x:c>
      <x:c r="M56" s="31" t="str">
        <x:v>Place the upright white cup in the bowl.</x:v>
      </x:c>
      <x:c r="N56" s="31" t="str">
        <x:v>S-CF28-HELD: P1 white cup A=C/UD [COMPETITOR]; P2 yellow-white striped cup B=O/UR; P3 brown cup A=O/UD; P4 white cup B=C/UR [TARGET].</x:v>
      </x:c>
      <x:c r="O56" s="31" t="str">
        <x:v>white cup B</x:v>
      </x:c>
      <x:c r="P56" s="31" t="str"/>
      <x:c r="Q56" s="31" t="str"/>
      <x:c r="R56" s="31" t="str"/>
      <x:c r="S56" s="31" t="str">
        <x:f>IF('Blind Scoring'!I56="","",'Blind Scoring'!I56)</x:f>
      </x:c>
      <x:c r="T56" s="31" t="str">
        <x:f>'Blind Scoring'!J56</x:f>
        <x:v>No</x:v>
      </x:c>
      <x:c r="U56" s="31" t="str">
        <x:f>IF('Blind Scoring'!L56="","",'Blind Scoring'!L56)</x:f>
      </x:c>
    </x:row>
    <x:row r="57" ht="44" customHeight="1">
      <x:c r="A57" s="35" t="str">
        <x:v>Not Started</x:v>
      </x:c>
      <x:c r="B57" s="35" t="n">
        <x:v>55</x:v>
      </x:c>
      <x:c r="C57" s="35" t="str">
        <x:v>P01</x:v>
      </x:c>
      <x:c r="D57" s="35" t="n">
        <x:v>56</x:v>
      </x:c>
      <x:c r="E57" s="35" t="str">
        <x:v>Primary VLA</x:v>
      </x:c>
      <x:c r="F57" s="35" t="str">
        <x:v>π0.5</x:v>
      </x:c>
      <x:c r="G57" s="35" t="n">
        <x:v>1</x:v>
      </x:c>
      <x:c r="H57" s="35" t="str">
        <x:v>State Recognition</x:v>
      </x:c>
      <x:c r="I57" s="35" t="str">
        <x:v>Novel layout + seen language</x:v>
      </x:c>
      <x:c r="J57" s="35" t="str">
        <x:v>PVLA-ST-NOV-02</x:v>
      </x:c>
      <x:c r="K57" s="35" t="str">
        <x:v>S-CF04</x:v>
      </x:c>
      <x:c r="L57" s="31" t="str">
        <x:v>Place the upside-down white cup in the bowl.</x:v>
      </x:c>
      <x:c r="M57" s="31" t="str">
        <x:v>Place the upside-down white cup in the bowl.</x:v>
      </x:c>
      <x:c r="N57" s="31" t="str">
        <x:v>S-CF04-SEEN: P1 white cup A=C/UD [COMPETITOR]; P2 yellow-white striped cup B=O/UR; P3 brown cup A=O/UD; P4 white cup B=C/UR [TARGET].</x:v>
      </x:c>
      <x:c r="O57" s="31" t="str">
        <x:v>white cup A</x:v>
      </x:c>
      <x:c r="P57" s="31" t="str"/>
      <x:c r="Q57" s="31" t="str"/>
      <x:c r="R57" s="31" t="str"/>
      <x:c r="S57" s="31" t="str">
        <x:f>IF('Blind Scoring'!I57="","",'Blind Scoring'!I57)</x:f>
      </x:c>
      <x:c r="T57" s="31" t="str">
        <x:f>'Blind Scoring'!J57</x:f>
        <x:v>No</x:v>
      </x:c>
      <x:c r="U57" s="31" t="str">
        <x:f>IF('Blind Scoring'!L57="","",'Blind Scoring'!L57)</x:f>
      </x:c>
    </x:row>
    <x:row r="58" ht="44" customHeight="1">
      <x:c r="A58" s="35" t="str">
        <x:v>Not Started</x:v>
      </x:c>
      <x:c r="B58" s="35" t="n">
        <x:v>56</x:v>
      </x:c>
      <x:c r="C58" s="35" t="str">
        <x:v>P01</x:v>
      </x:c>
      <x:c r="D58" s="35" t="n">
        <x:v>57</x:v>
      </x:c>
      <x:c r="E58" s="35" t="str">
        <x:v>Primary VLA</x:v>
      </x:c>
      <x:c r="F58" s="35" t="str">
        <x:v>π0.5</x:v>
      </x:c>
      <x:c r="G58" s="35" t="n">
        <x:v>1</x:v>
      </x:c>
      <x:c r="H58" s="35" t="str">
        <x:v>State Recognition</x:v>
      </x:c>
      <x:c r="I58" s="35" t="str">
        <x:v>Novel layout + seen language</x:v>
      </x:c>
      <x:c r="J58" s="35" t="str">
        <x:v>PVLA-ST-NOV-07</x:v>
      </x:c>
      <x:c r="K58" s="35" t="str">
        <x:v>S-CF17</x:v>
      </x:c>
      <x:c r="L58" s="31" t="str">
        <x:v>Place the open white cup in the bowl.</x:v>
      </x:c>
      <x:c r="M58" s="31" t="str">
        <x:v>Place the open white cup in the bowl.</x:v>
      </x:c>
      <x:c r="N58" s="31" t="str">
        <x:v>S-CF17-SEEN: P1 white cup A=C/UR [TARGET]; P2 white cup B=O/UR [COMPETITOR]; P3 yellow-white striped cup A=C/UD; P4 brown cup B=O/UD.</x:v>
      </x:c>
      <x:c r="O58" s="31" t="str">
        <x:v>white cup B</x:v>
      </x:c>
      <x:c r="P58" s="31" t="str"/>
      <x:c r="Q58" s="31" t="str"/>
      <x:c r="R58" s="31" t="str"/>
      <x:c r="S58" s="31" t="str">
        <x:f>IF('Blind Scoring'!I58="","",'Blind Scoring'!I58)</x:f>
      </x:c>
      <x:c r="T58" s="31" t="str">
        <x:f>'Blind Scoring'!J58</x:f>
        <x:v>No</x:v>
      </x:c>
      <x:c r="U58" s="31" t="str">
        <x:f>IF('Blind Scoring'!L58="","",'Blind Scoring'!L58)</x:f>
      </x:c>
    </x:row>
    <x:row r="59" ht="44" customHeight="1">
      <x:c r="A59" s="35" t="str">
        <x:v>Not Started</x:v>
      </x:c>
      <x:c r="B59" s="35" t="n">
        <x:v>57</x:v>
      </x:c>
      <x:c r="C59" s="35" t="str">
        <x:v>P01</x:v>
      </x:c>
      <x:c r="D59" s="35" t="n">
        <x:v>58</x:v>
      </x:c>
      <x:c r="E59" s="35" t="str">
        <x:v>Primary VLA</x:v>
      </x:c>
      <x:c r="F59" s="35" t="str">
        <x:v>π0.5</x:v>
      </x:c>
      <x:c r="G59" s="35" t="n">
        <x:v>1</x:v>
      </x:c>
      <x:c r="H59" s="35" t="str">
        <x:v>State Recognition</x:v>
      </x:c>
      <x:c r="I59" s="35" t="str">
        <x:v>Main held-out transfer</x:v>
      </x:c>
      <x:c r="J59" s="35" t="str">
        <x:v>PVLA-ST-TR-07</x:v>
      </x:c>
      <x:c r="K59" s="35" t="str">
        <x:v>S-CF13</x:v>
      </x:c>
      <x:c r="L59" s="31" t="str">
        <x:v>Place the closed brown cup in the bowl.</x:v>
      </x:c>
      <x:c r="M59" s="31" t="str">
        <x:v>Place the closed brown cup in the bowl.</x:v>
      </x:c>
      <x:c r="N59" s="31" t="str">
        <x:v>S-CF13-HELD: P1 brown cup A=C/UR [TARGET]; P2 brown cup B=O/UR [COMPETITOR]; P3 glass spice container A=C/UD; P4 white cup B=O/UD.</x:v>
      </x:c>
      <x:c r="O59" s="31" t="str">
        <x:v>brown cup A</x:v>
      </x:c>
      <x:c r="P59" s="31" t="str"/>
      <x:c r="Q59" s="31" t="str"/>
      <x:c r="R59" s="31" t="str"/>
      <x:c r="S59" s="31" t="str">
        <x:f>IF('Blind Scoring'!I59="","",'Blind Scoring'!I59)</x:f>
      </x:c>
      <x:c r="T59" s="31" t="str">
        <x:f>'Blind Scoring'!J59</x:f>
        <x:v>No</x:v>
      </x:c>
      <x:c r="U59" s="31" t="str">
        <x:f>IF('Blind Scoring'!L59="","",'Blind Scoring'!L59)</x:f>
      </x:c>
    </x:row>
    <x:row r="60" ht="44" customHeight="1">
      <x:c r="A60" s="35" t="str">
        <x:v>Not Started</x:v>
      </x:c>
      <x:c r="B60" s="35" t="n">
        <x:v>58</x:v>
      </x:c>
      <x:c r="C60" s="35" t="str">
        <x:v>P01</x:v>
      </x:c>
      <x:c r="D60" s="35" t="n">
        <x:v>59</x:v>
      </x:c>
      <x:c r="E60" s="35" t="str">
        <x:v>Primary VLA</x:v>
      </x:c>
      <x:c r="F60" s="35" t="str">
        <x:v>π0.5</x:v>
      </x:c>
      <x:c r="G60" s="35" t="n">
        <x:v>1</x:v>
      </x:c>
      <x:c r="H60" s="35" t="str">
        <x:v>State Recognition</x:v>
      </x:c>
      <x:c r="I60" s="35" t="str">
        <x:v>Exact-scene paraphrase</x:v>
      </x:c>
      <x:c r="J60" s="35" t="str">
        <x:v>PVLA-ST-PAR-08</x:v>
      </x:c>
      <x:c r="K60" s="35" t="str">
        <x:v>S-CF20</x:v>
      </x:c>
      <x:c r="L60" s="31" t="str">
        <x:v>Find the white cup that is turned upside down and move it into the bowl.</x:v>
      </x:c>
      <x:c r="M60" s="31" t="str">
        <x:v>Find the white cup that is turned upside down and move it into the bowl.</x:v>
      </x:c>
      <x:c r="N60" s="31" t="str">
        <x:v>S-CF20-PARA: P1 white cup A=C/UD [COMPETITOR]; P2 yellow-white striped cup B=O/UR; P3 brown cup A=O/UD; P4 white cup B=C/UR [TARGET].</x:v>
      </x:c>
      <x:c r="O60" s="31" t="str">
        <x:v>white cup A</x:v>
      </x:c>
      <x:c r="P60" s="31" t="str"/>
      <x:c r="Q60" s="31" t="str"/>
      <x:c r="R60" s="31" t="str"/>
      <x:c r="S60" s="31" t="str">
        <x:f>IF('Blind Scoring'!I60="","",'Blind Scoring'!I60)</x:f>
      </x:c>
      <x:c r="T60" s="31" t="str">
        <x:f>'Blind Scoring'!J60</x:f>
        <x:v>No</x:v>
      </x:c>
      <x:c r="U60" s="31" t="str">
        <x:f>IF('Blind Scoring'!L60="","",'Blind Scoring'!L60)</x:f>
      </x:c>
    </x:row>
    <x:row r="61" ht="44" customHeight="1">
      <x:c r="A61" s="35" t="str">
        <x:v>Not Started</x:v>
      </x:c>
      <x:c r="B61" s="35" t="n">
        <x:v>59</x:v>
      </x:c>
      <x:c r="C61" s="35" t="str">
        <x:v>P01</x:v>
      </x:c>
      <x:c r="D61" s="35" t="n">
        <x:v>60</x:v>
      </x:c>
      <x:c r="E61" s="35" t="str">
        <x:v>Primary VLA</x:v>
      </x:c>
      <x:c r="F61" s="35" t="str">
        <x:v>π0.5</x:v>
      </x:c>
      <x:c r="G61" s="35" t="n">
        <x:v>1</x:v>
      </x:c>
      <x:c r="H61" s="35" t="str">
        <x:v>State Recognition</x:v>
      </x:c>
      <x:c r="I61" s="35" t="str">
        <x:v>Main matched control</x:v>
      </x:c>
      <x:c r="J61" s="35" t="str">
        <x:v>PVLA-ST-CTL-05</x:v>
      </x:c>
      <x:c r="K61" s="35" t="str">
        <x:v>S-CF09</x:v>
      </x:c>
      <x:c r="L61" s="31" t="str">
        <x:v>Place a white cup in the bowl.</x:v>
      </x:c>
      <x:c r="M61" s="31" t="str">
        <x:v>Place a white cup in the bowl.</x:v>
      </x:c>
      <x:c r="N61" s="31" t="str">
        <x:v>S-CF09-CTRL: P1 white cup A=C/UR [TARGET]; P3 yellow-white striped cup A=C/UD; P4 brown cup B=O/UD.</x:v>
      </x:c>
      <x:c r="O61" s="31" t="str">
        <x:v>white cup A</x:v>
      </x:c>
      <x:c r="P61" s="31" t="str"/>
      <x:c r="Q61" s="31" t="str"/>
      <x:c r="R61" s="31" t="str"/>
      <x:c r="S61" s="31" t="str">
        <x:f>IF('Blind Scoring'!I61="","",'Blind Scoring'!I61)</x:f>
      </x:c>
      <x:c r="T61" s="31" t="str">
        <x:f>'Blind Scoring'!J61</x:f>
        <x:v>No</x:v>
      </x:c>
      <x:c r="U61" s="31" t="str">
        <x:f>IF('Blind Scoring'!L61="","",'Blind Scoring'!L61)</x:f>
      </x:c>
    </x:row>
    <x:row r="62" ht="44" customHeight="1">
      <x:c r="A62" s="35" t="str">
        <x:v>Not Started</x:v>
      </x:c>
      <x:c r="B62" s="35" t="n">
        <x:v>60</x:v>
      </x:c>
      <x:c r="C62" s="35" t="str">
        <x:v>P01</x:v>
      </x:c>
      <x:c r="D62" s="35" t="n">
        <x:v>61</x:v>
      </x:c>
      <x:c r="E62" s="35" t="str">
        <x:v>Primary VLA</x:v>
      </x:c>
      <x:c r="F62" s="35" t="str">
        <x:v>π0.5</x:v>
      </x:c>
      <x:c r="G62" s="35" t="n">
        <x:v>1</x:v>
      </x:c>
      <x:c r="H62" s="35" t="str">
        <x:v>State Recognition</x:v>
      </x:c>
      <x:c r="I62" s="35" t="str">
        <x:v>Novel layout + seen language</x:v>
      </x:c>
      <x:c r="J62" s="35" t="str">
        <x:v>PVLA-ST-NOV-08</x:v>
      </x:c>
      <x:c r="K62" s="35" t="str">
        <x:v>S-CF20</x:v>
      </x:c>
      <x:c r="L62" s="31" t="str">
        <x:v>Place the upside-down white cup in the bowl.</x:v>
      </x:c>
      <x:c r="M62" s="31" t="str">
        <x:v>Place the upside-down white cup in the bowl.</x:v>
      </x:c>
      <x:c r="N62" s="31" t="str">
        <x:v>S-CF20-SEEN: P1 white cup A=C/UD [COMPETITOR]; P2 yellow-white striped cup B=O/UR; P3 brown cup A=O/UD; P4 white cup B=C/UR [TARGET].</x:v>
      </x:c>
      <x:c r="O62" s="31" t="str">
        <x:v>white cup A</x:v>
      </x:c>
      <x:c r="P62" s="31" t="str"/>
      <x:c r="Q62" s="31" t="str"/>
      <x:c r="R62" s="31" t="str"/>
      <x:c r="S62" s="31" t="str">
        <x:f>IF('Blind Scoring'!I62="","",'Blind Scoring'!I62)</x:f>
      </x:c>
      <x:c r="T62" s="31" t="str">
        <x:f>'Blind Scoring'!J62</x:f>
        <x:v>No</x:v>
      </x:c>
      <x:c r="U62" s="31" t="str">
        <x:f>IF('Blind Scoring'!L62="","",'Blind Scoring'!L62)</x:f>
      </x:c>
    </x:row>
    <x:row r="63" ht="44" customHeight="1">
      <x:c r="A63" s="35" t="str">
        <x:v>Not Started</x:v>
      </x:c>
      <x:c r="B63" s="35" t="n">
        <x:v>61</x:v>
      </x:c>
      <x:c r="C63" s="35" t="str">
        <x:v>P01</x:v>
      </x:c>
      <x:c r="D63" s="35" t="n">
        <x:v>62</x:v>
      </x:c>
      <x:c r="E63" s="35" t="str">
        <x:v>Primary VLA</x:v>
      </x:c>
      <x:c r="F63" s="35" t="str">
        <x:v>π0.5</x:v>
      </x:c>
      <x:c r="G63" s="35" t="n">
        <x:v>1</x:v>
      </x:c>
      <x:c r="H63" s="35" t="str">
        <x:v>State Recognition</x:v>
      </x:c>
      <x:c r="I63" s="35" t="str">
        <x:v>Training reconstruction</x:v>
      </x:c>
      <x:c r="J63" s="35" t="str">
        <x:v>PVLA-ST-REC-02</x:v>
      </x:c>
      <x:c r="K63" s="35" t="str"/>
      <x:c r="L63" s="31" t="str">
        <x:v>Put a yellow-white striped cup in the bowl.</x:v>
      </x:c>
      <x:c r="M63" s="31" t="str">
        <x:v>Put a yellow-white striped cup in the bowl.</x:v>
      </x:c>
      <x:c r="N63" s="31" t="str">
        <x:v>Reconstruct planned final training episode 52: yellow-white striped cup A, white cup A, brown cup B; start=Home. Match camera, calibration, bowl pose, and object geometry exactly.</x:v>
      </x:c>
      <x:c r="O63" s="31" t="str">
        <x:v>yellow-white striped cup A</x:v>
      </x:c>
      <x:c r="P63" s="31" t="str"/>
      <x:c r="Q63" s="31" t="str"/>
      <x:c r="R63" s="31" t="str"/>
      <x:c r="S63" s="31" t="str">
        <x:f>IF('Blind Scoring'!I63="","",'Blind Scoring'!I63)</x:f>
      </x:c>
      <x:c r="T63" s="31" t="str">
        <x:f>'Blind Scoring'!J63</x:f>
        <x:v>No</x:v>
      </x:c>
      <x:c r="U63" s="31" t="str">
        <x:f>IF('Blind Scoring'!L63="","",'Blind Scoring'!L63)</x:f>
      </x:c>
    </x:row>
    <x:row r="64" ht="44" customHeight="1">
      <x:c r="A64" s="35" t="str">
        <x:v>Not Started</x:v>
      </x:c>
      <x:c r="B64" s="35" t="n">
        <x:v>62</x:v>
      </x:c>
      <x:c r="C64" s="35" t="str">
        <x:v>P02</x:v>
      </x:c>
      <x:c r="D64" s="35" t="n">
        <x:v>1</x:v>
      </x:c>
      <x:c r="E64" s="35" t="str">
        <x:v>Primary VLA</x:v>
      </x:c>
      <x:c r="F64" s="35" t="str">
        <x:v>π0.5</x:v>
      </x:c>
      <x:c r="G64" s="35" t="n">
        <x:v>1</x:v>
      </x:c>
      <x:c r="H64" s="35" t="str">
        <x:v>Relational Placement</x:v>
      </x:c>
      <x:c r="I64" s="35" t="str">
        <x:v>Novel layout + seen language</x:v>
      </x:c>
      <x:c r="J64" s="35" t="str">
        <x:v>PVLA-RP-NOV-06</x:v>
      </x:c>
      <x:c r="K64" s="35" t="str"/>
      <x:c r="L64" s="31" t="str">
        <x:v>Place the red block to the left of the blue block.</x:v>
      </x:c>
      <x:c r="M64" s="31" t="str">
        <x:v>Place the red block to the left of the blue block.</x:v>
      </x:c>
      <x:c r="N64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64" s="31" t="str">
        <x:v>red block</x:v>
      </x:c>
      <x:c r="P64" s="31" t="str"/>
      <x:c r="Q64" s="31" t="str"/>
      <x:c r="R64" s="31" t="str"/>
      <x:c r="S64" s="31" t="str">
        <x:f>IF('Blind Scoring'!I64="","",'Blind Scoring'!I64)</x:f>
      </x:c>
      <x:c r="T64" s="31" t="str">
        <x:f>'Blind Scoring'!J64</x:f>
        <x:v>No</x:v>
      </x:c>
      <x:c r="U64" s="31" t="str">
        <x:f>IF('Blind Scoring'!L64="","",'Blind Scoring'!L64)</x:f>
      </x:c>
    </x:row>
    <x:row r="65" ht="44" customHeight="1">
      <x:c r="A65" s="35" t="str">
        <x:v>Not Started</x:v>
      </x:c>
      <x:c r="B65" s="35" t="n">
        <x:v>63</x:v>
      </x:c>
      <x:c r="C65" s="35" t="str">
        <x:v>P02</x:v>
      </x:c>
      <x:c r="D65" s="35" t="n">
        <x:v>2</x:v>
      </x:c>
      <x:c r="E65" s="35" t="str">
        <x:v>Primary VLA</x:v>
      </x:c>
      <x:c r="F65" s="35" t="str">
        <x:v>π0.5</x:v>
      </x:c>
      <x:c r="G65" s="35" t="n">
        <x:v>1</x:v>
      </x:c>
      <x:c r="H65" s="35" t="str">
        <x:v>Relational Placement</x:v>
      </x:c>
      <x:c r="I65" s="35" t="str">
        <x:v>Main held-out transfer</x:v>
      </x:c>
      <x:c r="J65" s="35" t="str">
        <x:v>PVLA-RP-TR-05</x:v>
      </x:c>
      <x:c r="K65" s="35" t="str">
        <x:v>R-CF09</x:v>
      </x:c>
      <x:c r="L65" s="31" t="str">
        <x:v>Place the green pen in front of the red block.</x:v>
      </x:c>
      <x:c r="M65" s="31" t="str">
        <x:v>Place the green pen in front of the red block.</x:v>
      </x:c>
      <x:c r="N65" s="31" t="str">
        <x:v>R-CF09-HELD: red block at front-left [REFERENCE]; green pen starts 24 cm behind the reference [TARGET START]; pink marker and blue block are distractors outside the commanded goal sector.</x:v>
      </x:c>
      <x:c r="O65" s="31" t="str">
        <x:v>green pen → in front of red block</x:v>
      </x:c>
      <x:c r="P65" s="31" t="str"/>
      <x:c r="Q65" s="31" t="str"/>
      <x:c r="R65" s="31" t="str"/>
      <x:c r="S65" s="31" t="str">
        <x:f>IF('Blind Scoring'!I65="","",'Blind Scoring'!I65)</x:f>
      </x:c>
      <x:c r="T65" s="31" t="str">
        <x:f>'Blind Scoring'!J65</x:f>
        <x:v>No</x:v>
      </x:c>
      <x:c r="U65" s="31" t="str">
        <x:f>IF('Blind Scoring'!L65="","",'Blind Scoring'!L65)</x:f>
      </x:c>
    </x:row>
    <x:row r="66" ht="44" customHeight="1">
      <x:c r="A66" s="35" t="str">
        <x:v>Not Started</x:v>
      </x:c>
      <x:c r="B66" s="35" t="n">
        <x:v>64</x:v>
      </x:c>
      <x:c r="C66" s="35" t="str">
        <x:v>P02</x:v>
      </x:c>
      <x:c r="D66" s="35" t="n">
        <x:v>3</x:v>
      </x:c>
      <x:c r="E66" s="35" t="str">
        <x:v>Primary VLA</x:v>
      </x:c>
      <x:c r="F66" s="35" t="str">
        <x:v>π0.5</x:v>
      </x:c>
      <x:c r="G66" s="35" t="n">
        <x:v>1</x:v>
      </x:c>
      <x:c r="H66" s="35" t="str">
        <x:v>Relational Placement</x:v>
      </x:c>
      <x:c r="I66" s="35" t="str">
        <x:v>Main matched control</x:v>
      </x:c>
      <x:c r="J66" s="35" t="str">
        <x:v>PVLA-RP-CTL-14</x:v>
      </x:c>
      <x:c r="K66" s="35" t="str">
        <x:v>R-CF26</x:v>
      </x:c>
      <x:c r="L66" s="31" t="str">
        <x:v>Place the red block next to the green pen.</x:v>
      </x:c>
      <x:c r="M66" s="31" t="str">
        <x:v>Place the red block next to the green pen.</x:v>
      </x:c>
      <x:c r="N66" s="31" t="str">
        <x:v>R-CF26-CTRL: green pen at center [REFERENCE]; red block starts 21 cm in front of the reference [TARGET START]; blue block and pink marker are distractors outside the commanded goal sector.</x:v>
      </x:c>
      <x:c r="O66" s="31" t="str">
        <x:v>red block near green pen</x:v>
      </x:c>
      <x:c r="P66" s="31" t="str"/>
      <x:c r="Q66" s="31" t="str"/>
      <x:c r="R66" s="31" t="str"/>
      <x:c r="S66" s="31" t="str">
        <x:f>IF('Blind Scoring'!I66="","",'Blind Scoring'!I66)</x:f>
      </x:c>
      <x:c r="T66" s="31" t="str">
        <x:f>'Blind Scoring'!J66</x:f>
        <x:v>No</x:v>
      </x:c>
      <x:c r="U66" s="31" t="str">
        <x:f>IF('Blind Scoring'!L66="","",'Blind Scoring'!L66)</x:f>
      </x:c>
    </x:row>
    <x:row r="67" ht="44" customHeight="1">
      <x:c r="A67" s="35" t="str">
        <x:v>Not Started</x:v>
      </x:c>
      <x:c r="B67" s="35" t="n">
        <x:v>65</x:v>
      </x:c>
      <x:c r="C67" s="35" t="str">
        <x:v>P02</x:v>
      </x:c>
      <x:c r="D67" s="35" t="n">
        <x:v>4</x:v>
      </x:c>
      <x:c r="E67" s="35" t="str">
        <x:v>Primary VLA</x:v>
      </x:c>
      <x:c r="F67" s="35" t="str">
        <x:v>π0.5</x:v>
      </x:c>
      <x:c r="G67" s="35" t="n">
        <x:v>1</x:v>
      </x:c>
      <x:c r="H67" s="35" t="str">
        <x:v>Relational Placement</x:v>
      </x:c>
      <x:c r="I67" s="35" t="str">
        <x:v>Main matched control</x:v>
      </x:c>
      <x:c r="J67" s="35" t="str">
        <x:v>PVLA-RP-CTL-03</x:v>
      </x:c>
      <x:c r="K67" s="35" t="str">
        <x:v>R-CF05</x:v>
      </x:c>
      <x:c r="L67" s="31" t="str">
        <x:v>Place the green pen next to the red block.</x:v>
      </x:c>
      <x:c r="M67" s="31" t="str">
        <x:v>Place the green pen next to the red block.</x:v>
      </x:c>
      <x:c r="N67" s="31" t="str">
        <x:v>R-CF05-CTRL: red block at front-right [REFERENCE]; green pen starts 21 cm to the right of the reference [TARGET START]; pink marker and blue block are distractors outside the commanded goal sector.</x:v>
      </x:c>
      <x:c r="O67" s="31" t="str">
        <x:v>green pen near red block</x:v>
      </x:c>
      <x:c r="P67" s="31" t="str"/>
      <x:c r="Q67" s="31" t="str"/>
      <x:c r="R67" s="31" t="str"/>
      <x:c r="S67" s="31" t="str">
        <x:f>IF('Blind Scoring'!I67="","",'Blind Scoring'!I67)</x:f>
      </x:c>
      <x:c r="T67" s="31" t="str">
        <x:f>'Blind Scoring'!J67</x:f>
        <x:v>No</x:v>
      </x:c>
      <x:c r="U67" s="31" t="str">
        <x:f>IF('Blind Scoring'!L67="","",'Blind Scoring'!L67)</x:f>
      </x:c>
    </x:row>
    <x:row r="68" ht="44" customHeight="1">
      <x:c r="A68" s="35" t="str">
        <x:v>Not Started</x:v>
      </x:c>
      <x:c r="B68" s="35" t="n">
        <x:v>66</x:v>
      </x:c>
      <x:c r="C68" s="35" t="str">
        <x:v>P02</x:v>
      </x:c>
      <x:c r="D68" s="35" t="n">
        <x:v>5</x:v>
      </x:c>
      <x:c r="E68" s="35" t="str">
        <x:v>Primary VLA</x:v>
      </x:c>
      <x:c r="F68" s="35" t="str">
        <x:v>π0.5</x:v>
      </x:c>
      <x:c r="G68" s="35" t="n">
        <x:v>1</x:v>
      </x:c>
      <x:c r="H68" s="35" t="str">
        <x:v>Relational Placement</x:v>
      </x:c>
      <x:c r="I68" s="35" t="str">
        <x:v>Training reconstruction</x:v>
      </x:c>
      <x:c r="J68" s="35" t="str">
        <x:v>PVLA-RP-REC-02</x:v>
      </x:c>
      <x:c r="K68" s="35" t="str"/>
      <x:c r="L68" s="31" t="str">
        <x:v>Put the green pen on the table in front of the pink marker.</x:v>
      </x:c>
      <x:c r="M68" s="31" t="str">
        <x:v>Put the green pen on the table in front of the pink marker.</x:v>
      </x:c>
      <x:c r="N68" s="31" t="str">
        <x:v>Reconstruct planned final training episode 206: green pen, red block, pink marker, blue block; start=Home. Match camera, calibration, bowl pose, and object geometry exactly.</x:v>
      </x:c>
      <x:c r="O68" s="31" t="str">
        <x:v>green pen</x:v>
      </x:c>
      <x:c r="P68" s="31" t="str"/>
      <x:c r="Q68" s="31" t="str"/>
      <x:c r="R68" s="31" t="str"/>
      <x:c r="S68" s="31" t="str">
        <x:f>IF('Blind Scoring'!I68="","",'Blind Scoring'!I68)</x:f>
      </x:c>
      <x:c r="T68" s="31" t="str">
        <x:f>'Blind Scoring'!J68</x:f>
        <x:v>No</x:v>
      </x:c>
      <x:c r="U68" s="31" t="str">
        <x:f>IF('Blind Scoring'!L68="","",'Blind Scoring'!L68)</x:f>
      </x:c>
    </x:row>
    <x:row r="69" ht="44" customHeight="1">
      <x:c r="A69" s="35" t="str">
        <x:v>Not Started</x:v>
      </x:c>
      <x:c r="B69" s="35" t="n">
        <x:v>67</x:v>
      </x:c>
      <x:c r="C69" s="35" t="str">
        <x:v>P02</x:v>
      </x:c>
      <x:c r="D69" s="35" t="n">
        <x:v>6</x:v>
      </x:c>
      <x:c r="E69" s="35" t="str">
        <x:v>Primary VLA</x:v>
      </x:c>
      <x:c r="F69" s="35" t="str">
        <x:v>π0.5</x:v>
      </x:c>
      <x:c r="G69" s="35" t="n">
        <x:v>1</x:v>
      </x:c>
      <x:c r="H69" s="35" t="str">
        <x:v>Relational Placement</x:v>
      </x:c>
      <x:c r="I69" s="35" t="str">
        <x:v>Main matched control</x:v>
      </x:c>
      <x:c r="J69" s="35" t="str">
        <x:v>PVLA-RP-CTL-05</x:v>
      </x:c>
      <x:c r="K69" s="35" t="str">
        <x:v>R-CF09</x:v>
      </x:c>
      <x:c r="L69" s="31" t="str">
        <x:v>Place the green pen beside the red block.</x:v>
      </x:c>
      <x:c r="M69" s="31" t="str">
        <x:v>Place the green pen beside the red block.</x:v>
      </x:c>
      <x:c r="N69" s="31" t="str">
        <x:v>R-CF09-CTRL: red block at front-left [REFERENCE]; green pen starts 24 cm behind the reference [TARGET START]; pink marker and blue block are distractors outside the commanded goal sector.</x:v>
      </x:c>
      <x:c r="O69" s="31" t="str">
        <x:v>green pen near red block</x:v>
      </x:c>
      <x:c r="P69" s="31" t="str"/>
      <x:c r="Q69" s="31" t="str"/>
      <x:c r="R69" s="31" t="str"/>
      <x:c r="S69" s="31" t="str">
        <x:f>IF('Blind Scoring'!I69="","",'Blind Scoring'!I69)</x:f>
      </x:c>
      <x:c r="T69" s="31" t="str">
        <x:f>'Blind Scoring'!J69</x:f>
        <x:v>No</x:v>
      </x:c>
      <x:c r="U69" s="31" t="str">
        <x:f>IF('Blind Scoring'!L69="","",'Blind Scoring'!L69)</x:f>
      </x:c>
    </x:row>
    <x:row r="70" ht="44" customHeight="1">
      <x:c r="A70" s="35" t="str">
        <x:v>Not Started</x:v>
      </x:c>
      <x:c r="B70" s="35" t="n">
        <x:v>68</x:v>
      </x:c>
      <x:c r="C70" s="35" t="str">
        <x:v>P02</x:v>
      </x:c>
      <x:c r="D70" s="35" t="n">
        <x:v>7</x:v>
      </x:c>
      <x:c r="E70" s="35" t="str">
        <x:v>Primary VLA</x:v>
      </x:c>
      <x:c r="F70" s="35" t="str">
        <x:v>π0.5</x:v>
      </x:c>
      <x:c r="G70" s="35" t="n">
        <x:v>1</x:v>
      </x:c>
      <x:c r="H70" s="35" t="str">
        <x:v>Relational Placement</x:v>
      </x:c>
      <x:c r="I70" s="35" t="str">
        <x:v>Exact-scene paraphrase</x:v>
      </x:c>
      <x:c r="J70" s="35" t="str">
        <x:v>PVLA-RP-PAR-04</x:v>
      </x:c>
      <x:c r="K70" s="35" t="str"/>
      <x:c r="L70" s="31" t="str">
        <x:v>Move the red block to the side of the pink marker facing the robot.</x:v>
      </x:c>
      <x:c r="M70" s="31" t="str">
        <x:v>Move the red block to the side of the pink marker facing the robot.</x:v>
      </x:c>
      <x:c r="N70" s="31" t="str">
        <x:v>R-P01: pink marker at center [REFERENCE]; red block starts 21 cm behind the reference [TARGET START]; remaining objects are distractors with ≥12 cm clearance from the target path and commanded goal sector.</x:v>
      </x:c>
      <x:c r="O70" s="31" t="str">
        <x:v>red block</x:v>
      </x:c>
      <x:c r="P70" s="31" t="str"/>
      <x:c r="Q70" s="31" t="str"/>
      <x:c r="R70" s="31" t="str"/>
      <x:c r="S70" s="31" t="str">
        <x:f>IF('Blind Scoring'!I70="","",'Blind Scoring'!I70)</x:f>
      </x:c>
      <x:c r="T70" s="31" t="str">
        <x:f>'Blind Scoring'!J70</x:f>
        <x:v>No</x:v>
      </x:c>
      <x:c r="U70" s="31" t="str">
        <x:f>IF('Blind Scoring'!L70="","",'Blind Scoring'!L70)</x:f>
      </x:c>
    </x:row>
    <x:row r="71" ht="44" customHeight="1">
      <x:c r="A71" s="35" t="str">
        <x:v>Not Started</x:v>
      </x:c>
      <x:c r="B71" s="35" t="n">
        <x:v>69</x:v>
      </x:c>
      <x:c r="C71" s="35" t="str">
        <x:v>P02</x:v>
      </x:c>
      <x:c r="D71" s="35" t="n">
        <x:v>8</x:v>
      </x:c>
      <x:c r="E71" s="35" t="str">
        <x:v>Primary VLA</x:v>
      </x:c>
      <x:c r="F71" s="35" t="str">
        <x:v>π0.5</x:v>
      </x:c>
      <x:c r="G71" s="35" t="n">
        <x:v>1</x:v>
      </x:c>
      <x:c r="H71" s="35" t="str">
        <x:v>Relational Placement</x:v>
      </x:c>
      <x:c r="I71" s="35" t="str">
        <x:v>Main matched control</x:v>
      </x:c>
      <x:c r="J71" s="35" t="str">
        <x:v>PVLA-RP-CTL-15</x:v>
      </x:c>
      <x:c r="K71" s="35" t="str">
        <x:v>R-CF28</x:v>
      </x:c>
      <x:c r="L71" s="31" t="str">
        <x:v>Place the red block near the green pen.</x:v>
      </x:c>
      <x:c r="M71" s="31" t="str">
        <x:v>Place the red block near the green pen.</x:v>
      </x:c>
      <x:c r="N71" s="31" t="str">
        <x:v>R-CF28-CTRL: green pen at back-right [REFERENCE]; red block starts 18 cm behind the reference [TARGET START]; blue block and pink marker are distractors outside the commanded goal sector.</x:v>
      </x:c>
      <x:c r="O71" s="31" t="str">
        <x:v>red block near green pen</x:v>
      </x:c>
      <x:c r="P71" s="31" t="str"/>
      <x:c r="Q71" s="31" t="str"/>
      <x:c r="R71" s="31" t="str"/>
      <x:c r="S71" s="31" t="str">
        <x:f>IF('Blind Scoring'!I71="","",'Blind Scoring'!I71)</x:f>
      </x:c>
      <x:c r="T71" s="31" t="str">
        <x:f>'Blind Scoring'!J71</x:f>
        <x:v>No</x:v>
      </x:c>
      <x:c r="U71" s="31" t="str">
        <x:f>IF('Blind Scoring'!L71="","",'Blind Scoring'!L71)</x:f>
      </x:c>
    </x:row>
    <x:row r="72" ht="44" customHeight="1">
      <x:c r="A72" s="35" t="str">
        <x:v>Not Started</x:v>
      </x:c>
      <x:c r="B72" s="35" t="n">
        <x:v>70</x:v>
      </x:c>
      <x:c r="C72" s="35" t="str">
        <x:v>P02</x:v>
      </x:c>
      <x:c r="D72" s="35" t="n">
        <x:v>9</x:v>
      </x:c>
      <x:c r="E72" s="35" t="str">
        <x:v>Primary VLA</x:v>
      </x:c>
      <x:c r="F72" s="35" t="str">
        <x:v>π0.5</x:v>
      </x:c>
      <x:c r="G72" s="35" t="n">
        <x:v>1</x:v>
      </x:c>
      <x:c r="H72" s="35" t="str">
        <x:v>Relational Placement</x:v>
      </x:c>
      <x:c r="I72" s="35" t="str">
        <x:v>Main matched control</x:v>
      </x:c>
      <x:c r="J72" s="35" t="str">
        <x:v>PVLA-RP-CTL-13</x:v>
      </x:c>
      <x:c r="K72" s="35" t="str">
        <x:v>R-CF24</x:v>
      </x:c>
      <x:c r="L72" s="31" t="str">
        <x:v>Place the red block beside the green pen.</x:v>
      </x:c>
      <x:c r="M72" s="31" t="str">
        <x:v>Place the red block beside the green pen.</x:v>
      </x:c>
      <x:c r="N72" s="31" t="str">
        <x:v>R-CF24-CTRL: green pen at front-left [REFERENCE]; red block starts 24 cm to the right of the reference [TARGET START]; blue block and pink marker are distractors outside the commanded goal sector.</x:v>
      </x:c>
      <x:c r="O72" s="31" t="str">
        <x:v>red block near green pen</x:v>
      </x:c>
      <x:c r="P72" s="31" t="str"/>
      <x:c r="Q72" s="31" t="str"/>
      <x:c r="R72" s="31" t="str"/>
      <x:c r="S72" s="31" t="str">
        <x:f>IF('Blind Scoring'!I72="","",'Blind Scoring'!I72)</x:f>
      </x:c>
      <x:c r="T72" s="31" t="str">
        <x:f>'Blind Scoring'!J72</x:f>
        <x:v>No</x:v>
      </x:c>
      <x:c r="U72" s="31" t="str">
        <x:f>IF('Blind Scoring'!L72="","",'Blind Scoring'!L72)</x:f>
      </x:c>
    </x:row>
    <x:row r="73" ht="44" customHeight="1">
      <x:c r="A73" s="35" t="str">
        <x:v>Not Started</x:v>
      </x:c>
      <x:c r="B73" s="35" t="n">
        <x:v>71</x:v>
      </x:c>
      <x:c r="C73" s="35" t="str">
        <x:v>P02</x:v>
      </x:c>
      <x:c r="D73" s="35" t="n">
        <x:v>10</x:v>
      </x:c>
      <x:c r="E73" s="35" t="str">
        <x:v>Primary VLA</x:v>
      </x:c>
      <x:c r="F73" s="35" t="str">
        <x:v>π0.5</x:v>
      </x:c>
      <x:c r="G73" s="35" t="n">
        <x:v>1</x:v>
      </x:c>
      <x:c r="H73" s="35" t="str">
        <x:v>Relational Placement</x:v>
      </x:c>
      <x:c r="I73" s="35" t="str">
        <x:v>Main held-out transfer</x:v>
      </x:c>
      <x:c r="J73" s="35" t="str">
        <x:v>PVLA-RP-TR-11</x:v>
      </x:c>
      <x:c r="K73" s="35" t="str">
        <x:v>R-CF20</x:v>
      </x:c>
      <x:c r="L73" s="31" t="str">
        <x:v>Place the red block in front of the green pen.</x:v>
      </x:c>
      <x:c r="M73" s="31" t="str">
        <x:v>Place the red block in front of the green pen.</x:v>
      </x:c>
      <x:c r="N73" s="31" t="str">
        <x:v>R-CF20-HELD: green pen at front-right [REFERENCE]; red block starts 21 cm behind the reference [TARGET START]; blue block and pink marker are distractors outside the commanded goal sector.</x:v>
      </x:c>
      <x:c r="O73" s="31" t="str">
        <x:v>red block → in front of green pen</x:v>
      </x:c>
      <x:c r="P73" s="31" t="str"/>
      <x:c r="Q73" s="31" t="str"/>
      <x:c r="R73" s="31" t="str"/>
      <x:c r="S73" s="31" t="str">
        <x:f>IF('Blind Scoring'!I73="","",'Blind Scoring'!I73)</x:f>
      </x:c>
      <x:c r="T73" s="31" t="str">
        <x:f>'Blind Scoring'!J73</x:f>
        <x:v>No</x:v>
      </x:c>
      <x:c r="U73" s="31" t="str">
        <x:f>IF('Blind Scoring'!L73="","",'Blind Scoring'!L73)</x:f>
      </x:c>
    </x:row>
    <x:row r="74" ht="44" customHeight="1">
      <x:c r="A74" s="35" t="str">
        <x:v>Not Started</x:v>
      </x:c>
      <x:c r="B74" s="35" t="n">
        <x:v>72</x:v>
      </x:c>
      <x:c r="C74" s="35" t="str">
        <x:v>P02</x:v>
      </x:c>
      <x:c r="D74" s="35" t="n">
        <x:v>11</x:v>
      </x:c>
      <x:c r="E74" s="35" t="str">
        <x:v>Primary VLA</x:v>
      </x:c>
      <x:c r="F74" s="35" t="str">
        <x:v>π0.5</x:v>
      </x:c>
      <x:c r="G74" s="35" t="n">
        <x:v>1</x:v>
      </x:c>
      <x:c r="H74" s="35" t="str">
        <x:v>Relational Placement</x:v>
      </x:c>
      <x:c r="I74" s="35" t="str">
        <x:v>Language ablation — counterfactual</x:v>
      </x:c>
      <x:c r="J74" s="35" t="str">
        <x:v>PVLA-RP-ABL-CF-03</x:v>
      </x:c>
      <x:c r="K74" s="35" t="str">
        <x:v>R-CF13</x:v>
      </x:c>
      <x:c r="L74" s="31" t="str">
        <x:v>Place the green pen to the right of the red block.</x:v>
      </x:c>
      <x:c r="M74" s="31" t="str">
        <x:v>Place the green pen to the right of the red block.</x:v>
      </x:c>
      <x:c r="N74" s="31" t="str">
        <x:v>R-CF13-HELD: red block at back-right [REFERENCE]; green pen starts 18 cm to the right of the reference [TARGET START]; pink marker and blue block are distractors outside the commanded goal sector.</x:v>
      </x:c>
      <x:c r="O74" s="31" t="str">
        <x:v>green pen → to the right of red block</x:v>
      </x:c>
      <x:c r="P74" s="31" t="str"/>
      <x:c r="Q74" s="31" t="str"/>
      <x:c r="R74" s="31" t="str"/>
      <x:c r="S74" s="31" t="str">
        <x:f>IF('Blind Scoring'!I74="","",'Blind Scoring'!I74)</x:f>
      </x:c>
      <x:c r="T74" s="31" t="str">
        <x:f>'Blind Scoring'!J74</x:f>
        <x:v>No</x:v>
      </x:c>
      <x:c r="U74" s="31" t="str">
        <x:f>IF('Blind Scoring'!L74="","",'Blind Scoring'!L74)</x:f>
      </x:c>
    </x:row>
    <x:row r="75" ht="44" customHeight="1">
      <x:c r="A75" s="35" t="str">
        <x:v>Not Started</x:v>
      </x:c>
      <x:c r="B75" s="35" t="n">
        <x:v>73</x:v>
      </x:c>
      <x:c r="C75" s="35" t="str">
        <x:v>P02</x:v>
      </x:c>
      <x:c r="D75" s="35" t="n">
        <x:v>12</x:v>
      </x:c>
      <x:c r="E75" s="35" t="str">
        <x:v>Primary VLA</x:v>
      </x:c>
      <x:c r="F75" s="35" t="str">
        <x:v>π0.5</x:v>
      </x:c>
      <x:c r="G75" s="35" t="n">
        <x:v>1</x:v>
      </x:c>
      <x:c r="H75" s="35" t="str">
        <x:v>Relational Placement</x:v>
      </x:c>
      <x:c r="I75" s="35" t="str">
        <x:v>Main matched control</x:v>
      </x:c>
      <x:c r="J75" s="35" t="str">
        <x:v>PVLA-RP-CTL-06</x:v>
      </x:c>
      <x:c r="K75" s="35" t="str">
        <x:v>R-CF11</x:v>
      </x:c>
      <x:c r="L75" s="31" t="str">
        <x:v>Place the green pen next to the red block.</x:v>
      </x:c>
      <x:c r="M75" s="31" t="str">
        <x:v>Place the green pen next to the red block.</x:v>
      </x:c>
      <x:c r="N75" s="31" t="str">
        <x:v>R-CF11-CTRL: red block at center [REFERENCE]; green pen starts 21 cm to the left of the reference [TARGET START]; pink marker and blue block are distractors outside the commanded goal sector.</x:v>
      </x:c>
      <x:c r="O75" s="31" t="str">
        <x:v>green pen near red block</x:v>
      </x:c>
      <x:c r="P75" s="31" t="str"/>
      <x:c r="Q75" s="31" t="str"/>
      <x:c r="R75" s="31" t="str"/>
      <x:c r="S75" s="31" t="str">
        <x:f>IF('Blind Scoring'!I75="","",'Blind Scoring'!I75)</x:f>
      </x:c>
      <x:c r="T75" s="31" t="str">
        <x:f>'Blind Scoring'!J75</x:f>
        <x:v>No</x:v>
      </x:c>
      <x:c r="U75" s="31" t="str">
        <x:f>IF('Blind Scoring'!L75="","",'Blind Scoring'!L75)</x:f>
      </x:c>
    </x:row>
    <x:row r="76" ht="44" customHeight="1">
      <x:c r="A76" s="35" t="str">
        <x:v>Not Started</x:v>
      </x:c>
      <x:c r="B76" s="35" t="n">
        <x:v>74</x:v>
      </x:c>
      <x:c r="C76" s="35" t="str">
        <x:v>P02</x:v>
      </x:c>
      <x:c r="D76" s="35" t="n">
        <x:v>13</x:v>
      </x:c>
      <x:c r="E76" s="35" t="str">
        <x:v>Primary VLA</x:v>
      </x:c>
      <x:c r="F76" s="35" t="str">
        <x:v>π0.5</x:v>
      </x:c>
      <x:c r="G76" s="35" t="n">
        <x:v>1</x:v>
      </x:c>
      <x:c r="H76" s="35" t="str">
        <x:v>Relational Placement</x:v>
      </x:c>
      <x:c r="I76" s="35" t="str">
        <x:v>Training reconstruction</x:v>
      </x:c>
      <x:c r="J76" s="35" t="str">
        <x:v>PVLA-RP-REC-03</x:v>
      </x:c>
      <x:c r="K76" s="35" t="str"/>
      <x:c r="L76" s="31" t="str">
        <x:v>Place the green pen behind the pink marker.</x:v>
      </x:c>
      <x:c r="M76" s="31" t="str">
        <x:v>Place the green pen behind the pink marker.</x:v>
      </x:c>
      <x:c r="N76" s="31" t="str">
        <x:v>Reconstruct planned final training episode 218: green pen, pink marker, red block; start=Home. Match camera, calibration, bowl pose, and object geometry exactly.</x:v>
      </x:c>
      <x:c r="O76" s="31" t="str">
        <x:v>green pen</x:v>
      </x:c>
      <x:c r="P76" s="31" t="str"/>
      <x:c r="Q76" s="31" t="str"/>
      <x:c r="R76" s="31" t="str"/>
      <x:c r="S76" s="31" t="str">
        <x:f>IF('Blind Scoring'!I76="","",'Blind Scoring'!I76)</x:f>
      </x:c>
      <x:c r="T76" s="31" t="str">
        <x:f>'Blind Scoring'!J76</x:f>
        <x:v>No</x:v>
      </x:c>
      <x:c r="U76" s="31" t="str">
        <x:f>IF('Blind Scoring'!L76="","",'Blind Scoring'!L76)</x:f>
      </x:c>
    </x:row>
    <x:row r="77" ht="44" customHeight="1">
      <x:c r="A77" s="35" t="str">
        <x:v>Not Started</x:v>
      </x:c>
      <x:c r="B77" s="35" t="n">
        <x:v>75</x:v>
      </x:c>
      <x:c r="C77" s="35" t="str">
        <x:v>P02</x:v>
      </x:c>
      <x:c r="D77" s="35" t="n">
        <x:v>14</x:v>
      </x:c>
      <x:c r="E77" s="35" t="str">
        <x:v>Primary VLA</x:v>
      </x:c>
      <x:c r="F77" s="35" t="str">
        <x:v>π0.5</x:v>
      </x:c>
      <x:c r="G77" s="35" t="n">
        <x:v>1</x:v>
      </x:c>
      <x:c r="H77" s="35" t="str">
        <x:v>Relational Placement</x:v>
      </x:c>
      <x:c r="I77" s="35" t="str">
        <x:v>Main held-out transfer</x:v>
      </x:c>
      <x:c r="J77" s="35" t="str">
        <x:v>PVLA-RP-TR-06</x:v>
      </x:c>
      <x:c r="K77" s="35" t="str">
        <x:v>R-CF11</x:v>
      </x:c>
      <x:c r="L77" s="31" t="str">
        <x:v>Place the green pen to the right of the red block.</x:v>
      </x:c>
      <x:c r="M77" s="31" t="str">
        <x:v>Place the green pen to the right of the red block.</x:v>
      </x:c>
      <x:c r="N77" s="31" t="str">
        <x:v>R-CF11-HELD: red block at center [REFERENCE]; green pen starts 21 cm to the left of the reference [TARGET START]; pink marker and blue block are distractors outside the commanded goal sector.</x:v>
      </x:c>
      <x:c r="O77" s="31" t="str">
        <x:v>green pen → to the right of red block</x:v>
      </x:c>
      <x:c r="P77" s="31" t="str"/>
      <x:c r="Q77" s="31" t="str"/>
      <x:c r="R77" s="31" t="str"/>
      <x:c r="S77" s="31" t="str">
        <x:f>IF('Blind Scoring'!I77="","",'Blind Scoring'!I77)</x:f>
      </x:c>
      <x:c r="T77" s="31" t="str">
        <x:f>'Blind Scoring'!J77</x:f>
        <x:v>No</x:v>
      </x:c>
      <x:c r="U77" s="31" t="str">
        <x:f>IF('Blind Scoring'!L77="","",'Blind Scoring'!L77)</x:f>
      </x:c>
    </x:row>
    <x:row r="78" ht="44" customHeight="1">
      <x:c r="A78" s="35" t="str">
        <x:v>Not Started</x:v>
      </x:c>
      <x:c r="B78" s="35" t="n">
        <x:v>76</x:v>
      </x:c>
      <x:c r="C78" s="35" t="str">
        <x:v>P02</x:v>
      </x:c>
      <x:c r="D78" s="35" t="n">
        <x:v>15</x:v>
      </x:c>
      <x:c r="E78" s="35" t="str">
        <x:v>Primary VLA</x:v>
      </x:c>
      <x:c r="F78" s="35" t="str">
        <x:v>π0.5</x:v>
      </x:c>
      <x:c r="G78" s="35" t="n">
        <x:v>1</x:v>
      </x:c>
      <x:c r="H78" s="35" t="str">
        <x:v>Relational Placement</x:v>
      </x:c>
      <x:c r="I78" s="35" t="str">
        <x:v>Language ablation — counterfactual</x:v>
      </x:c>
      <x:c r="J78" s="35" t="str">
        <x:v>PVLA-RP-ABL-CF-02</x:v>
      </x:c>
      <x:c r="K78" s="35" t="str">
        <x:v>R-CF11</x:v>
      </x:c>
      <x:c r="L78" s="31" t="str">
        <x:v>Place the green pen to the left of the red block.</x:v>
      </x:c>
      <x:c r="M78" s="31" t="str">
        <x:v>Place the green pen to the left of the red block.</x:v>
      </x:c>
      <x:c r="N78" s="31" t="str">
        <x:v>R-CF11-HELD: red block at center [REFERENCE]; green pen starts 21 cm to the left of the reference [TARGET START]; pink marker and blue block are distractors outside the commanded goal sector.</x:v>
      </x:c>
      <x:c r="O78" s="31" t="str">
        <x:v>green pen → to the left of red block</x:v>
      </x:c>
      <x:c r="P78" s="31" t="str"/>
      <x:c r="Q78" s="31" t="str"/>
      <x:c r="R78" s="31" t="str"/>
      <x:c r="S78" s="31" t="str">
        <x:f>IF('Blind Scoring'!I78="","",'Blind Scoring'!I78)</x:f>
      </x:c>
      <x:c r="T78" s="31" t="str">
        <x:f>'Blind Scoring'!J78</x:f>
        <x:v>No</x:v>
      </x:c>
      <x:c r="U78" s="31" t="str">
        <x:f>IF('Blind Scoring'!L78="","",'Blind Scoring'!L78)</x:f>
      </x:c>
    </x:row>
    <x:row r="79" ht="44" customHeight="1">
      <x:c r="A79" s="35" t="str">
        <x:v>Not Started</x:v>
      </x:c>
      <x:c r="B79" s="35" t="n">
        <x:v>77</x:v>
      </x:c>
      <x:c r="C79" s="35" t="str">
        <x:v>P02</x:v>
      </x:c>
      <x:c r="D79" s="35" t="n">
        <x:v>16</x:v>
      </x:c>
      <x:c r="E79" s="35" t="str">
        <x:v>Primary VLA</x:v>
      </x:c>
      <x:c r="F79" s="35" t="str">
        <x:v>π0.5</x:v>
      </x:c>
      <x:c r="G79" s="35" t="n">
        <x:v>1</x:v>
      </x:c>
      <x:c r="H79" s="35" t="str">
        <x:v>Relational Placement</x:v>
      </x:c>
      <x:c r="I79" s="35" t="str">
        <x:v>Main held-out transfer</x:v>
      </x:c>
      <x:c r="J79" s="35" t="str">
        <x:v>PVLA-RP-TR-01</x:v>
      </x:c>
      <x:c r="K79" s="35" t="str">
        <x:v>R-CF01</x:v>
      </x:c>
      <x:c r="L79" s="31" t="str">
        <x:v>Place the green pen in front of the red block.</x:v>
      </x:c>
      <x:c r="M79" s="31" t="str">
        <x:v>Place the green pen in front of the red block.</x:v>
      </x:c>
      <x:c r="N79" s="31" t="str">
        <x:v>R-CF01-HELD: red block at center [REFERENCE]; green pen starts 18 cm behind the reference [TARGET START]; pink marker and blue block are distractors outside the commanded goal sector.</x:v>
      </x:c>
      <x:c r="O79" s="31" t="str">
        <x:v>green pen → in front of red block</x:v>
      </x:c>
      <x:c r="P79" s="31" t="str"/>
      <x:c r="Q79" s="31" t="str"/>
      <x:c r="R79" s="31" t="str"/>
      <x:c r="S79" s="31" t="str">
        <x:f>IF('Blind Scoring'!I79="","",'Blind Scoring'!I79)</x:f>
      </x:c>
      <x:c r="T79" s="31" t="str">
        <x:f>'Blind Scoring'!J79</x:f>
        <x:v>No</x:v>
      </x:c>
      <x:c r="U79" s="31" t="str">
        <x:f>IF('Blind Scoring'!L79="","",'Blind Scoring'!L79)</x:f>
      </x:c>
    </x:row>
    <x:row r="80" ht="44" customHeight="1">
      <x:c r="A80" s="35" t="str">
        <x:v>Not Started</x:v>
      </x:c>
      <x:c r="B80" s="35" t="n">
        <x:v>78</x:v>
      </x:c>
      <x:c r="C80" s="35" t="str">
        <x:v>P02</x:v>
      </x:c>
      <x:c r="D80" s="35" t="n">
        <x:v>17</x:v>
      </x:c>
      <x:c r="E80" s="35" t="str">
        <x:v>Primary VLA</x:v>
      </x:c>
      <x:c r="F80" s="35" t="str">
        <x:v>π0.5</x:v>
      </x:c>
      <x:c r="G80" s="35" t="n">
        <x:v>1</x:v>
      </x:c>
      <x:c r="H80" s="35" t="str">
        <x:v>Relational Placement</x:v>
      </x:c>
      <x:c r="I80" s="35" t="str">
        <x:v>Training reconstruction</x:v>
      </x:c>
      <x:c r="J80" s="35" t="str">
        <x:v>PVLA-RP-REC-04</x:v>
      </x:c>
      <x:c r="K80" s="35" t="str"/>
      <x:c r="L80" s="31" t="str">
        <x:v>Place the green pen behind the pink marker.</x:v>
      </x:c>
      <x:c r="M80" s="31" t="str">
        <x:v>Place the green pen behind the pink marker.</x:v>
      </x:c>
      <x:c r="N80" s="31" t="str">
        <x:v>Reconstruct planned final training episode 219: green pen, red block, pink marker, blue block; start=Home. Match camera, calibration, bowl pose, and object geometry exactly.</x:v>
      </x:c>
      <x:c r="O80" s="31" t="str">
        <x:v>green pen</x:v>
      </x:c>
      <x:c r="P80" s="31" t="str"/>
      <x:c r="Q80" s="31" t="str"/>
      <x:c r="R80" s="31" t="str"/>
      <x:c r="S80" s="31" t="str">
        <x:f>IF('Blind Scoring'!I80="","",'Blind Scoring'!I80)</x:f>
      </x:c>
      <x:c r="T80" s="31" t="str">
        <x:f>'Blind Scoring'!J80</x:f>
        <x:v>No</x:v>
      </x:c>
      <x:c r="U80" s="31" t="str">
        <x:f>IF('Blind Scoring'!L80="","",'Blind Scoring'!L80)</x:f>
      </x:c>
    </x:row>
    <x:row r="81" ht="44" customHeight="1">
      <x:c r="A81" s="35" t="str">
        <x:v>Not Started</x:v>
      </x:c>
      <x:c r="B81" s="35" t="n">
        <x:v>79</x:v>
      </x:c>
      <x:c r="C81" s="35" t="str">
        <x:v>P02</x:v>
      </x:c>
      <x:c r="D81" s="35" t="n">
        <x:v>18</x:v>
      </x:c>
      <x:c r="E81" s="35" t="str">
        <x:v>Primary VLA</x:v>
      </x:c>
      <x:c r="F81" s="35" t="str">
        <x:v>π0.5</x:v>
      </x:c>
      <x:c r="G81" s="35" t="n">
        <x:v>1</x:v>
      </x:c>
      <x:c r="H81" s="35" t="str">
        <x:v>Relational Placement</x:v>
      </x:c>
      <x:c r="I81" s="35" t="str">
        <x:v>Language ablation — blank</x:v>
      </x:c>
      <x:c r="J81" s="35" t="str">
        <x:v>PVLA-RP-ABL-BLK-02</x:v>
      </x:c>
      <x:c r="K81" s="35" t="str">
        <x:v>R-CF03</x:v>
      </x:c>
      <x:c r="L81" s="31" t="str">
        <x:v>[EMPTY STRING — provide no instruction tokens]</x:v>
      </x:c>
      <x:c r="M81" s="31" t="str">
        <x:v>Place the green pen to the right of the red block.</x:v>
      </x:c>
      <x:c r="N81" s="31" t="str">
        <x:v>R-CF03-HELD: red block at back-right [REFERENCE]; green pen starts 24 cm to the left of the reference [TARGET START]; pink marker and blue block are distractors outside the commanded goal sector.</x:v>
      </x:c>
      <x:c r="O81" s="31" t="str">
        <x:v>No prespecified task success under blank language; record any action/selected target.</x:v>
      </x:c>
      <x:c r="P81" s="31" t="str"/>
      <x:c r="Q81" s="31" t="str"/>
      <x:c r="R81" s="31" t="str"/>
      <x:c r="S81" s="31" t="str">
        <x:f>IF('Blind Scoring'!I81="","",'Blind Scoring'!I81)</x:f>
      </x:c>
      <x:c r="T81" s="31" t="str">
        <x:f>'Blind Scoring'!J81</x:f>
        <x:v>No</x:v>
      </x:c>
      <x:c r="U81" s="31" t="str">
        <x:f>IF('Blind Scoring'!L81="","",'Blind Scoring'!L81)</x:f>
      </x:c>
    </x:row>
    <x:row r="82" ht="44" customHeight="1">
      <x:c r="A82" s="35" t="str">
        <x:v>Not Started</x:v>
      </x:c>
      <x:c r="B82" s="35" t="n">
        <x:v>80</x:v>
      </x:c>
      <x:c r="C82" s="35" t="str">
        <x:v>P02</x:v>
      </x:c>
      <x:c r="D82" s="35" t="n">
        <x:v>19</x:v>
      </x:c>
      <x:c r="E82" s="35" t="str">
        <x:v>Primary VLA</x:v>
      </x:c>
      <x:c r="F82" s="35" t="str">
        <x:v>π0.5</x:v>
      </x:c>
      <x:c r="G82" s="35" t="n">
        <x:v>1</x:v>
      </x:c>
      <x:c r="H82" s="35" t="str">
        <x:v>Relational Placement</x:v>
      </x:c>
      <x:c r="I82" s="35" t="str">
        <x:v>Language ablation — counterfactual</x:v>
      </x:c>
      <x:c r="J82" s="35" t="str">
        <x:v>PVLA-RP-ABL-CF-04</x:v>
      </x:c>
      <x:c r="K82" s="35" t="str">
        <x:v>R-CF15</x:v>
      </x:c>
      <x:c r="L82" s="31" t="str">
        <x:v>Place the green pen in front of the red block.</x:v>
      </x:c>
      <x:c r="M82" s="31" t="str">
        <x:v>Place the green pen in front of the red block.</x:v>
      </x:c>
      <x:c r="N82" s="31" t="str">
        <x:v>R-CF15-HELD: red block at front-right [REFERENCE]; green pen starts 24 cm in front of the reference [TARGET START]; pink marker and blue block are distractors outside the commanded goal sector.</x:v>
      </x:c>
      <x:c r="O82" s="31" t="str">
        <x:v>green pen → in front of red block</x:v>
      </x:c>
      <x:c r="P82" s="31" t="str"/>
      <x:c r="Q82" s="31" t="str"/>
      <x:c r="R82" s="31" t="str"/>
      <x:c r="S82" s="31" t="str">
        <x:f>IF('Blind Scoring'!I82="","",'Blind Scoring'!I82)</x:f>
      </x:c>
      <x:c r="T82" s="31" t="str">
        <x:f>'Blind Scoring'!J82</x:f>
        <x:v>No</x:v>
      </x:c>
      <x:c r="U82" s="31" t="str">
        <x:f>IF('Blind Scoring'!L82="","",'Blind Scoring'!L82)</x:f>
      </x:c>
    </x:row>
    <x:row r="83" ht="44" customHeight="1">
      <x:c r="A83" s="35" t="str">
        <x:v>Not Started</x:v>
      </x:c>
      <x:c r="B83" s="35" t="n">
        <x:v>81</x:v>
      </x:c>
      <x:c r="C83" s="35" t="str">
        <x:v>P02</x:v>
      </x:c>
      <x:c r="D83" s="35" t="n">
        <x:v>20</x:v>
      </x:c>
      <x:c r="E83" s="35" t="str">
        <x:v>Primary VLA</x:v>
      </x:c>
      <x:c r="F83" s="35" t="str">
        <x:v>π0.5</x:v>
      </x:c>
      <x:c r="G83" s="35" t="n">
        <x:v>1</x:v>
      </x:c>
      <x:c r="H83" s="35" t="str">
        <x:v>Relational Placement</x:v>
      </x:c>
      <x:c r="I83" s="35" t="str">
        <x:v>Main matched control</x:v>
      </x:c>
      <x:c r="J83" s="35" t="str">
        <x:v>PVLA-RP-CTL-01</x:v>
      </x:c>
      <x:c r="K83" s="35" t="str">
        <x:v>R-CF01</x:v>
      </x:c>
      <x:c r="L83" s="31" t="str">
        <x:v>Place the green pen near the red block.</x:v>
      </x:c>
      <x:c r="M83" s="31" t="str">
        <x:v>Place the green pen near the red block.</x:v>
      </x:c>
      <x:c r="N83" s="31" t="str">
        <x:v>R-CF01-CTRL: red block at center [REFERENCE]; green pen starts 18 cm behind the reference [TARGET START]; pink marker and blue block are distractors outside the commanded goal sector.</x:v>
      </x:c>
      <x:c r="O83" s="31" t="str">
        <x:v>green pen near red block</x:v>
      </x:c>
      <x:c r="P83" s="31" t="str"/>
      <x:c r="Q83" s="31" t="str"/>
      <x:c r="R83" s="31" t="str"/>
      <x:c r="S83" s="31" t="str">
        <x:f>IF('Blind Scoring'!I83="","",'Blind Scoring'!I83)</x:f>
      </x:c>
      <x:c r="T83" s="31" t="str">
        <x:f>'Blind Scoring'!J83</x:f>
        <x:v>No</x:v>
      </x:c>
      <x:c r="U83" s="31" t="str">
        <x:f>IF('Blind Scoring'!L83="","",'Blind Scoring'!L83)</x:f>
      </x:c>
    </x:row>
    <x:row r="84" ht="44" customHeight="1">
      <x:c r="A84" s="35" t="str">
        <x:v>Not Started</x:v>
      </x:c>
      <x:c r="B84" s="35" t="n">
        <x:v>82</x:v>
      </x:c>
      <x:c r="C84" s="35" t="str">
        <x:v>P02</x:v>
      </x:c>
      <x:c r="D84" s="35" t="n">
        <x:v>21</x:v>
      </x:c>
      <x:c r="E84" s="35" t="str">
        <x:v>Primary VLA</x:v>
      </x:c>
      <x:c r="F84" s="35" t="str">
        <x:v>π0.5</x:v>
      </x:c>
      <x:c r="G84" s="35" t="n">
        <x:v>1</x:v>
      </x:c>
      <x:c r="H84" s="35" t="str">
        <x:v>Relational Placement</x:v>
      </x:c>
      <x:c r="I84" s="35" t="str">
        <x:v>Exact-scene paraphrase</x:v>
      </x:c>
      <x:c r="J84" s="35" t="str">
        <x:v>PVLA-RP-PAR-01</x:v>
      </x:c>
      <x:c r="K84" s="35" t="str"/>
      <x:c r="L84" s="31" t="str">
        <x:v>Move the red block to the side of the pink marker facing the robot.</x:v>
      </x:c>
      <x:c r="M84" s="31" t="str">
        <x:v>Move the red block to the side of the pink marker facing the robot.</x:v>
      </x:c>
      <x:c r="N84" s="31" t="str">
        <x:v>R-P01: pink marker at center [REFERENCE]; red block starts 21 cm behind the reference [TARGET START]; remaining objects are distractors with ≥12 cm clearance from the target path and commanded goal sector.</x:v>
      </x:c>
      <x:c r="O84" s="31" t="str">
        <x:v>red block</x:v>
      </x:c>
      <x:c r="P84" s="31" t="str"/>
      <x:c r="Q84" s="31" t="str"/>
      <x:c r="R84" s="31" t="str"/>
      <x:c r="S84" s="31" t="str">
        <x:f>IF('Blind Scoring'!I84="","",'Blind Scoring'!I84)</x:f>
      </x:c>
      <x:c r="T84" s="31" t="str">
        <x:f>'Blind Scoring'!J84</x:f>
        <x:v>No</x:v>
      </x:c>
      <x:c r="U84" s="31" t="str">
        <x:f>IF('Blind Scoring'!L84="","",'Blind Scoring'!L84)</x:f>
      </x:c>
    </x:row>
    <x:row r="85" ht="44" customHeight="1">
      <x:c r="A85" s="35" t="str">
        <x:v>Not Started</x:v>
      </x:c>
      <x:c r="B85" s="35" t="n">
        <x:v>83</x:v>
      </x:c>
      <x:c r="C85" s="35" t="str">
        <x:v>P02</x:v>
      </x:c>
      <x:c r="D85" s="35" t="n">
        <x:v>22</x:v>
      </x:c>
      <x:c r="E85" s="35" t="str">
        <x:v>Primary VLA</x:v>
      </x:c>
      <x:c r="F85" s="35" t="str">
        <x:v>π0.5</x:v>
      </x:c>
      <x:c r="G85" s="35" t="n">
        <x:v>1</x:v>
      </x:c>
      <x:c r="H85" s="35" t="str">
        <x:v>Relational Placement</x:v>
      </x:c>
      <x:c r="I85" s="35" t="str">
        <x:v>Main matched control</x:v>
      </x:c>
      <x:c r="J85" s="35" t="str">
        <x:v>PVLA-RP-CTL-07</x:v>
      </x:c>
      <x:c r="K85" s="35" t="str">
        <x:v>R-CF13</x:v>
      </x:c>
      <x:c r="L85" s="31" t="str">
        <x:v>Place the green pen near the red block.</x:v>
      </x:c>
      <x:c r="M85" s="31" t="str">
        <x:v>Place the green pen near the red block.</x:v>
      </x:c>
      <x:c r="N85" s="31" t="str">
        <x:v>R-CF13-CTRL: red block at back-right [REFERENCE]; green pen starts 18 cm to the right of the reference [TARGET START]; pink marker and blue block are distractors outside the commanded goal sector.</x:v>
      </x:c>
      <x:c r="O85" s="31" t="str">
        <x:v>green pen near red block</x:v>
      </x:c>
      <x:c r="P85" s="31" t="str"/>
      <x:c r="Q85" s="31" t="str"/>
      <x:c r="R85" s="31" t="str"/>
      <x:c r="S85" s="31" t="str">
        <x:f>IF('Blind Scoring'!I85="","",'Blind Scoring'!I85)</x:f>
      </x:c>
      <x:c r="T85" s="31" t="str">
        <x:f>'Blind Scoring'!J85</x:f>
        <x:v>No</x:v>
      </x:c>
      <x:c r="U85" s="31" t="str">
        <x:f>IF('Blind Scoring'!L85="","",'Blind Scoring'!L85)</x:f>
      </x:c>
    </x:row>
    <x:row r="86" ht="44" customHeight="1">
      <x:c r="A86" s="35" t="str">
        <x:v>Not Started</x:v>
      </x:c>
      <x:c r="B86" s="35" t="n">
        <x:v>84</x:v>
      </x:c>
      <x:c r="C86" s="35" t="str">
        <x:v>P02</x:v>
      </x:c>
      <x:c r="D86" s="35" t="n">
        <x:v>23</x:v>
      </x:c>
      <x:c r="E86" s="35" t="str">
        <x:v>Primary VLA</x:v>
      </x:c>
      <x:c r="F86" s="35" t="str">
        <x:v>π0.5</x:v>
      </x:c>
      <x:c r="G86" s="35" t="n">
        <x:v>1</x:v>
      </x:c>
      <x:c r="H86" s="35" t="str">
        <x:v>Relational Placement</x:v>
      </x:c>
      <x:c r="I86" s="35" t="str">
        <x:v>Main matched control</x:v>
      </x:c>
      <x:c r="J86" s="35" t="str">
        <x:v>PVLA-RP-CTL-09</x:v>
      </x:c>
      <x:c r="K86" s="35" t="str">
        <x:v>R-CF16</x:v>
      </x:c>
      <x:c r="L86" s="31" t="str">
        <x:v>Place the red block near the green pen.</x:v>
      </x:c>
      <x:c r="M86" s="31" t="str">
        <x:v>Place the red block near the green pen.</x:v>
      </x:c>
      <x:c r="N86" s="31" t="str">
        <x:v>R-CF16-CTRL: green pen at center [REFERENCE]; red block starts 18 cm to the right of the reference [TARGET START]; blue block and pink marker are distractors outside the commanded goal sector.</x:v>
      </x:c>
      <x:c r="O86" s="31" t="str">
        <x:v>red block near green pen</x:v>
      </x:c>
      <x:c r="P86" s="31" t="str"/>
      <x:c r="Q86" s="31" t="str"/>
      <x:c r="R86" s="31" t="str"/>
      <x:c r="S86" s="31" t="str">
        <x:f>IF('Blind Scoring'!I86="","",'Blind Scoring'!I86)</x:f>
      </x:c>
      <x:c r="T86" s="31" t="str">
        <x:f>'Blind Scoring'!J86</x:f>
        <x:v>No</x:v>
      </x:c>
      <x:c r="U86" s="31" t="str">
        <x:f>IF('Blind Scoring'!L86="","",'Blind Scoring'!L86)</x:f>
      </x:c>
    </x:row>
    <x:row r="87" ht="44" customHeight="1">
      <x:c r="A87" s="35" t="str">
        <x:v>Not Started</x:v>
      </x:c>
      <x:c r="B87" s="35" t="n">
        <x:v>85</x:v>
      </x:c>
      <x:c r="C87" s="35" t="str">
        <x:v>P02</x:v>
      </x:c>
      <x:c r="D87" s="35" t="n">
        <x:v>24</x:v>
      </x:c>
      <x:c r="E87" s="35" t="str">
        <x:v>Primary VLA</x:v>
      </x:c>
      <x:c r="F87" s="35" t="str">
        <x:v>π0.5</x:v>
      </x:c>
      <x:c r="G87" s="35" t="n">
        <x:v>1</x:v>
      </x:c>
      <x:c r="H87" s="35" t="str">
        <x:v>Relational Placement</x:v>
      </x:c>
      <x:c r="I87" s="35" t="str">
        <x:v>Main held-out transfer</x:v>
      </x:c>
      <x:c r="J87" s="35" t="str">
        <x:v>PVLA-RP-TR-14</x:v>
      </x:c>
      <x:c r="K87" s="35" t="str">
        <x:v>R-CF26</x:v>
      </x:c>
      <x:c r="L87" s="31" t="str">
        <x:v>Place the red block behind the green pen.</x:v>
      </x:c>
      <x:c r="M87" s="31" t="str">
        <x:v>Place the red block behind the green pen.</x:v>
      </x:c>
      <x:c r="N87" s="31" t="str">
        <x:v>R-CF26-HELD: green pen at center [REFERENCE]; red block starts 21 cm in front of the reference [TARGET START]; blue block and pink marker are distractors outside the commanded goal sector.</x:v>
      </x:c>
      <x:c r="O87" s="31" t="str">
        <x:v>red block → behind green pen</x:v>
      </x:c>
      <x:c r="P87" s="31" t="str"/>
      <x:c r="Q87" s="31" t="str"/>
      <x:c r="R87" s="31" t="str"/>
      <x:c r="S87" s="31" t="str">
        <x:f>IF('Blind Scoring'!I87="","",'Blind Scoring'!I87)</x:f>
      </x:c>
      <x:c r="T87" s="31" t="str">
        <x:f>'Blind Scoring'!J87</x:f>
        <x:v>No</x:v>
      </x:c>
      <x:c r="U87" s="31" t="str">
        <x:f>IF('Blind Scoring'!L87="","",'Blind Scoring'!L87)</x:f>
      </x:c>
    </x:row>
    <x:row r="88" ht="44" customHeight="1">
      <x:c r="A88" s="35" t="str">
        <x:v>Not Started</x:v>
      </x:c>
      <x:c r="B88" s="35" t="n">
        <x:v>86</x:v>
      </x:c>
      <x:c r="C88" s="35" t="str">
        <x:v>P02</x:v>
      </x:c>
      <x:c r="D88" s="35" t="n">
        <x:v>25</x:v>
      </x:c>
      <x:c r="E88" s="35" t="str">
        <x:v>Primary VLA</x:v>
      </x:c>
      <x:c r="F88" s="35" t="str">
        <x:v>π0.5</x:v>
      </x:c>
      <x:c r="G88" s="35" t="n">
        <x:v>1</x:v>
      </x:c>
      <x:c r="H88" s="35" t="str">
        <x:v>Relational Placement</x:v>
      </x:c>
      <x:c r="I88" s="35" t="str">
        <x:v>Main matched control</x:v>
      </x:c>
      <x:c r="J88" s="35" t="str">
        <x:v>PVLA-RP-CTL-16</x:v>
      </x:c>
      <x:c r="K88" s="35" t="str">
        <x:v>R-CF30</x:v>
      </x:c>
      <x:c r="L88" s="31" t="str">
        <x:v>Place the red block beside the green pen.</x:v>
      </x:c>
      <x:c r="M88" s="31" t="str">
        <x:v>Place the red block beside the green pen.</x:v>
      </x:c>
      <x:c r="N88" s="31" t="str">
        <x:v>R-CF30-CTRL: green pen at front-right [REFERENCE]; red block starts 24 cm to the left of the reference [TARGET START]; blue block and pink marker are distractors outside the commanded goal sector.</x:v>
      </x:c>
      <x:c r="O88" s="31" t="str">
        <x:v>red block near green pen</x:v>
      </x:c>
      <x:c r="P88" s="31" t="str"/>
      <x:c r="Q88" s="31" t="str"/>
      <x:c r="R88" s="31" t="str"/>
      <x:c r="S88" s="31" t="str">
        <x:f>IF('Blind Scoring'!I88="","",'Blind Scoring'!I88)</x:f>
      </x:c>
      <x:c r="T88" s="31" t="str">
        <x:f>'Blind Scoring'!J88</x:f>
        <x:v>No</x:v>
      </x:c>
      <x:c r="U88" s="31" t="str">
        <x:f>IF('Blind Scoring'!L88="","",'Blind Scoring'!L88)</x:f>
      </x:c>
    </x:row>
    <x:row r="89" ht="44" customHeight="1">
      <x:c r="A89" s="35" t="str">
        <x:v>Not Started</x:v>
      </x:c>
      <x:c r="B89" s="35" t="n">
        <x:v>87</x:v>
      </x:c>
      <x:c r="C89" s="35" t="str">
        <x:v>P02</x:v>
      </x:c>
      <x:c r="D89" s="35" t="n">
        <x:v>26</x:v>
      </x:c>
      <x:c r="E89" s="35" t="str">
        <x:v>Primary VLA</x:v>
      </x:c>
      <x:c r="F89" s="35" t="str">
        <x:v>π0.5</x:v>
      </x:c>
      <x:c r="G89" s="35" t="n">
        <x:v>1</x:v>
      </x:c>
      <x:c r="H89" s="35" t="str">
        <x:v>Relational Placement</x:v>
      </x:c>
      <x:c r="I89" s="35" t="str">
        <x:v>Novel layout + seen language</x:v>
      </x:c>
      <x:c r="J89" s="35" t="str">
        <x:v>PVLA-RP-NOV-01</x:v>
      </x:c>
      <x:c r="K89" s="35" t="str"/>
      <x:c r="L89" s="31" t="str">
        <x:v>Place the blue block in front of the green pen.</x:v>
      </x:c>
      <x:c r="M89" s="31" t="str">
        <x:v>Place the blue block in front of the green pen.</x:v>
      </x:c>
      <x:c r="N89" s="31" t="str">
        <x:v>R-S01: green pen at center [REFERENCE]; blue block starts 24 cm behind the reference [TARGET START]; remaining objects are distractors with ≥12 cm clearance from the target path and commanded goal sector.</x:v>
      </x:c>
      <x:c r="O89" s="31" t="str">
        <x:v>blue block</x:v>
      </x:c>
      <x:c r="P89" s="31" t="str"/>
      <x:c r="Q89" s="31" t="str"/>
      <x:c r="R89" s="31" t="str"/>
      <x:c r="S89" s="31" t="str">
        <x:f>IF('Blind Scoring'!I89="","",'Blind Scoring'!I89)</x:f>
      </x:c>
      <x:c r="T89" s="31" t="str">
        <x:f>'Blind Scoring'!J89</x:f>
        <x:v>No</x:v>
      </x:c>
      <x:c r="U89" s="31" t="str">
        <x:f>IF('Blind Scoring'!L89="","",'Blind Scoring'!L89)</x:f>
      </x:c>
    </x:row>
    <x:row r="90" ht="44" customHeight="1">
      <x:c r="A90" s="35" t="str">
        <x:v>Not Started</x:v>
      </x:c>
      <x:c r="B90" s="35" t="n">
        <x:v>88</x:v>
      </x:c>
      <x:c r="C90" s="35" t="str">
        <x:v>P02</x:v>
      </x:c>
      <x:c r="D90" s="35" t="n">
        <x:v>27</x:v>
      </x:c>
      <x:c r="E90" s="35" t="str">
        <x:v>Primary VLA</x:v>
      </x:c>
      <x:c r="F90" s="35" t="str">
        <x:v>π0.5</x:v>
      </x:c>
      <x:c r="G90" s="35" t="n">
        <x:v>1</x:v>
      </x:c>
      <x:c r="H90" s="35" t="str">
        <x:v>Relational Placement</x:v>
      </x:c>
      <x:c r="I90" s="35" t="str">
        <x:v>Exact-scene paraphrase</x:v>
      </x:c>
      <x:c r="J90" s="35" t="str">
        <x:v>PVLA-RP-PAR-03</x:v>
      </x:c>
      <x:c r="K90" s="35" t="str"/>
      <x:c r="L90" s="31" t="str">
        <x:v>Move the red block to the side of the pink marker facing the robot.</x:v>
      </x:c>
      <x:c r="M90" s="31" t="str">
        <x:v>Move the red block to the side of the pink marker facing the robot.</x:v>
      </x:c>
      <x:c r="N90" s="31" t="str">
        <x:v>R-P01: pink marker at center [REFERENCE]; red block starts 21 cm behind the reference [TARGET START]; remaining objects are distractors with ≥12 cm clearance from the target path and commanded goal sector.</x:v>
      </x:c>
      <x:c r="O90" s="31" t="str">
        <x:v>red block</x:v>
      </x:c>
      <x:c r="P90" s="31" t="str"/>
      <x:c r="Q90" s="31" t="str"/>
      <x:c r="R90" s="31" t="str"/>
      <x:c r="S90" s="31" t="str">
        <x:f>IF('Blind Scoring'!I90="","",'Blind Scoring'!I90)</x:f>
      </x:c>
      <x:c r="T90" s="31" t="str">
        <x:f>'Blind Scoring'!J90</x:f>
        <x:v>No</x:v>
      </x:c>
      <x:c r="U90" s="31" t="str">
        <x:f>IF('Blind Scoring'!L90="","",'Blind Scoring'!L90)</x:f>
      </x:c>
    </x:row>
    <x:row r="91" ht="44" customHeight="1">
      <x:c r="A91" s="35" t="str">
        <x:v>Not Started</x:v>
      </x:c>
      <x:c r="B91" s="35" t="n">
        <x:v>89</x:v>
      </x:c>
      <x:c r="C91" s="35" t="str">
        <x:v>P02</x:v>
      </x:c>
      <x:c r="D91" s="35" t="n">
        <x:v>28</x:v>
      </x:c>
      <x:c r="E91" s="35" t="str">
        <x:v>Primary VLA</x:v>
      </x:c>
      <x:c r="F91" s="35" t="str">
        <x:v>π0.5</x:v>
      </x:c>
      <x:c r="G91" s="35" t="n">
        <x:v>1</x:v>
      </x:c>
      <x:c r="H91" s="35" t="str">
        <x:v>Relational Placement</x:v>
      </x:c>
      <x:c r="I91" s="35" t="str">
        <x:v>Language ablation — blank</x:v>
      </x:c>
      <x:c r="J91" s="35" t="str">
        <x:v>PVLA-RP-ABL-BLK-04</x:v>
      </x:c>
      <x:c r="K91" s="35" t="str">
        <x:v>R-CF07</x:v>
      </x:c>
      <x:c r="L91" s="31" t="str">
        <x:v>[EMPTY STRING — provide no instruction tokens]</x:v>
      </x:c>
      <x:c r="M91" s="31" t="str">
        <x:v>Place the green pen behind the red block.</x:v>
      </x:c>
      <x:c r="N91" s="31" t="str">
        <x:v>R-CF07-HELD: red block at back-left [REFERENCE]; green pen starts 18 cm in front of the reference [TARGET START]; pink marker and blue block are distractors outside the commanded goal sector.</x:v>
      </x:c>
      <x:c r="O91" s="31" t="str">
        <x:v>No prespecified task success under blank language; record any action/selected target.</x:v>
      </x:c>
      <x:c r="P91" s="31" t="str"/>
      <x:c r="Q91" s="31" t="str"/>
      <x:c r="R91" s="31" t="str"/>
      <x:c r="S91" s="31" t="str">
        <x:f>IF('Blind Scoring'!I91="","",'Blind Scoring'!I91)</x:f>
      </x:c>
      <x:c r="T91" s="31" t="str">
        <x:f>'Blind Scoring'!J91</x:f>
        <x:v>No</x:v>
      </x:c>
      <x:c r="U91" s="31" t="str">
        <x:f>IF('Blind Scoring'!L91="","",'Blind Scoring'!L91)</x:f>
      </x:c>
    </x:row>
    <x:row r="92" ht="44" customHeight="1">
      <x:c r="A92" s="35" t="str">
        <x:v>Not Started</x:v>
      </x:c>
      <x:c r="B92" s="35" t="n">
        <x:v>90</x:v>
      </x:c>
      <x:c r="C92" s="35" t="str">
        <x:v>P02</x:v>
      </x:c>
      <x:c r="D92" s="35" t="n">
        <x:v>29</x:v>
      </x:c>
      <x:c r="E92" s="35" t="str">
        <x:v>Primary VLA</x:v>
      </x:c>
      <x:c r="F92" s="35" t="str">
        <x:v>π0.5</x:v>
      </x:c>
      <x:c r="G92" s="35" t="n">
        <x:v>1</x:v>
      </x:c>
      <x:c r="H92" s="35" t="str">
        <x:v>Relational Placement</x:v>
      </x:c>
      <x:c r="I92" s="35" t="str">
        <x:v>Novel layout + seen language</x:v>
      </x:c>
      <x:c r="J92" s="35" t="str">
        <x:v>PVLA-RP-NOV-07</x:v>
      </x:c>
      <x:c r="K92" s="35" t="str"/>
      <x:c r="L92" s="31" t="str">
        <x:v>Place the pink marker in front of the blue block.</x:v>
      </x:c>
      <x:c r="M92" s="31" t="str">
        <x:v>Place the pink marker in front of the blue block.</x:v>
      </x:c>
      <x:c r="N92" s="31" t="str">
        <x:v>R-S17: blue block at center [REFERENCE]; pink marker starts 18 cm behind the reference [TARGET START]; remaining objects are distractors with ≥12 cm clearance from the target path and commanded goal sector.</x:v>
      </x:c>
      <x:c r="O92" s="31" t="str">
        <x:v>pink marker</x:v>
      </x:c>
      <x:c r="P92" s="31" t="str"/>
      <x:c r="Q92" s="31" t="str"/>
      <x:c r="R92" s="31" t="str"/>
      <x:c r="S92" s="31" t="str">
        <x:f>IF('Blind Scoring'!I92="","",'Blind Scoring'!I92)</x:f>
      </x:c>
      <x:c r="T92" s="31" t="str">
        <x:f>'Blind Scoring'!J92</x:f>
        <x:v>No</x:v>
      </x:c>
      <x:c r="U92" s="31" t="str">
        <x:f>IF('Blind Scoring'!L92="","",'Blind Scoring'!L92)</x:f>
      </x:c>
    </x:row>
    <x:row r="93" ht="44" customHeight="1">
      <x:c r="A93" s="35" t="str">
        <x:v>Not Started</x:v>
      </x:c>
      <x:c r="B93" s="35" t="n">
        <x:v>91</x:v>
      </x:c>
      <x:c r="C93" s="35" t="str">
        <x:v>P02</x:v>
      </x:c>
      <x:c r="D93" s="35" t="n">
        <x:v>30</x:v>
      </x:c>
      <x:c r="E93" s="35" t="str">
        <x:v>Primary VLA</x:v>
      </x:c>
      <x:c r="F93" s="35" t="str">
        <x:v>π0.5</x:v>
      </x:c>
      <x:c r="G93" s="35" t="n">
        <x:v>1</x:v>
      </x:c>
      <x:c r="H93" s="35" t="str">
        <x:v>Relational Placement</x:v>
      </x:c>
      <x:c r="I93" s="35" t="str">
        <x:v>Main held-out transfer</x:v>
      </x:c>
      <x:c r="J93" s="35" t="str">
        <x:v>PVLA-RP-TR-13</x:v>
      </x:c>
      <x:c r="K93" s="35" t="str">
        <x:v>R-CF24</x:v>
      </x:c>
      <x:c r="L93" s="31" t="str">
        <x:v>Place the red block to the left of the green pen.</x:v>
      </x:c>
      <x:c r="M93" s="31" t="str">
        <x:v>Place the red block to the left of the green pen.</x:v>
      </x:c>
      <x:c r="N93" s="31" t="str">
        <x:v>R-CF24-HELD: green pen at front-left [REFERENCE]; red block starts 24 cm to the right of the reference [TARGET START]; blue block and pink marker are distractors outside the commanded goal sector.</x:v>
      </x:c>
      <x:c r="O93" s="31" t="str">
        <x:v>red block → to the left of green pen</x:v>
      </x:c>
      <x:c r="P93" s="31" t="str"/>
      <x:c r="Q93" s="31" t="str"/>
      <x:c r="R93" s="31" t="str"/>
      <x:c r="S93" s="31" t="str">
        <x:f>IF('Blind Scoring'!I93="","",'Blind Scoring'!I93)</x:f>
      </x:c>
      <x:c r="T93" s="31" t="str">
        <x:f>'Blind Scoring'!J93</x:f>
        <x:v>No</x:v>
      </x:c>
      <x:c r="U93" s="31" t="str">
        <x:f>IF('Blind Scoring'!L93="","",'Blind Scoring'!L93)</x:f>
      </x:c>
    </x:row>
    <x:row r="94" ht="44" customHeight="1">
      <x:c r="A94" s="35" t="str">
        <x:v>Not Started</x:v>
      </x:c>
      <x:c r="B94" s="35" t="n">
        <x:v>92</x:v>
      </x:c>
      <x:c r="C94" s="35" t="str">
        <x:v>P02</x:v>
      </x:c>
      <x:c r="D94" s="35" t="n">
        <x:v>31</x:v>
      </x:c>
      <x:c r="E94" s="35" t="str">
        <x:v>Primary VLA</x:v>
      </x:c>
      <x:c r="F94" s="35" t="str">
        <x:v>π0.5</x:v>
      </x:c>
      <x:c r="G94" s="35" t="n">
        <x:v>1</x:v>
      </x:c>
      <x:c r="H94" s="35" t="str">
        <x:v>Relational Placement</x:v>
      </x:c>
      <x:c r="I94" s="35" t="str">
        <x:v>Exact-scene paraphrase</x:v>
      </x:c>
      <x:c r="J94" s="35" t="str">
        <x:v>PVLA-RP-PAR-07</x:v>
      </x:c>
      <x:c r="K94" s="35" t="str"/>
      <x:c r="L94" s="31" t="str">
        <x:v>Move the red block to the side of the pink marker facing the robot.</x:v>
      </x:c>
      <x:c r="M94" s="31" t="str">
        <x:v>Move the red block to the side of the pink marker facing the robot.</x:v>
      </x:c>
      <x:c r="N94" s="31" t="str">
        <x:v>R-P01: pink marker at center [REFERENCE]; red block starts 21 cm behind the reference [TARGET START]; remaining objects are distractors with ≥12 cm clearance from the target path and commanded goal sector.</x:v>
      </x:c>
      <x:c r="O94" s="31" t="str">
        <x:v>red block</x:v>
      </x:c>
      <x:c r="P94" s="31" t="str"/>
      <x:c r="Q94" s="31" t="str"/>
      <x:c r="R94" s="31" t="str"/>
      <x:c r="S94" s="31" t="str">
        <x:f>IF('Blind Scoring'!I94="","",'Blind Scoring'!I94)</x:f>
      </x:c>
      <x:c r="T94" s="31" t="str">
        <x:f>'Blind Scoring'!J94</x:f>
        <x:v>No</x:v>
      </x:c>
      <x:c r="U94" s="31" t="str">
        <x:f>IF('Blind Scoring'!L94="","",'Blind Scoring'!L94)</x:f>
      </x:c>
    </x:row>
    <x:row r="95" ht="44" customHeight="1">
      <x:c r="A95" s="35" t="str">
        <x:v>Not Started</x:v>
      </x:c>
      <x:c r="B95" s="35" t="n">
        <x:v>93</x:v>
      </x:c>
      <x:c r="C95" s="35" t="str">
        <x:v>P02</x:v>
      </x:c>
      <x:c r="D95" s="35" t="n">
        <x:v>32</x:v>
      </x:c>
      <x:c r="E95" s="35" t="str">
        <x:v>Primary VLA</x:v>
      </x:c>
      <x:c r="F95" s="35" t="str">
        <x:v>π0.5</x:v>
      </x:c>
      <x:c r="G95" s="35" t="n">
        <x:v>1</x:v>
      </x:c>
      <x:c r="H95" s="35" t="str">
        <x:v>Relational Placement</x:v>
      </x:c>
      <x:c r="I95" s="35" t="str">
        <x:v>Main held-out transfer</x:v>
      </x:c>
      <x:c r="J95" s="35" t="str">
        <x:v>PVLA-RP-TR-09</x:v>
      </x:c>
      <x:c r="K95" s="35" t="str">
        <x:v>R-CF16</x:v>
      </x:c>
      <x:c r="L95" s="31" t="str">
        <x:v>Place the red block to the left of the green pen.</x:v>
      </x:c>
      <x:c r="M95" s="31" t="str">
        <x:v>Place the red block to the left of the green pen.</x:v>
      </x:c>
      <x:c r="N95" s="31" t="str">
        <x:v>R-CF16-HELD: green pen at center [REFERENCE]; red block starts 18 cm to the right of the reference [TARGET START]; blue block and pink marker are distractors outside the commanded goal sector.</x:v>
      </x:c>
      <x:c r="O95" s="31" t="str">
        <x:v>red block → to the left of green pen</x:v>
      </x:c>
      <x:c r="P95" s="31" t="str"/>
      <x:c r="Q95" s="31" t="str"/>
      <x:c r="R95" s="31" t="str"/>
      <x:c r="S95" s="31" t="str">
        <x:f>IF('Blind Scoring'!I95="","",'Blind Scoring'!I95)</x:f>
      </x:c>
      <x:c r="T95" s="31" t="str">
        <x:f>'Blind Scoring'!J95</x:f>
        <x:v>No</x:v>
      </x:c>
      <x:c r="U95" s="31" t="str">
        <x:f>IF('Blind Scoring'!L95="","",'Blind Scoring'!L95)</x:f>
      </x:c>
    </x:row>
    <x:row r="96" ht="44" customHeight="1">
      <x:c r="A96" s="35" t="str">
        <x:v>Not Started</x:v>
      </x:c>
      <x:c r="B96" s="35" t="n">
        <x:v>94</x:v>
      </x:c>
      <x:c r="C96" s="35" t="str">
        <x:v>P02</x:v>
      </x:c>
      <x:c r="D96" s="35" t="n">
        <x:v>33</x:v>
      </x:c>
      <x:c r="E96" s="35" t="str">
        <x:v>Primary VLA</x:v>
      </x:c>
      <x:c r="F96" s="35" t="str">
        <x:v>π0.5</x:v>
      </x:c>
      <x:c r="G96" s="35" t="n">
        <x:v>1</x:v>
      </x:c>
      <x:c r="H96" s="35" t="str">
        <x:v>Relational Placement</x:v>
      </x:c>
      <x:c r="I96" s="35" t="str">
        <x:v>Main matched control</x:v>
      </x:c>
      <x:c r="J96" s="35" t="str">
        <x:v>PVLA-RP-CTL-02</x:v>
      </x:c>
      <x:c r="K96" s="35" t="str">
        <x:v>R-CF03</x:v>
      </x:c>
      <x:c r="L96" s="31" t="str">
        <x:v>Place the green pen beside the red block.</x:v>
      </x:c>
      <x:c r="M96" s="31" t="str">
        <x:v>Place the green pen beside the red block.</x:v>
      </x:c>
      <x:c r="N96" s="31" t="str">
        <x:v>R-CF03-CTRL: red block at back-right [REFERENCE]; green pen starts 24 cm to the left of the reference [TARGET START]; pink marker and blue block are distractors outside the commanded goal sector.</x:v>
      </x:c>
      <x:c r="O96" s="31" t="str">
        <x:v>green pen near red block</x:v>
      </x:c>
      <x:c r="P96" s="31" t="str"/>
      <x:c r="Q96" s="31" t="str"/>
      <x:c r="R96" s="31" t="str"/>
      <x:c r="S96" s="31" t="str">
        <x:f>IF('Blind Scoring'!I96="","",'Blind Scoring'!I96)</x:f>
      </x:c>
      <x:c r="T96" s="31" t="str">
        <x:f>'Blind Scoring'!J96</x:f>
        <x:v>No</x:v>
      </x:c>
      <x:c r="U96" s="31" t="str">
        <x:f>IF('Blind Scoring'!L96="","",'Blind Scoring'!L96)</x:f>
      </x:c>
    </x:row>
    <x:row r="97" ht="44" customHeight="1">
      <x:c r="A97" s="35" t="str">
        <x:v>Not Started</x:v>
      </x:c>
      <x:c r="B97" s="35" t="n">
        <x:v>95</x:v>
      </x:c>
      <x:c r="C97" s="35" t="str">
        <x:v>P02</x:v>
      </x:c>
      <x:c r="D97" s="35" t="n">
        <x:v>34</x:v>
      </x:c>
      <x:c r="E97" s="35" t="str">
        <x:v>Primary VLA</x:v>
      </x:c>
      <x:c r="F97" s="35" t="str">
        <x:v>π0.5</x:v>
      </x:c>
      <x:c r="G97" s="35" t="n">
        <x:v>1</x:v>
      </x:c>
      <x:c r="H97" s="35" t="str">
        <x:v>Relational Placement</x:v>
      </x:c>
      <x:c r="I97" s="35" t="str">
        <x:v>Main held-out transfer</x:v>
      </x:c>
      <x:c r="J97" s="35" t="str">
        <x:v>PVLA-RP-TR-03</x:v>
      </x:c>
      <x:c r="K97" s="35" t="str">
        <x:v>R-CF05</x:v>
      </x:c>
      <x:c r="L97" s="31" t="str">
        <x:v>Place the green pen to the left of the red block.</x:v>
      </x:c>
      <x:c r="M97" s="31" t="str">
        <x:v>Place the green pen to the left of the red block.</x:v>
      </x:c>
      <x:c r="N97" s="31" t="str">
        <x:v>R-CF05-HELD: red block at front-right [REFERENCE]; green pen starts 21 cm to the right of the reference [TARGET START]; pink marker and blue block are distractors outside the commanded goal sector.</x:v>
      </x:c>
      <x:c r="O97" s="31" t="str">
        <x:v>green pen → to the left of red block</x:v>
      </x:c>
      <x:c r="P97" s="31" t="str"/>
      <x:c r="Q97" s="31" t="str"/>
      <x:c r="R97" s="31" t="str"/>
      <x:c r="S97" s="31" t="str">
        <x:f>IF('Blind Scoring'!I97="","",'Blind Scoring'!I97)</x:f>
      </x:c>
      <x:c r="T97" s="31" t="str">
        <x:f>'Blind Scoring'!J97</x:f>
        <x:v>No</x:v>
      </x:c>
      <x:c r="U97" s="31" t="str">
        <x:f>IF('Blind Scoring'!L97="","",'Blind Scoring'!L97)</x:f>
      </x:c>
    </x:row>
    <x:row r="98" ht="44" customHeight="1">
      <x:c r="A98" s="35" t="str">
        <x:v>Not Started</x:v>
      </x:c>
      <x:c r="B98" s="35" t="n">
        <x:v>96</x:v>
      </x:c>
      <x:c r="C98" s="35" t="str">
        <x:v>P02</x:v>
      </x:c>
      <x:c r="D98" s="35" t="n">
        <x:v>35</x:v>
      </x:c>
      <x:c r="E98" s="35" t="str">
        <x:v>Primary VLA</x:v>
      </x:c>
      <x:c r="F98" s="35" t="str">
        <x:v>π0.5</x:v>
      </x:c>
      <x:c r="G98" s="35" t="n">
        <x:v>1</x:v>
      </x:c>
      <x:c r="H98" s="35" t="str">
        <x:v>Relational Placement</x:v>
      </x:c>
      <x:c r="I98" s="35" t="str">
        <x:v>Novel layout + seen language</x:v>
      </x:c>
      <x:c r="J98" s="35" t="str">
        <x:v>PVLA-RP-NOV-03</x:v>
      </x:c>
      <x:c r="K98" s="35" t="str"/>
      <x:c r="L98" s="31" t="str">
        <x:v>Place the blue block behind the green pen.</x:v>
      </x:c>
      <x:c r="M98" s="31" t="str">
        <x:v>Place the blue block behind the green pen.</x:v>
      </x:c>
      <x:c r="N98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98" s="31" t="str">
        <x:v>blue block</x:v>
      </x:c>
      <x:c r="P98" s="31" t="str"/>
      <x:c r="Q98" s="31" t="str"/>
      <x:c r="R98" s="31" t="str"/>
      <x:c r="S98" s="31" t="str">
        <x:f>IF('Blind Scoring'!I98="","",'Blind Scoring'!I98)</x:f>
      </x:c>
      <x:c r="T98" s="31" t="str">
        <x:f>'Blind Scoring'!J98</x:f>
        <x:v>No</x:v>
      </x:c>
      <x:c r="U98" s="31" t="str">
        <x:f>IF('Blind Scoring'!L98="","",'Blind Scoring'!L98)</x:f>
      </x:c>
    </x:row>
    <x:row r="99" ht="44" customHeight="1">
      <x:c r="A99" s="35" t="str">
        <x:v>Not Started</x:v>
      </x:c>
      <x:c r="B99" s="35" t="n">
        <x:v>97</x:v>
      </x:c>
      <x:c r="C99" s="35" t="str">
        <x:v>P02</x:v>
      </x:c>
      <x:c r="D99" s="35" t="n">
        <x:v>36</x:v>
      </x:c>
      <x:c r="E99" s="35" t="str">
        <x:v>Primary VLA</x:v>
      </x:c>
      <x:c r="F99" s="35" t="str">
        <x:v>π0.5</x:v>
      </x:c>
      <x:c r="G99" s="35" t="n">
        <x:v>1</x:v>
      </x:c>
      <x:c r="H99" s="35" t="str">
        <x:v>Relational Placement</x:v>
      </x:c>
      <x:c r="I99" s="35" t="str">
        <x:v>Main held-out transfer</x:v>
      </x:c>
      <x:c r="J99" s="35" t="str">
        <x:v>PVLA-RP-TR-10</x:v>
      </x:c>
      <x:c r="K99" s="35" t="str">
        <x:v>R-CF18</x:v>
      </x:c>
      <x:c r="L99" s="31" t="str">
        <x:v>Place the red block behind the green pen.</x:v>
      </x:c>
      <x:c r="M99" s="31" t="str">
        <x:v>Place the red block behind the green pen.</x:v>
      </x:c>
      <x:c r="N99" s="31" t="str">
        <x:v>R-CF18-HELD: green pen at back-right [REFERENCE]; red block starts 24 cm in front of the reference [TARGET START]; blue block and pink marker are distractors outside the commanded goal sector.</x:v>
      </x:c>
      <x:c r="O99" s="31" t="str">
        <x:v>red block → behind green pen</x:v>
      </x:c>
      <x:c r="P99" s="31" t="str"/>
      <x:c r="Q99" s="31" t="str"/>
      <x:c r="R99" s="31" t="str"/>
      <x:c r="S99" s="31" t="str">
        <x:f>IF('Blind Scoring'!I99="","",'Blind Scoring'!I99)</x:f>
      </x:c>
      <x:c r="T99" s="31" t="str">
        <x:f>'Blind Scoring'!J99</x:f>
        <x:v>No</x:v>
      </x:c>
      <x:c r="U99" s="31" t="str">
        <x:f>IF('Blind Scoring'!L99="","",'Blind Scoring'!L99)</x:f>
      </x:c>
    </x:row>
    <x:row r="100" ht="44" customHeight="1">
      <x:c r="A100" s="35" t="str">
        <x:v>Not Started</x:v>
      </x:c>
      <x:c r="B100" s="35" t="n">
        <x:v>98</x:v>
      </x:c>
      <x:c r="C100" s="35" t="str">
        <x:v>P02</x:v>
      </x:c>
      <x:c r="D100" s="35" t="n">
        <x:v>37</x:v>
      </x:c>
      <x:c r="E100" s="35" t="str">
        <x:v>Primary VLA</x:v>
      </x:c>
      <x:c r="F100" s="35" t="str">
        <x:v>π0.5</x:v>
      </x:c>
      <x:c r="G100" s="35" t="n">
        <x:v>1</x:v>
      </x:c>
      <x:c r="H100" s="35" t="str">
        <x:v>Relational Placement</x:v>
      </x:c>
      <x:c r="I100" s="35" t="str">
        <x:v>Exact-scene paraphrase</x:v>
      </x:c>
      <x:c r="J100" s="35" t="str">
        <x:v>PVLA-RP-PAR-06</x:v>
      </x:c>
      <x:c r="K100" s="35" t="str"/>
      <x:c r="L100" s="31" t="str">
        <x:v>Move the red block to the side of the pink marker facing the robot.</x:v>
      </x:c>
      <x:c r="M100" s="31" t="str">
        <x:v>Move the red block to the side of the pink marker facing the robot.</x:v>
      </x:c>
      <x:c r="N100" s="31" t="str">
        <x:v>R-P01: pink marker at center [REFERENCE]; red block starts 21 cm behind the reference [TARGET START]; remaining objects are distractors with ≥12 cm clearance from the target path and commanded goal sector.</x:v>
      </x:c>
      <x:c r="O100" s="31" t="str">
        <x:v>red block</x:v>
      </x:c>
      <x:c r="P100" s="31" t="str"/>
      <x:c r="Q100" s="31" t="str"/>
      <x:c r="R100" s="31" t="str"/>
      <x:c r="S100" s="31" t="str">
        <x:f>IF('Blind Scoring'!I100="","",'Blind Scoring'!I100)</x:f>
      </x:c>
      <x:c r="T100" s="31" t="str">
        <x:f>'Blind Scoring'!J100</x:f>
        <x:v>No</x:v>
      </x:c>
      <x:c r="U100" s="31" t="str">
        <x:f>IF('Blind Scoring'!L100="","",'Blind Scoring'!L100)</x:f>
      </x:c>
    </x:row>
    <x:row r="101" ht="44" customHeight="1">
      <x:c r="A101" s="35" t="str">
        <x:v>Not Started</x:v>
      </x:c>
      <x:c r="B101" s="35" t="n">
        <x:v>99</x:v>
      </x:c>
      <x:c r="C101" s="35" t="str">
        <x:v>P02</x:v>
      </x:c>
      <x:c r="D101" s="35" t="n">
        <x:v>38</x:v>
      </x:c>
      <x:c r="E101" s="35" t="str">
        <x:v>Primary VLA</x:v>
      </x:c>
      <x:c r="F101" s="35" t="str">
        <x:v>π0.5</x:v>
      </x:c>
      <x:c r="G101" s="35" t="n">
        <x:v>1</x:v>
      </x:c>
      <x:c r="H101" s="35" t="str">
        <x:v>Relational Placement</x:v>
      </x:c>
      <x:c r="I101" s="35" t="str">
        <x:v>Language ablation — blank</x:v>
      </x:c>
      <x:c r="J101" s="35" t="str">
        <x:v>PVLA-RP-ABL-BLK-01</x:v>
      </x:c>
      <x:c r="K101" s="35" t="str">
        <x:v>R-CF01</x:v>
      </x:c>
      <x:c r="L101" s="31" t="str">
        <x:v>[EMPTY STRING — provide no instruction tokens]</x:v>
      </x:c>
      <x:c r="M101" s="31" t="str">
        <x:v>Place the green pen in front of the red block.</x:v>
      </x:c>
      <x:c r="N101" s="31" t="str">
        <x:v>R-CF01-HELD: red block at center [REFERENCE]; green pen starts 18 cm behind the reference [TARGET START]; pink marker and blue block are distractors outside the commanded goal sector.</x:v>
      </x:c>
      <x:c r="O101" s="31" t="str">
        <x:v>No prespecified task success under blank language; record any action/selected target.</x:v>
      </x:c>
      <x:c r="P101" s="31" t="str"/>
      <x:c r="Q101" s="31" t="str"/>
      <x:c r="R101" s="31" t="str"/>
      <x:c r="S101" s="31" t="str">
        <x:f>IF('Blind Scoring'!I101="","",'Blind Scoring'!I101)</x:f>
      </x:c>
      <x:c r="T101" s="31" t="str">
        <x:f>'Blind Scoring'!J101</x:f>
        <x:v>No</x:v>
      </x:c>
      <x:c r="U101" s="31" t="str">
        <x:f>IF('Blind Scoring'!L101="","",'Blind Scoring'!L101)</x:f>
      </x:c>
    </x:row>
    <x:row r="102" ht="44" customHeight="1">
      <x:c r="A102" s="35" t="str">
        <x:v>Not Started</x:v>
      </x:c>
      <x:c r="B102" s="35" t="n">
        <x:v>100</x:v>
      </x:c>
      <x:c r="C102" s="35" t="str">
        <x:v>P02</x:v>
      </x:c>
      <x:c r="D102" s="35" t="n">
        <x:v>39</x:v>
      </x:c>
      <x:c r="E102" s="35" t="str">
        <x:v>Primary VLA</x:v>
      </x:c>
      <x:c r="F102" s="35" t="str">
        <x:v>π0.5</x:v>
      </x:c>
      <x:c r="G102" s="35" t="n">
        <x:v>1</x:v>
      </x:c>
      <x:c r="H102" s="35" t="str">
        <x:v>Relational Placement</x:v>
      </x:c>
      <x:c r="I102" s="35" t="str">
        <x:v>Main matched control</x:v>
      </x:c>
      <x:c r="J102" s="35" t="str">
        <x:v>PVLA-RP-CTL-08</x:v>
      </x:c>
      <x:c r="K102" s="35" t="str">
        <x:v>R-CF15</x:v>
      </x:c>
      <x:c r="L102" s="31" t="str">
        <x:v>Place the green pen beside the red block.</x:v>
      </x:c>
      <x:c r="M102" s="31" t="str">
        <x:v>Place the green pen beside the red block.</x:v>
      </x:c>
      <x:c r="N102" s="31" t="str">
        <x:v>R-CF15-CTRL: red block at front-right [REFERENCE]; green pen starts 24 cm in front of the reference [TARGET START]; pink marker and blue block are distractors outside the commanded goal sector.</x:v>
      </x:c>
      <x:c r="O102" s="31" t="str">
        <x:v>green pen near red block</x:v>
      </x:c>
      <x:c r="P102" s="31" t="str"/>
      <x:c r="Q102" s="31" t="str"/>
      <x:c r="R102" s="31" t="str"/>
      <x:c r="S102" s="31" t="str">
        <x:f>IF('Blind Scoring'!I102="","",'Blind Scoring'!I102)</x:f>
      </x:c>
      <x:c r="T102" s="31" t="str">
        <x:f>'Blind Scoring'!J102</x:f>
        <x:v>No</x:v>
      </x:c>
      <x:c r="U102" s="31" t="str">
        <x:f>IF('Blind Scoring'!L102="","",'Blind Scoring'!L102)</x:f>
      </x:c>
    </x:row>
    <x:row r="103" ht="44" customHeight="1">
      <x:c r="A103" s="35" t="str">
        <x:v>Not Started</x:v>
      </x:c>
      <x:c r="B103" s="35" t="n">
        <x:v>101</x:v>
      </x:c>
      <x:c r="C103" s="35" t="str">
        <x:v>P02</x:v>
      </x:c>
      <x:c r="D103" s="35" t="n">
        <x:v>40</x:v>
      </x:c>
      <x:c r="E103" s="35" t="str">
        <x:v>Primary VLA</x:v>
      </x:c>
      <x:c r="F103" s="35" t="str">
        <x:v>π0.5</x:v>
      </x:c>
      <x:c r="G103" s="35" t="n">
        <x:v>1</x:v>
      </x:c>
      <x:c r="H103" s="35" t="str">
        <x:v>Relational Placement</x:v>
      </x:c>
      <x:c r="I103" s="35" t="str">
        <x:v>Main held-out transfer</x:v>
      </x:c>
      <x:c r="J103" s="35" t="str">
        <x:v>PVLA-RP-TR-07</x:v>
      </x:c>
      <x:c r="K103" s="35" t="str">
        <x:v>R-CF13</x:v>
      </x:c>
      <x:c r="L103" s="31" t="str">
        <x:v>Place the green pen to the left of the red block.</x:v>
      </x:c>
      <x:c r="M103" s="31" t="str">
        <x:v>Place the green pen to the left of the red block.</x:v>
      </x:c>
      <x:c r="N103" s="31" t="str">
        <x:v>R-CF13-HELD: red block at back-right [REFERENCE]; green pen starts 18 cm to the right of the reference [TARGET START]; pink marker and blue block are distractors outside the commanded goal sector.</x:v>
      </x:c>
      <x:c r="O103" s="31" t="str">
        <x:v>green pen → to the left of red block</x:v>
      </x:c>
      <x:c r="P103" s="31" t="str"/>
      <x:c r="Q103" s="31" t="str"/>
      <x:c r="R103" s="31" t="str"/>
      <x:c r="S103" s="31" t="str">
        <x:f>IF('Blind Scoring'!I103="","",'Blind Scoring'!I103)</x:f>
      </x:c>
      <x:c r="T103" s="31" t="str">
        <x:f>'Blind Scoring'!J103</x:f>
        <x:v>No</x:v>
      </x:c>
      <x:c r="U103" s="31" t="str">
        <x:f>IF('Blind Scoring'!L103="","",'Blind Scoring'!L103)</x:f>
      </x:c>
    </x:row>
    <x:row r="104" ht="44" customHeight="1">
      <x:c r="A104" s="35" t="str">
        <x:v>Not Started</x:v>
      </x:c>
      <x:c r="B104" s="35" t="n">
        <x:v>102</x:v>
      </x:c>
      <x:c r="C104" s="35" t="str">
        <x:v>P02</x:v>
      </x:c>
      <x:c r="D104" s="35" t="n">
        <x:v>41</x:v>
      </x:c>
      <x:c r="E104" s="35" t="str">
        <x:v>Primary VLA</x:v>
      </x:c>
      <x:c r="F104" s="35" t="str">
        <x:v>π0.5</x:v>
      </x:c>
      <x:c r="G104" s="35" t="n">
        <x:v>1</x:v>
      </x:c>
      <x:c r="H104" s="35" t="str">
        <x:v>Relational Placement</x:v>
      </x:c>
      <x:c r="I104" s="35" t="str">
        <x:v>Main matched control</x:v>
      </x:c>
      <x:c r="J104" s="35" t="str">
        <x:v>PVLA-RP-CTL-12</x:v>
      </x:c>
      <x:c r="K104" s="35" t="str">
        <x:v>R-CF22</x:v>
      </x:c>
      <x:c r="L104" s="31" t="str">
        <x:v>Place the red block near the green pen.</x:v>
      </x:c>
      <x:c r="M104" s="31" t="str">
        <x:v>Place the red block near the green pen.</x:v>
      </x:c>
      <x:c r="N104" s="31" t="str">
        <x:v>R-CF22-CTRL: green pen at back-left [REFERENCE]; red block starts 18 cm to the left of the reference [TARGET START]; blue block and pink marker are distractors outside the commanded goal sector.</x:v>
      </x:c>
      <x:c r="O104" s="31" t="str">
        <x:v>red block near green pen</x:v>
      </x:c>
      <x:c r="P104" s="31" t="str"/>
      <x:c r="Q104" s="31" t="str"/>
      <x:c r="R104" s="31" t="str"/>
      <x:c r="S104" s="31" t="str">
        <x:f>IF('Blind Scoring'!I104="","",'Blind Scoring'!I104)</x:f>
      </x:c>
      <x:c r="T104" s="31" t="str">
        <x:f>'Blind Scoring'!J104</x:f>
        <x:v>No</x:v>
      </x:c>
      <x:c r="U104" s="31" t="str">
        <x:f>IF('Blind Scoring'!L104="","",'Blind Scoring'!L104)</x:f>
      </x:c>
    </x:row>
    <x:row r="105" ht="44" customHeight="1">
      <x:c r="A105" s="35" t="str">
        <x:v>Not Started</x:v>
      </x:c>
      <x:c r="B105" s="35" t="n">
        <x:v>103</x:v>
      </x:c>
      <x:c r="C105" s="35" t="str">
        <x:v>P02</x:v>
      </x:c>
      <x:c r="D105" s="35" t="n">
        <x:v>42</x:v>
      </x:c>
      <x:c r="E105" s="35" t="str">
        <x:v>Primary VLA</x:v>
      </x:c>
      <x:c r="F105" s="35" t="str">
        <x:v>π0.5</x:v>
      </x:c>
      <x:c r="G105" s="35" t="n">
        <x:v>1</x:v>
      </x:c>
      <x:c r="H105" s="35" t="str">
        <x:v>Relational Placement</x:v>
      </x:c>
      <x:c r="I105" s="35" t="str">
        <x:v>Main held-out transfer</x:v>
      </x:c>
      <x:c r="J105" s="35" t="str">
        <x:v>PVLA-RP-TR-16</x:v>
      </x:c>
      <x:c r="K105" s="35" t="str">
        <x:v>R-CF30</x:v>
      </x:c>
      <x:c r="L105" s="31" t="str">
        <x:v>Place the red block to the right of the green pen.</x:v>
      </x:c>
      <x:c r="M105" s="31" t="str">
        <x:v>Place the red block to the right of the green pen.</x:v>
      </x:c>
      <x:c r="N105" s="31" t="str">
        <x:v>R-CF30-HELD: green pen at front-right [REFERENCE]; red block starts 24 cm to the left of the reference [TARGET START]; blue block and pink marker are distractors outside the commanded goal sector.</x:v>
      </x:c>
      <x:c r="O105" s="31" t="str">
        <x:v>red block → to the right of green pen</x:v>
      </x:c>
      <x:c r="P105" s="31" t="str"/>
      <x:c r="Q105" s="31" t="str"/>
      <x:c r="R105" s="31" t="str"/>
      <x:c r="S105" s="31" t="str">
        <x:f>IF('Blind Scoring'!I105="","",'Blind Scoring'!I105)</x:f>
      </x:c>
      <x:c r="T105" s="31" t="str">
        <x:f>'Blind Scoring'!J105</x:f>
        <x:v>No</x:v>
      </x:c>
      <x:c r="U105" s="31" t="str">
        <x:f>IF('Blind Scoring'!L105="","",'Blind Scoring'!L105)</x:f>
      </x:c>
    </x:row>
    <x:row r="106" ht="44" customHeight="1">
      <x:c r="A106" s="35" t="str">
        <x:v>Not Started</x:v>
      </x:c>
      <x:c r="B106" s="35" t="n">
        <x:v>104</x:v>
      </x:c>
      <x:c r="C106" s="35" t="str">
        <x:v>P02</x:v>
      </x:c>
      <x:c r="D106" s="35" t="n">
        <x:v>43</x:v>
      </x:c>
      <x:c r="E106" s="35" t="str">
        <x:v>Primary VLA</x:v>
      </x:c>
      <x:c r="F106" s="35" t="str">
        <x:v>π0.5</x:v>
      </x:c>
      <x:c r="G106" s="35" t="n">
        <x:v>1</x:v>
      </x:c>
      <x:c r="H106" s="35" t="str">
        <x:v>Relational Placement</x:v>
      </x:c>
      <x:c r="I106" s="35" t="str">
        <x:v>Main matched control</x:v>
      </x:c>
      <x:c r="J106" s="35" t="str">
        <x:v>PVLA-RP-CTL-11</x:v>
      </x:c>
      <x:c r="K106" s="35" t="str">
        <x:v>R-CF20</x:v>
      </x:c>
      <x:c r="L106" s="31" t="str">
        <x:v>Place the red block next to the green pen.</x:v>
      </x:c>
      <x:c r="M106" s="31" t="str">
        <x:v>Place the red block next to the green pen.</x:v>
      </x:c>
      <x:c r="N106" s="31" t="str">
        <x:v>R-CF20-CTRL: green pen at front-right [REFERENCE]; red block starts 21 cm behind the reference [TARGET START]; blue block and pink marker are distractors outside the commanded goal sector.</x:v>
      </x:c>
      <x:c r="O106" s="31" t="str">
        <x:v>red block near green pen</x:v>
      </x:c>
      <x:c r="P106" s="31" t="str"/>
      <x:c r="Q106" s="31" t="str"/>
      <x:c r="R106" s="31" t="str"/>
      <x:c r="S106" s="31" t="str">
        <x:f>IF('Blind Scoring'!I106="","",'Blind Scoring'!I106)</x:f>
      </x:c>
      <x:c r="T106" s="31" t="str">
        <x:f>'Blind Scoring'!J106</x:f>
        <x:v>No</x:v>
      </x:c>
      <x:c r="U106" s="31" t="str">
        <x:f>IF('Blind Scoring'!L106="","",'Blind Scoring'!L106)</x:f>
      </x:c>
    </x:row>
    <x:row r="107" ht="44" customHeight="1">
      <x:c r="A107" s="35" t="str">
        <x:v>Not Started</x:v>
      </x:c>
      <x:c r="B107" s="35" t="n">
        <x:v>105</x:v>
      </x:c>
      <x:c r="C107" s="35" t="str">
        <x:v>P02</x:v>
      </x:c>
      <x:c r="D107" s="35" t="n">
        <x:v>44</x:v>
      </x:c>
      <x:c r="E107" s="35" t="str">
        <x:v>Primary VLA</x:v>
      </x:c>
      <x:c r="F107" s="35" t="str">
        <x:v>π0.5</x:v>
      </x:c>
      <x:c r="G107" s="35" t="n">
        <x:v>1</x:v>
      </x:c>
      <x:c r="H107" s="35" t="str">
        <x:v>Relational Placement</x:v>
      </x:c>
      <x:c r="I107" s="35" t="str">
        <x:v>Language ablation — counterfactual</x:v>
      </x:c>
      <x:c r="J107" s="35" t="str">
        <x:v>PVLA-RP-ABL-CF-01</x:v>
      </x:c>
      <x:c r="K107" s="35" t="str">
        <x:v>R-CF09</x:v>
      </x:c>
      <x:c r="L107" s="31" t="str">
        <x:v>Place the green pen behind the red block.</x:v>
      </x:c>
      <x:c r="M107" s="31" t="str">
        <x:v>Place the green pen behind the red block.</x:v>
      </x:c>
      <x:c r="N107" s="31" t="str">
        <x:v>R-CF09-HELD: red block at front-left [REFERENCE]; green pen starts 24 cm behind the reference [TARGET START]; pink marker and blue block are distractors outside the commanded goal sector.</x:v>
      </x:c>
      <x:c r="O107" s="31" t="str">
        <x:v>green pen → behind red block</x:v>
      </x:c>
      <x:c r="P107" s="31" t="str"/>
      <x:c r="Q107" s="31" t="str"/>
      <x:c r="R107" s="31" t="str"/>
      <x:c r="S107" s="31" t="str">
        <x:f>IF('Blind Scoring'!I107="","",'Blind Scoring'!I107)</x:f>
      </x:c>
      <x:c r="T107" s="31" t="str">
        <x:f>'Blind Scoring'!J107</x:f>
        <x:v>No</x:v>
      </x:c>
      <x:c r="U107" s="31" t="str">
        <x:f>IF('Blind Scoring'!L107="","",'Blind Scoring'!L107)</x:f>
      </x:c>
    </x:row>
    <x:row r="108" ht="44" customHeight="1">
      <x:c r="A108" s="35" t="str">
        <x:v>Not Started</x:v>
      </x:c>
      <x:c r="B108" s="35" t="n">
        <x:v>106</x:v>
      </x:c>
      <x:c r="C108" s="35" t="str">
        <x:v>P02</x:v>
      </x:c>
      <x:c r="D108" s="35" t="n">
        <x:v>45</x:v>
      </x:c>
      <x:c r="E108" s="35" t="str">
        <x:v>Primary VLA</x:v>
      </x:c>
      <x:c r="F108" s="35" t="str">
        <x:v>π0.5</x:v>
      </x:c>
      <x:c r="G108" s="35" t="n">
        <x:v>1</x:v>
      </x:c>
      <x:c r="H108" s="35" t="str">
        <x:v>Relational Placement</x:v>
      </x:c>
      <x:c r="I108" s="35" t="str">
        <x:v>Training reconstruction</x:v>
      </x:c>
      <x:c r="J108" s="35" t="str">
        <x:v>PVLA-RP-REC-05</x:v>
      </x:c>
      <x:c r="K108" s="35" t="str"/>
      <x:c r="L108" s="31" t="str">
        <x:v>Place the green pen to the left of the pink marker.</x:v>
      </x:c>
      <x:c r="M108" s="31" t="str">
        <x:v>Place the green pen to the left of the pink marker.</x:v>
      </x:c>
      <x:c r="N108" s="31" t="str">
        <x:v>Reconstruct planned final training episode 230: green pen, pink marker, red block; start=Home. Match camera, calibration, bowl pose, and object geometry exactly.</x:v>
      </x:c>
      <x:c r="O108" s="31" t="str">
        <x:v>green pen</x:v>
      </x:c>
      <x:c r="P108" s="31" t="str"/>
      <x:c r="Q108" s="31" t="str"/>
      <x:c r="R108" s="31" t="str"/>
      <x:c r="S108" s="31" t="str">
        <x:f>IF('Blind Scoring'!I108="","",'Blind Scoring'!I108)</x:f>
      </x:c>
      <x:c r="T108" s="31" t="str">
        <x:f>'Blind Scoring'!J108</x:f>
        <x:v>No</x:v>
      </x:c>
      <x:c r="U108" s="31" t="str">
        <x:f>IF('Blind Scoring'!L108="","",'Blind Scoring'!L108)</x:f>
      </x:c>
    </x:row>
    <x:row r="109" ht="44" customHeight="1">
      <x:c r="A109" s="35" t="str">
        <x:v>Not Started</x:v>
      </x:c>
      <x:c r="B109" s="35" t="n">
        <x:v>107</x:v>
      </x:c>
      <x:c r="C109" s="35" t="str">
        <x:v>P02</x:v>
      </x:c>
      <x:c r="D109" s="35" t="n">
        <x:v>46</x:v>
      </x:c>
      <x:c r="E109" s="35" t="str">
        <x:v>Primary VLA</x:v>
      </x:c>
      <x:c r="F109" s="35" t="str">
        <x:v>π0.5</x:v>
      </x:c>
      <x:c r="G109" s="35" t="n">
        <x:v>1</x:v>
      </x:c>
      <x:c r="H109" s="35" t="str">
        <x:v>Relational Placement</x:v>
      </x:c>
      <x:c r="I109" s="35" t="str">
        <x:v>Language ablation — blank</x:v>
      </x:c>
      <x:c r="J109" s="35" t="str">
        <x:v>PVLA-RP-ABL-BLK-03</x:v>
      </x:c>
      <x:c r="K109" s="35" t="str">
        <x:v>R-CF05</x:v>
      </x:c>
      <x:c r="L109" s="31" t="str">
        <x:v>[EMPTY STRING — provide no instruction tokens]</x:v>
      </x:c>
      <x:c r="M109" s="31" t="str">
        <x:v>Place the green pen to the left of the red block.</x:v>
      </x:c>
      <x:c r="N109" s="31" t="str">
        <x:v>R-CF05-HELD: red block at front-right [REFERENCE]; green pen starts 21 cm to the right of the reference [TARGET START]; pink marker and blue block are distractors outside the commanded goal sector.</x:v>
      </x:c>
      <x:c r="O109" s="31" t="str">
        <x:v>No prespecified task success under blank language; record any action/selected target.</x:v>
      </x:c>
      <x:c r="P109" s="31" t="str"/>
      <x:c r="Q109" s="31" t="str"/>
      <x:c r="R109" s="31" t="str"/>
      <x:c r="S109" s="31" t="str">
        <x:f>IF('Blind Scoring'!I109="","",'Blind Scoring'!I109)</x:f>
      </x:c>
      <x:c r="T109" s="31" t="str">
        <x:f>'Blind Scoring'!J109</x:f>
        <x:v>No</x:v>
      </x:c>
      <x:c r="U109" s="31" t="str">
        <x:f>IF('Blind Scoring'!L109="","",'Blind Scoring'!L109)</x:f>
      </x:c>
    </x:row>
    <x:row r="110" ht="44" customHeight="1">
      <x:c r="A110" s="35" t="str">
        <x:v>Not Started</x:v>
      </x:c>
      <x:c r="B110" s="35" t="n">
        <x:v>108</x:v>
      </x:c>
      <x:c r="C110" s="35" t="str">
        <x:v>P02</x:v>
      </x:c>
      <x:c r="D110" s="35" t="n">
        <x:v>47</x:v>
      </x:c>
      <x:c r="E110" s="35" t="str">
        <x:v>Primary VLA</x:v>
      </x:c>
      <x:c r="F110" s="35" t="str">
        <x:v>π0.5</x:v>
      </x:c>
      <x:c r="G110" s="35" t="n">
        <x:v>1</x:v>
      </x:c>
      <x:c r="H110" s="35" t="str">
        <x:v>Relational Placement</x:v>
      </x:c>
      <x:c r="I110" s="35" t="str">
        <x:v>Novel layout + seen language</x:v>
      </x:c>
      <x:c r="J110" s="35" t="str">
        <x:v>PVLA-RP-NOV-04</x:v>
      </x:c>
      <x:c r="K110" s="35" t="str"/>
      <x:c r="L110" s="31" t="str">
        <x:v>Place the green pen in front of the pink marker.</x:v>
      </x:c>
      <x:c r="M110" s="31" t="str">
        <x:v>Place the green pen in front of the pink marker.</x:v>
      </x:c>
      <x:c r="N110" s="31" t="str">
        <x:v>R-S09: pink marker at center [REFERENCE]; green pen starts 21 cm behind the reference [TARGET START]; remaining objects are distractors with ≥12 cm clearance from the target path and commanded goal sector.</x:v>
      </x:c>
      <x:c r="O110" s="31" t="str">
        <x:v>green pen</x:v>
      </x:c>
      <x:c r="P110" s="31" t="str"/>
      <x:c r="Q110" s="31" t="str"/>
      <x:c r="R110" s="31" t="str"/>
      <x:c r="S110" s="31" t="str">
        <x:f>IF('Blind Scoring'!I110="","",'Blind Scoring'!I110)</x:f>
      </x:c>
      <x:c r="T110" s="31" t="str">
        <x:f>'Blind Scoring'!J110</x:f>
        <x:v>No</x:v>
      </x:c>
      <x:c r="U110" s="31" t="str">
        <x:f>IF('Blind Scoring'!L110="","",'Blind Scoring'!L110)</x:f>
      </x:c>
    </x:row>
    <x:row r="111" ht="44" customHeight="1">
      <x:c r="A111" s="35" t="str">
        <x:v>Not Started</x:v>
      </x:c>
      <x:c r="B111" s="35" t="n">
        <x:v>109</x:v>
      </x:c>
      <x:c r="C111" s="35" t="str">
        <x:v>P02</x:v>
      </x:c>
      <x:c r="D111" s="35" t="n">
        <x:v>48</x:v>
      </x:c>
      <x:c r="E111" s="35" t="str">
        <x:v>Primary VLA</x:v>
      </x:c>
      <x:c r="F111" s="35" t="str">
        <x:v>π0.5</x:v>
      </x:c>
      <x:c r="G111" s="35" t="n">
        <x:v>1</x:v>
      </x:c>
      <x:c r="H111" s="35" t="str">
        <x:v>Relational Placement</x:v>
      </x:c>
      <x:c r="I111" s="35" t="str">
        <x:v>Training reconstruction</x:v>
      </x:c>
      <x:c r="J111" s="35" t="str">
        <x:v>PVLA-RP-REC-01</x:v>
      </x:c>
      <x:c r="K111" s="35" t="str"/>
      <x:c r="L111" s="31" t="str">
        <x:v>Move the green pen to the front of the pink marker.</x:v>
      </x:c>
      <x:c r="M111" s="31" t="str">
        <x:v>Move the green pen to the front of the pink marker.</x:v>
      </x:c>
      <x:c r="N111" s="31" t="str">
        <x:v>Reconstruct planned final training episode 204: green pen, pink marker; start=Home. Match camera, calibration, bowl pose, and object geometry exactly.</x:v>
      </x:c>
      <x:c r="O111" s="31" t="str">
        <x:v>green pen</x:v>
      </x:c>
      <x:c r="P111" s="31" t="str"/>
      <x:c r="Q111" s="31" t="str"/>
      <x:c r="R111" s="31" t="str"/>
      <x:c r="S111" s="31" t="str">
        <x:f>IF('Blind Scoring'!I111="","",'Blind Scoring'!I111)</x:f>
      </x:c>
      <x:c r="T111" s="31" t="str">
        <x:f>'Blind Scoring'!J111</x:f>
        <x:v>No</x:v>
      </x:c>
      <x:c r="U111" s="31" t="str">
        <x:f>IF('Blind Scoring'!L111="","",'Blind Scoring'!L111)</x:f>
      </x:c>
    </x:row>
    <x:row r="112" ht="44" customHeight="1">
      <x:c r="A112" s="35" t="str">
        <x:v>Not Started</x:v>
      </x:c>
      <x:c r="B112" s="35" t="n">
        <x:v>110</x:v>
      </x:c>
      <x:c r="C112" s="35" t="str">
        <x:v>P02</x:v>
      </x:c>
      <x:c r="D112" s="35" t="n">
        <x:v>49</x:v>
      </x:c>
      <x:c r="E112" s="35" t="str">
        <x:v>Primary VLA</x:v>
      </x:c>
      <x:c r="F112" s="35" t="str">
        <x:v>π0.5</x:v>
      </x:c>
      <x:c r="G112" s="35" t="n">
        <x:v>1</x:v>
      </x:c>
      <x:c r="H112" s="35" t="str">
        <x:v>Relational Placement</x:v>
      </x:c>
      <x:c r="I112" s="35" t="str">
        <x:v>Main matched control</x:v>
      </x:c>
      <x:c r="J112" s="35" t="str">
        <x:v>PVLA-RP-CTL-04</x:v>
      </x:c>
      <x:c r="K112" s="35" t="str">
        <x:v>R-CF07</x:v>
      </x:c>
      <x:c r="L112" s="31" t="str">
        <x:v>Place the green pen near the red block.</x:v>
      </x:c>
      <x:c r="M112" s="31" t="str">
        <x:v>Place the green pen near the red block.</x:v>
      </x:c>
      <x:c r="N112" s="31" t="str">
        <x:v>R-CF07-CTRL: red block at back-left [REFERENCE]; green pen starts 18 cm in front of the reference [TARGET START]; pink marker and blue block are distractors outside the commanded goal sector.</x:v>
      </x:c>
      <x:c r="O112" s="31" t="str">
        <x:v>green pen near red block</x:v>
      </x:c>
      <x:c r="P112" s="31" t="str"/>
      <x:c r="Q112" s="31" t="str"/>
      <x:c r="R112" s="31" t="str"/>
      <x:c r="S112" s="31" t="str">
        <x:f>IF('Blind Scoring'!I112="","",'Blind Scoring'!I112)</x:f>
      </x:c>
      <x:c r="T112" s="31" t="str">
        <x:f>'Blind Scoring'!J112</x:f>
        <x:v>No</x:v>
      </x:c>
      <x:c r="U112" s="31" t="str">
        <x:f>IF('Blind Scoring'!L112="","",'Blind Scoring'!L112)</x:f>
      </x:c>
    </x:row>
    <x:row r="113" ht="44" customHeight="1">
      <x:c r="A113" s="35" t="str">
        <x:v>Not Started</x:v>
      </x:c>
      <x:c r="B113" s="35" t="n">
        <x:v>111</x:v>
      </x:c>
      <x:c r="C113" s="35" t="str">
        <x:v>P02</x:v>
      </x:c>
      <x:c r="D113" s="35" t="n">
        <x:v>50</x:v>
      </x:c>
      <x:c r="E113" s="35" t="str">
        <x:v>Primary VLA</x:v>
      </x:c>
      <x:c r="F113" s="35" t="str">
        <x:v>π0.5</x:v>
      </x:c>
      <x:c r="G113" s="35" t="n">
        <x:v>1</x:v>
      </x:c>
      <x:c r="H113" s="35" t="str">
        <x:v>Relational Placement</x:v>
      </x:c>
      <x:c r="I113" s="35" t="str">
        <x:v>Exact-scene paraphrase</x:v>
      </x:c>
      <x:c r="J113" s="35" t="str">
        <x:v>PVLA-RP-PAR-02</x:v>
      </x:c>
      <x:c r="K113" s="35" t="str"/>
      <x:c r="L113" s="31" t="str">
        <x:v>Move the red block to the side of the pink marker facing the robot.</x:v>
      </x:c>
      <x:c r="M113" s="31" t="str">
        <x:v>Move the red block to the side of the pink marker facing the robot.</x:v>
      </x:c>
      <x:c r="N113" s="31" t="str">
        <x:v>R-P01: pink marker at center [REFERENCE]; red block starts 21 cm behind the reference [TARGET START]; remaining objects are distractors with ≥12 cm clearance from the target path and commanded goal sector.</x:v>
      </x:c>
      <x:c r="O113" s="31" t="str">
        <x:v>red block</x:v>
      </x:c>
      <x:c r="P113" s="31" t="str"/>
      <x:c r="Q113" s="31" t="str"/>
      <x:c r="R113" s="31" t="str"/>
      <x:c r="S113" s="31" t="str">
        <x:f>IF('Blind Scoring'!I113="","",'Blind Scoring'!I113)</x:f>
      </x:c>
      <x:c r="T113" s="31" t="str">
        <x:f>'Blind Scoring'!J113</x:f>
        <x:v>No</x:v>
      </x:c>
      <x:c r="U113" s="31" t="str">
        <x:f>IF('Blind Scoring'!L113="","",'Blind Scoring'!L113)</x:f>
      </x:c>
    </x:row>
    <x:row r="114" ht="44" customHeight="1">
      <x:c r="A114" s="35" t="str">
        <x:v>Not Started</x:v>
      </x:c>
      <x:c r="B114" s="35" t="n">
        <x:v>112</x:v>
      </x:c>
      <x:c r="C114" s="35" t="str">
        <x:v>P02</x:v>
      </x:c>
      <x:c r="D114" s="35" t="n">
        <x:v>51</x:v>
      </x:c>
      <x:c r="E114" s="35" t="str">
        <x:v>Primary VLA</x:v>
      </x:c>
      <x:c r="F114" s="35" t="str">
        <x:v>π0.5</x:v>
      </x:c>
      <x:c r="G114" s="35" t="n">
        <x:v>1</x:v>
      </x:c>
      <x:c r="H114" s="35" t="str">
        <x:v>Relational Placement</x:v>
      </x:c>
      <x:c r="I114" s="35" t="str">
        <x:v>Main held-out transfer</x:v>
      </x:c>
      <x:c r="J114" s="35" t="str">
        <x:v>PVLA-RP-TR-08</x:v>
      </x:c>
      <x:c r="K114" s="35" t="str">
        <x:v>R-CF15</x:v>
      </x:c>
      <x:c r="L114" s="31" t="str">
        <x:v>Place the green pen behind the red block.</x:v>
      </x:c>
      <x:c r="M114" s="31" t="str">
        <x:v>Place the green pen behind the red block.</x:v>
      </x:c>
      <x:c r="N114" s="31" t="str">
        <x:v>R-CF15-HELD: red block at front-right [REFERENCE]; green pen starts 24 cm in front of the reference [TARGET START]; pink marker and blue block are distractors outside the commanded goal sector.</x:v>
      </x:c>
      <x:c r="O114" s="31" t="str">
        <x:v>green pen → behind red block</x:v>
      </x:c>
      <x:c r="P114" s="31" t="str"/>
      <x:c r="Q114" s="31" t="str"/>
      <x:c r="R114" s="31" t="str"/>
      <x:c r="S114" s="31" t="str">
        <x:f>IF('Blind Scoring'!I114="","",'Blind Scoring'!I114)</x:f>
      </x:c>
      <x:c r="T114" s="31" t="str">
        <x:f>'Blind Scoring'!J114</x:f>
        <x:v>No</x:v>
      </x:c>
      <x:c r="U114" s="31" t="str">
        <x:f>IF('Blind Scoring'!L114="","",'Blind Scoring'!L114)</x:f>
      </x:c>
    </x:row>
    <x:row r="115" ht="44" customHeight="1">
      <x:c r="A115" s="35" t="str">
        <x:v>Not Started</x:v>
      </x:c>
      <x:c r="B115" s="35" t="n">
        <x:v>113</x:v>
      </x:c>
      <x:c r="C115" s="35" t="str">
        <x:v>P02</x:v>
      </x:c>
      <x:c r="D115" s="35" t="n">
        <x:v>52</x:v>
      </x:c>
      <x:c r="E115" s="35" t="str">
        <x:v>Primary VLA</x:v>
      </x:c>
      <x:c r="F115" s="35" t="str">
        <x:v>π0.5</x:v>
      </x:c>
      <x:c r="G115" s="35" t="n">
        <x:v>1</x:v>
      </x:c>
      <x:c r="H115" s="35" t="str">
        <x:v>Relational Placement</x:v>
      </x:c>
      <x:c r="I115" s="35" t="str">
        <x:v>Novel layout + seen language</x:v>
      </x:c>
      <x:c r="J115" s="35" t="str">
        <x:v>PVLA-RP-NOV-08</x:v>
      </x:c>
      <x:c r="K115" s="35" t="str"/>
      <x:c r="L115" s="31" t="str">
        <x:v>Place the red block to the right of the blue block.</x:v>
      </x:c>
      <x:c r="M115" s="31" t="str">
        <x:v>Place the red block to the right of the blue block.</x:v>
      </x:c>
      <x:c r="N115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115" s="31" t="str">
        <x:v>red block</x:v>
      </x:c>
      <x:c r="P115" s="31" t="str"/>
      <x:c r="Q115" s="31" t="str"/>
      <x:c r="R115" s="31" t="str"/>
      <x:c r="S115" s="31" t="str">
        <x:f>IF('Blind Scoring'!I115="","",'Blind Scoring'!I115)</x:f>
      </x:c>
      <x:c r="T115" s="31" t="str">
        <x:f>'Blind Scoring'!J115</x:f>
        <x:v>No</x:v>
      </x:c>
      <x:c r="U115" s="31" t="str">
        <x:f>IF('Blind Scoring'!L115="","",'Blind Scoring'!L115)</x:f>
      </x:c>
    </x:row>
    <x:row r="116" ht="44" customHeight="1">
      <x:c r="A116" s="35" t="str">
        <x:v>Not Started</x:v>
      </x:c>
      <x:c r="B116" s="35" t="n">
        <x:v>114</x:v>
      </x:c>
      <x:c r="C116" s="35" t="str">
        <x:v>P02</x:v>
      </x:c>
      <x:c r="D116" s="35" t="n">
        <x:v>53</x:v>
      </x:c>
      <x:c r="E116" s="35" t="str">
        <x:v>Primary VLA</x:v>
      </x:c>
      <x:c r="F116" s="35" t="str">
        <x:v>π0.5</x:v>
      </x:c>
      <x:c r="G116" s="35" t="n">
        <x:v>1</x:v>
      </x:c>
      <x:c r="H116" s="35" t="str">
        <x:v>Relational Placement</x:v>
      </x:c>
      <x:c r="I116" s="35" t="str">
        <x:v>Novel layout + seen language</x:v>
      </x:c>
      <x:c r="J116" s="35" t="str">
        <x:v>PVLA-RP-NOV-05</x:v>
      </x:c>
      <x:c r="K116" s="35" t="str"/>
      <x:c r="L116" s="31" t="str">
        <x:v>Place the pink marker to the right of the blue block.</x:v>
      </x:c>
      <x:c r="M116" s="31" t="str">
        <x:v>Place the pink marker to the right of the blue block.</x:v>
      </x:c>
      <x:c r="N116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116" s="31" t="str">
        <x:v>pink marker</x:v>
      </x:c>
      <x:c r="P116" s="31" t="str"/>
      <x:c r="Q116" s="31" t="str"/>
      <x:c r="R116" s="31" t="str"/>
      <x:c r="S116" s="31" t="str">
        <x:f>IF('Blind Scoring'!I116="","",'Blind Scoring'!I116)</x:f>
      </x:c>
      <x:c r="T116" s="31" t="str">
        <x:f>'Blind Scoring'!J116</x:f>
        <x:v>No</x:v>
      </x:c>
      <x:c r="U116" s="31" t="str">
        <x:f>IF('Blind Scoring'!L116="","",'Blind Scoring'!L116)</x:f>
      </x:c>
    </x:row>
    <x:row r="117" ht="44" customHeight="1">
      <x:c r="A117" s="35" t="str">
        <x:v>Not Started</x:v>
      </x:c>
      <x:c r="B117" s="35" t="n">
        <x:v>115</x:v>
      </x:c>
      <x:c r="C117" s="35" t="str">
        <x:v>P02</x:v>
      </x:c>
      <x:c r="D117" s="35" t="n">
        <x:v>54</x:v>
      </x:c>
      <x:c r="E117" s="35" t="str">
        <x:v>Primary VLA</x:v>
      </x:c>
      <x:c r="F117" s="35" t="str">
        <x:v>π0.5</x:v>
      </x:c>
      <x:c r="G117" s="35" t="n">
        <x:v>1</x:v>
      </x:c>
      <x:c r="H117" s="35" t="str">
        <x:v>Relational Placement</x:v>
      </x:c>
      <x:c r="I117" s="35" t="str">
        <x:v>Novel layout + seen language</x:v>
      </x:c>
      <x:c r="J117" s="35" t="str">
        <x:v>PVLA-RP-NOV-02</x:v>
      </x:c>
      <x:c r="K117" s="35" t="str"/>
      <x:c r="L117" s="31" t="str">
        <x:v>Place the green pen to the right of the pink marker.</x:v>
      </x:c>
      <x:c r="M117" s="31" t="str">
        <x:v>Place the green pen to the right of the pink marker.</x:v>
      </x:c>
      <x:c r="N117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117" s="31" t="str">
        <x:v>green pen</x:v>
      </x:c>
      <x:c r="P117" s="31" t="str"/>
      <x:c r="Q117" s="31" t="str"/>
      <x:c r="R117" s="31" t="str"/>
      <x:c r="S117" s="31" t="str">
        <x:f>IF('Blind Scoring'!I117="","",'Blind Scoring'!I117)</x:f>
      </x:c>
      <x:c r="T117" s="31" t="str">
        <x:f>'Blind Scoring'!J117</x:f>
        <x:v>No</x:v>
      </x:c>
      <x:c r="U117" s="31" t="str">
        <x:f>IF('Blind Scoring'!L117="","",'Blind Scoring'!L117)</x:f>
      </x:c>
    </x:row>
    <x:row r="118" ht="44" customHeight="1">
      <x:c r="A118" s="35" t="str">
        <x:v>Not Started</x:v>
      </x:c>
      <x:c r="B118" s="35" t="n">
        <x:v>116</x:v>
      </x:c>
      <x:c r="C118" s="35" t="str">
        <x:v>P02</x:v>
      </x:c>
      <x:c r="D118" s="35" t="n">
        <x:v>55</x:v>
      </x:c>
      <x:c r="E118" s="35" t="str">
        <x:v>Primary VLA</x:v>
      </x:c>
      <x:c r="F118" s="35" t="str">
        <x:v>π0.5</x:v>
      </x:c>
      <x:c r="G118" s="35" t="n">
        <x:v>1</x:v>
      </x:c>
      <x:c r="H118" s="35" t="str">
        <x:v>Relational Placement</x:v>
      </x:c>
      <x:c r="I118" s="35" t="str">
        <x:v>Main held-out transfer</x:v>
      </x:c>
      <x:c r="J118" s="35" t="str">
        <x:v>PVLA-RP-TR-04</x:v>
      </x:c>
      <x:c r="K118" s="35" t="str">
        <x:v>R-CF07</x:v>
      </x:c>
      <x:c r="L118" s="31" t="str">
        <x:v>Place the green pen behind the red block.</x:v>
      </x:c>
      <x:c r="M118" s="31" t="str">
        <x:v>Place the green pen behind the red block.</x:v>
      </x:c>
      <x:c r="N118" s="31" t="str">
        <x:v>R-CF07-HELD: red block at back-left [REFERENCE]; green pen starts 18 cm in front of the reference [TARGET START]; pink marker and blue block are distractors outside the commanded goal sector.</x:v>
      </x:c>
      <x:c r="O118" s="31" t="str">
        <x:v>green pen → behind red block</x:v>
      </x:c>
      <x:c r="P118" s="31" t="str"/>
      <x:c r="Q118" s="31" t="str"/>
      <x:c r="R118" s="31" t="str"/>
      <x:c r="S118" s="31" t="str">
        <x:f>IF('Blind Scoring'!I118="","",'Blind Scoring'!I118)</x:f>
      </x:c>
      <x:c r="T118" s="31" t="str">
        <x:f>'Blind Scoring'!J118</x:f>
        <x:v>No</x:v>
      </x:c>
      <x:c r="U118" s="31" t="str">
        <x:f>IF('Blind Scoring'!L118="","",'Blind Scoring'!L118)</x:f>
      </x:c>
    </x:row>
    <x:row r="119" ht="44" customHeight="1">
      <x:c r="A119" s="35" t="str">
        <x:v>Not Started</x:v>
      </x:c>
      <x:c r="B119" s="35" t="n">
        <x:v>117</x:v>
      </x:c>
      <x:c r="C119" s="35" t="str">
        <x:v>P02</x:v>
      </x:c>
      <x:c r="D119" s="35" t="n">
        <x:v>56</x:v>
      </x:c>
      <x:c r="E119" s="35" t="str">
        <x:v>Primary VLA</x:v>
      </x:c>
      <x:c r="F119" s="35" t="str">
        <x:v>π0.5</x:v>
      </x:c>
      <x:c r="G119" s="35" t="n">
        <x:v>1</x:v>
      </x:c>
      <x:c r="H119" s="35" t="str">
        <x:v>Relational Placement</x:v>
      </x:c>
      <x:c r="I119" s="35" t="str">
        <x:v>Training reconstruction</x:v>
      </x:c>
      <x:c r="J119" s="35" t="str">
        <x:v>PVLA-RP-REC-06</x:v>
      </x:c>
      <x:c r="K119" s="35" t="str"/>
      <x:c r="L119" s="31" t="str">
        <x:v>Place the green pen to the right of the pink marker.</x:v>
      </x:c>
      <x:c r="M119" s="31" t="str">
        <x:v>Place the green pen to the right of the pink marker.</x:v>
      </x:c>
      <x:c r="N119" s="31" t="str">
        <x:v>Reconstruct planned final training episode 243: green pen, pink marker, red block; start=Home. Match camera, calibration, bowl pose, and object geometry exactly.</x:v>
      </x:c>
      <x:c r="O119" s="31" t="str">
        <x:v>green pen</x:v>
      </x:c>
      <x:c r="P119" s="31" t="str"/>
      <x:c r="Q119" s="31" t="str"/>
      <x:c r="R119" s="31" t="str"/>
      <x:c r="S119" s="31" t="str">
        <x:f>IF('Blind Scoring'!I119="","",'Blind Scoring'!I119)</x:f>
      </x:c>
      <x:c r="T119" s="31" t="str">
        <x:f>'Blind Scoring'!J119</x:f>
        <x:v>No</x:v>
      </x:c>
      <x:c r="U119" s="31" t="str">
        <x:f>IF('Blind Scoring'!L119="","",'Blind Scoring'!L119)</x:f>
      </x:c>
    </x:row>
    <x:row r="120" ht="44" customHeight="1">
      <x:c r="A120" s="35" t="str">
        <x:v>Not Started</x:v>
      </x:c>
      <x:c r="B120" s="35" t="n">
        <x:v>118</x:v>
      </x:c>
      <x:c r="C120" s="35" t="str">
        <x:v>P02</x:v>
      </x:c>
      <x:c r="D120" s="35" t="n">
        <x:v>57</x:v>
      </x:c>
      <x:c r="E120" s="35" t="str">
        <x:v>Primary VLA</x:v>
      </x:c>
      <x:c r="F120" s="35" t="str">
        <x:v>π0.5</x:v>
      </x:c>
      <x:c r="G120" s="35" t="n">
        <x:v>1</x:v>
      </x:c>
      <x:c r="H120" s="35" t="str">
        <x:v>Relational Placement</x:v>
      </x:c>
      <x:c r="I120" s="35" t="str">
        <x:v>Main matched control</x:v>
      </x:c>
      <x:c r="J120" s="35" t="str">
        <x:v>PVLA-RP-CTL-10</x:v>
      </x:c>
      <x:c r="K120" s="35" t="str">
        <x:v>R-CF18</x:v>
      </x:c>
      <x:c r="L120" s="31" t="str">
        <x:v>Place the red block beside the green pen.</x:v>
      </x:c>
      <x:c r="M120" s="31" t="str">
        <x:v>Place the red block beside the green pen.</x:v>
      </x:c>
      <x:c r="N120" s="31" t="str">
        <x:v>R-CF18-CTRL: green pen at back-right [REFERENCE]; red block starts 24 cm in front of the reference [TARGET START]; blue block and pink marker are distractors outside the commanded goal sector.</x:v>
      </x:c>
      <x:c r="O120" s="31" t="str">
        <x:v>red block near green pen</x:v>
      </x:c>
      <x:c r="P120" s="31" t="str"/>
      <x:c r="Q120" s="31" t="str"/>
      <x:c r="R120" s="31" t="str"/>
      <x:c r="S120" s="31" t="str">
        <x:f>IF('Blind Scoring'!I120="","",'Blind Scoring'!I120)</x:f>
      </x:c>
      <x:c r="T120" s="31" t="str">
        <x:f>'Blind Scoring'!J120</x:f>
        <x:v>No</x:v>
      </x:c>
      <x:c r="U120" s="31" t="str">
        <x:f>IF('Blind Scoring'!L120="","",'Blind Scoring'!L120)</x:f>
      </x:c>
    </x:row>
    <x:row r="121" ht="44" customHeight="1">
      <x:c r="A121" s="35" t="str">
        <x:v>Not Started</x:v>
      </x:c>
      <x:c r="B121" s="35" t="n">
        <x:v>119</x:v>
      </x:c>
      <x:c r="C121" s="35" t="str">
        <x:v>P02</x:v>
      </x:c>
      <x:c r="D121" s="35" t="n">
        <x:v>58</x:v>
      </x:c>
      <x:c r="E121" s="35" t="str">
        <x:v>Primary VLA</x:v>
      </x:c>
      <x:c r="F121" s="35" t="str">
        <x:v>π0.5</x:v>
      </x:c>
      <x:c r="G121" s="35" t="n">
        <x:v>1</x:v>
      </x:c>
      <x:c r="H121" s="35" t="str">
        <x:v>Relational Placement</x:v>
      </x:c>
      <x:c r="I121" s="35" t="str">
        <x:v>Main held-out transfer</x:v>
      </x:c>
      <x:c r="J121" s="35" t="str">
        <x:v>PVLA-RP-TR-15</x:v>
      </x:c>
      <x:c r="K121" s="35" t="str">
        <x:v>R-CF28</x:v>
      </x:c>
      <x:c r="L121" s="31" t="str">
        <x:v>Place the red block in front of the green pen.</x:v>
      </x:c>
      <x:c r="M121" s="31" t="str">
        <x:v>Place the red block in front of the green pen.</x:v>
      </x:c>
      <x:c r="N121" s="31" t="str">
        <x:v>R-CF28-HELD: green pen at back-right [REFERENCE]; red block starts 18 cm behind the reference [TARGET START]; blue block and pink marker are distractors outside the commanded goal sector.</x:v>
      </x:c>
      <x:c r="O121" s="31" t="str">
        <x:v>red block → in front of green pen</x:v>
      </x:c>
      <x:c r="P121" s="31" t="str"/>
      <x:c r="Q121" s="31" t="str"/>
      <x:c r="R121" s="31" t="str"/>
      <x:c r="S121" s="31" t="str">
        <x:f>IF('Blind Scoring'!I121="","",'Blind Scoring'!I121)</x:f>
      </x:c>
      <x:c r="T121" s="31" t="str">
        <x:f>'Blind Scoring'!J121</x:f>
        <x:v>No</x:v>
      </x:c>
      <x:c r="U121" s="31" t="str">
        <x:f>IF('Blind Scoring'!L121="","",'Blind Scoring'!L121)</x:f>
      </x:c>
    </x:row>
    <x:row r="122" ht="44" customHeight="1">
      <x:c r="A122" s="35" t="str">
        <x:v>Not Started</x:v>
      </x:c>
      <x:c r="B122" s="35" t="n">
        <x:v>120</x:v>
      </x:c>
      <x:c r="C122" s="35" t="str">
        <x:v>P02</x:v>
      </x:c>
      <x:c r="D122" s="35" t="n">
        <x:v>59</x:v>
      </x:c>
      <x:c r="E122" s="35" t="str">
        <x:v>Primary VLA</x:v>
      </x:c>
      <x:c r="F122" s="35" t="str">
        <x:v>π0.5</x:v>
      </x:c>
      <x:c r="G122" s="35" t="n">
        <x:v>1</x:v>
      </x:c>
      <x:c r="H122" s="35" t="str">
        <x:v>Relational Placement</x:v>
      </x:c>
      <x:c r="I122" s="35" t="str">
        <x:v>Main held-out transfer</x:v>
      </x:c>
      <x:c r="J122" s="35" t="str">
        <x:v>PVLA-RP-TR-12</x:v>
      </x:c>
      <x:c r="K122" s="35" t="str">
        <x:v>R-CF22</x:v>
      </x:c>
      <x:c r="L122" s="31" t="str">
        <x:v>Place the red block to the right of the green pen.</x:v>
      </x:c>
      <x:c r="M122" s="31" t="str">
        <x:v>Place the red block to the right of the green pen.</x:v>
      </x:c>
      <x:c r="N122" s="31" t="str">
        <x:v>R-CF22-HELD: green pen at back-left [REFERENCE]; red block starts 18 cm to the left of the reference [TARGET START]; blue block and pink marker are distractors outside the commanded goal sector.</x:v>
      </x:c>
      <x:c r="O122" s="31" t="str">
        <x:v>red block → to the right of green pen</x:v>
      </x:c>
      <x:c r="P122" s="31" t="str"/>
      <x:c r="Q122" s="31" t="str"/>
      <x:c r="R122" s="31" t="str"/>
      <x:c r="S122" s="31" t="str">
        <x:f>IF('Blind Scoring'!I122="","",'Blind Scoring'!I122)</x:f>
      </x:c>
      <x:c r="T122" s="31" t="str">
        <x:f>'Blind Scoring'!J122</x:f>
        <x:v>No</x:v>
      </x:c>
      <x:c r="U122" s="31" t="str">
        <x:f>IF('Blind Scoring'!L122="","",'Blind Scoring'!L122)</x:f>
      </x:c>
    </x:row>
    <x:row r="123" ht="44" customHeight="1">
      <x:c r="A123" s="35" t="str">
        <x:v>Not Started</x:v>
      </x:c>
      <x:c r="B123" s="35" t="n">
        <x:v>121</x:v>
      </x:c>
      <x:c r="C123" s="35" t="str">
        <x:v>P02</x:v>
      </x:c>
      <x:c r="D123" s="35" t="n">
        <x:v>60</x:v>
      </x:c>
      <x:c r="E123" s="35" t="str">
        <x:v>Primary VLA</x:v>
      </x:c>
      <x:c r="F123" s="35" t="str">
        <x:v>π0.5</x:v>
      </x:c>
      <x:c r="G123" s="35" t="n">
        <x:v>1</x:v>
      </x:c>
      <x:c r="H123" s="35" t="str">
        <x:v>Relational Placement</x:v>
      </x:c>
      <x:c r="I123" s="35" t="str">
        <x:v>Exact-scene paraphrase</x:v>
      </x:c>
      <x:c r="J123" s="35" t="str">
        <x:v>PVLA-RP-PAR-05</x:v>
      </x:c>
      <x:c r="K123" s="35" t="str"/>
      <x:c r="L123" s="31" t="str">
        <x:v>Move the red block to the side of the pink marker facing the robot.</x:v>
      </x:c>
      <x:c r="M123" s="31" t="str">
        <x:v>Move the red block to the side of the pink marker facing the robot.</x:v>
      </x:c>
      <x:c r="N123" s="31" t="str">
        <x:v>R-P01: pink marker at center [REFERENCE]; red block starts 21 cm behind the reference [TARGET START]; remaining objects are distractors with ≥12 cm clearance from the target path and commanded goal sector.</x:v>
      </x:c>
      <x:c r="O123" s="31" t="str">
        <x:v>red block</x:v>
      </x:c>
      <x:c r="P123" s="31" t="str"/>
      <x:c r="Q123" s="31" t="str"/>
      <x:c r="R123" s="31" t="str"/>
      <x:c r="S123" s="31" t="str">
        <x:f>IF('Blind Scoring'!I123="","",'Blind Scoring'!I123)</x:f>
      </x:c>
      <x:c r="T123" s="31" t="str">
        <x:f>'Blind Scoring'!J123</x:f>
        <x:v>No</x:v>
      </x:c>
      <x:c r="U123" s="31" t="str">
        <x:f>IF('Blind Scoring'!L123="","",'Blind Scoring'!L123)</x:f>
      </x:c>
    </x:row>
    <x:row r="124" ht="44" customHeight="1">
      <x:c r="A124" s="35" t="str">
        <x:v>Not Started</x:v>
      </x:c>
      <x:c r="B124" s="35" t="n">
        <x:v>122</x:v>
      </x:c>
      <x:c r="C124" s="35" t="str">
        <x:v>P02</x:v>
      </x:c>
      <x:c r="D124" s="35" t="n">
        <x:v>61</x:v>
      </x:c>
      <x:c r="E124" s="35" t="str">
        <x:v>Primary VLA</x:v>
      </x:c>
      <x:c r="F124" s="35" t="str">
        <x:v>π0.5</x:v>
      </x:c>
      <x:c r="G124" s="35" t="n">
        <x:v>1</x:v>
      </x:c>
      <x:c r="H124" s="35" t="str">
        <x:v>Relational Placement</x:v>
      </x:c>
      <x:c r="I124" s="35" t="str">
        <x:v>Main held-out transfer</x:v>
      </x:c>
      <x:c r="J124" s="35" t="str">
        <x:v>PVLA-RP-TR-02</x:v>
      </x:c>
      <x:c r="K124" s="35" t="str">
        <x:v>R-CF03</x:v>
      </x:c>
      <x:c r="L124" s="31" t="str">
        <x:v>Place the green pen to the right of the red block.</x:v>
      </x:c>
      <x:c r="M124" s="31" t="str">
        <x:v>Place the green pen to the right of the red block.</x:v>
      </x:c>
      <x:c r="N124" s="31" t="str">
        <x:v>R-CF03-HELD: red block at back-right [REFERENCE]; green pen starts 24 cm to the left of the reference [TARGET START]; pink marker and blue block are distractors outside the commanded goal sector.</x:v>
      </x:c>
      <x:c r="O124" s="31" t="str">
        <x:v>green pen → to the right of red block</x:v>
      </x:c>
      <x:c r="P124" s="31" t="str"/>
      <x:c r="Q124" s="31" t="str"/>
      <x:c r="R124" s="31" t="str"/>
      <x:c r="S124" s="31" t="str">
        <x:f>IF('Blind Scoring'!I124="","",'Blind Scoring'!I124)</x:f>
      </x:c>
      <x:c r="T124" s="31" t="str">
        <x:f>'Blind Scoring'!J124</x:f>
        <x:v>No</x:v>
      </x:c>
      <x:c r="U124" s="31" t="str">
        <x:f>IF('Blind Scoring'!L124="","",'Blind Scoring'!L124)</x:f>
      </x:c>
    </x:row>
    <x:row r="125" ht="44" customHeight="1">
      <x:c r="A125" s="35" t="str">
        <x:v>Not Started</x:v>
      </x:c>
      <x:c r="B125" s="35" t="n">
        <x:v>123</x:v>
      </x:c>
      <x:c r="C125" s="35" t="str">
        <x:v>P02</x:v>
      </x:c>
      <x:c r="D125" s="35" t="n">
        <x:v>62</x:v>
      </x:c>
      <x:c r="E125" s="35" t="str">
        <x:v>Primary VLA</x:v>
      </x:c>
      <x:c r="F125" s="35" t="str">
        <x:v>π0.5</x:v>
      </x:c>
      <x:c r="G125" s="35" t="n">
        <x:v>1</x:v>
      </x:c>
      <x:c r="H125" s="35" t="str">
        <x:v>Relational Placement</x:v>
      </x:c>
      <x:c r="I125" s="35" t="str">
        <x:v>Exact-scene paraphrase</x:v>
      </x:c>
      <x:c r="J125" s="35" t="str">
        <x:v>PVLA-RP-PAR-08</x:v>
      </x:c>
      <x:c r="K125" s="35" t="str"/>
      <x:c r="L125" s="31" t="str">
        <x:v>Move the red block to the side of the pink marker facing the robot.</x:v>
      </x:c>
      <x:c r="M125" s="31" t="str">
        <x:v>Move the red block to the side of the pink marker facing the robot.</x:v>
      </x:c>
      <x:c r="N125" s="31" t="str">
        <x:v>R-P01: pink marker at center [REFERENCE]; red block starts 21 cm behind the reference [TARGET START]; remaining objects are distractors with ≥12 cm clearance from the target path and commanded goal sector.</x:v>
      </x:c>
      <x:c r="O125" s="31" t="str">
        <x:v>red block</x:v>
      </x:c>
      <x:c r="P125" s="31" t="str"/>
      <x:c r="Q125" s="31" t="str"/>
      <x:c r="R125" s="31" t="str"/>
      <x:c r="S125" s="31" t="str">
        <x:f>IF('Blind Scoring'!I125="","",'Blind Scoring'!I125)</x:f>
      </x:c>
      <x:c r="T125" s="31" t="str">
        <x:f>'Blind Scoring'!J125</x:f>
        <x:v>No</x:v>
      </x:c>
      <x:c r="U125" s="31" t="str">
        <x:f>IF('Blind Scoring'!L125="","",'Blind Scoring'!L125)</x:f>
      </x:c>
    </x:row>
    <x:row r="126" ht="44" customHeight="1">
      <x:c r="A126" s="35" t="str">
        <x:v>Not Started</x:v>
      </x:c>
      <x:c r="B126" s="35" t="n">
        <x:v>124</x:v>
      </x:c>
      <x:c r="C126" s="35" t="str">
        <x:v>P03</x:v>
      </x:c>
      <x:c r="D126" s="35" t="n">
        <x:v>1</x:v>
      </x:c>
      <x:c r="E126" s="35" t="str">
        <x:v>Primary VLA</x:v>
      </x:c>
      <x:c r="F126" s="35" t="str">
        <x:v>π0.5</x:v>
      </x:c>
      <x:c r="G126" s="35" t="n">
        <x:v>1</x:v>
      </x:c>
      <x:c r="H126" s="35" t="str">
        <x:v>Counting</x:v>
      </x:c>
      <x:c r="I126" s="35" t="str">
        <x:v>Training reconstruction</x:v>
      </x:c>
      <x:c r="J126" s="35" t="str">
        <x:v>PVLA-CT-REC-04</x:v>
      </x:c>
      <x:c r="K126" s="35" t="str"/>
      <x:c r="L126" s="31" t="str">
        <x:v>Leave exactly two objects in the bowl.</x:v>
      </x:c>
      <x:c r="M126" s="31" t="str">
        <x:v>Leave exactly two objects in the bowl.</x:v>
      </x:c>
      <x:c r="N126" s="31" t="str">
        <x:v>Reconstruct planned final training episode 861: green pencil sharpener, yellow block, airplane toy without propellers, blue pen; start=Post-Drop. Match camera, calibration, bowl pose, and object geometry exactly.</x:v>
      </x:c>
      <x:c r="O126" s="31" t="str">
        <x:v>yellow block</x:v>
      </x:c>
      <x:c r="P126" s="31" t="str"/>
      <x:c r="Q126" s="31" t="str"/>
      <x:c r="R126" s="31" t="str"/>
      <x:c r="S126" s="31" t="str">
        <x:f>IF('Blind Scoring'!I126="","",'Blind Scoring'!I126)</x:f>
      </x:c>
      <x:c r="T126" s="31" t="str">
        <x:f>'Blind Scoring'!J126</x:f>
        <x:v>No</x:v>
      </x:c>
      <x:c r="U126" s="31" t="str">
        <x:f>IF('Blind Scoring'!L126="","",'Blind Scoring'!L126)</x:f>
      </x:c>
    </x:row>
    <x:row r="127" ht="44" customHeight="1">
      <x:c r="A127" s="35" t="str">
        <x:v>Not Started</x:v>
      </x:c>
      <x:c r="B127" s="35" t="n">
        <x:v>125</x:v>
      </x:c>
      <x:c r="C127" s="35" t="str">
        <x:v>P03</x:v>
      </x:c>
      <x:c r="D127" s="35" t="n">
        <x:v>2</x:v>
      </x:c>
      <x:c r="E127" s="35" t="str">
        <x:v>Primary VLA</x:v>
      </x:c>
      <x:c r="F127" s="35" t="str">
        <x:v>π0.5</x:v>
      </x:c>
      <x:c r="G127" s="35" t="n">
        <x:v>1</x:v>
      </x:c>
      <x:c r="H127" s="35" t="str">
        <x:v>Counting</x:v>
      </x:c>
      <x:c r="I127" s="35" t="str">
        <x:v>Training reconstruction</x:v>
      </x:c>
      <x:c r="J127" s="35" t="str">
        <x:v>PVLA-CT-REC-01</x:v>
      </x:c>
      <x:c r="K127" s="35" t="str"/>
      <x:c r="L127" s="31" t="str">
        <x:v>Move the blue pen into the bowl.</x:v>
      </x:c>
      <x:c r="M127" s="31" t="str">
        <x:v>Move the blue pen into the bowl.</x:v>
      </x:c>
      <x:c r="N127" s="31" t="str">
        <x:v>Reconstruct planned final training episode 800: blue pen, yellow block, green pencil sharpener, airplane toy without propellers; start=Home. Match camera, calibration, bowl pose, and object geometry exactly.</x:v>
      </x:c>
      <x:c r="O127" s="31" t="str">
        <x:v>blue pen</x:v>
      </x:c>
      <x:c r="P127" s="31" t="str"/>
      <x:c r="Q127" s="31" t="str"/>
      <x:c r="R127" s="31" t="str"/>
      <x:c r="S127" s="31" t="str">
        <x:f>IF('Blind Scoring'!I127="","",'Blind Scoring'!I127)</x:f>
      </x:c>
      <x:c r="T127" s="31" t="str">
        <x:f>'Blind Scoring'!J127</x:f>
        <x:v>No</x:v>
      </x:c>
      <x:c r="U127" s="31" t="str">
        <x:f>IF('Blind Scoring'!L127="","",'Blind Scoring'!L127)</x:f>
      </x:c>
    </x:row>
    <x:row r="128" ht="44" customHeight="1">
      <x:c r="A128" s="35" t="str">
        <x:v>Not Started</x:v>
      </x:c>
      <x:c r="B128" s="35" t="n">
        <x:v>126</x:v>
      </x:c>
      <x:c r="C128" s="35" t="str">
        <x:v>P03</x:v>
      </x:c>
      <x:c r="D128" s="35" t="n">
        <x:v>3</x:v>
      </x:c>
      <x:c r="E128" s="35" t="str">
        <x:v>Primary VLA</x:v>
      </x:c>
      <x:c r="F128" s="35" t="str">
        <x:v>π0.5</x:v>
      </x:c>
      <x:c r="G128" s="35" t="n">
        <x:v>1</x:v>
      </x:c>
      <x:c r="H128" s="35" t="str">
        <x:v>Counting</x:v>
      </x:c>
      <x:c r="I128" s="35" t="str">
        <x:v>Language ablation — counterfactual</x:v>
      </x:c>
      <x:c r="J128" s="35" t="str">
        <x:v>PVLA-CT-ABL-CF-01</x:v>
      </x:c>
      <x:c r="K128" s="35" t="str">
        <x:v>C-CF04-A</x:v>
      </x:c>
      <x:c r="L128" s="31" t="str">
        <x:v>Leave exactly three objects in the bowl.</x:v>
      </x:c>
      <x:c r="M128" s="31" t="str">
        <x:v>Leave exactly three objects in the bowl.</x:v>
      </x:c>
      <x:c r="N128" s="31" t="str">
        <x:v>C-CF04A: bowl=[airplane toy without propellers, blue pen] (2); table=[yellow block, green pencil sharpener]; robot home; acceptable action=remove either bowl object.</x:v>
      </x:c>
      <x:c r="O128" s="31" t="str">
        <x:v>ADD one table object</x:v>
      </x:c>
      <x:c r="P128" s="31" t="str"/>
      <x:c r="Q128" s="31" t="str"/>
      <x:c r="R128" s="31" t="str"/>
      <x:c r="S128" s="31" t="str">
        <x:f>IF('Blind Scoring'!I128="","",'Blind Scoring'!I128)</x:f>
      </x:c>
      <x:c r="T128" s="31" t="str">
        <x:f>'Blind Scoring'!J128</x:f>
        <x:v>No</x:v>
      </x:c>
      <x:c r="U128" s="31" t="str">
        <x:f>IF('Blind Scoring'!L128="","",'Blind Scoring'!L128)</x:f>
      </x:c>
    </x:row>
    <x:row r="129" ht="44" customHeight="1">
      <x:c r="A129" s="35" t="str">
        <x:v>Not Started</x:v>
      </x:c>
      <x:c r="B129" s="35" t="n">
        <x:v>127</x:v>
      </x:c>
      <x:c r="C129" s="35" t="str">
        <x:v>P03</x:v>
      </x:c>
      <x:c r="D129" s="35" t="n">
        <x:v>4</x:v>
      </x:c>
      <x:c r="E129" s="35" t="str">
        <x:v>Primary VLA</x:v>
      </x:c>
      <x:c r="F129" s="35" t="str">
        <x:v>π0.5</x:v>
      </x:c>
      <x:c r="G129" s="35" t="n">
        <x:v>1</x:v>
      </x:c>
      <x:c r="H129" s="35" t="str">
        <x:v>Counting</x:v>
      </x:c>
      <x:c r="I129" s="35" t="str">
        <x:v>Language ablation — blank</x:v>
      </x:c>
      <x:c r="J129" s="35" t="str">
        <x:v>PVLA-CT-ABL-BLK-02</x:v>
      </x:c>
      <x:c r="K129" s="35" t="str">
        <x:v>C-CF01-B</x:v>
      </x:c>
      <x:c r="L129" s="31" t="str">
        <x:v>[EMPTY STRING — provide no instruction tokens]</x:v>
      </x:c>
      <x:c r="M129" s="31" t="str">
        <x:v>Leave exactly three objects in the bowl.</x:v>
      </x:c>
      <x:c r="N129" s="31" t="str">
        <x:v>C-CF01B: bowl=[blue pen, yellow block] (2); table=[green pencil sharpener, airplane toy without propellers]; robot home; acceptable action=add either table object.</x:v>
      </x:c>
      <x:c r="O129" s="31" t="str">
        <x:v>No prespecified task success under blank language; record any action/selected target.</x:v>
      </x:c>
      <x:c r="P129" s="31" t="str"/>
      <x:c r="Q129" s="31" t="str"/>
      <x:c r="R129" s="31" t="str"/>
      <x:c r="S129" s="31" t="str">
        <x:f>IF('Blind Scoring'!I129="","",'Blind Scoring'!I129)</x:f>
      </x:c>
      <x:c r="T129" s="31" t="str">
        <x:f>'Blind Scoring'!J129</x:f>
        <x:v>No</x:v>
      </x:c>
      <x:c r="U129" s="31" t="str">
        <x:f>IF('Blind Scoring'!L129="","",'Blind Scoring'!L129)</x:f>
      </x:c>
    </x:row>
    <x:row r="130" ht="44" customHeight="1">
      <x:c r="A130" s="35" t="str">
        <x:v>Not Started</x:v>
      </x:c>
      <x:c r="B130" s="35" t="n">
        <x:v>128</x:v>
      </x:c>
      <x:c r="C130" s="35" t="str">
        <x:v>P03</x:v>
      </x:c>
      <x:c r="D130" s="35" t="n">
        <x:v>5</x:v>
      </x:c>
      <x:c r="E130" s="35" t="str">
        <x:v>Primary VLA</x:v>
      </x:c>
      <x:c r="F130" s="35" t="str">
        <x:v>π0.5</x:v>
      </x:c>
      <x:c r="G130" s="35" t="n">
        <x:v>1</x:v>
      </x:c>
      <x:c r="H130" s="35" t="str">
        <x:v>Counting</x:v>
      </x:c>
      <x:c r="I130" s="35" t="str">
        <x:v>Main matched control</x:v>
      </x:c>
      <x:c r="J130" s="35" t="str">
        <x:v>PVLA-CT-CTL-03</x:v>
      </x:c>
      <x:c r="K130" s="35" t="str">
        <x:v>C-CF03-A</x:v>
      </x:c>
      <x:c r="L130" s="31" t="str">
        <x:v>Remove the green pencil sharpener from the bowl.</x:v>
      </x:c>
      <x:c r="M130" s="31" t="str">
        <x:v>Remove the green pencil sharpener from the bowl.</x:v>
      </x:c>
      <x:c r="N130" s="31" t="str">
        <x:v>C-CF03-CA: bowl=[green pencil sharpener, airplane toy without propellers] (2); table=[blue pen, yellow block]; robot home; acceptable action=remove either bowl object.</x:v>
      </x:c>
      <x:c r="O130" s="31" t="str">
        <x:v>REMOVE green pencil sharpener</x:v>
      </x:c>
      <x:c r="P130" s="31" t="str"/>
      <x:c r="Q130" s="31" t="str"/>
      <x:c r="R130" s="31" t="str"/>
      <x:c r="S130" s="31" t="str">
        <x:f>IF('Blind Scoring'!I130="","",'Blind Scoring'!I130)</x:f>
      </x:c>
      <x:c r="T130" s="31" t="str">
        <x:f>'Blind Scoring'!J130</x:f>
        <x:v>No</x:v>
      </x:c>
      <x:c r="U130" s="31" t="str">
        <x:f>IF('Blind Scoring'!L130="","",'Blind Scoring'!L130)</x:f>
      </x:c>
    </x:row>
    <x:row r="131" ht="44" customHeight="1">
      <x:c r="A131" s="35" t="str">
        <x:v>Not Started</x:v>
      </x:c>
      <x:c r="B131" s="35" t="n">
        <x:v>129</x:v>
      </x:c>
      <x:c r="C131" s="35" t="str">
        <x:v>P03</x:v>
      </x:c>
      <x:c r="D131" s="35" t="n">
        <x:v>6</x:v>
      </x:c>
      <x:c r="E131" s="35" t="str">
        <x:v>Primary VLA</x:v>
      </x:c>
      <x:c r="F131" s="35" t="str">
        <x:v>π0.5</x:v>
      </x:c>
      <x:c r="G131" s="35" t="n">
        <x:v>1</x:v>
      </x:c>
      <x:c r="H131" s="35" t="str">
        <x:v>Counting</x:v>
      </x:c>
      <x:c r="I131" s="35" t="str">
        <x:v>Main matched control</x:v>
      </x:c>
      <x:c r="J131" s="35" t="str">
        <x:v>PVLA-CT-CTL-09</x:v>
      </x:c>
      <x:c r="K131" s="35" t="str">
        <x:v>C-CF07-A</x:v>
      </x:c>
      <x:c r="L131" s="31" t="str">
        <x:v>Remove the green pencil sharpener from the bowl.</x:v>
      </x:c>
      <x:c r="M131" s="31" t="str">
        <x:v>Remove the green pencil sharpener from the bowl.</x:v>
      </x:c>
      <x:c r="N131" s="31" t="str">
        <x:v>C-CF07-CA: bowl=[green pencil sharpener, airplane toy without propellers] (2); table=[blue pen, yellow block]; robot home; acceptable action=remove either bowl object.</x:v>
      </x:c>
      <x:c r="O131" s="31" t="str">
        <x:v>REMOVE green pencil sharpener</x:v>
      </x:c>
      <x:c r="P131" s="31" t="str"/>
      <x:c r="Q131" s="31" t="str"/>
      <x:c r="R131" s="31" t="str"/>
      <x:c r="S131" s="31" t="str">
        <x:f>IF('Blind Scoring'!I131="","",'Blind Scoring'!I131)</x:f>
      </x:c>
      <x:c r="T131" s="31" t="str">
        <x:f>'Blind Scoring'!J131</x:f>
        <x:v>No</x:v>
      </x:c>
      <x:c r="U131" s="31" t="str">
        <x:f>IF('Blind Scoring'!L131="","",'Blind Scoring'!L131)</x:f>
      </x:c>
    </x:row>
    <x:row r="132" ht="44" customHeight="1">
      <x:c r="A132" s="35" t="str">
        <x:v>Not Started</x:v>
      </x:c>
      <x:c r="B132" s="35" t="n">
        <x:v>130</x:v>
      </x:c>
      <x:c r="C132" s="35" t="str">
        <x:v>P03</x:v>
      </x:c>
      <x:c r="D132" s="35" t="n">
        <x:v>7</x:v>
      </x:c>
      <x:c r="E132" s="35" t="str">
        <x:v>Primary VLA</x:v>
      </x:c>
      <x:c r="F132" s="35" t="str">
        <x:v>π0.5</x:v>
      </x:c>
      <x:c r="G132" s="35" t="n">
        <x:v>1</x:v>
      </x:c>
      <x:c r="H132" s="35" t="str">
        <x:v>Counting</x:v>
      </x:c>
      <x:c r="I132" s="35" t="str">
        <x:v>Novel layout + seen language</x:v>
      </x:c>
      <x:c r="J132" s="35" t="str">
        <x:v>PVLA-CT-NOV-07</x:v>
      </x:c>
      <x:c r="K132" s="35" t="str"/>
      <x:c r="L132" s="31" t="str">
        <x:v>Make the bowl contain exactly zero objects.</x:v>
      </x:c>
      <x:c r="M132" s="31" t="str">
        <x:v>Make the bowl contain exactly zero objects.</x:v>
      </x:c>
      <x:c r="N132" s="31" t="str">
        <x:v>C-N17: bowl=[green pencil sharpener] (1); table left→right=[airplane toy without propellers, blue pen, yellow block]; robot home.</x:v>
      </x:c>
      <x:c r="O132" s="31" t="str"/>
      <x:c r="P132" s="31" t="str"/>
      <x:c r="Q132" s="31" t="str"/>
      <x:c r="R132" s="31" t="str"/>
      <x:c r="S132" s="31" t="str">
        <x:f>IF('Blind Scoring'!I132="","",'Blind Scoring'!I132)</x:f>
      </x:c>
      <x:c r="T132" s="31" t="str">
        <x:f>'Blind Scoring'!J132</x:f>
        <x:v>No</x:v>
      </x:c>
      <x:c r="U132" s="31" t="str">
        <x:f>IF('Blind Scoring'!L132="","",'Blind Scoring'!L132)</x:f>
      </x:c>
    </x:row>
    <x:row r="133" ht="44" customHeight="1">
      <x:c r="A133" s="35" t="str">
        <x:v>Not Started</x:v>
      </x:c>
      <x:c r="B133" s="35" t="n">
        <x:v>131</x:v>
      </x:c>
      <x:c r="C133" s="35" t="str">
        <x:v>P03</x:v>
      </x:c>
      <x:c r="D133" s="35" t="n">
        <x:v>8</x:v>
      </x:c>
      <x:c r="E133" s="35" t="str">
        <x:v>Primary VLA</x:v>
      </x:c>
      <x:c r="F133" s="35" t="str">
        <x:v>π0.5</x:v>
      </x:c>
      <x:c r="G133" s="35" t="n">
        <x:v>1</x:v>
      </x:c>
      <x:c r="H133" s="35" t="str">
        <x:v>Counting</x:v>
      </x:c>
      <x:c r="I133" s="35" t="str">
        <x:v>Training reconstruction</x:v>
      </x:c>
      <x:c r="J133" s="35" t="str">
        <x:v>PVLA-CT-REC-05</x:v>
      </x:c>
      <x:c r="K133" s="35" t="str"/>
      <x:c r="L133" s="31" t="str">
        <x:v>Remove the yellow block from the bowl.</x:v>
      </x:c>
      <x:c r="M133" s="31" t="str">
        <x:v>Remove the yellow block from the bowl.</x:v>
      </x:c>
      <x:c r="N133" s="31" t="str">
        <x:v>Reconstruct planned final training episode 896: yellow block, green pencil sharpener, airplane toy without propellers, blue pen; start=Post-Drop. Match camera, calibration, bowl pose, and object geometry exactly.</x:v>
      </x:c>
      <x:c r="O133" s="31" t="str">
        <x:v>yellow block</x:v>
      </x:c>
      <x:c r="P133" s="31" t="str"/>
      <x:c r="Q133" s="31" t="str"/>
      <x:c r="R133" s="31" t="str"/>
      <x:c r="S133" s="31" t="str">
        <x:f>IF('Blind Scoring'!I133="","",'Blind Scoring'!I133)</x:f>
      </x:c>
      <x:c r="T133" s="31" t="str">
        <x:f>'Blind Scoring'!J133</x:f>
        <x:v>No</x:v>
      </x:c>
      <x:c r="U133" s="31" t="str">
        <x:f>IF('Blind Scoring'!L133="","",'Blind Scoring'!L133)</x:f>
      </x:c>
    </x:row>
    <x:row r="134" ht="44" customHeight="1">
      <x:c r="A134" s="35" t="str">
        <x:v>Not Started</x:v>
      </x:c>
      <x:c r="B134" s="35" t="n">
        <x:v>132</x:v>
      </x:c>
      <x:c r="C134" s="35" t="str">
        <x:v>P03</x:v>
      </x:c>
      <x:c r="D134" s="35" t="n">
        <x:v>9</x:v>
      </x:c>
      <x:c r="E134" s="35" t="str">
        <x:v>Primary VLA</x:v>
      </x:c>
      <x:c r="F134" s="35" t="str">
        <x:v>π0.5</x:v>
      </x:c>
      <x:c r="G134" s="35" t="n">
        <x:v>1</x:v>
      </x:c>
      <x:c r="H134" s="35" t="str">
        <x:v>Counting</x:v>
      </x:c>
      <x:c r="I134" s="35" t="str">
        <x:v>Main held-out transfer</x:v>
      </x:c>
      <x:c r="J134" s="35" t="str">
        <x:v>PVLA-CT-TR-05</x:v>
      </x:c>
      <x:c r="K134" s="35" t="str">
        <x:v>C-CF04-A</x:v>
      </x:c>
      <x:c r="L134" s="31" t="str">
        <x:v>Leave exactly one object in the bowl.</x:v>
      </x:c>
      <x:c r="M134" s="31" t="str">
        <x:v>Leave exactly one object in the bowl.</x:v>
      </x:c>
      <x:c r="N134" s="31" t="str">
        <x:v>C-CF04A: bowl=[airplane toy without propellers, blue pen] (2); table=[yellow block, green pencil sharpener]; robot home; acceptable action=remove either bowl object.</x:v>
      </x:c>
      <x:c r="O134" s="31" t="str">
        <x:v>REMOVE one bowl object</x:v>
      </x:c>
      <x:c r="P134" s="31" t="str"/>
      <x:c r="Q134" s="31" t="str"/>
      <x:c r="R134" s="31" t="str"/>
      <x:c r="S134" s="31" t="str">
        <x:f>IF('Blind Scoring'!I134="","",'Blind Scoring'!I134)</x:f>
      </x:c>
      <x:c r="T134" s="31" t="str">
        <x:f>'Blind Scoring'!J134</x:f>
        <x:v>No</x:v>
      </x:c>
      <x:c r="U134" s="31" t="str">
        <x:f>IF('Blind Scoring'!L134="","",'Blind Scoring'!L134)</x:f>
      </x:c>
    </x:row>
    <x:row r="135" ht="44" customHeight="1">
      <x:c r="A135" s="35" t="str">
        <x:v>Not Started</x:v>
      </x:c>
      <x:c r="B135" s="35" t="n">
        <x:v>133</x:v>
      </x:c>
      <x:c r="C135" s="35" t="str">
        <x:v>P03</x:v>
      </x:c>
      <x:c r="D135" s="35" t="n">
        <x:v>10</x:v>
      </x:c>
      <x:c r="E135" s="35" t="str">
        <x:v>Primary VLA</x:v>
      </x:c>
      <x:c r="F135" s="35" t="str">
        <x:v>π0.5</x:v>
      </x:c>
      <x:c r="G135" s="35" t="n">
        <x:v>1</x:v>
      </x:c>
      <x:c r="H135" s="35" t="str">
        <x:v>Counting</x:v>
      </x:c>
      <x:c r="I135" s="35" t="str">
        <x:v>Exact-scene paraphrase</x:v>
      </x:c>
      <x:c r="J135" s="35" t="str">
        <x:v>PVLA-CT-PAR-04</x:v>
      </x:c>
      <x:c r="K135" s="35" t="str"/>
      <x:c r="L135" s="31" t="str">
        <x:v>Finish with two objects in the bowl.</x:v>
      </x:c>
      <x:c r="M135" s="31" t="str">
        <x:v>Finish with two objects in the bowl.</x:v>
      </x:c>
      <x:c r="N135" s="31" t="str">
        <x:v>C-N01: bowl=[blue pen] (1); table left→right=[yellow block, green pencil sharpener, airplane toy without propellers]; robot home.</x:v>
      </x:c>
      <x:c r="O135" s="31" t="str"/>
      <x:c r="P135" s="31" t="str"/>
      <x:c r="Q135" s="31" t="str"/>
      <x:c r="R135" s="31" t="str"/>
      <x:c r="S135" s="31" t="str">
        <x:f>IF('Blind Scoring'!I135="","",'Blind Scoring'!I135)</x:f>
      </x:c>
      <x:c r="T135" s="31" t="str">
        <x:f>'Blind Scoring'!J135</x:f>
        <x:v>No</x:v>
      </x:c>
      <x:c r="U135" s="31" t="str">
        <x:f>IF('Blind Scoring'!L135="","",'Blind Scoring'!L135)</x:f>
      </x:c>
    </x:row>
    <x:row r="136" ht="44" customHeight="1">
      <x:c r="A136" s="35" t="str">
        <x:v>Not Started</x:v>
      </x:c>
      <x:c r="B136" s="35" t="n">
        <x:v>134</x:v>
      </x:c>
      <x:c r="C136" s="35" t="str">
        <x:v>P03</x:v>
      </x:c>
      <x:c r="D136" s="35" t="n">
        <x:v>11</x:v>
      </x:c>
      <x:c r="E136" s="35" t="str">
        <x:v>Primary VLA</x:v>
      </x:c>
      <x:c r="F136" s="35" t="str">
        <x:v>π0.5</x:v>
      </x:c>
      <x:c r="G136" s="35" t="n">
        <x:v>1</x:v>
      </x:c>
      <x:c r="H136" s="35" t="str">
        <x:v>Counting</x:v>
      </x:c>
      <x:c r="I136" s="35" t="str">
        <x:v>Language ablation — blank</x:v>
      </x:c>
      <x:c r="J136" s="35" t="str">
        <x:v>PVLA-CT-ABL-BLK-04</x:v>
      </x:c>
      <x:c r="K136" s="35" t="str">
        <x:v>C-CF03-B</x:v>
      </x:c>
      <x:c r="L136" s="31" t="str">
        <x:v>[EMPTY STRING — provide no instruction tokens]</x:v>
      </x:c>
      <x:c r="M136" s="31" t="str">
        <x:v>Leave exactly three objects in the bowl.</x:v>
      </x:c>
      <x:c r="N136" s="31" t="str">
        <x:v>C-CF03B: bowl=[green pencil sharpener, airplane toy without propellers] (2); table=[blue pen, yellow block]; robot home; acceptable action=add either table object.</x:v>
      </x:c>
      <x:c r="O136" s="31" t="str">
        <x:v>No prespecified task success under blank language; record any action/selected target.</x:v>
      </x:c>
      <x:c r="P136" s="31" t="str"/>
      <x:c r="Q136" s="31" t="str"/>
      <x:c r="R136" s="31" t="str"/>
      <x:c r="S136" s="31" t="str">
        <x:f>IF('Blind Scoring'!I136="","",'Blind Scoring'!I136)</x:f>
      </x:c>
      <x:c r="T136" s="31" t="str">
        <x:f>'Blind Scoring'!J136</x:f>
        <x:v>No</x:v>
      </x:c>
      <x:c r="U136" s="31" t="str">
        <x:f>IF('Blind Scoring'!L136="","",'Blind Scoring'!L136)</x:f>
      </x:c>
    </x:row>
    <x:row r="137" ht="44" customHeight="1">
      <x:c r="A137" s="35" t="str">
        <x:v>Not Started</x:v>
      </x:c>
      <x:c r="B137" s="35" t="n">
        <x:v>135</x:v>
      </x:c>
      <x:c r="C137" s="35" t="str">
        <x:v>P03</x:v>
      </x:c>
      <x:c r="D137" s="35" t="n">
        <x:v>12</x:v>
      </x:c>
      <x:c r="E137" s="35" t="str">
        <x:v>Primary VLA</x:v>
      </x:c>
      <x:c r="F137" s="35" t="str">
        <x:v>π0.5</x:v>
      </x:c>
      <x:c r="G137" s="35" t="n">
        <x:v>1</x:v>
      </x:c>
      <x:c r="H137" s="35" t="str">
        <x:v>Counting</x:v>
      </x:c>
      <x:c r="I137" s="35" t="str">
        <x:v>Main matched control</x:v>
      </x:c>
      <x:c r="J137" s="35" t="str">
        <x:v>PVLA-CT-CTL-01</x:v>
      </x:c>
      <x:c r="K137" s="35" t="str">
        <x:v>C-CF01-A</x:v>
      </x:c>
      <x:c r="L137" s="31" t="str">
        <x:v>Remove the blue pen from the bowl.</x:v>
      </x:c>
      <x:c r="M137" s="31" t="str">
        <x:v>Remove the blue pen from the bowl.</x:v>
      </x:c>
      <x:c r="N137" s="31" t="str">
        <x:v>C-CF01-CA: bowl=[blue pen, yellow block] (2); table=[green pencil sharpener, airplane toy without propellers]; robot home; acceptable action=remove either bowl object.</x:v>
      </x:c>
      <x:c r="O137" s="31" t="str">
        <x:v>REMOVE blue pen</x:v>
      </x:c>
      <x:c r="P137" s="31" t="str"/>
      <x:c r="Q137" s="31" t="str"/>
      <x:c r="R137" s="31" t="str"/>
      <x:c r="S137" s="31" t="str">
        <x:f>IF('Blind Scoring'!I137="","",'Blind Scoring'!I137)</x:f>
      </x:c>
      <x:c r="T137" s="31" t="str">
        <x:f>'Blind Scoring'!J137</x:f>
        <x:v>No</x:v>
      </x:c>
      <x:c r="U137" s="31" t="str">
        <x:f>IF('Blind Scoring'!L137="","",'Blind Scoring'!L137)</x:f>
      </x:c>
    </x:row>
    <x:row r="138" ht="44" customHeight="1">
      <x:c r="A138" s="35" t="str">
        <x:v>Not Started</x:v>
      </x:c>
      <x:c r="B138" s="35" t="n">
        <x:v>136</x:v>
      </x:c>
      <x:c r="C138" s="35" t="str">
        <x:v>P03</x:v>
      </x:c>
      <x:c r="D138" s="35" t="n">
        <x:v>13</x:v>
      </x:c>
      <x:c r="E138" s="35" t="str">
        <x:v>Primary VLA</x:v>
      </x:c>
      <x:c r="F138" s="35" t="str">
        <x:v>π0.5</x:v>
      </x:c>
      <x:c r="G138" s="35" t="n">
        <x:v>1</x:v>
      </x:c>
      <x:c r="H138" s="35" t="str">
        <x:v>Counting</x:v>
      </x:c>
      <x:c r="I138" s="35" t="str">
        <x:v>Main held-out transfer</x:v>
      </x:c>
      <x:c r="J138" s="35" t="str">
        <x:v>PVLA-CT-TR-02</x:v>
      </x:c>
      <x:c r="K138" s="35" t="str">
        <x:v>C-CF01-B</x:v>
      </x:c>
      <x:c r="L138" s="31" t="str">
        <x:v>Leave exactly three objects in the bowl.</x:v>
      </x:c>
      <x:c r="M138" s="31" t="str">
        <x:v>Leave exactly three objects in the bowl.</x:v>
      </x:c>
      <x:c r="N138" s="31" t="str">
        <x:v>C-CF01B: bowl=[blue pen, yellow block] (2); table=[green pencil sharpener, airplane toy without propellers]; robot home; acceptable action=add either table object.</x:v>
      </x:c>
      <x:c r="O138" s="31" t="str">
        <x:v>ADD one table object</x:v>
      </x:c>
      <x:c r="P138" s="31" t="str"/>
      <x:c r="Q138" s="31" t="str"/>
      <x:c r="R138" s="31" t="str"/>
      <x:c r="S138" s="31" t="str">
        <x:f>IF('Blind Scoring'!I138="","",'Blind Scoring'!I138)</x:f>
      </x:c>
      <x:c r="T138" s="31" t="str">
        <x:f>'Blind Scoring'!J138</x:f>
        <x:v>No</x:v>
      </x:c>
      <x:c r="U138" s="31" t="str">
        <x:f>IF('Blind Scoring'!L138="","",'Blind Scoring'!L138)</x:f>
      </x:c>
    </x:row>
    <x:row r="139" ht="44" customHeight="1">
      <x:c r="A139" s="35" t="str">
        <x:v>Not Started</x:v>
      </x:c>
      <x:c r="B139" s="35" t="n">
        <x:v>137</x:v>
      </x:c>
      <x:c r="C139" s="35" t="str">
        <x:v>P03</x:v>
      </x:c>
      <x:c r="D139" s="35" t="n">
        <x:v>14</x:v>
      </x:c>
      <x:c r="E139" s="35" t="str">
        <x:v>Primary VLA</x:v>
      </x:c>
      <x:c r="F139" s="35" t="str">
        <x:v>π0.5</x:v>
      </x:c>
      <x:c r="G139" s="35" t="n">
        <x:v>1</x:v>
      </x:c>
      <x:c r="H139" s="35" t="str">
        <x:v>Counting</x:v>
      </x:c>
      <x:c r="I139" s="35" t="str">
        <x:v>Novel layout + seen language</x:v>
      </x:c>
      <x:c r="J139" s="35" t="str">
        <x:v>PVLA-CT-NOV-05</x:v>
      </x:c>
      <x:c r="K139" s="35" t="str"/>
      <x:c r="L139" s="31" t="str">
        <x:v>Adjust the bowl so that it contains zero objects.</x:v>
      </x:c>
      <x:c r="M139" s="31" t="str">
        <x:v>Adjust the bowl so that it contains zero objects.</x:v>
      </x:c>
      <x:c r="N139" s="31" t="str">
        <x:v>C-N12: bowl=[yellow block] (1); table left→right=[green pencil sharpener, airplane toy without propellers, blue pen]; robot home.</x:v>
      </x:c>
      <x:c r="O139" s="31" t="str"/>
      <x:c r="P139" s="31" t="str"/>
      <x:c r="Q139" s="31" t="str"/>
      <x:c r="R139" s="31" t="str"/>
      <x:c r="S139" s="31" t="str">
        <x:f>IF('Blind Scoring'!I139="","",'Blind Scoring'!I139)</x:f>
      </x:c>
      <x:c r="T139" s="31" t="str">
        <x:f>'Blind Scoring'!J139</x:f>
        <x:v>No</x:v>
      </x:c>
      <x:c r="U139" s="31" t="str">
        <x:f>IF('Blind Scoring'!L139="","",'Blind Scoring'!L139)</x:f>
      </x:c>
    </x:row>
    <x:row r="140" ht="44" customHeight="1">
      <x:c r="A140" s="35" t="str">
        <x:v>Not Started</x:v>
      </x:c>
      <x:c r="B140" s="35" t="n">
        <x:v>138</x:v>
      </x:c>
      <x:c r="C140" s="35" t="str">
        <x:v>P03</x:v>
      </x:c>
      <x:c r="D140" s="35" t="n">
        <x:v>15</x:v>
      </x:c>
      <x:c r="E140" s="35" t="str">
        <x:v>Primary VLA</x:v>
      </x:c>
      <x:c r="F140" s="35" t="str">
        <x:v>π0.5</x:v>
      </x:c>
      <x:c r="G140" s="35" t="n">
        <x:v>1</x:v>
      </x:c>
      <x:c r="H140" s="35" t="str">
        <x:v>Counting</x:v>
      </x:c>
      <x:c r="I140" s="35" t="str">
        <x:v>Language ablation — blank</x:v>
      </x:c>
      <x:c r="J140" s="35" t="str">
        <x:v>PVLA-CT-ABL-BLK-03</x:v>
      </x:c>
      <x:c r="K140" s="35" t="str">
        <x:v>C-CF03-A</x:v>
      </x:c>
      <x:c r="L140" s="31" t="str">
        <x:v>[EMPTY STRING — provide no instruction tokens]</x:v>
      </x:c>
      <x:c r="M140" s="31" t="str">
        <x:v>Leave exactly one object in the bowl.</x:v>
      </x:c>
      <x:c r="N140" s="31" t="str">
        <x:v>C-CF03A: bowl=[green pencil sharpener, airplane toy without propellers] (2); table=[blue pen, yellow block]; robot home; acceptable action=remove either bowl object.</x:v>
      </x:c>
      <x:c r="O140" s="31" t="str">
        <x:v>No prespecified task success under blank language; record any action/selected target.</x:v>
      </x:c>
      <x:c r="P140" s="31" t="str"/>
      <x:c r="Q140" s="31" t="str"/>
      <x:c r="R140" s="31" t="str"/>
      <x:c r="S140" s="31" t="str">
        <x:f>IF('Blind Scoring'!I140="","",'Blind Scoring'!I140)</x:f>
      </x:c>
      <x:c r="T140" s="31" t="str">
        <x:f>'Blind Scoring'!J140</x:f>
        <x:v>No</x:v>
      </x:c>
      <x:c r="U140" s="31" t="str">
        <x:f>IF('Blind Scoring'!L140="","",'Blind Scoring'!L140)</x:f>
      </x:c>
    </x:row>
    <x:row r="141" ht="44" customHeight="1">
      <x:c r="A141" s="35" t="str">
        <x:v>Not Started</x:v>
      </x:c>
      <x:c r="B141" s="35" t="n">
        <x:v>139</x:v>
      </x:c>
      <x:c r="C141" s="35" t="str">
        <x:v>P03</x:v>
      </x:c>
      <x:c r="D141" s="35" t="n">
        <x:v>16</x:v>
      </x:c>
      <x:c r="E141" s="35" t="str">
        <x:v>Primary VLA</x:v>
      </x:c>
      <x:c r="F141" s="35" t="str">
        <x:v>π0.5</x:v>
      </x:c>
      <x:c r="G141" s="35" t="n">
        <x:v>1</x:v>
      </x:c>
      <x:c r="H141" s="35" t="str">
        <x:v>Counting</x:v>
      </x:c>
      <x:c r="I141" s="35" t="str">
        <x:v>Main matched control</x:v>
      </x:c>
      <x:c r="J141" s="35" t="str">
        <x:v>PVLA-CT-CTL-16</x:v>
      </x:c>
      <x:c r="K141" s="35" t="str">
        <x:v>C-CF12-B</x:v>
      </x:c>
      <x:c r="L141" s="31" t="str">
        <x:v>Put the yellow block in the bowl.</x:v>
      </x:c>
      <x:c r="M141" s="31" t="str">
        <x:v>Put the yellow block in the bowl.</x:v>
      </x:c>
      <x:c r="N141" s="31" t="str">
        <x:v>C-CF12-CB: bowl=[airplane toy without propellers, blue pen] (2); table=[yellow block, green pencil sharpener]; robot home; acceptable action=add either table object.</x:v>
      </x:c>
      <x:c r="O141" s="31" t="str">
        <x:v>ADD yellow block</x:v>
      </x:c>
      <x:c r="P141" s="31" t="str"/>
      <x:c r="Q141" s="31" t="str"/>
      <x:c r="R141" s="31" t="str"/>
      <x:c r="S141" s="31" t="str">
        <x:f>IF('Blind Scoring'!I141="","",'Blind Scoring'!I141)</x:f>
      </x:c>
      <x:c r="T141" s="31" t="str">
        <x:f>'Blind Scoring'!J141</x:f>
        <x:v>No</x:v>
      </x:c>
      <x:c r="U141" s="31" t="str">
        <x:f>IF('Blind Scoring'!L141="","",'Blind Scoring'!L141)</x:f>
      </x:c>
    </x:row>
    <x:row r="142" ht="44" customHeight="1">
      <x:c r="A142" s="35" t="str">
        <x:v>Not Started</x:v>
      </x:c>
      <x:c r="B142" s="35" t="n">
        <x:v>140</x:v>
      </x:c>
      <x:c r="C142" s="35" t="str">
        <x:v>P03</x:v>
      </x:c>
      <x:c r="D142" s="35" t="n">
        <x:v>17</x:v>
      </x:c>
      <x:c r="E142" s="35" t="str">
        <x:v>Primary VLA</x:v>
      </x:c>
      <x:c r="F142" s="35" t="str">
        <x:v>π0.5</x:v>
      </x:c>
      <x:c r="G142" s="35" t="n">
        <x:v>1</x:v>
      </x:c>
      <x:c r="H142" s="35" t="str">
        <x:v>Counting</x:v>
      </x:c>
      <x:c r="I142" s="35" t="str">
        <x:v>Training reconstruction</x:v>
      </x:c>
      <x:c r="J142" s="35" t="str">
        <x:v>PVLA-CT-REC-06</x:v>
      </x:c>
      <x:c r="K142" s="35" t="str"/>
      <x:c r="L142" s="31" t="str">
        <x:v>Move the airplane toy without propellers into the bowl.</x:v>
      </x:c>
      <x:c r="M142" s="31" t="str">
        <x:v>Move the airplane toy without propellers into the bowl.</x:v>
      </x:c>
      <x:c r="N142" s="31" t="str">
        <x:v>Reconstruct planned final training episode 950: airplane toy without propellers, blue pen, yellow block, green pencil sharpener; start=Home. Match camera, calibration, bowl pose, and object geometry exactly.</x:v>
      </x:c>
      <x:c r="O142" s="31" t="str">
        <x:v>airplane toy without propellers</x:v>
      </x:c>
      <x:c r="P142" s="31" t="str"/>
      <x:c r="Q142" s="31" t="str"/>
      <x:c r="R142" s="31" t="str"/>
      <x:c r="S142" s="31" t="str">
        <x:f>IF('Blind Scoring'!I142="","",'Blind Scoring'!I142)</x:f>
      </x:c>
      <x:c r="T142" s="31" t="str">
        <x:f>'Blind Scoring'!J142</x:f>
        <x:v>No</x:v>
      </x:c>
      <x:c r="U142" s="31" t="str">
        <x:f>IF('Blind Scoring'!L142="","",'Blind Scoring'!L142)</x:f>
      </x:c>
    </x:row>
    <x:row r="143" ht="44" customHeight="1">
      <x:c r="A143" s="35" t="str">
        <x:v>Not Started</x:v>
      </x:c>
      <x:c r="B143" s="35" t="n">
        <x:v>141</x:v>
      </x:c>
      <x:c r="C143" s="35" t="str">
        <x:v>P03</x:v>
      </x:c>
      <x:c r="D143" s="35" t="n">
        <x:v>18</x:v>
      </x:c>
      <x:c r="E143" s="35" t="str">
        <x:v>Primary VLA</x:v>
      </x:c>
      <x:c r="F143" s="35" t="str">
        <x:v>π0.5</x:v>
      </x:c>
      <x:c r="G143" s="35" t="n">
        <x:v>1</x:v>
      </x:c>
      <x:c r="H143" s="35" t="str">
        <x:v>Counting</x:v>
      </x:c>
      <x:c r="I143" s="35" t="str">
        <x:v>Main held-out transfer</x:v>
      </x:c>
      <x:c r="J143" s="35" t="str">
        <x:v>PVLA-CT-TR-04</x:v>
      </x:c>
      <x:c r="K143" s="35" t="str">
        <x:v>C-CF03-B</x:v>
      </x:c>
      <x:c r="L143" s="31" t="str">
        <x:v>Leave exactly three objects in the bowl.</x:v>
      </x:c>
      <x:c r="M143" s="31" t="str">
        <x:v>Leave exactly three objects in the bowl.</x:v>
      </x:c>
      <x:c r="N143" s="31" t="str">
        <x:v>C-CF03B: bowl=[green pencil sharpener, airplane toy without propellers] (2); table=[blue pen, yellow block]; robot home; acceptable action=add either table object.</x:v>
      </x:c>
      <x:c r="O143" s="31" t="str">
        <x:v>ADD one table object</x:v>
      </x:c>
      <x:c r="P143" s="31" t="str"/>
      <x:c r="Q143" s="31" t="str"/>
      <x:c r="R143" s="31" t="str"/>
      <x:c r="S143" s="31" t="str">
        <x:f>IF('Blind Scoring'!I143="","",'Blind Scoring'!I143)</x:f>
      </x:c>
      <x:c r="T143" s="31" t="str">
        <x:f>'Blind Scoring'!J143</x:f>
        <x:v>No</x:v>
      </x:c>
      <x:c r="U143" s="31" t="str">
        <x:f>IF('Blind Scoring'!L143="","",'Blind Scoring'!L143)</x:f>
      </x:c>
    </x:row>
    <x:row r="144" ht="44" customHeight="1">
      <x:c r="A144" s="35" t="str">
        <x:v>Not Started</x:v>
      </x:c>
      <x:c r="B144" s="35" t="n">
        <x:v>142</x:v>
      </x:c>
      <x:c r="C144" s="35" t="str">
        <x:v>P03</x:v>
      </x:c>
      <x:c r="D144" s="35" t="n">
        <x:v>19</x:v>
      </x:c>
      <x:c r="E144" s="35" t="str">
        <x:v>Primary VLA</x:v>
      </x:c>
      <x:c r="F144" s="35" t="str">
        <x:v>π0.5</x:v>
      </x:c>
      <x:c r="G144" s="35" t="n">
        <x:v>1</x:v>
      </x:c>
      <x:c r="H144" s="35" t="str">
        <x:v>Counting</x:v>
      </x:c>
      <x:c r="I144" s="35" t="str">
        <x:v>Language ablation — counterfactual</x:v>
      </x:c>
      <x:c r="J144" s="35" t="str">
        <x:v>PVLA-CT-ABL-CF-04</x:v>
      </x:c>
      <x:c r="K144" s="35" t="str">
        <x:v>C-CF06-B</x:v>
      </x:c>
      <x:c r="L144" s="31" t="str">
        <x:v>Leave exactly one object in the bowl.</x:v>
      </x:c>
      <x:c r="M144" s="31" t="str">
        <x:v>Leave exactly one object in the bowl.</x:v>
      </x:c>
      <x:c r="N144" s="31" t="str">
        <x:v>C-CF06B: bowl=[yellow block, green pencil sharpener] (2); table=[airplane toy without propellers, blue pen]; robot home; acceptable action=add either table object.</x:v>
      </x:c>
      <x:c r="O144" s="31" t="str">
        <x:v>REMOVE one bowl object</x:v>
      </x:c>
      <x:c r="P144" s="31" t="str"/>
      <x:c r="Q144" s="31" t="str"/>
      <x:c r="R144" s="31" t="str"/>
      <x:c r="S144" s="31" t="str">
        <x:f>IF('Blind Scoring'!I144="","",'Blind Scoring'!I144)</x:f>
      </x:c>
      <x:c r="T144" s="31" t="str">
        <x:f>'Blind Scoring'!J144</x:f>
        <x:v>No</x:v>
      </x:c>
      <x:c r="U144" s="31" t="str">
        <x:f>IF('Blind Scoring'!L144="","",'Blind Scoring'!L144)</x:f>
      </x:c>
    </x:row>
    <x:row r="145" ht="44" customHeight="1">
      <x:c r="A145" s="35" t="str">
        <x:v>Not Started</x:v>
      </x:c>
      <x:c r="B145" s="35" t="n">
        <x:v>143</x:v>
      </x:c>
      <x:c r="C145" s="35" t="str">
        <x:v>P03</x:v>
      </x:c>
      <x:c r="D145" s="35" t="n">
        <x:v>20</x:v>
      </x:c>
      <x:c r="E145" s="35" t="str">
        <x:v>Primary VLA</x:v>
      </x:c>
      <x:c r="F145" s="35" t="str">
        <x:v>π0.5</x:v>
      </x:c>
      <x:c r="G145" s="35" t="n">
        <x:v>1</x:v>
      </x:c>
      <x:c r="H145" s="35" t="str">
        <x:v>Counting</x:v>
      </x:c>
      <x:c r="I145" s="35" t="str">
        <x:v>Main held-out transfer</x:v>
      </x:c>
      <x:c r="J145" s="35" t="str">
        <x:v>PVLA-CT-TR-07</x:v>
      </x:c>
      <x:c r="K145" s="35" t="str">
        <x:v>C-CF06-A</x:v>
      </x:c>
      <x:c r="L145" s="31" t="str">
        <x:v>Leave exactly one object in the bowl.</x:v>
      </x:c>
      <x:c r="M145" s="31" t="str">
        <x:v>Leave exactly one object in the bowl.</x:v>
      </x:c>
      <x:c r="N145" s="31" t="str">
        <x:v>C-CF06A: bowl=[yellow block, green pencil sharpener] (2); table=[airplane toy without propellers, blue pen]; robot home; acceptable action=remove either bowl object.</x:v>
      </x:c>
      <x:c r="O145" s="31" t="str">
        <x:v>REMOVE one bowl object</x:v>
      </x:c>
      <x:c r="P145" s="31" t="str"/>
      <x:c r="Q145" s="31" t="str"/>
      <x:c r="R145" s="31" t="str"/>
      <x:c r="S145" s="31" t="str">
        <x:f>IF('Blind Scoring'!I145="","",'Blind Scoring'!I145)</x:f>
      </x:c>
      <x:c r="T145" s="31" t="str">
        <x:f>'Blind Scoring'!J145</x:f>
        <x:v>No</x:v>
      </x:c>
      <x:c r="U145" s="31" t="str">
        <x:f>IF('Blind Scoring'!L145="","",'Blind Scoring'!L145)</x:f>
      </x:c>
    </x:row>
    <x:row r="146" ht="44" customHeight="1">
      <x:c r="A146" s="35" t="str">
        <x:v>Not Started</x:v>
      </x:c>
      <x:c r="B146" s="35" t="n">
        <x:v>144</x:v>
      </x:c>
      <x:c r="C146" s="35" t="str">
        <x:v>P03</x:v>
      </x:c>
      <x:c r="D146" s="35" t="n">
        <x:v>21</x:v>
      </x:c>
      <x:c r="E146" s="35" t="str">
        <x:v>Primary VLA</x:v>
      </x:c>
      <x:c r="F146" s="35" t="str">
        <x:v>π0.5</x:v>
      </x:c>
      <x:c r="G146" s="35" t="n">
        <x:v>1</x:v>
      </x:c>
      <x:c r="H146" s="35" t="str">
        <x:v>Counting</x:v>
      </x:c>
      <x:c r="I146" s="35" t="str">
        <x:v>Novel layout + seen language</x:v>
      </x:c>
      <x:c r="J146" s="35" t="str">
        <x:v>PVLA-CT-NOV-06</x:v>
      </x:c>
      <x:c r="K146" s="35" t="str"/>
      <x:c r="L146" s="31" t="str">
        <x:v>Adjust the bowl so that it contains zero objects.</x:v>
      </x:c>
      <x:c r="M146" s="31" t="str">
        <x:v>Adjust the bowl so that it contains zero objects.</x:v>
      </x:c>
      <x:c r="N146" s="31" t="str">
        <x:v>C-N15: bowl=[blue pen] (1); table left→right=[yellow block, green pencil sharpener, airplane toy without propellers]; robot home.</x:v>
      </x:c>
      <x:c r="O146" s="31" t="str"/>
      <x:c r="P146" s="31" t="str"/>
      <x:c r="Q146" s="31" t="str"/>
      <x:c r="R146" s="31" t="str"/>
      <x:c r="S146" s="31" t="str">
        <x:f>IF('Blind Scoring'!I146="","",'Blind Scoring'!I146)</x:f>
      </x:c>
      <x:c r="T146" s="31" t="str">
        <x:f>'Blind Scoring'!J146</x:f>
        <x:v>No</x:v>
      </x:c>
      <x:c r="U146" s="31" t="str">
        <x:f>IF('Blind Scoring'!L146="","",'Blind Scoring'!L146)</x:f>
      </x:c>
    </x:row>
    <x:row r="147" ht="44" customHeight="1">
      <x:c r="A147" s="35" t="str">
        <x:v>Not Started</x:v>
      </x:c>
      <x:c r="B147" s="35" t="n">
        <x:v>145</x:v>
      </x:c>
      <x:c r="C147" s="35" t="str">
        <x:v>P03</x:v>
      </x:c>
      <x:c r="D147" s="35" t="n">
        <x:v>22</x:v>
      </x:c>
      <x:c r="E147" s="35" t="str">
        <x:v>Primary VLA</x:v>
      </x:c>
      <x:c r="F147" s="35" t="str">
        <x:v>π0.5</x:v>
      </x:c>
      <x:c r="G147" s="35" t="n">
        <x:v>1</x:v>
      </x:c>
      <x:c r="H147" s="35" t="str">
        <x:v>Counting</x:v>
      </x:c>
      <x:c r="I147" s="35" t="str">
        <x:v>Main held-out transfer</x:v>
      </x:c>
      <x:c r="J147" s="35" t="str">
        <x:v>PVLA-CT-TR-13</x:v>
      </x:c>
      <x:c r="K147" s="35" t="str">
        <x:v>C-CF10-A</x:v>
      </x:c>
      <x:c r="L147" s="31" t="str">
        <x:v>Leave exactly one object in the bowl.</x:v>
      </x:c>
      <x:c r="M147" s="31" t="str">
        <x:v>Leave exactly one object in the bowl.</x:v>
      </x:c>
      <x:c r="N147" s="31" t="str">
        <x:v>C-CF10A: bowl=[yellow block, green pencil sharpener] (2); table=[airplane toy without propellers, blue pen]; robot home; acceptable action=remove either bowl object.</x:v>
      </x:c>
      <x:c r="O147" s="31" t="str">
        <x:v>REMOVE one bowl object</x:v>
      </x:c>
      <x:c r="P147" s="31" t="str"/>
      <x:c r="Q147" s="31" t="str"/>
      <x:c r="R147" s="31" t="str"/>
      <x:c r="S147" s="31" t="str">
        <x:f>IF('Blind Scoring'!I147="","",'Blind Scoring'!I147)</x:f>
      </x:c>
      <x:c r="T147" s="31" t="str">
        <x:f>'Blind Scoring'!J147</x:f>
        <x:v>No</x:v>
      </x:c>
      <x:c r="U147" s="31" t="str">
        <x:f>IF('Blind Scoring'!L147="","",'Blind Scoring'!L147)</x:f>
      </x:c>
    </x:row>
    <x:row r="148" ht="44" customHeight="1">
      <x:c r="A148" s="35" t="str">
        <x:v>Not Started</x:v>
      </x:c>
      <x:c r="B148" s="35" t="n">
        <x:v>146</x:v>
      </x:c>
      <x:c r="C148" s="35" t="str">
        <x:v>P03</x:v>
      </x:c>
      <x:c r="D148" s="35" t="n">
        <x:v>23</x:v>
      </x:c>
      <x:c r="E148" s="35" t="str">
        <x:v>Primary VLA</x:v>
      </x:c>
      <x:c r="F148" s="35" t="str">
        <x:v>π0.5</x:v>
      </x:c>
      <x:c r="G148" s="35" t="n">
        <x:v>1</x:v>
      </x:c>
      <x:c r="H148" s="35" t="str">
        <x:v>Counting</x:v>
      </x:c>
      <x:c r="I148" s="35" t="str">
        <x:v>Main held-out transfer</x:v>
      </x:c>
      <x:c r="J148" s="35" t="str">
        <x:v>PVLA-CT-TR-06</x:v>
      </x:c>
      <x:c r="K148" s="35" t="str">
        <x:v>C-CF04-B</x:v>
      </x:c>
      <x:c r="L148" s="31" t="str">
        <x:v>Leave exactly three objects in the bowl.</x:v>
      </x:c>
      <x:c r="M148" s="31" t="str">
        <x:v>Leave exactly three objects in the bowl.</x:v>
      </x:c>
      <x:c r="N148" s="31" t="str">
        <x:v>C-CF04B: bowl=[airplane toy without propellers, blue pen] (2); table=[yellow block, green pencil sharpener]; robot home; acceptable action=add either table object.</x:v>
      </x:c>
      <x:c r="O148" s="31" t="str">
        <x:v>ADD one table object</x:v>
      </x:c>
      <x:c r="P148" s="31" t="str"/>
      <x:c r="Q148" s="31" t="str"/>
      <x:c r="R148" s="31" t="str"/>
      <x:c r="S148" s="31" t="str">
        <x:f>IF('Blind Scoring'!I148="","",'Blind Scoring'!I148)</x:f>
      </x:c>
      <x:c r="T148" s="31" t="str">
        <x:f>'Blind Scoring'!J148</x:f>
        <x:v>No</x:v>
      </x:c>
      <x:c r="U148" s="31" t="str">
        <x:f>IF('Blind Scoring'!L148="","",'Blind Scoring'!L148)</x:f>
      </x:c>
    </x:row>
    <x:row r="149" ht="44" customHeight="1">
      <x:c r="A149" s="35" t="str">
        <x:v>Not Started</x:v>
      </x:c>
      <x:c r="B149" s="35" t="n">
        <x:v>147</x:v>
      </x:c>
      <x:c r="C149" s="35" t="str">
        <x:v>P03</x:v>
      </x:c>
      <x:c r="D149" s="35" t="n">
        <x:v>24</x:v>
      </x:c>
      <x:c r="E149" s="35" t="str">
        <x:v>Primary VLA</x:v>
      </x:c>
      <x:c r="F149" s="35" t="str">
        <x:v>π0.5</x:v>
      </x:c>
      <x:c r="G149" s="35" t="n">
        <x:v>1</x:v>
      </x:c>
      <x:c r="H149" s="35" t="str">
        <x:v>Counting</x:v>
      </x:c>
      <x:c r="I149" s="35" t="str">
        <x:v>Main matched control</x:v>
      </x:c>
      <x:c r="J149" s="35" t="str">
        <x:v>PVLA-CT-CTL-12</x:v>
      </x:c>
      <x:c r="K149" s="35" t="str">
        <x:v>C-CF09-B</x:v>
      </x:c>
      <x:c r="L149" s="31" t="str">
        <x:v>Put the green pencil sharpener in the bowl.</x:v>
      </x:c>
      <x:c r="M149" s="31" t="str">
        <x:v>Put the green pencil sharpener in the bowl.</x:v>
      </x:c>
      <x:c r="N149" s="31" t="str">
        <x:v>C-CF09-CB: bowl=[blue pen, yellow block] (2); table=[green pencil sharpener, airplane toy without propellers]; robot home; acceptable action=add either table object.</x:v>
      </x:c>
      <x:c r="O149" s="31" t="str">
        <x:v>ADD green pencil sharpener</x:v>
      </x:c>
      <x:c r="P149" s="31" t="str"/>
      <x:c r="Q149" s="31" t="str"/>
      <x:c r="R149" s="31" t="str"/>
      <x:c r="S149" s="31" t="str">
        <x:f>IF('Blind Scoring'!I149="","",'Blind Scoring'!I149)</x:f>
      </x:c>
      <x:c r="T149" s="31" t="str">
        <x:f>'Blind Scoring'!J149</x:f>
        <x:v>No</x:v>
      </x:c>
      <x:c r="U149" s="31" t="str">
        <x:f>IF('Blind Scoring'!L149="","",'Blind Scoring'!L149)</x:f>
      </x:c>
    </x:row>
    <x:row r="150" ht="44" customHeight="1">
      <x:c r="A150" s="35" t="str">
        <x:v>Not Started</x:v>
      </x:c>
      <x:c r="B150" s="35" t="n">
        <x:v>148</x:v>
      </x:c>
      <x:c r="C150" s="35" t="str">
        <x:v>P03</x:v>
      </x:c>
      <x:c r="D150" s="35" t="n">
        <x:v>25</x:v>
      </x:c>
      <x:c r="E150" s="35" t="str">
        <x:v>Primary VLA</x:v>
      </x:c>
      <x:c r="F150" s="35" t="str">
        <x:v>π0.5</x:v>
      </x:c>
      <x:c r="G150" s="35" t="n">
        <x:v>1</x:v>
      </x:c>
      <x:c r="H150" s="35" t="str">
        <x:v>Counting</x:v>
      </x:c>
      <x:c r="I150" s="35" t="str">
        <x:v>Main held-out transfer</x:v>
      </x:c>
      <x:c r="J150" s="35" t="str">
        <x:v>PVLA-CT-TR-16</x:v>
      </x:c>
      <x:c r="K150" s="35" t="str">
        <x:v>C-CF12-B</x:v>
      </x:c>
      <x:c r="L150" s="31" t="str">
        <x:v>Leave exactly three objects in the bowl.</x:v>
      </x:c>
      <x:c r="M150" s="31" t="str">
        <x:v>Leave exactly three objects in the bowl.</x:v>
      </x:c>
      <x:c r="N150" s="31" t="str">
        <x:v>C-CF12B: bowl=[airplane toy without propellers, blue pen] (2); table=[yellow block, green pencil sharpener]; robot home; acceptable action=add either table object.</x:v>
      </x:c>
      <x:c r="O150" s="31" t="str">
        <x:v>ADD one table object</x:v>
      </x:c>
      <x:c r="P150" s="31" t="str"/>
      <x:c r="Q150" s="31" t="str"/>
      <x:c r="R150" s="31" t="str"/>
      <x:c r="S150" s="31" t="str">
        <x:f>IF('Blind Scoring'!I150="","",'Blind Scoring'!I150)</x:f>
      </x:c>
      <x:c r="T150" s="31" t="str">
        <x:f>'Blind Scoring'!J150</x:f>
        <x:v>No</x:v>
      </x:c>
      <x:c r="U150" s="31" t="str">
        <x:f>IF('Blind Scoring'!L150="","",'Blind Scoring'!L150)</x:f>
      </x:c>
    </x:row>
    <x:row r="151" ht="44" customHeight="1">
      <x:c r="A151" s="35" t="str">
        <x:v>Not Started</x:v>
      </x:c>
      <x:c r="B151" s="35" t="n">
        <x:v>149</x:v>
      </x:c>
      <x:c r="C151" s="35" t="str">
        <x:v>P03</x:v>
      </x:c>
      <x:c r="D151" s="35" t="n">
        <x:v>26</x:v>
      </x:c>
      <x:c r="E151" s="35" t="str">
        <x:v>Primary VLA</x:v>
      </x:c>
      <x:c r="F151" s="35" t="str">
        <x:v>π0.5</x:v>
      </x:c>
      <x:c r="G151" s="35" t="n">
        <x:v>1</x:v>
      </x:c>
      <x:c r="H151" s="35" t="str">
        <x:v>Counting</x:v>
      </x:c>
      <x:c r="I151" s="35" t="str">
        <x:v>Main matched control</x:v>
      </x:c>
      <x:c r="J151" s="35" t="str">
        <x:v>PVLA-CT-CTL-10</x:v>
      </x:c>
      <x:c r="K151" s="35" t="str">
        <x:v>C-CF07-B</x:v>
      </x:c>
      <x:c r="L151" s="31" t="str">
        <x:v>Put the blue pen in the bowl.</x:v>
      </x:c>
      <x:c r="M151" s="31" t="str">
        <x:v>Put the blue pen in the bowl.</x:v>
      </x:c>
      <x:c r="N151" s="31" t="str">
        <x:v>C-CF07-CB: bowl=[green pencil sharpener, airplane toy without propellers] (2); table=[blue pen, yellow block]; robot home; acceptable action=add either table object.</x:v>
      </x:c>
      <x:c r="O151" s="31" t="str">
        <x:v>ADD blue pen</x:v>
      </x:c>
      <x:c r="P151" s="31" t="str"/>
      <x:c r="Q151" s="31" t="str"/>
      <x:c r="R151" s="31" t="str"/>
      <x:c r="S151" s="31" t="str">
        <x:f>IF('Blind Scoring'!I151="","",'Blind Scoring'!I151)</x:f>
      </x:c>
      <x:c r="T151" s="31" t="str">
        <x:f>'Blind Scoring'!J151</x:f>
        <x:v>No</x:v>
      </x:c>
      <x:c r="U151" s="31" t="str">
        <x:f>IF('Blind Scoring'!L151="","",'Blind Scoring'!L151)</x:f>
      </x:c>
    </x:row>
    <x:row r="152" ht="44" customHeight="1">
      <x:c r="A152" s="35" t="str">
        <x:v>Not Started</x:v>
      </x:c>
      <x:c r="B152" s="35" t="n">
        <x:v>150</x:v>
      </x:c>
      <x:c r="C152" s="35" t="str">
        <x:v>P03</x:v>
      </x:c>
      <x:c r="D152" s="35" t="n">
        <x:v>27</x:v>
      </x:c>
      <x:c r="E152" s="35" t="str">
        <x:v>Primary VLA</x:v>
      </x:c>
      <x:c r="F152" s="35" t="str">
        <x:v>π0.5</x:v>
      </x:c>
      <x:c r="G152" s="35" t="n">
        <x:v>1</x:v>
      </x:c>
      <x:c r="H152" s="35" t="str">
        <x:v>Counting</x:v>
      </x:c>
      <x:c r="I152" s="35" t="str">
        <x:v>Training reconstruction</x:v>
      </x:c>
      <x:c r="J152" s="35" t="str">
        <x:v>PVLA-CT-REC-03</x:v>
      </x:c>
      <x:c r="K152" s="35" t="str"/>
      <x:c r="L152" s="31" t="str">
        <x:v>Move the yellow block into the bowl.</x:v>
      </x:c>
      <x:c r="M152" s="31" t="str">
        <x:v>Move the yellow block into the bowl.</x:v>
      </x:c>
      <x:c r="N152" s="31" t="str">
        <x:v>Reconstruct planned final training episode 850: yellow block, green pencil sharpener, airplane toy without propellers, blue pen; start=Home. Match camera, calibration, bowl pose, and object geometry exactly.</x:v>
      </x:c>
      <x:c r="O152" s="31" t="str">
        <x:v>yellow block</x:v>
      </x:c>
      <x:c r="P152" s="31" t="str"/>
      <x:c r="Q152" s="31" t="str"/>
      <x:c r="R152" s="31" t="str"/>
      <x:c r="S152" s="31" t="str">
        <x:f>IF('Blind Scoring'!I152="","",'Blind Scoring'!I152)</x:f>
      </x:c>
      <x:c r="T152" s="31" t="str">
        <x:f>'Blind Scoring'!J152</x:f>
        <x:v>No</x:v>
      </x:c>
      <x:c r="U152" s="31" t="str">
        <x:f>IF('Blind Scoring'!L152="","",'Blind Scoring'!L152)</x:f>
      </x:c>
    </x:row>
    <x:row r="153" ht="44" customHeight="1">
      <x:c r="A153" s="35" t="str">
        <x:v>Not Started</x:v>
      </x:c>
      <x:c r="B153" s="35" t="n">
        <x:v>151</x:v>
      </x:c>
      <x:c r="C153" s="35" t="str">
        <x:v>P03</x:v>
      </x:c>
      <x:c r="D153" s="35" t="n">
        <x:v>28</x:v>
      </x:c>
      <x:c r="E153" s="35" t="str">
        <x:v>Primary VLA</x:v>
      </x:c>
      <x:c r="F153" s="35" t="str">
        <x:v>π0.5</x:v>
      </x:c>
      <x:c r="G153" s="35" t="n">
        <x:v>1</x:v>
      </x:c>
      <x:c r="H153" s="35" t="str">
        <x:v>Counting</x:v>
      </x:c>
      <x:c r="I153" s="35" t="str">
        <x:v>Main held-out transfer</x:v>
      </x:c>
      <x:c r="J153" s="35" t="str">
        <x:v>PVLA-CT-TR-09</x:v>
      </x:c>
      <x:c r="K153" s="35" t="str">
        <x:v>C-CF07-A</x:v>
      </x:c>
      <x:c r="L153" s="31" t="str">
        <x:v>Leave exactly one object in the bowl.</x:v>
      </x:c>
      <x:c r="M153" s="31" t="str">
        <x:v>Leave exactly one object in the bowl.</x:v>
      </x:c>
      <x:c r="N153" s="31" t="str">
        <x:v>C-CF07A: bowl=[green pencil sharpener, airplane toy without propellers] (2); table=[blue pen, yellow block]; robot home; acceptable action=remove either bowl object.</x:v>
      </x:c>
      <x:c r="O153" s="31" t="str">
        <x:v>REMOVE one bowl object</x:v>
      </x:c>
      <x:c r="P153" s="31" t="str"/>
      <x:c r="Q153" s="31" t="str"/>
      <x:c r="R153" s="31" t="str"/>
      <x:c r="S153" s="31" t="str">
        <x:f>IF('Blind Scoring'!I153="","",'Blind Scoring'!I153)</x:f>
      </x:c>
      <x:c r="T153" s="31" t="str">
        <x:f>'Blind Scoring'!J153</x:f>
        <x:v>No</x:v>
      </x:c>
      <x:c r="U153" s="31" t="str">
        <x:f>IF('Blind Scoring'!L153="","",'Blind Scoring'!L153)</x:f>
      </x:c>
    </x:row>
    <x:row r="154" ht="44" customHeight="1">
      <x:c r="A154" s="35" t="str">
        <x:v>Not Started</x:v>
      </x:c>
      <x:c r="B154" s="35" t="n">
        <x:v>152</x:v>
      </x:c>
      <x:c r="C154" s="35" t="str">
        <x:v>P03</x:v>
      </x:c>
      <x:c r="D154" s="35" t="n">
        <x:v>29</x:v>
      </x:c>
      <x:c r="E154" s="35" t="str">
        <x:v>Primary VLA</x:v>
      </x:c>
      <x:c r="F154" s="35" t="str">
        <x:v>π0.5</x:v>
      </x:c>
      <x:c r="G154" s="35" t="n">
        <x:v>1</x:v>
      </x:c>
      <x:c r="H154" s="35" t="str">
        <x:v>Counting</x:v>
      </x:c>
      <x:c r="I154" s="35" t="str">
        <x:v>Main matched control</x:v>
      </x:c>
      <x:c r="J154" s="35" t="str">
        <x:v>PVLA-CT-CTL-08</x:v>
      </x:c>
      <x:c r="K154" s="35" t="str">
        <x:v>C-CF06-B</x:v>
      </x:c>
      <x:c r="L154" s="31" t="str">
        <x:v>Put the airplane toy without propellers in the bowl.</x:v>
      </x:c>
      <x:c r="M154" s="31" t="str">
        <x:v>Put the airplane toy without propellers in the bowl.</x:v>
      </x:c>
      <x:c r="N154" s="31" t="str">
        <x:v>C-CF06-CB: bowl=[yellow block, green pencil sharpener] (2); table=[airplane toy without propellers, blue pen]; robot home; acceptable action=add either table object.</x:v>
      </x:c>
      <x:c r="O154" s="31" t="str">
        <x:v>ADD airplane toy without propellers</x:v>
      </x:c>
      <x:c r="P154" s="31" t="str"/>
      <x:c r="Q154" s="31" t="str"/>
      <x:c r="R154" s="31" t="str"/>
      <x:c r="S154" s="31" t="str">
        <x:f>IF('Blind Scoring'!I154="","",'Blind Scoring'!I154)</x:f>
      </x:c>
      <x:c r="T154" s="31" t="str">
        <x:f>'Blind Scoring'!J154</x:f>
        <x:v>No</x:v>
      </x:c>
      <x:c r="U154" s="31" t="str">
        <x:f>IF('Blind Scoring'!L154="","",'Blind Scoring'!L154)</x:f>
      </x:c>
    </x:row>
    <x:row r="155" ht="44" customHeight="1">
      <x:c r="A155" s="35" t="str">
        <x:v>Not Started</x:v>
      </x:c>
      <x:c r="B155" s="35" t="n">
        <x:v>153</x:v>
      </x:c>
      <x:c r="C155" s="35" t="str">
        <x:v>P03</x:v>
      </x:c>
      <x:c r="D155" s="35" t="n">
        <x:v>30</x:v>
      </x:c>
      <x:c r="E155" s="35" t="str">
        <x:v>Primary VLA</x:v>
      </x:c>
      <x:c r="F155" s="35" t="str">
        <x:v>π0.5</x:v>
      </x:c>
      <x:c r="G155" s="35" t="n">
        <x:v>1</x:v>
      </x:c>
      <x:c r="H155" s="35" t="str">
        <x:v>Counting</x:v>
      </x:c>
      <x:c r="I155" s="35" t="str">
        <x:v>Main matched control</x:v>
      </x:c>
      <x:c r="J155" s="35" t="str">
        <x:v>PVLA-CT-CTL-07</x:v>
      </x:c>
      <x:c r="K155" s="35" t="str">
        <x:v>C-CF06-A</x:v>
      </x:c>
      <x:c r="L155" s="31" t="str">
        <x:v>Remove the yellow block from the bowl.</x:v>
      </x:c>
      <x:c r="M155" s="31" t="str">
        <x:v>Remove the yellow block from the bowl.</x:v>
      </x:c>
      <x:c r="N155" s="31" t="str">
        <x:v>C-CF06-CA: bowl=[yellow block, green pencil sharpener] (2); table=[airplane toy without propellers, blue pen]; robot home; acceptable action=remove either bowl object.</x:v>
      </x:c>
      <x:c r="O155" s="31" t="str">
        <x:v>REMOVE yellow block</x:v>
      </x:c>
      <x:c r="P155" s="31" t="str"/>
      <x:c r="Q155" s="31" t="str"/>
      <x:c r="R155" s="31" t="str"/>
      <x:c r="S155" s="31" t="str">
        <x:f>IF('Blind Scoring'!I155="","",'Blind Scoring'!I155)</x:f>
      </x:c>
      <x:c r="T155" s="31" t="str">
        <x:f>'Blind Scoring'!J155</x:f>
        <x:v>No</x:v>
      </x:c>
      <x:c r="U155" s="31" t="str">
        <x:f>IF('Blind Scoring'!L155="","",'Blind Scoring'!L155)</x:f>
      </x:c>
    </x:row>
    <x:row r="156" ht="44" customHeight="1">
      <x:c r="A156" s="35" t="str">
        <x:v>Not Started</x:v>
      </x:c>
      <x:c r="B156" s="35" t="n">
        <x:v>154</x:v>
      </x:c>
      <x:c r="C156" s="35" t="str">
        <x:v>P03</x:v>
      </x:c>
      <x:c r="D156" s="35" t="n">
        <x:v>31</x:v>
      </x:c>
      <x:c r="E156" s="35" t="str">
        <x:v>Primary VLA</x:v>
      </x:c>
      <x:c r="F156" s="35" t="str">
        <x:v>π0.5</x:v>
      </x:c>
      <x:c r="G156" s="35" t="n">
        <x:v>1</x:v>
      </x:c>
      <x:c r="H156" s="35" t="str">
        <x:v>Counting</x:v>
      </x:c>
      <x:c r="I156" s="35" t="str">
        <x:v>Main held-out transfer</x:v>
      </x:c>
      <x:c r="J156" s="35" t="str">
        <x:v>PVLA-CT-TR-15</x:v>
      </x:c>
      <x:c r="K156" s="35" t="str">
        <x:v>C-CF12-A</x:v>
      </x:c>
      <x:c r="L156" s="31" t="str">
        <x:v>Leave exactly one object in the bowl.</x:v>
      </x:c>
      <x:c r="M156" s="31" t="str">
        <x:v>Leave exactly one object in the bowl.</x:v>
      </x:c>
      <x:c r="N156" s="31" t="str">
        <x:v>C-CF12A: bowl=[airplane toy without propellers, blue pen] (2); table=[yellow block, green pencil sharpener]; robot home; acceptable action=remove either bowl object.</x:v>
      </x:c>
      <x:c r="O156" s="31" t="str">
        <x:v>REMOVE one bowl object</x:v>
      </x:c>
      <x:c r="P156" s="31" t="str"/>
      <x:c r="Q156" s="31" t="str"/>
      <x:c r="R156" s="31" t="str"/>
      <x:c r="S156" s="31" t="str">
        <x:f>IF('Blind Scoring'!I156="","",'Blind Scoring'!I156)</x:f>
      </x:c>
      <x:c r="T156" s="31" t="str">
        <x:f>'Blind Scoring'!J156</x:f>
        <x:v>No</x:v>
      </x:c>
      <x:c r="U156" s="31" t="str">
        <x:f>IF('Blind Scoring'!L156="","",'Blind Scoring'!L156)</x:f>
      </x:c>
    </x:row>
    <x:row r="157" ht="44" customHeight="1">
      <x:c r="A157" s="35" t="str">
        <x:v>Not Started</x:v>
      </x:c>
      <x:c r="B157" s="35" t="n">
        <x:v>155</x:v>
      </x:c>
      <x:c r="C157" s="35" t="str">
        <x:v>P03</x:v>
      </x:c>
      <x:c r="D157" s="35" t="n">
        <x:v>32</x:v>
      </x:c>
      <x:c r="E157" s="35" t="str">
        <x:v>Primary VLA</x:v>
      </x:c>
      <x:c r="F157" s="35" t="str">
        <x:v>π0.5</x:v>
      </x:c>
      <x:c r="G157" s="35" t="n">
        <x:v>1</x:v>
      </x:c>
      <x:c r="H157" s="35" t="str">
        <x:v>Counting</x:v>
      </x:c>
      <x:c r="I157" s="35" t="str">
        <x:v>Novel layout + seen language</x:v>
      </x:c>
      <x:c r="J157" s="35" t="str">
        <x:v>PVLA-CT-NOV-08</x:v>
      </x:c>
      <x:c r="K157" s="35" t="str"/>
      <x:c r="L157" s="31" t="str">
        <x:v>Make the bowl contain exactly zero objects.</x:v>
      </x:c>
      <x:c r="M157" s="31" t="str">
        <x:v>Make the bowl contain exactly zero objects.</x:v>
      </x:c>
      <x:c r="N157" s="31" t="str">
        <x:v>C-N20: bowl=[yellow block] (1); table left→right=[green pencil sharpener, airplane toy without propellers, blue pen]; robot home.</x:v>
      </x:c>
      <x:c r="O157" s="31" t="str"/>
      <x:c r="P157" s="31" t="str"/>
      <x:c r="Q157" s="31" t="str"/>
      <x:c r="R157" s="31" t="str"/>
      <x:c r="S157" s="31" t="str">
        <x:f>IF('Blind Scoring'!I157="","",'Blind Scoring'!I157)</x:f>
      </x:c>
      <x:c r="T157" s="31" t="str">
        <x:f>'Blind Scoring'!J157</x:f>
        <x:v>No</x:v>
      </x:c>
      <x:c r="U157" s="31" t="str">
        <x:f>IF('Blind Scoring'!L157="","",'Blind Scoring'!L157)</x:f>
      </x:c>
    </x:row>
    <x:row r="158" ht="44" customHeight="1">
      <x:c r="A158" s="35" t="str">
        <x:v>Not Started</x:v>
      </x:c>
      <x:c r="B158" s="35" t="n">
        <x:v>156</x:v>
      </x:c>
      <x:c r="C158" s="35" t="str">
        <x:v>P03</x:v>
      </x:c>
      <x:c r="D158" s="35" t="n">
        <x:v>33</x:v>
      </x:c>
      <x:c r="E158" s="35" t="str">
        <x:v>Primary VLA</x:v>
      </x:c>
      <x:c r="F158" s="35" t="str">
        <x:v>π0.5</x:v>
      </x:c>
      <x:c r="G158" s="35" t="n">
        <x:v>1</x:v>
      </x:c>
      <x:c r="H158" s="35" t="str">
        <x:v>Counting</x:v>
      </x:c>
      <x:c r="I158" s="35" t="str">
        <x:v>Main matched control</x:v>
      </x:c>
      <x:c r="J158" s="35" t="str">
        <x:v>PVLA-CT-CTL-11</x:v>
      </x:c>
      <x:c r="K158" s="35" t="str">
        <x:v>C-CF09-A</x:v>
      </x:c>
      <x:c r="L158" s="31" t="str">
        <x:v>Remove the blue pen from the bowl.</x:v>
      </x:c>
      <x:c r="M158" s="31" t="str">
        <x:v>Remove the blue pen from the bowl.</x:v>
      </x:c>
      <x:c r="N158" s="31" t="str">
        <x:v>C-CF09-CA: bowl=[blue pen, yellow block] (2); table=[green pencil sharpener, airplane toy without propellers]; robot home; acceptable action=remove either bowl object.</x:v>
      </x:c>
      <x:c r="O158" s="31" t="str">
        <x:v>REMOVE blue pen</x:v>
      </x:c>
      <x:c r="P158" s="31" t="str"/>
      <x:c r="Q158" s="31" t="str"/>
      <x:c r="R158" s="31" t="str"/>
      <x:c r="S158" s="31" t="str">
        <x:f>IF('Blind Scoring'!I158="","",'Blind Scoring'!I158)</x:f>
      </x:c>
      <x:c r="T158" s="31" t="str">
        <x:f>'Blind Scoring'!J158</x:f>
        <x:v>No</x:v>
      </x:c>
      <x:c r="U158" s="31" t="str">
        <x:f>IF('Blind Scoring'!L158="","",'Blind Scoring'!L158)</x:f>
      </x:c>
    </x:row>
    <x:row r="159" ht="44" customHeight="1">
      <x:c r="A159" s="35" t="str">
        <x:v>Not Started</x:v>
      </x:c>
      <x:c r="B159" s="35" t="n">
        <x:v>157</x:v>
      </x:c>
      <x:c r="C159" s="35" t="str">
        <x:v>P03</x:v>
      </x:c>
      <x:c r="D159" s="35" t="n">
        <x:v>34</x:v>
      </x:c>
      <x:c r="E159" s="35" t="str">
        <x:v>Primary VLA</x:v>
      </x:c>
      <x:c r="F159" s="35" t="str">
        <x:v>π0.5</x:v>
      </x:c>
      <x:c r="G159" s="35" t="n">
        <x:v>1</x:v>
      </x:c>
      <x:c r="H159" s="35" t="str">
        <x:v>Counting</x:v>
      </x:c>
      <x:c r="I159" s="35" t="str">
        <x:v>Main held-out transfer</x:v>
      </x:c>
      <x:c r="J159" s="35" t="str">
        <x:v>PVLA-CT-TR-14</x:v>
      </x:c>
      <x:c r="K159" s="35" t="str">
        <x:v>C-CF10-B</x:v>
      </x:c>
      <x:c r="L159" s="31" t="str">
        <x:v>Leave exactly three objects in the bowl.</x:v>
      </x:c>
      <x:c r="M159" s="31" t="str">
        <x:v>Leave exactly three objects in the bowl.</x:v>
      </x:c>
      <x:c r="N159" s="31" t="str">
        <x:v>C-CF10B: bowl=[yellow block, green pencil sharpener] (2); table=[airplane toy without propellers, blue pen]; robot home; acceptable action=add either table object.</x:v>
      </x:c>
      <x:c r="O159" s="31" t="str">
        <x:v>ADD one table object</x:v>
      </x:c>
      <x:c r="P159" s="31" t="str"/>
      <x:c r="Q159" s="31" t="str"/>
      <x:c r="R159" s="31" t="str"/>
      <x:c r="S159" s="31" t="str">
        <x:f>IF('Blind Scoring'!I159="","",'Blind Scoring'!I159)</x:f>
      </x:c>
      <x:c r="T159" s="31" t="str">
        <x:f>'Blind Scoring'!J159</x:f>
        <x:v>No</x:v>
      </x:c>
      <x:c r="U159" s="31" t="str">
        <x:f>IF('Blind Scoring'!L159="","",'Blind Scoring'!L159)</x:f>
      </x:c>
    </x:row>
    <x:row r="160" ht="44" customHeight="1">
      <x:c r="A160" s="35" t="str">
        <x:v>Not Started</x:v>
      </x:c>
      <x:c r="B160" s="35" t="n">
        <x:v>158</x:v>
      </x:c>
      <x:c r="C160" s="35" t="str">
        <x:v>P03</x:v>
      </x:c>
      <x:c r="D160" s="35" t="n">
        <x:v>35</x:v>
      </x:c>
      <x:c r="E160" s="35" t="str">
        <x:v>Primary VLA</x:v>
      </x:c>
      <x:c r="F160" s="35" t="str">
        <x:v>π0.5</x:v>
      </x:c>
      <x:c r="G160" s="35" t="n">
        <x:v>1</x:v>
      </x:c>
      <x:c r="H160" s="35" t="str">
        <x:v>Counting</x:v>
      </x:c>
      <x:c r="I160" s="35" t="str">
        <x:v>Main held-out transfer</x:v>
      </x:c>
      <x:c r="J160" s="35" t="str">
        <x:v>PVLA-CT-TR-12</x:v>
      </x:c>
      <x:c r="K160" s="35" t="str">
        <x:v>C-CF09-B</x:v>
      </x:c>
      <x:c r="L160" s="31" t="str">
        <x:v>Leave exactly three objects in the bowl.</x:v>
      </x:c>
      <x:c r="M160" s="31" t="str">
        <x:v>Leave exactly three objects in the bowl.</x:v>
      </x:c>
      <x:c r="N160" s="31" t="str">
        <x:v>C-CF09B: bowl=[blue pen, yellow block] (2); table=[green pencil sharpener, airplane toy without propellers]; robot home; acceptable action=add either table object.</x:v>
      </x:c>
      <x:c r="O160" s="31" t="str">
        <x:v>ADD one table object</x:v>
      </x:c>
      <x:c r="P160" s="31" t="str"/>
      <x:c r="Q160" s="31" t="str"/>
      <x:c r="R160" s="31" t="str"/>
      <x:c r="S160" s="31" t="str">
        <x:f>IF('Blind Scoring'!I160="","",'Blind Scoring'!I160)</x:f>
      </x:c>
      <x:c r="T160" s="31" t="str">
        <x:f>'Blind Scoring'!J160</x:f>
        <x:v>No</x:v>
      </x:c>
      <x:c r="U160" s="31" t="str">
        <x:f>IF('Blind Scoring'!L160="","",'Blind Scoring'!L160)</x:f>
      </x:c>
    </x:row>
    <x:row r="161" ht="44" customHeight="1">
      <x:c r="A161" s="35" t="str">
        <x:v>Not Started</x:v>
      </x:c>
      <x:c r="B161" s="35" t="n">
        <x:v>159</x:v>
      </x:c>
      <x:c r="C161" s="35" t="str">
        <x:v>P03</x:v>
      </x:c>
      <x:c r="D161" s="35" t="n">
        <x:v>36</x:v>
      </x:c>
      <x:c r="E161" s="35" t="str">
        <x:v>Primary VLA</x:v>
      </x:c>
      <x:c r="F161" s="35" t="str">
        <x:v>π0.5</x:v>
      </x:c>
      <x:c r="G161" s="35" t="n">
        <x:v>1</x:v>
      </x:c>
      <x:c r="H161" s="35" t="str">
        <x:v>Counting</x:v>
      </x:c>
      <x:c r="I161" s="35" t="str">
        <x:v>Main matched control</x:v>
      </x:c>
      <x:c r="J161" s="35" t="str">
        <x:v>PVLA-CT-CTL-15</x:v>
      </x:c>
      <x:c r="K161" s="35" t="str">
        <x:v>C-CF12-A</x:v>
      </x:c>
      <x:c r="L161" s="31" t="str">
        <x:v>Remove the airplane toy without propellers from the bowl.</x:v>
      </x:c>
      <x:c r="M161" s="31" t="str">
        <x:v>Remove the airplane toy without propellers from the bowl.</x:v>
      </x:c>
      <x:c r="N161" s="31" t="str">
        <x:v>C-CF12-CA: bowl=[airplane toy without propellers, blue pen] (2); table=[yellow block, green pencil sharpener]; robot home; acceptable action=remove either bowl object.</x:v>
      </x:c>
      <x:c r="O161" s="31" t="str">
        <x:v>REMOVE airplane toy without propellers</x:v>
      </x:c>
      <x:c r="P161" s="31" t="str"/>
      <x:c r="Q161" s="31" t="str"/>
      <x:c r="R161" s="31" t="str"/>
      <x:c r="S161" s="31" t="str">
        <x:f>IF('Blind Scoring'!I161="","",'Blind Scoring'!I161)</x:f>
      </x:c>
      <x:c r="T161" s="31" t="str">
        <x:f>'Blind Scoring'!J161</x:f>
        <x:v>No</x:v>
      </x:c>
      <x:c r="U161" s="31" t="str">
        <x:f>IF('Blind Scoring'!L161="","",'Blind Scoring'!L161)</x:f>
      </x:c>
    </x:row>
    <x:row r="162" ht="44" customHeight="1">
      <x:c r="A162" s="35" t="str">
        <x:v>Not Started</x:v>
      </x:c>
      <x:c r="B162" s="35" t="n">
        <x:v>160</x:v>
      </x:c>
      <x:c r="C162" s="35" t="str">
        <x:v>P03</x:v>
      </x:c>
      <x:c r="D162" s="35" t="n">
        <x:v>37</x:v>
      </x:c>
      <x:c r="E162" s="35" t="str">
        <x:v>Primary VLA</x:v>
      </x:c>
      <x:c r="F162" s="35" t="str">
        <x:v>π0.5</x:v>
      </x:c>
      <x:c r="G162" s="35" t="n">
        <x:v>1</x:v>
      </x:c>
      <x:c r="H162" s="35" t="str">
        <x:v>Counting</x:v>
      </x:c>
      <x:c r="I162" s="35" t="str">
        <x:v>Exact-scene paraphrase</x:v>
      </x:c>
      <x:c r="J162" s="35" t="str">
        <x:v>PVLA-CT-PAR-03</x:v>
      </x:c>
      <x:c r="K162" s="35" t="str"/>
      <x:c r="L162" s="31" t="str">
        <x:v>Finish with two objects in the bowl.</x:v>
      </x:c>
      <x:c r="M162" s="31" t="str">
        <x:v>Finish with two objects in the bowl.</x:v>
      </x:c>
      <x:c r="N162" s="31" t="str">
        <x:v>C-N01: bowl=[blue pen] (1); table left→right=[yellow block, green pencil sharpener, airplane toy without propellers]; robot home.</x:v>
      </x:c>
      <x:c r="O162" s="31" t="str"/>
      <x:c r="P162" s="31" t="str"/>
      <x:c r="Q162" s="31" t="str"/>
      <x:c r="R162" s="31" t="str"/>
      <x:c r="S162" s="31" t="str">
        <x:f>IF('Blind Scoring'!I162="","",'Blind Scoring'!I162)</x:f>
      </x:c>
      <x:c r="T162" s="31" t="str">
        <x:f>'Blind Scoring'!J162</x:f>
        <x:v>No</x:v>
      </x:c>
      <x:c r="U162" s="31" t="str">
        <x:f>IF('Blind Scoring'!L162="","",'Blind Scoring'!L162)</x:f>
      </x:c>
    </x:row>
    <x:row r="163" ht="44" customHeight="1">
      <x:c r="A163" s="35" t="str">
        <x:v>Not Started</x:v>
      </x:c>
      <x:c r="B163" s="35" t="n">
        <x:v>161</x:v>
      </x:c>
      <x:c r="C163" s="35" t="str">
        <x:v>P03</x:v>
      </x:c>
      <x:c r="D163" s="35" t="n">
        <x:v>38</x:v>
      </x:c>
      <x:c r="E163" s="35" t="str">
        <x:v>Primary VLA</x:v>
      </x:c>
      <x:c r="F163" s="35" t="str">
        <x:v>π0.5</x:v>
      </x:c>
      <x:c r="G163" s="35" t="n">
        <x:v>1</x:v>
      </x:c>
      <x:c r="H163" s="35" t="str">
        <x:v>Counting</x:v>
      </x:c>
      <x:c r="I163" s="35" t="str">
        <x:v>Novel layout + seen language</x:v>
      </x:c>
      <x:c r="J163" s="35" t="str">
        <x:v>PVLA-CT-NOV-03</x:v>
      </x:c>
      <x:c r="K163" s="35" t="str"/>
      <x:c r="L163" s="31" t="str">
        <x:v>Adjust the bowl so that it contains two objects.</x:v>
      </x:c>
      <x:c r="M163" s="31" t="str">
        <x:v>Adjust the bowl so that it contains two objects.</x:v>
      </x:c>
      <x:c r="N163" s="31" t="str">
        <x:v>C-N06: bowl=[yellow block, green pencil sharpener, airplane toy without propellers] (3); table left→right=[blue pen]; robot home.</x:v>
      </x:c>
      <x:c r="O163" s="31" t="str"/>
      <x:c r="P163" s="31" t="str"/>
      <x:c r="Q163" s="31" t="str"/>
      <x:c r="R163" s="31" t="str"/>
      <x:c r="S163" s="31" t="str">
        <x:f>IF('Blind Scoring'!I163="","",'Blind Scoring'!I163)</x:f>
      </x:c>
      <x:c r="T163" s="31" t="str">
        <x:f>'Blind Scoring'!J163</x:f>
        <x:v>No</x:v>
      </x:c>
      <x:c r="U163" s="31" t="str">
        <x:f>IF('Blind Scoring'!L163="","",'Blind Scoring'!L163)</x:f>
      </x:c>
    </x:row>
    <x:row r="164" ht="44" customHeight="1">
      <x:c r="A164" s="35" t="str">
        <x:v>Not Started</x:v>
      </x:c>
      <x:c r="B164" s="35" t="n">
        <x:v>162</x:v>
      </x:c>
      <x:c r="C164" s="35" t="str">
        <x:v>P03</x:v>
      </x:c>
      <x:c r="D164" s="35" t="n">
        <x:v>39</x:v>
      </x:c>
      <x:c r="E164" s="35" t="str">
        <x:v>Primary VLA</x:v>
      </x:c>
      <x:c r="F164" s="35" t="str">
        <x:v>π0.5</x:v>
      </x:c>
      <x:c r="G164" s="35" t="n">
        <x:v>1</x:v>
      </x:c>
      <x:c r="H164" s="35" t="str">
        <x:v>Counting</x:v>
      </x:c>
      <x:c r="I164" s="35" t="str">
        <x:v>Main held-out transfer</x:v>
      </x:c>
      <x:c r="J164" s="35" t="str">
        <x:v>PVLA-CT-TR-11</x:v>
      </x:c>
      <x:c r="K164" s="35" t="str">
        <x:v>C-CF09-A</x:v>
      </x:c>
      <x:c r="L164" s="31" t="str">
        <x:v>Leave exactly one object in the bowl.</x:v>
      </x:c>
      <x:c r="M164" s="31" t="str">
        <x:v>Leave exactly one object in the bowl.</x:v>
      </x:c>
      <x:c r="N164" s="31" t="str">
        <x:v>C-CF09A: bowl=[blue pen, yellow block] (2); table=[green pencil sharpener, airplane toy without propellers]; robot home; acceptable action=remove either bowl object.</x:v>
      </x:c>
      <x:c r="O164" s="31" t="str">
        <x:v>REMOVE one bowl object</x:v>
      </x:c>
      <x:c r="P164" s="31" t="str"/>
      <x:c r="Q164" s="31" t="str"/>
      <x:c r="R164" s="31" t="str"/>
      <x:c r="S164" s="31" t="str">
        <x:f>IF('Blind Scoring'!I164="","",'Blind Scoring'!I164)</x:f>
      </x:c>
      <x:c r="T164" s="31" t="str">
        <x:f>'Blind Scoring'!J164</x:f>
        <x:v>No</x:v>
      </x:c>
      <x:c r="U164" s="31" t="str">
        <x:f>IF('Blind Scoring'!L164="","",'Blind Scoring'!L164)</x:f>
      </x:c>
    </x:row>
    <x:row r="165" ht="44" customHeight="1">
      <x:c r="A165" s="35" t="str">
        <x:v>Not Started</x:v>
      </x:c>
      <x:c r="B165" s="35" t="n">
        <x:v>163</x:v>
      </x:c>
      <x:c r="C165" s="35" t="str">
        <x:v>P03</x:v>
      </x:c>
      <x:c r="D165" s="35" t="n">
        <x:v>40</x:v>
      </x:c>
      <x:c r="E165" s="35" t="str">
        <x:v>Primary VLA</x:v>
      </x:c>
      <x:c r="F165" s="35" t="str">
        <x:v>π0.5</x:v>
      </x:c>
      <x:c r="G165" s="35" t="n">
        <x:v>1</x:v>
      </x:c>
      <x:c r="H165" s="35" t="str">
        <x:v>Counting</x:v>
      </x:c>
      <x:c r="I165" s="35" t="str">
        <x:v>Main matched control</x:v>
      </x:c>
      <x:c r="J165" s="35" t="str">
        <x:v>PVLA-CT-CTL-13</x:v>
      </x:c>
      <x:c r="K165" s="35" t="str">
        <x:v>C-CF10-A</x:v>
      </x:c>
      <x:c r="L165" s="31" t="str">
        <x:v>Remove the yellow block from the bowl.</x:v>
      </x:c>
      <x:c r="M165" s="31" t="str">
        <x:v>Remove the yellow block from the bowl.</x:v>
      </x:c>
      <x:c r="N165" s="31" t="str">
        <x:v>C-CF10-CA: bowl=[yellow block, green pencil sharpener] (2); table=[airplane toy without propellers, blue pen]; robot home; acceptable action=remove either bowl object.</x:v>
      </x:c>
      <x:c r="O165" s="31" t="str">
        <x:v>REMOVE yellow block</x:v>
      </x:c>
      <x:c r="P165" s="31" t="str"/>
      <x:c r="Q165" s="31" t="str"/>
      <x:c r="R165" s="31" t="str"/>
      <x:c r="S165" s="31" t="str">
        <x:f>IF('Blind Scoring'!I165="","",'Blind Scoring'!I165)</x:f>
      </x:c>
      <x:c r="T165" s="31" t="str">
        <x:f>'Blind Scoring'!J165</x:f>
        <x:v>No</x:v>
      </x:c>
      <x:c r="U165" s="31" t="str">
        <x:f>IF('Blind Scoring'!L165="","",'Blind Scoring'!L165)</x:f>
      </x:c>
    </x:row>
    <x:row r="166" ht="44" customHeight="1">
      <x:c r="A166" s="35" t="str">
        <x:v>Not Started</x:v>
      </x:c>
      <x:c r="B166" s="35" t="n">
        <x:v>164</x:v>
      </x:c>
      <x:c r="C166" s="35" t="str">
        <x:v>P03</x:v>
      </x:c>
      <x:c r="D166" s="35" t="n">
        <x:v>41</x:v>
      </x:c>
      <x:c r="E166" s="35" t="str">
        <x:v>Primary VLA</x:v>
      </x:c>
      <x:c r="F166" s="35" t="str">
        <x:v>π0.5</x:v>
      </x:c>
      <x:c r="G166" s="35" t="n">
        <x:v>1</x:v>
      </x:c>
      <x:c r="H166" s="35" t="str">
        <x:v>Counting</x:v>
      </x:c>
      <x:c r="I166" s="35" t="str">
        <x:v>Main matched control</x:v>
      </x:c>
      <x:c r="J166" s="35" t="str">
        <x:v>PVLA-CT-CTL-02</x:v>
      </x:c>
      <x:c r="K166" s="35" t="str">
        <x:v>C-CF01-B</x:v>
      </x:c>
      <x:c r="L166" s="31" t="str">
        <x:v>Put the green pencil sharpener in the bowl.</x:v>
      </x:c>
      <x:c r="M166" s="31" t="str">
        <x:v>Put the green pencil sharpener in the bowl.</x:v>
      </x:c>
      <x:c r="N166" s="31" t="str">
        <x:v>C-CF01-CB: bowl=[blue pen, yellow block] (2); table=[green pencil sharpener, airplane toy without propellers]; robot home; acceptable action=add either table object.</x:v>
      </x:c>
      <x:c r="O166" s="31" t="str">
        <x:v>ADD green pencil sharpener</x:v>
      </x:c>
      <x:c r="P166" s="31" t="str"/>
      <x:c r="Q166" s="31" t="str"/>
      <x:c r="R166" s="31" t="str"/>
      <x:c r="S166" s="31" t="str">
        <x:f>IF('Blind Scoring'!I166="","",'Blind Scoring'!I166)</x:f>
      </x:c>
      <x:c r="T166" s="31" t="str">
        <x:f>'Blind Scoring'!J166</x:f>
        <x:v>No</x:v>
      </x:c>
      <x:c r="U166" s="31" t="str">
        <x:f>IF('Blind Scoring'!L166="","",'Blind Scoring'!L166)</x:f>
      </x:c>
    </x:row>
    <x:row r="167" ht="44" customHeight="1">
      <x:c r="A167" s="35" t="str">
        <x:v>Not Started</x:v>
      </x:c>
      <x:c r="B167" s="35" t="n">
        <x:v>165</x:v>
      </x:c>
      <x:c r="C167" s="35" t="str">
        <x:v>P03</x:v>
      </x:c>
      <x:c r="D167" s="35" t="n">
        <x:v>42</x:v>
      </x:c>
      <x:c r="E167" s="35" t="str">
        <x:v>Primary VLA</x:v>
      </x:c>
      <x:c r="F167" s="35" t="str">
        <x:v>π0.5</x:v>
      </x:c>
      <x:c r="G167" s="35" t="n">
        <x:v>1</x:v>
      </x:c>
      <x:c r="H167" s="35" t="str">
        <x:v>Counting</x:v>
      </x:c>
      <x:c r="I167" s="35" t="str">
        <x:v>Main matched control</x:v>
      </x:c>
      <x:c r="J167" s="35" t="str">
        <x:v>PVLA-CT-CTL-14</x:v>
      </x:c>
      <x:c r="K167" s="35" t="str">
        <x:v>C-CF10-B</x:v>
      </x:c>
      <x:c r="L167" s="31" t="str">
        <x:v>Put the airplane toy without propellers in the bowl.</x:v>
      </x:c>
      <x:c r="M167" s="31" t="str">
        <x:v>Put the airplane toy without propellers in the bowl.</x:v>
      </x:c>
      <x:c r="N167" s="31" t="str">
        <x:v>C-CF10-CB: bowl=[yellow block, green pencil sharpener] (2); table=[airplane toy without propellers, blue pen]; robot home; acceptable action=add either table object.</x:v>
      </x:c>
      <x:c r="O167" s="31" t="str">
        <x:v>ADD airplane toy without propellers</x:v>
      </x:c>
      <x:c r="P167" s="31" t="str"/>
      <x:c r="Q167" s="31" t="str"/>
      <x:c r="R167" s="31" t="str"/>
      <x:c r="S167" s="31" t="str">
        <x:f>IF('Blind Scoring'!I167="","",'Blind Scoring'!I167)</x:f>
      </x:c>
      <x:c r="T167" s="31" t="str">
        <x:f>'Blind Scoring'!J167</x:f>
        <x:v>No</x:v>
      </x:c>
      <x:c r="U167" s="31" t="str">
        <x:f>IF('Blind Scoring'!L167="","",'Blind Scoring'!L167)</x:f>
      </x:c>
    </x:row>
    <x:row r="168" ht="44" customHeight="1">
      <x:c r="A168" s="35" t="str">
        <x:v>Not Started</x:v>
      </x:c>
      <x:c r="B168" s="35" t="n">
        <x:v>166</x:v>
      </x:c>
      <x:c r="C168" s="35" t="str">
        <x:v>P03</x:v>
      </x:c>
      <x:c r="D168" s="35" t="n">
        <x:v>43</x:v>
      </x:c>
      <x:c r="E168" s="35" t="str">
        <x:v>Primary VLA</x:v>
      </x:c>
      <x:c r="F168" s="35" t="str">
        <x:v>π0.5</x:v>
      </x:c>
      <x:c r="G168" s="35" t="n">
        <x:v>1</x:v>
      </x:c>
      <x:c r="H168" s="35" t="str">
        <x:v>Counting</x:v>
      </x:c>
      <x:c r="I168" s="35" t="str">
        <x:v>Language ablation — counterfactual</x:v>
      </x:c>
      <x:c r="J168" s="35" t="str">
        <x:v>PVLA-CT-ABL-CF-02</x:v>
      </x:c>
      <x:c r="K168" s="35" t="str">
        <x:v>C-CF04-B</x:v>
      </x:c>
      <x:c r="L168" s="31" t="str">
        <x:v>Leave exactly one object in the bowl.</x:v>
      </x:c>
      <x:c r="M168" s="31" t="str">
        <x:v>Leave exactly one object in the bowl.</x:v>
      </x:c>
      <x:c r="N168" s="31" t="str">
        <x:v>C-CF04B: bowl=[airplane toy without propellers, blue pen] (2); table=[yellow block, green pencil sharpener]; robot home; acceptable action=add either table object.</x:v>
      </x:c>
      <x:c r="O168" s="31" t="str">
        <x:v>REMOVE one bowl object</x:v>
      </x:c>
      <x:c r="P168" s="31" t="str"/>
      <x:c r="Q168" s="31" t="str"/>
      <x:c r="R168" s="31" t="str"/>
      <x:c r="S168" s="31" t="str">
        <x:f>IF('Blind Scoring'!I168="","",'Blind Scoring'!I168)</x:f>
      </x:c>
      <x:c r="T168" s="31" t="str">
        <x:f>'Blind Scoring'!J168</x:f>
        <x:v>No</x:v>
      </x:c>
      <x:c r="U168" s="31" t="str">
        <x:f>IF('Blind Scoring'!L168="","",'Blind Scoring'!L168)</x:f>
      </x:c>
    </x:row>
    <x:row r="169" ht="44" customHeight="1">
      <x:c r="A169" s="35" t="str">
        <x:v>Not Started</x:v>
      </x:c>
      <x:c r="B169" s="35" t="n">
        <x:v>167</x:v>
      </x:c>
      <x:c r="C169" s="35" t="str">
        <x:v>P03</x:v>
      </x:c>
      <x:c r="D169" s="35" t="n">
        <x:v>44</x:v>
      </x:c>
      <x:c r="E169" s="35" t="str">
        <x:v>Primary VLA</x:v>
      </x:c>
      <x:c r="F169" s="35" t="str">
        <x:v>π0.5</x:v>
      </x:c>
      <x:c r="G169" s="35" t="n">
        <x:v>1</x:v>
      </x:c>
      <x:c r="H169" s="35" t="str">
        <x:v>Counting</x:v>
      </x:c>
      <x:c r="I169" s="35" t="str">
        <x:v>Main matched control</x:v>
      </x:c>
      <x:c r="J169" s="35" t="str">
        <x:v>PVLA-CT-CTL-06</x:v>
      </x:c>
      <x:c r="K169" s="35" t="str">
        <x:v>C-CF04-B</x:v>
      </x:c>
      <x:c r="L169" s="31" t="str">
        <x:v>Put the yellow block in the bowl.</x:v>
      </x:c>
      <x:c r="M169" s="31" t="str">
        <x:v>Put the yellow block in the bowl.</x:v>
      </x:c>
      <x:c r="N169" s="31" t="str">
        <x:v>C-CF04-CB: bowl=[airplane toy without propellers, blue pen] (2); table=[yellow block, green pencil sharpener]; robot home; acceptable action=add either table object.</x:v>
      </x:c>
      <x:c r="O169" s="31" t="str">
        <x:v>ADD yellow block</x:v>
      </x:c>
      <x:c r="P169" s="31" t="str"/>
      <x:c r="Q169" s="31" t="str"/>
      <x:c r="R169" s="31" t="str"/>
      <x:c r="S169" s="31" t="str">
        <x:f>IF('Blind Scoring'!I169="","",'Blind Scoring'!I169)</x:f>
      </x:c>
      <x:c r="T169" s="31" t="str">
        <x:f>'Blind Scoring'!J169</x:f>
        <x:v>No</x:v>
      </x:c>
      <x:c r="U169" s="31" t="str">
        <x:f>IF('Blind Scoring'!L169="","",'Blind Scoring'!L169)</x:f>
      </x:c>
    </x:row>
    <x:row r="170" ht="44" customHeight="1">
      <x:c r="A170" s="35" t="str">
        <x:v>Not Started</x:v>
      </x:c>
      <x:c r="B170" s="35" t="n">
        <x:v>168</x:v>
      </x:c>
      <x:c r="C170" s="35" t="str">
        <x:v>P03</x:v>
      </x:c>
      <x:c r="D170" s="35" t="n">
        <x:v>45</x:v>
      </x:c>
      <x:c r="E170" s="35" t="str">
        <x:v>Primary VLA</x:v>
      </x:c>
      <x:c r="F170" s="35" t="str">
        <x:v>π0.5</x:v>
      </x:c>
      <x:c r="G170" s="35" t="n">
        <x:v>1</x:v>
      </x:c>
      <x:c r="H170" s="35" t="str">
        <x:v>Counting</x:v>
      </x:c>
      <x:c r="I170" s="35" t="str">
        <x:v>Novel layout + seen language</x:v>
      </x:c>
      <x:c r="J170" s="35" t="str">
        <x:v>PVLA-CT-NOV-04</x:v>
      </x:c>
      <x:c r="K170" s="35" t="str"/>
      <x:c r="L170" s="31" t="str">
        <x:v>Adjust the bowl so that it contains two objects.</x:v>
      </x:c>
      <x:c r="M170" s="31" t="str">
        <x:v>Adjust the bowl so that it contains two objects.</x:v>
      </x:c>
      <x:c r="N170" s="31" t="str">
        <x:v>C-N09: bowl=[blue pen] (1); table left→right=[yellow block, green pencil sharpener, airplane toy without propellers]; robot home.</x:v>
      </x:c>
      <x:c r="O170" s="31" t="str"/>
      <x:c r="P170" s="31" t="str"/>
      <x:c r="Q170" s="31" t="str"/>
      <x:c r="R170" s="31" t="str"/>
      <x:c r="S170" s="31" t="str">
        <x:f>IF('Blind Scoring'!I170="","",'Blind Scoring'!I170)</x:f>
      </x:c>
      <x:c r="T170" s="31" t="str">
        <x:f>'Blind Scoring'!J170</x:f>
        <x:v>No</x:v>
      </x:c>
      <x:c r="U170" s="31" t="str">
        <x:f>IF('Blind Scoring'!L170="","",'Blind Scoring'!L170)</x:f>
      </x:c>
    </x:row>
    <x:row r="171" ht="44" customHeight="1">
      <x:c r="A171" s="35" t="str">
        <x:v>Not Started</x:v>
      </x:c>
      <x:c r="B171" s="35" t="n">
        <x:v>169</x:v>
      </x:c>
      <x:c r="C171" s="35" t="str">
        <x:v>P03</x:v>
      </x:c>
      <x:c r="D171" s="35" t="n">
        <x:v>46</x:v>
      </x:c>
      <x:c r="E171" s="35" t="str">
        <x:v>Primary VLA</x:v>
      </x:c>
      <x:c r="F171" s="35" t="str">
        <x:v>π0.5</x:v>
      </x:c>
      <x:c r="G171" s="35" t="n">
        <x:v>1</x:v>
      </x:c>
      <x:c r="H171" s="35" t="str">
        <x:v>Counting</x:v>
      </x:c>
      <x:c r="I171" s="35" t="str">
        <x:v>Main held-out transfer</x:v>
      </x:c>
      <x:c r="J171" s="35" t="str">
        <x:v>PVLA-CT-TR-01</x:v>
      </x:c>
      <x:c r="K171" s="35" t="str">
        <x:v>C-CF01-A</x:v>
      </x:c>
      <x:c r="L171" s="31" t="str">
        <x:v>Leave exactly one object in the bowl.</x:v>
      </x:c>
      <x:c r="M171" s="31" t="str">
        <x:v>Leave exactly one object in the bowl.</x:v>
      </x:c>
      <x:c r="N171" s="31" t="str">
        <x:v>C-CF01A: bowl=[blue pen, yellow block] (2); table=[green pencil sharpener, airplane toy without propellers]; robot home; acceptable action=remove either bowl object.</x:v>
      </x:c>
      <x:c r="O171" s="31" t="str">
        <x:v>REMOVE one bowl object</x:v>
      </x:c>
      <x:c r="P171" s="31" t="str"/>
      <x:c r="Q171" s="31" t="str"/>
      <x:c r="R171" s="31" t="str"/>
      <x:c r="S171" s="31" t="str">
        <x:f>IF('Blind Scoring'!I171="","",'Blind Scoring'!I171)</x:f>
      </x:c>
      <x:c r="T171" s="31" t="str">
        <x:f>'Blind Scoring'!J171</x:f>
        <x:v>No</x:v>
      </x:c>
      <x:c r="U171" s="31" t="str">
        <x:f>IF('Blind Scoring'!L171="","",'Blind Scoring'!L171)</x:f>
      </x:c>
    </x:row>
    <x:row r="172" ht="44" customHeight="1">
      <x:c r="A172" s="35" t="str">
        <x:v>Not Started</x:v>
      </x:c>
      <x:c r="B172" s="35" t="n">
        <x:v>170</x:v>
      </x:c>
      <x:c r="C172" s="35" t="str">
        <x:v>P03</x:v>
      </x:c>
      <x:c r="D172" s="35" t="n">
        <x:v>47</x:v>
      </x:c>
      <x:c r="E172" s="35" t="str">
        <x:v>Primary VLA</x:v>
      </x:c>
      <x:c r="F172" s="35" t="str">
        <x:v>π0.5</x:v>
      </x:c>
      <x:c r="G172" s="35" t="n">
        <x:v>1</x:v>
      </x:c>
      <x:c r="H172" s="35" t="str">
        <x:v>Counting</x:v>
      </x:c>
      <x:c r="I172" s="35" t="str">
        <x:v>Exact-scene paraphrase</x:v>
      </x:c>
      <x:c r="J172" s="35" t="str">
        <x:v>PVLA-CT-PAR-07</x:v>
      </x:c>
      <x:c r="K172" s="35" t="str"/>
      <x:c r="L172" s="31" t="str">
        <x:v>Finish with two objects in the bowl.</x:v>
      </x:c>
      <x:c r="M172" s="31" t="str">
        <x:v>Finish with two objects in the bowl.</x:v>
      </x:c>
      <x:c r="N172" s="31" t="str">
        <x:v>C-N01: bowl=[blue pen] (1); table left→right=[yellow block, green pencil sharpener, airplane toy without propellers]; robot home.</x:v>
      </x:c>
      <x:c r="O172" s="31" t="str"/>
      <x:c r="P172" s="31" t="str"/>
      <x:c r="Q172" s="31" t="str"/>
      <x:c r="R172" s="31" t="str"/>
      <x:c r="S172" s="31" t="str">
        <x:f>IF('Blind Scoring'!I172="","",'Blind Scoring'!I172)</x:f>
      </x:c>
      <x:c r="T172" s="31" t="str">
        <x:f>'Blind Scoring'!J172</x:f>
        <x:v>No</x:v>
      </x:c>
      <x:c r="U172" s="31" t="str">
        <x:f>IF('Blind Scoring'!L172="","",'Blind Scoring'!L172)</x:f>
      </x:c>
    </x:row>
    <x:row r="173" ht="44" customHeight="1">
      <x:c r="A173" s="35" t="str">
        <x:v>Not Started</x:v>
      </x:c>
      <x:c r="B173" s="35" t="n">
        <x:v>171</x:v>
      </x:c>
      <x:c r="C173" s="35" t="str">
        <x:v>P03</x:v>
      </x:c>
      <x:c r="D173" s="35" t="n">
        <x:v>48</x:v>
      </x:c>
      <x:c r="E173" s="35" t="str">
        <x:v>Primary VLA</x:v>
      </x:c>
      <x:c r="F173" s="35" t="str">
        <x:v>π0.5</x:v>
      </x:c>
      <x:c r="G173" s="35" t="n">
        <x:v>1</x:v>
      </x:c>
      <x:c r="H173" s="35" t="str">
        <x:v>Counting</x:v>
      </x:c>
      <x:c r="I173" s="35" t="str">
        <x:v>Main held-out transfer</x:v>
      </x:c>
      <x:c r="J173" s="35" t="str">
        <x:v>PVLA-CT-TR-10</x:v>
      </x:c>
      <x:c r="K173" s="35" t="str">
        <x:v>C-CF07-B</x:v>
      </x:c>
      <x:c r="L173" s="31" t="str">
        <x:v>Leave exactly three objects in the bowl.</x:v>
      </x:c>
      <x:c r="M173" s="31" t="str">
        <x:v>Leave exactly three objects in the bowl.</x:v>
      </x:c>
      <x:c r="N173" s="31" t="str">
        <x:v>C-CF07B: bowl=[green pencil sharpener, airplane toy without propellers] (2); table=[blue pen, yellow block]; robot home; acceptable action=add either table object.</x:v>
      </x:c>
      <x:c r="O173" s="31" t="str">
        <x:v>ADD one table object</x:v>
      </x:c>
      <x:c r="P173" s="31" t="str"/>
      <x:c r="Q173" s="31" t="str"/>
      <x:c r="R173" s="31" t="str"/>
      <x:c r="S173" s="31" t="str">
        <x:f>IF('Blind Scoring'!I173="","",'Blind Scoring'!I173)</x:f>
      </x:c>
      <x:c r="T173" s="31" t="str">
        <x:f>'Blind Scoring'!J173</x:f>
        <x:v>No</x:v>
      </x:c>
      <x:c r="U173" s="31" t="str">
        <x:f>IF('Blind Scoring'!L173="","",'Blind Scoring'!L173)</x:f>
      </x:c>
    </x:row>
    <x:row r="174" ht="44" customHeight="1">
      <x:c r="A174" s="35" t="str">
        <x:v>Not Started</x:v>
      </x:c>
      <x:c r="B174" s="35" t="n">
        <x:v>172</x:v>
      </x:c>
      <x:c r="C174" s="35" t="str">
        <x:v>P03</x:v>
      </x:c>
      <x:c r="D174" s="35" t="n">
        <x:v>49</x:v>
      </x:c>
      <x:c r="E174" s="35" t="str">
        <x:v>Primary VLA</x:v>
      </x:c>
      <x:c r="F174" s="35" t="str">
        <x:v>π0.5</x:v>
      </x:c>
      <x:c r="G174" s="35" t="n">
        <x:v>1</x:v>
      </x:c>
      <x:c r="H174" s="35" t="str">
        <x:v>Counting</x:v>
      </x:c>
      <x:c r="I174" s="35" t="str">
        <x:v>Exact-scene paraphrase</x:v>
      </x:c>
      <x:c r="J174" s="35" t="str">
        <x:v>PVLA-CT-PAR-08</x:v>
      </x:c>
      <x:c r="K174" s="35" t="str"/>
      <x:c r="L174" s="31" t="str">
        <x:v>Finish with two objects in the bowl.</x:v>
      </x:c>
      <x:c r="M174" s="31" t="str">
        <x:v>Finish with two objects in the bowl.</x:v>
      </x:c>
      <x:c r="N174" s="31" t="str">
        <x:v>C-N01: bowl=[blue pen] (1); table left→right=[yellow block, green pencil sharpener, airplane toy without propellers]; robot home.</x:v>
      </x:c>
      <x:c r="O174" s="31" t="str"/>
      <x:c r="P174" s="31" t="str"/>
      <x:c r="Q174" s="31" t="str"/>
      <x:c r="R174" s="31" t="str"/>
      <x:c r="S174" s="31" t="str">
        <x:f>IF('Blind Scoring'!I174="","",'Blind Scoring'!I174)</x:f>
      </x:c>
      <x:c r="T174" s="31" t="str">
        <x:f>'Blind Scoring'!J174</x:f>
        <x:v>No</x:v>
      </x:c>
      <x:c r="U174" s="31" t="str">
        <x:f>IF('Blind Scoring'!L174="","",'Blind Scoring'!L174)</x:f>
      </x:c>
    </x:row>
    <x:row r="175" ht="44" customHeight="1">
      <x:c r="A175" s="35" t="str">
        <x:v>Not Started</x:v>
      </x:c>
      <x:c r="B175" s="35" t="n">
        <x:v>173</x:v>
      </x:c>
      <x:c r="C175" s="35" t="str">
        <x:v>P03</x:v>
      </x:c>
      <x:c r="D175" s="35" t="n">
        <x:v>50</x:v>
      </x:c>
      <x:c r="E175" s="35" t="str">
        <x:v>Primary VLA</x:v>
      </x:c>
      <x:c r="F175" s="35" t="str">
        <x:v>π0.5</x:v>
      </x:c>
      <x:c r="G175" s="35" t="n">
        <x:v>1</x:v>
      </x:c>
      <x:c r="H175" s="35" t="str">
        <x:v>Counting</x:v>
      </x:c>
      <x:c r="I175" s="35" t="str">
        <x:v>Main matched control</x:v>
      </x:c>
      <x:c r="J175" s="35" t="str">
        <x:v>PVLA-CT-CTL-05</x:v>
      </x:c>
      <x:c r="K175" s="35" t="str">
        <x:v>C-CF04-A</x:v>
      </x:c>
      <x:c r="L175" s="31" t="str">
        <x:v>Remove the airplane toy without propellers from the bowl.</x:v>
      </x:c>
      <x:c r="M175" s="31" t="str">
        <x:v>Remove the airplane toy without propellers from the bowl.</x:v>
      </x:c>
      <x:c r="N175" s="31" t="str">
        <x:v>C-CF04-CA: bowl=[airplane toy without propellers, blue pen] (2); table=[yellow block, green pencil sharpener]; robot home; acceptable action=remove either bowl object.</x:v>
      </x:c>
      <x:c r="O175" s="31" t="str">
        <x:v>REMOVE airplane toy without propellers</x:v>
      </x:c>
      <x:c r="P175" s="31" t="str"/>
      <x:c r="Q175" s="31" t="str"/>
      <x:c r="R175" s="31" t="str"/>
      <x:c r="S175" s="31" t="str">
        <x:f>IF('Blind Scoring'!I175="","",'Blind Scoring'!I175)</x:f>
      </x:c>
      <x:c r="T175" s="31" t="str">
        <x:f>'Blind Scoring'!J175</x:f>
        <x:v>No</x:v>
      </x:c>
      <x:c r="U175" s="31" t="str">
        <x:f>IF('Blind Scoring'!L175="","",'Blind Scoring'!L175)</x:f>
      </x:c>
    </x:row>
    <x:row r="176" ht="44" customHeight="1">
      <x:c r="A176" s="35" t="str">
        <x:v>Not Started</x:v>
      </x:c>
      <x:c r="B176" s="35" t="n">
        <x:v>174</x:v>
      </x:c>
      <x:c r="C176" s="35" t="str">
        <x:v>P03</x:v>
      </x:c>
      <x:c r="D176" s="35" t="n">
        <x:v>51</x:v>
      </x:c>
      <x:c r="E176" s="35" t="str">
        <x:v>Primary VLA</x:v>
      </x:c>
      <x:c r="F176" s="35" t="str">
        <x:v>π0.5</x:v>
      </x:c>
      <x:c r="G176" s="35" t="n">
        <x:v>1</x:v>
      </x:c>
      <x:c r="H176" s="35" t="str">
        <x:v>Counting</x:v>
      </x:c>
      <x:c r="I176" s="35" t="str">
        <x:v>Exact-scene paraphrase</x:v>
      </x:c>
      <x:c r="J176" s="35" t="str">
        <x:v>PVLA-CT-PAR-05</x:v>
      </x:c>
      <x:c r="K176" s="35" t="str"/>
      <x:c r="L176" s="31" t="str">
        <x:v>Finish with two objects in the bowl.</x:v>
      </x:c>
      <x:c r="M176" s="31" t="str">
        <x:v>Finish with two objects in the bowl.</x:v>
      </x:c>
      <x:c r="N176" s="31" t="str">
        <x:v>C-N01: bowl=[blue pen] (1); table left→right=[yellow block, green pencil sharpener, airplane toy without propellers]; robot home.</x:v>
      </x:c>
      <x:c r="O176" s="31" t="str"/>
      <x:c r="P176" s="31" t="str"/>
      <x:c r="Q176" s="31" t="str"/>
      <x:c r="R176" s="31" t="str"/>
      <x:c r="S176" s="31" t="str">
        <x:f>IF('Blind Scoring'!I176="","",'Blind Scoring'!I176)</x:f>
      </x:c>
      <x:c r="T176" s="31" t="str">
        <x:f>'Blind Scoring'!J176</x:f>
        <x:v>No</x:v>
      </x:c>
      <x:c r="U176" s="31" t="str">
        <x:f>IF('Blind Scoring'!L176="","",'Blind Scoring'!L176)</x:f>
      </x:c>
    </x:row>
    <x:row r="177" ht="44" customHeight="1">
      <x:c r="A177" s="35" t="str">
        <x:v>Not Started</x:v>
      </x:c>
      <x:c r="B177" s="35" t="n">
        <x:v>175</x:v>
      </x:c>
      <x:c r="C177" s="35" t="str">
        <x:v>P03</x:v>
      </x:c>
      <x:c r="D177" s="35" t="n">
        <x:v>52</x:v>
      </x:c>
      <x:c r="E177" s="35" t="str">
        <x:v>Primary VLA</x:v>
      </x:c>
      <x:c r="F177" s="35" t="str">
        <x:v>π0.5</x:v>
      </x:c>
      <x:c r="G177" s="35" t="n">
        <x:v>1</x:v>
      </x:c>
      <x:c r="H177" s="35" t="str">
        <x:v>Counting</x:v>
      </x:c>
      <x:c r="I177" s="35" t="str">
        <x:v>Exact-scene paraphrase</x:v>
      </x:c>
      <x:c r="J177" s="35" t="str">
        <x:v>PVLA-CT-PAR-06</x:v>
      </x:c>
      <x:c r="K177" s="35" t="str"/>
      <x:c r="L177" s="31" t="str">
        <x:v>Finish with two objects in the bowl.</x:v>
      </x:c>
      <x:c r="M177" s="31" t="str">
        <x:v>Finish with two objects in the bowl.</x:v>
      </x:c>
      <x:c r="N177" s="31" t="str">
        <x:v>C-N01: bowl=[blue pen] (1); table left→right=[yellow block, green pencil sharpener, airplane toy without propellers]; robot home.</x:v>
      </x:c>
      <x:c r="O177" s="31" t="str"/>
      <x:c r="P177" s="31" t="str"/>
      <x:c r="Q177" s="31" t="str"/>
      <x:c r="R177" s="31" t="str"/>
      <x:c r="S177" s="31" t="str">
        <x:f>IF('Blind Scoring'!I177="","",'Blind Scoring'!I177)</x:f>
      </x:c>
      <x:c r="T177" s="31" t="str">
        <x:f>'Blind Scoring'!J177</x:f>
        <x:v>No</x:v>
      </x:c>
      <x:c r="U177" s="31" t="str">
        <x:f>IF('Blind Scoring'!L177="","",'Blind Scoring'!L177)</x:f>
      </x:c>
    </x:row>
    <x:row r="178" ht="44" customHeight="1">
      <x:c r="A178" s="35" t="str">
        <x:v>Not Started</x:v>
      </x:c>
      <x:c r="B178" s="35" t="n">
        <x:v>176</x:v>
      </x:c>
      <x:c r="C178" s="35" t="str">
        <x:v>P03</x:v>
      </x:c>
      <x:c r="D178" s="35" t="n">
        <x:v>53</x:v>
      </x:c>
      <x:c r="E178" s="35" t="str">
        <x:v>Primary VLA</x:v>
      </x:c>
      <x:c r="F178" s="35" t="str">
        <x:v>π0.5</x:v>
      </x:c>
      <x:c r="G178" s="35" t="n">
        <x:v>1</x:v>
      </x:c>
      <x:c r="H178" s="35" t="str">
        <x:v>Counting</x:v>
      </x:c>
      <x:c r="I178" s="35" t="str">
        <x:v>Main held-out transfer</x:v>
      </x:c>
      <x:c r="J178" s="35" t="str">
        <x:v>PVLA-CT-TR-03</x:v>
      </x:c>
      <x:c r="K178" s="35" t="str">
        <x:v>C-CF03-A</x:v>
      </x:c>
      <x:c r="L178" s="31" t="str">
        <x:v>Leave exactly one object in the bowl.</x:v>
      </x:c>
      <x:c r="M178" s="31" t="str">
        <x:v>Leave exactly one object in the bowl.</x:v>
      </x:c>
      <x:c r="N178" s="31" t="str">
        <x:v>C-CF03A: bowl=[green pencil sharpener, airplane toy without propellers] (2); table=[blue pen, yellow block]; robot home; acceptable action=remove either bowl object.</x:v>
      </x:c>
      <x:c r="O178" s="31" t="str">
        <x:v>REMOVE one bowl object</x:v>
      </x:c>
      <x:c r="P178" s="31" t="str"/>
      <x:c r="Q178" s="31" t="str"/>
      <x:c r="R178" s="31" t="str"/>
      <x:c r="S178" s="31" t="str">
        <x:f>IF('Blind Scoring'!I178="","",'Blind Scoring'!I178)</x:f>
      </x:c>
      <x:c r="T178" s="31" t="str">
        <x:f>'Blind Scoring'!J178</x:f>
        <x:v>No</x:v>
      </x:c>
      <x:c r="U178" s="31" t="str">
        <x:f>IF('Blind Scoring'!L178="","",'Blind Scoring'!L178)</x:f>
      </x:c>
    </x:row>
    <x:row r="179" ht="44" customHeight="1">
      <x:c r="A179" s="35" t="str">
        <x:v>Not Started</x:v>
      </x:c>
      <x:c r="B179" s="35" t="n">
        <x:v>177</x:v>
      </x:c>
      <x:c r="C179" s="35" t="str">
        <x:v>P03</x:v>
      </x:c>
      <x:c r="D179" s="35" t="n">
        <x:v>54</x:v>
      </x:c>
      <x:c r="E179" s="35" t="str">
        <x:v>Primary VLA</x:v>
      </x:c>
      <x:c r="F179" s="35" t="str">
        <x:v>π0.5</x:v>
      </x:c>
      <x:c r="G179" s="35" t="n">
        <x:v>1</x:v>
      </x:c>
      <x:c r="H179" s="35" t="str">
        <x:v>Counting</x:v>
      </x:c>
      <x:c r="I179" s="35" t="str">
        <x:v>Exact-scene paraphrase</x:v>
      </x:c>
      <x:c r="J179" s="35" t="str">
        <x:v>PVLA-CT-PAR-02</x:v>
      </x:c>
      <x:c r="K179" s="35" t="str"/>
      <x:c r="L179" s="31" t="str">
        <x:v>Finish with two objects in the bowl.</x:v>
      </x:c>
      <x:c r="M179" s="31" t="str">
        <x:v>Finish with two objects in the bowl.</x:v>
      </x:c>
      <x:c r="N179" s="31" t="str">
        <x:v>C-N01: bowl=[blue pen] (1); table left→right=[yellow block, green pencil sharpener, airplane toy without propellers]; robot home.</x:v>
      </x:c>
      <x:c r="O179" s="31" t="str"/>
      <x:c r="P179" s="31" t="str"/>
      <x:c r="Q179" s="31" t="str"/>
      <x:c r="R179" s="31" t="str"/>
      <x:c r="S179" s="31" t="str">
        <x:f>IF('Blind Scoring'!I179="","",'Blind Scoring'!I179)</x:f>
      </x:c>
      <x:c r="T179" s="31" t="str">
        <x:f>'Blind Scoring'!J179</x:f>
        <x:v>No</x:v>
      </x:c>
      <x:c r="U179" s="31" t="str">
        <x:f>IF('Blind Scoring'!L179="","",'Blind Scoring'!L179)</x:f>
      </x:c>
    </x:row>
    <x:row r="180" ht="44" customHeight="1">
      <x:c r="A180" s="35" t="str">
        <x:v>Not Started</x:v>
      </x:c>
      <x:c r="B180" s="35" t="n">
        <x:v>178</x:v>
      </x:c>
      <x:c r="C180" s="35" t="str">
        <x:v>P03</x:v>
      </x:c>
      <x:c r="D180" s="35" t="n">
        <x:v>55</x:v>
      </x:c>
      <x:c r="E180" s="35" t="str">
        <x:v>Primary VLA</x:v>
      </x:c>
      <x:c r="F180" s="35" t="str">
        <x:v>π0.5</x:v>
      </x:c>
      <x:c r="G180" s="35" t="n">
        <x:v>1</x:v>
      </x:c>
      <x:c r="H180" s="35" t="str">
        <x:v>Counting</x:v>
      </x:c>
      <x:c r="I180" s="35" t="str">
        <x:v>Main held-out transfer</x:v>
      </x:c>
      <x:c r="J180" s="35" t="str">
        <x:v>PVLA-CT-TR-08</x:v>
      </x:c>
      <x:c r="K180" s="35" t="str">
        <x:v>C-CF06-B</x:v>
      </x:c>
      <x:c r="L180" s="31" t="str">
        <x:v>Leave exactly three objects in the bowl.</x:v>
      </x:c>
      <x:c r="M180" s="31" t="str">
        <x:v>Leave exactly three objects in the bowl.</x:v>
      </x:c>
      <x:c r="N180" s="31" t="str">
        <x:v>C-CF06B: bowl=[yellow block, green pencil sharpener] (2); table=[airplane toy without propellers, blue pen]; robot home; acceptable action=add either table object.</x:v>
      </x:c>
      <x:c r="O180" s="31" t="str">
        <x:v>ADD one table object</x:v>
      </x:c>
      <x:c r="P180" s="31" t="str"/>
      <x:c r="Q180" s="31" t="str"/>
      <x:c r="R180" s="31" t="str"/>
      <x:c r="S180" s="31" t="str">
        <x:f>IF('Blind Scoring'!I180="","",'Blind Scoring'!I180)</x:f>
      </x:c>
      <x:c r="T180" s="31" t="str">
        <x:f>'Blind Scoring'!J180</x:f>
        <x:v>No</x:v>
      </x:c>
      <x:c r="U180" s="31" t="str">
        <x:f>IF('Blind Scoring'!L180="","",'Blind Scoring'!L180)</x:f>
      </x:c>
    </x:row>
    <x:row r="181" ht="44" customHeight="1">
      <x:c r="A181" s="35" t="str">
        <x:v>Not Started</x:v>
      </x:c>
      <x:c r="B181" s="35" t="n">
        <x:v>179</x:v>
      </x:c>
      <x:c r="C181" s="35" t="str">
        <x:v>P03</x:v>
      </x:c>
      <x:c r="D181" s="35" t="n">
        <x:v>56</x:v>
      </x:c>
      <x:c r="E181" s="35" t="str">
        <x:v>Primary VLA</x:v>
      </x:c>
      <x:c r="F181" s="35" t="str">
        <x:v>π0.5</x:v>
      </x:c>
      <x:c r="G181" s="35" t="n">
        <x:v>1</x:v>
      </x:c>
      <x:c r="H181" s="35" t="str">
        <x:v>Counting</x:v>
      </x:c>
      <x:c r="I181" s="35" t="str">
        <x:v>Novel layout + seen language</x:v>
      </x:c>
      <x:c r="J181" s="35" t="str">
        <x:v>PVLA-CT-NOV-01</x:v>
      </x:c>
      <x:c r="K181" s="35" t="str"/>
      <x:c r="L181" s="31" t="str">
        <x:v>Make the bowl contain exactly two objects.</x:v>
      </x:c>
      <x:c r="M181" s="31" t="str">
        <x:v>Make the bowl contain exactly two objects.</x:v>
      </x:c>
      <x:c r="N181" s="31" t="str">
        <x:v>C-N01: bowl=[blue pen] (1); table left→right=[yellow block, green pencil sharpener, airplane toy without propellers]; robot home.</x:v>
      </x:c>
      <x:c r="O181" s="31" t="str"/>
      <x:c r="P181" s="31" t="str"/>
      <x:c r="Q181" s="31" t="str"/>
      <x:c r="R181" s="31" t="str"/>
      <x:c r="S181" s="31" t="str">
        <x:f>IF('Blind Scoring'!I181="","",'Blind Scoring'!I181)</x:f>
      </x:c>
      <x:c r="T181" s="31" t="str">
        <x:f>'Blind Scoring'!J181</x:f>
        <x:v>No</x:v>
      </x:c>
      <x:c r="U181" s="31" t="str">
        <x:f>IF('Blind Scoring'!L181="","",'Blind Scoring'!L181)</x:f>
      </x:c>
    </x:row>
    <x:row r="182" ht="44" customHeight="1">
      <x:c r="A182" s="35" t="str">
        <x:v>Not Started</x:v>
      </x:c>
      <x:c r="B182" s="35" t="n">
        <x:v>180</x:v>
      </x:c>
      <x:c r="C182" s="35" t="str">
        <x:v>P03</x:v>
      </x:c>
      <x:c r="D182" s="35" t="n">
        <x:v>57</x:v>
      </x:c>
      <x:c r="E182" s="35" t="str">
        <x:v>Primary VLA</x:v>
      </x:c>
      <x:c r="F182" s="35" t="str">
        <x:v>π0.5</x:v>
      </x:c>
      <x:c r="G182" s="35" t="n">
        <x:v>1</x:v>
      </x:c>
      <x:c r="H182" s="35" t="str">
        <x:v>Counting</x:v>
      </x:c>
      <x:c r="I182" s="35" t="str">
        <x:v>Main matched control</x:v>
      </x:c>
      <x:c r="J182" s="35" t="str">
        <x:v>PVLA-CT-CTL-04</x:v>
      </x:c>
      <x:c r="K182" s="35" t="str">
        <x:v>C-CF03-B</x:v>
      </x:c>
      <x:c r="L182" s="31" t="str">
        <x:v>Put the blue pen in the bowl.</x:v>
      </x:c>
      <x:c r="M182" s="31" t="str">
        <x:v>Put the blue pen in the bowl.</x:v>
      </x:c>
      <x:c r="N182" s="31" t="str">
        <x:v>C-CF03-CB: bowl=[green pencil sharpener, airplane toy without propellers] (2); table=[blue pen, yellow block]; robot home; acceptable action=add either table object.</x:v>
      </x:c>
      <x:c r="O182" s="31" t="str">
        <x:v>ADD blue pen</x:v>
      </x:c>
      <x:c r="P182" s="31" t="str"/>
      <x:c r="Q182" s="31" t="str"/>
      <x:c r="R182" s="31" t="str"/>
      <x:c r="S182" s="31" t="str">
        <x:f>IF('Blind Scoring'!I182="","",'Blind Scoring'!I182)</x:f>
      </x:c>
      <x:c r="T182" s="31" t="str">
        <x:f>'Blind Scoring'!J182</x:f>
        <x:v>No</x:v>
      </x:c>
      <x:c r="U182" s="31" t="str">
        <x:f>IF('Blind Scoring'!L182="","",'Blind Scoring'!L182)</x:f>
      </x:c>
    </x:row>
    <x:row r="183" ht="44" customHeight="1">
      <x:c r="A183" s="35" t="str">
        <x:v>Not Started</x:v>
      </x:c>
      <x:c r="B183" s="35" t="n">
        <x:v>181</x:v>
      </x:c>
      <x:c r="C183" s="35" t="str">
        <x:v>P03</x:v>
      </x:c>
      <x:c r="D183" s="35" t="n">
        <x:v>58</x:v>
      </x:c>
      <x:c r="E183" s="35" t="str">
        <x:v>Primary VLA</x:v>
      </x:c>
      <x:c r="F183" s="35" t="str">
        <x:v>π0.5</x:v>
      </x:c>
      <x:c r="G183" s="35" t="n">
        <x:v>1</x:v>
      </x:c>
      <x:c r="H183" s="35" t="str">
        <x:v>Counting</x:v>
      </x:c>
      <x:c r="I183" s="35" t="str">
        <x:v>Novel layout + seen language</x:v>
      </x:c>
      <x:c r="J183" s="35" t="str">
        <x:v>PVLA-CT-NOV-02</x:v>
      </x:c>
      <x:c r="K183" s="35" t="str"/>
      <x:c r="L183" s="31" t="str">
        <x:v>Make the bowl contain exactly two objects.</x:v>
      </x:c>
      <x:c r="M183" s="31" t="str">
        <x:v>Make the bowl contain exactly two objects.</x:v>
      </x:c>
      <x:c r="N183" s="31" t="str">
        <x:v>C-N04: bowl=[airplane toy without propellers, blue pen, yellow block] (3); table left→right=[green pencil sharpener]; robot home.</x:v>
      </x:c>
      <x:c r="O183" s="31" t="str"/>
      <x:c r="P183" s="31" t="str"/>
      <x:c r="Q183" s="31" t="str"/>
      <x:c r="R183" s="31" t="str"/>
      <x:c r="S183" s="31" t="str">
        <x:f>IF('Blind Scoring'!I183="","",'Blind Scoring'!I183)</x:f>
      </x:c>
      <x:c r="T183" s="31" t="str">
        <x:f>'Blind Scoring'!J183</x:f>
        <x:v>No</x:v>
      </x:c>
      <x:c r="U183" s="31" t="str">
        <x:f>IF('Blind Scoring'!L183="","",'Blind Scoring'!L183)</x:f>
      </x:c>
    </x:row>
    <x:row r="184" ht="44" customHeight="1">
      <x:c r="A184" s="35" t="str">
        <x:v>Not Started</x:v>
      </x:c>
      <x:c r="B184" s="35" t="n">
        <x:v>182</x:v>
      </x:c>
      <x:c r="C184" s="35" t="str">
        <x:v>P03</x:v>
      </x:c>
      <x:c r="D184" s="35" t="n">
        <x:v>59</x:v>
      </x:c>
      <x:c r="E184" s="35" t="str">
        <x:v>Primary VLA</x:v>
      </x:c>
      <x:c r="F184" s="35" t="str">
        <x:v>π0.5</x:v>
      </x:c>
      <x:c r="G184" s="35" t="n">
        <x:v>1</x:v>
      </x:c>
      <x:c r="H184" s="35" t="str">
        <x:v>Counting</x:v>
      </x:c>
      <x:c r="I184" s="35" t="str">
        <x:v>Training reconstruction</x:v>
      </x:c>
      <x:c r="J184" s="35" t="str">
        <x:v>PVLA-CT-REC-02</x:v>
      </x:c>
      <x:c r="K184" s="35" t="str"/>
      <x:c r="L184" s="31" t="str">
        <x:v>Leave no objects in the bowl.</x:v>
      </x:c>
      <x:c r="M184" s="31" t="str">
        <x:v>Leave no objects in the bowl.</x:v>
      </x:c>
      <x:c r="N184" s="31" t="str">
        <x:v>Reconstruct planned final training episode 829: blue pen, yellow block, airplane toy without propellers; start=Recovery. Match camera, calibration, bowl pose, and object geometry exactly.</x:v>
      </x:c>
      <x:c r="O184" s="31" t="str">
        <x:v>blue pen</x:v>
      </x:c>
      <x:c r="P184" s="31" t="str"/>
      <x:c r="Q184" s="31" t="str"/>
      <x:c r="R184" s="31" t="str"/>
      <x:c r="S184" s="31" t="str">
        <x:f>IF('Blind Scoring'!I184="","",'Blind Scoring'!I184)</x:f>
      </x:c>
      <x:c r="T184" s="31" t="str">
        <x:f>'Blind Scoring'!J184</x:f>
        <x:v>No</x:v>
      </x:c>
      <x:c r="U184" s="31" t="str">
        <x:f>IF('Blind Scoring'!L184="","",'Blind Scoring'!L184)</x:f>
      </x:c>
    </x:row>
    <x:row r="185" ht="44" customHeight="1">
      <x:c r="A185" s="35" t="str">
        <x:v>Not Started</x:v>
      </x:c>
      <x:c r="B185" s="35" t="n">
        <x:v>183</x:v>
      </x:c>
      <x:c r="C185" s="35" t="str">
        <x:v>P03</x:v>
      </x:c>
      <x:c r="D185" s="35" t="n">
        <x:v>60</x:v>
      </x:c>
      <x:c r="E185" s="35" t="str">
        <x:v>Primary VLA</x:v>
      </x:c>
      <x:c r="F185" s="35" t="str">
        <x:v>π0.5</x:v>
      </x:c>
      <x:c r="G185" s="35" t="n">
        <x:v>1</x:v>
      </x:c>
      <x:c r="H185" s="35" t="str">
        <x:v>Counting</x:v>
      </x:c>
      <x:c r="I185" s="35" t="str">
        <x:v>Language ablation — blank</x:v>
      </x:c>
      <x:c r="J185" s="35" t="str">
        <x:v>PVLA-CT-ABL-BLK-01</x:v>
      </x:c>
      <x:c r="K185" s="35" t="str">
        <x:v>C-CF01-A</x:v>
      </x:c>
      <x:c r="L185" s="31" t="str">
        <x:v>[EMPTY STRING — provide no instruction tokens]</x:v>
      </x:c>
      <x:c r="M185" s="31" t="str">
        <x:v>Leave exactly one object in the bowl.</x:v>
      </x:c>
      <x:c r="N185" s="31" t="str">
        <x:v>C-CF01A: bowl=[blue pen, yellow block] (2); table=[green pencil sharpener, airplane toy without propellers]; robot home; acceptable action=remove either bowl object.</x:v>
      </x:c>
      <x:c r="O185" s="31" t="str">
        <x:v>No prespecified task success under blank language; record any action/selected target.</x:v>
      </x:c>
      <x:c r="P185" s="31" t="str"/>
      <x:c r="Q185" s="31" t="str"/>
      <x:c r="R185" s="31" t="str"/>
      <x:c r="S185" s="31" t="str">
        <x:f>IF('Blind Scoring'!I185="","",'Blind Scoring'!I185)</x:f>
      </x:c>
      <x:c r="T185" s="31" t="str">
        <x:f>'Blind Scoring'!J185</x:f>
        <x:v>No</x:v>
      </x:c>
      <x:c r="U185" s="31" t="str">
        <x:f>IF('Blind Scoring'!L185="","",'Blind Scoring'!L185)</x:f>
      </x:c>
    </x:row>
    <x:row r="186" ht="44" customHeight="1">
      <x:c r="A186" s="35" t="str">
        <x:v>Not Started</x:v>
      </x:c>
      <x:c r="B186" s="35" t="n">
        <x:v>184</x:v>
      </x:c>
      <x:c r="C186" s="35" t="str">
        <x:v>P03</x:v>
      </x:c>
      <x:c r="D186" s="35" t="n">
        <x:v>61</x:v>
      </x:c>
      <x:c r="E186" s="35" t="str">
        <x:v>Primary VLA</x:v>
      </x:c>
      <x:c r="F186" s="35" t="str">
        <x:v>π0.5</x:v>
      </x:c>
      <x:c r="G186" s="35" t="n">
        <x:v>1</x:v>
      </x:c>
      <x:c r="H186" s="35" t="str">
        <x:v>Counting</x:v>
      </x:c>
      <x:c r="I186" s="35" t="str">
        <x:v>Language ablation — counterfactual</x:v>
      </x:c>
      <x:c r="J186" s="35" t="str">
        <x:v>PVLA-CT-ABL-CF-03</x:v>
      </x:c>
      <x:c r="K186" s="35" t="str">
        <x:v>C-CF06-A</x:v>
      </x:c>
      <x:c r="L186" s="31" t="str">
        <x:v>Leave exactly three objects in the bowl.</x:v>
      </x:c>
      <x:c r="M186" s="31" t="str">
        <x:v>Leave exactly three objects in the bowl.</x:v>
      </x:c>
      <x:c r="N186" s="31" t="str">
        <x:v>C-CF06A: bowl=[yellow block, green pencil sharpener] (2); table=[airplane toy without propellers, blue pen]; robot home; acceptable action=remove either bowl object.</x:v>
      </x:c>
      <x:c r="O186" s="31" t="str">
        <x:v>ADD one table object</x:v>
      </x:c>
      <x:c r="P186" s="31" t="str"/>
      <x:c r="Q186" s="31" t="str"/>
      <x:c r="R186" s="31" t="str"/>
      <x:c r="S186" s="31" t="str">
        <x:f>IF('Blind Scoring'!I186="","",'Blind Scoring'!I186)</x:f>
      </x:c>
      <x:c r="T186" s="31" t="str">
        <x:f>'Blind Scoring'!J186</x:f>
        <x:v>No</x:v>
      </x:c>
      <x:c r="U186" s="31" t="str">
        <x:f>IF('Blind Scoring'!L186="","",'Blind Scoring'!L186)</x:f>
      </x:c>
    </x:row>
    <x:row r="187" ht="44" customHeight="1">
      <x:c r="A187" s="35" t="str">
        <x:v>Not Started</x:v>
      </x:c>
      <x:c r="B187" s="35" t="n">
        <x:v>185</x:v>
      </x:c>
      <x:c r="C187" s="35" t="str">
        <x:v>P03</x:v>
      </x:c>
      <x:c r="D187" s="35" t="n">
        <x:v>62</x:v>
      </x:c>
      <x:c r="E187" s="35" t="str">
        <x:v>Primary VLA</x:v>
      </x:c>
      <x:c r="F187" s="35" t="str">
        <x:v>π0.5</x:v>
      </x:c>
      <x:c r="G187" s="35" t="n">
        <x:v>1</x:v>
      </x:c>
      <x:c r="H187" s="35" t="str">
        <x:v>Counting</x:v>
      </x:c>
      <x:c r="I187" s="35" t="str">
        <x:v>Exact-scene paraphrase</x:v>
      </x:c>
      <x:c r="J187" s="35" t="str">
        <x:v>PVLA-CT-PAR-01</x:v>
      </x:c>
      <x:c r="K187" s="35" t="str"/>
      <x:c r="L187" s="31" t="str">
        <x:v>Finish with two objects in the bowl.</x:v>
      </x:c>
      <x:c r="M187" s="31" t="str">
        <x:v>Finish with two objects in the bowl.</x:v>
      </x:c>
      <x:c r="N187" s="31" t="str">
        <x:v>C-N01: bowl=[blue pen] (1); table left→right=[yellow block, green pencil sharpener, airplane toy without propellers]; robot home.</x:v>
      </x:c>
      <x:c r="O187" s="31" t="str"/>
      <x:c r="P187" s="31" t="str"/>
      <x:c r="Q187" s="31" t="str"/>
      <x:c r="R187" s="31" t="str"/>
      <x:c r="S187" s="31" t="str">
        <x:f>IF('Blind Scoring'!I187="","",'Blind Scoring'!I187)</x:f>
      </x:c>
      <x:c r="T187" s="31" t="str">
        <x:f>'Blind Scoring'!J187</x:f>
        <x:v>No</x:v>
      </x:c>
      <x:c r="U187" s="31" t="str">
        <x:f>IF('Blind Scoring'!L187="","",'Blind Scoring'!L187)</x:f>
      </x:c>
    </x:row>
    <x:row r="188" ht="44" customHeight="1">
      <x:c r="A188" s="35" t="str">
        <x:v>Not Started</x:v>
      </x:c>
      <x:c r="B188" s="35" t="n">
        <x:v>186</x:v>
      </x:c>
      <x:c r="C188" s="35" t="str">
        <x:v>P04</x:v>
      </x:c>
      <x:c r="D188" s="35" t="n">
        <x:v>1</x:v>
      </x:c>
      <x:c r="E188" s="35" t="str">
        <x:v>Primary VLA</x:v>
      </x:c>
      <x:c r="F188" s="35" t="str">
        <x:v>VLA-0</x:v>
      </x:c>
      <x:c r="G188" s="35" t="n">
        <x:v>1</x:v>
      </x:c>
      <x:c r="H188" s="35" t="str">
        <x:v>Relational Placement</x:v>
      </x:c>
      <x:c r="I188" s="35" t="str">
        <x:v>Main held-out transfer</x:v>
      </x:c>
      <x:c r="J188" s="35" t="str">
        <x:v>PVLA-RP-TR-11</x:v>
      </x:c>
      <x:c r="K188" s="35" t="str">
        <x:v>R-CF20</x:v>
      </x:c>
      <x:c r="L188" s="31" t="str">
        <x:v>Place the red block in front of the green pen.</x:v>
      </x:c>
      <x:c r="M188" s="31" t="str">
        <x:v>Place the red block in front of the green pen.</x:v>
      </x:c>
      <x:c r="N188" s="31" t="str">
        <x:v>R-CF20-HELD: green pen at front-right [REFERENCE]; red block starts 21 cm behind the reference [TARGET START]; blue block and pink marker are distractors outside the commanded goal sector.</x:v>
      </x:c>
      <x:c r="O188" s="31" t="str">
        <x:v>red block → in front of green pen</x:v>
      </x:c>
      <x:c r="P188" s="31" t="str"/>
      <x:c r="Q188" s="31" t="str"/>
      <x:c r="R188" s="31" t="str"/>
      <x:c r="S188" s="31" t="str">
        <x:f>IF('Blind Scoring'!I188="","",'Blind Scoring'!I188)</x:f>
      </x:c>
      <x:c r="T188" s="31" t="str">
        <x:f>'Blind Scoring'!J188</x:f>
        <x:v>No</x:v>
      </x:c>
      <x:c r="U188" s="31" t="str">
        <x:f>IF('Blind Scoring'!L188="","",'Blind Scoring'!L188)</x:f>
      </x:c>
    </x:row>
    <x:row r="189" ht="44" customHeight="1">
      <x:c r="A189" s="35" t="str">
        <x:v>Not Started</x:v>
      </x:c>
      <x:c r="B189" s="35" t="n">
        <x:v>187</x:v>
      </x:c>
      <x:c r="C189" s="35" t="str">
        <x:v>P04</x:v>
      </x:c>
      <x:c r="D189" s="35" t="n">
        <x:v>2</x:v>
      </x:c>
      <x:c r="E189" s="35" t="str">
        <x:v>Primary VLA</x:v>
      </x:c>
      <x:c r="F189" s="35" t="str">
        <x:v>VLA-0</x:v>
      </x:c>
      <x:c r="G189" s="35" t="n">
        <x:v>1</x:v>
      </x:c>
      <x:c r="H189" s="35" t="str">
        <x:v>Relational Placement</x:v>
      </x:c>
      <x:c r="I189" s="35" t="str">
        <x:v>Novel layout + seen language</x:v>
      </x:c>
      <x:c r="J189" s="35" t="str">
        <x:v>PVLA-RP-NOV-01</x:v>
      </x:c>
      <x:c r="K189" s="35" t="str"/>
      <x:c r="L189" s="31" t="str">
        <x:v>Place the blue block in front of the green pen.</x:v>
      </x:c>
      <x:c r="M189" s="31" t="str">
        <x:v>Place the blue block in front of the green pen.</x:v>
      </x:c>
      <x:c r="N189" s="31" t="str">
        <x:v>R-S01: green pen at center [REFERENCE]; blue block starts 24 cm behind the reference [TARGET START]; remaining objects are distractors with ≥12 cm clearance from the target path and commanded goal sector.</x:v>
      </x:c>
      <x:c r="O189" s="31" t="str">
        <x:v>blue block</x:v>
      </x:c>
      <x:c r="P189" s="31" t="str"/>
      <x:c r="Q189" s="31" t="str"/>
      <x:c r="R189" s="31" t="str"/>
      <x:c r="S189" s="31" t="str">
        <x:f>IF('Blind Scoring'!I189="","",'Blind Scoring'!I189)</x:f>
      </x:c>
      <x:c r="T189" s="31" t="str">
        <x:f>'Blind Scoring'!J189</x:f>
        <x:v>No</x:v>
      </x:c>
      <x:c r="U189" s="31" t="str">
        <x:f>IF('Blind Scoring'!L189="","",'Blind Scoring'!L189)</x:f>
      </x:c>
    </x:row>
    <x:row r="190" ht="44" customHeight="1">
      <x:c r="A190" s="35" t="str">
        <x:v>Not Started</x:v>
      </x:c>
      <x:c r="B190" s="35" t="n">
        <x:v>188</x:v>
      </x:c>
      <x:c r="C190" s="35" t="str">
        <x:v>P04</x:v>
      </x:c>
      <x:c r="D190" s="35" t="n">
        <x:v>3</x:v>
      </x:c>
      <x:c r="E190" s="35" t="str">
        <x:v>Primary VLA</x:v>
      </x:c>
      <x:c r="F190" s="35" t="str">
        <x:v>VLA-0</x:v>
      </x:c>
      <x:c r="G190" s="35" t="n">
        <x:v>1</x:v>
      </x:c>
      <x:c r="H190" s="35" t="str">
        <x:v>Relational Placement</x:v>
      </x:c>
      <x:c r="I190" s="35" t="str">
        <x:v>Main matched control</x:v>
      </x:c>
      <x:c r="J190" s="35" t="str">
        <x:v>PVLA-RP-CTL-05</x:v>
      </x:c>
      <x:c r="K190" s="35" t="str">
        <x:v>R-CF09</x:v>
      </x:c>
      <x:c r="L190" s="31" t="str">
        <x:v>Place the green pen beside the red block.</x:v>
      </x:c>
      <x:c r="M190" s="31" t="str">
        <x:v>Place the green pen beside the red block.</x:v>
      </x:c>
      <x:c r="N190" s="31" t="str">
        <x:v>R-CF09-CTRL: red block at front-left [REFERENCE]; green pen starts 24 cm behind the reference [TARGET START]; pink marker and blue block are distractors outside the commanded goal sector.</x:v>
      </x:c>
      <x:c r="O190" s="31" t="str">
        <x:v>green pen near red block</x:v>
      </x:c>
      <x:c r="P190" s="31" t="str"/>
      <x:c r="Q190" s="31" t="str"/>
      <x:c r="R190" s="31" t="str"/>
      <x:c r="S190" s="31" t="str">
        <x:f>IF('Blind Scoring'!I190="","",'Blind Scoring'!I190)</x:f>
      </x:c>
      <x:c r="T190" s="31" t="str">
        <x:f>'Blind Scoring'!J190</x:f>
        <x:v>No</x:v>
      </x:c>
      <x:c r="U190" s="31" t="str">
        <x:f>IF('Blind Scoring'!L190="","",'Blind Scoring'!L190)</x:f>
      </x:c>
    </x:row>
    <x:row r="191" ht="44" customHeight="1">
      <x:c r="A191" s="35" t="str">
        <x:v>Not Started</x:v>
      </x:c>
      <x:c r="B191" s="35" t="n">
        <x:v>189</x:v>
      </x:c>
      <x:c r="C191" s="35" t="str">
        <x:v>P04</x:v>
      </x:c>
      <x:c r="D191" s="35" t="n">
        <x:v>4</x:v>
      </x:c>
      <x:c r="E191" s="35" t="str">
        <x:v>Primary VLA</x:v>
      </x:c>
      <x:c r="F191" s="35" t="str">
        <x:v>VLA-0</x:v>
      </x:c>
      <x:c r="G191" s="35" t="n">
        <x:v>1</x:v>
      </x:c>
      <x:c r="H191" s="35" t="str">
        <x:v>Relational Placement</x:v>
      </x:c>
      <x:c r="I191" s="35" t="str">
        <x:v>Language ablation — blank</x:v>
      </x:c>
      <x:c r="J191" s="35" t="str">
        <x:v>PVLA-RP-ABL-BLK-01</x:v>
      </x:c>
      <x:c r="K191" s="35" t="str">
        <x:v>R-CF01</x:v>
      </x:c>
      <x:c r="L191" s="31" t="str">
        <x:v>[EMPTY STRING — provide no instruction tokens]</x:v>
      </x:c>
      <x:c r="M191" s="31" t="str">
        <x:v>Place the green pen in front of the red block.</x:v>
      </x:c>
      <x:c r="N191" s="31" t="str">
        <x:v>R-CF01-HELD: red block at center [REFERENCE]; green pen starts 18 cm behind the reference [TARGET START]; pink marker and blue block are distractors outside the commanded goal sector.</x:v>
      </x:c>
      <x:c r="O191" s="31" t="str">
        <x:v>No prespecified task success under blank language; record any action/selected target.</x:v>
      </x:c>
      <x:c r="P191" s="31" t="str"/>
      <x:c r="Q191" s="31" t="str"/>
      <x:c r="R191" s="31" t="str"/>
      <x:c r="S191" s="31" t="str">
        <x:f>IF('Blind Scoring'!I191="","",'Blind Scoring'!I191)</x:f>
      </x:c>
      <x:c r="T191" s="31" t="str">
        <x:f>'Blind Scoring'!J191</x:f>
        <x:v>No</x:v>
      </x:c>
      <x:c r="U191" s="31" t="str">
        <x:f>IF('Blind Scoring'!L191="","",'Blind Scoring'!L191)</x:f>
      </x:c>
    </x:row>
    <x:row r="192" ht="44" customHeight="1">
      <x:c r="A192" s="35" t="str">
        <x:v>Not Started</x:v>
      </x:c>
      <x:c r="B192" s="35" t="n">
        <x:v>190</x:v>
      </x:c>
      <x:c r="C192" s="35" t="str">
        <x:v>P04</x:v>
      </x:c>
      <x:c r="D192" s="35" t="n">
        <x:v>5</x:v>
      </x:c>
      <x:c r="E192" s="35" t="str">
        <x:v>Primary VLA</x:v>
      </x:c>
      <x:c r="F192" s="35" t="str">
        <x:v>VLA-0</x:v>
      </x:c>
      <x:c r="G192" s="35" t="n">
        <x:v>1</x:v>
      </x:c>
      <x:c r="H192" s="35" t="str">
        <x:v>Relational Placement</x:v>
      </x:c>
      <x:c r="I192" s="35" t="str">
        <x:v>Main matched control</x:v>
      </x:c>
      <x:c r="J192" s="35" t="str">
        <x:v>PVLA-RP-CTL-10</x:v>
      </x:c>
      <x:c r="K192" s="35" t="str">
        <x:v>R-CF18</x:v>
      </x:c>
      <x:c r="L192" s="31" t="str">
        <x:v>Place the red block beside the green pen.</x:v>
      </x:c>
      <x:c r="M192" s="31" t="str">
        <x:v>Place the red block beside the green pen.</x:v>
      </x:c>
      <x:c r="N192" s="31" t="str">
        <x:v>R-CF18-CTRL: green pen at back-right [REFERENCE]; red block starts 24 cm in front of the reference [TARGET START]; blue block and pink marker are distractors outside the commanded goal sector.</x:v>
      </x:c>
      <x:c r="O192" s="31" t="str">
        <x:v>red block near green pen</x:v>
      </x:c>
      <x:c r="P192" s="31" t="str"/>
      <x:c r="Q192" s="31" t="str"/>
      <x:c r="R192" s="31" t="str"/>
      <x:c r="S192" s="31" t="str">
        <x:f>IF('Blind Scoring'!I192="","",'Blind Scoring'!I192)</x:f>
      </x:c>
      <x:c r="T192" s="31" t="str">
        <x:f>'Blind Scoring'!J192</x:f>
        <x:v>No</x:v>
      </x:c>
      <x:c r="U192" s="31" t="str">
        <x:f>IF('Blind Scoring'!L192="","",'Blind Scoring'!L192)</x:f>
      </x:c>
    </x:row>
    <x:row r="193" ht="44" customHeight="1">
      <x:c r="A193" s="35" t="str">
        <x:v>Not Started</x:v>
      </x:c>
      <x:c r="B193" s="35" t="n">
        <x:v>191</x:v>
      </x:c>
      <x:c r="C193" s="35" t="str">
        <x:v>P04</x:v>
      </x:c>
      <x:c r="D193" s="35" t="n">
        <x:v>6</x:v>
      </x:c>
      <x:c r="E193" s="35" t="str">
        <x:v>Primary VLA</x:v>
      </x:c>
      <x:c r="F193" s="35" t="str">
        <x:v>VLA-0</x:v>
      </x:c>
      <x:c r="G193" s="35" t="n">
        <x:v>1</x:v>
      </x:c>
      <x:c r="H193" s="35" t="str">
        <x:v>Relational Placement</x:v>
      </x:c>
      <x:c r="I193" s="35" t="str">
        <x:v>Main held-out transfer</x:v>
      </x:c>
      <x:c r="J193" s="35" t="str">
        <x:v>PVLA-RP-TR-15</x:v>
      </x:c>
      <x:c r="K193" s="35" t="str">
        <x:v>R-CF28</x:v>
      </x:c>
      <x:c r="L193" s="31" t="str">
        <x:v>Place the red block in front of the green pen.</x:v>
      </x:c>
      <x:c r="M193" s="31" t="str">
        <x:v>Place the red block in front of the green pen.</x:v>
      </x:c>
      <x:c r="N193" s="31" t="str">
        <x:v>R-CF28-HELD: green pen at back-right [REFERENCE]; red block starts 18 cm behind the reference [TARGET START]; blue block and pink marker are distractors outside the commanded goal sector.</x:v>
      </x:c>
      <x:c r="O193" s="31" t="str">
        <x:v>red block → in front of green pen</x:v>
      </x:c>
      <x:c r="P193" s="31" t="str"/>
      <x:c r="Q193" s="31" t="str"/>
      <x:c r="R193" s="31" t="str"/>
      <x:c r="S193" s="31" t="str">
        <x:f>IF('Blind Scoring'!I193="","",'Blind Scoring'!I193)</x:f>
      </x:c>
      <x:c r="T193" s="31" t="str">
        <x:f>'Blind Scoring'!J193</x:f>
        <x:v>No</x:v>
      </x:c>
      <x:c r="U193" s="31" t="str">
        <x:f>IF('Blind Scoring'!L193="","",'Blind Scoring'!L193)</x:f>
      </x:c>
    </x:row>
    <x:row r="194" ht="44" customHeight="1">
      <x:c r="A194" s="35" t="str">
        <x:v>Not Started</x:v>
      </x:c>
      <x:c r="B194" s="35" t="n">
        <x:v>192</x:v>
      </x:c>
      <x:c r="C194" s="35" t="str">
        <x:v>P04</x:v>
      </x:c>
      <x:c r="D194" s="35" t="n">
        <x:v>7</x:v>
      </x:c>
      <x:c r="E194" s="35" t="str">
        <x:v>Primary VLA</x:v>
      </x:c>
      <x:c r="F194" s="35" t="str">
        <x:v>VLA-0</x:v>
      </x:c>
      <x:c r="G194" s="35" t="n">
        <x:v>1</x:v>
      </x:c>
      <x:c r="H194" s="35" t="str">
        <x:v>Relational Placement</x:v>
      </x:c>
      <x:c r="I194" s="35" t="str">
        <x:v>Training reconstruction</x:v>
      </x:c>
      <x:c r="J194" s="35" t="str">
        <x:v>PVLA-RP-REC-01</x:v>
      </x:c>
      <x:c r="K194" s="35" t="str"/>
      <x:c r="L194" s="31" t="str">
        <x:v>Move the green pen to the front of the pink marker.</x:v>
      </x:c>
      <x:c r="M194" s="31" t="str">
        <x:v>Move the green pen to the front of the pink marker.</x:v>
      </x:c>
      <x:c r="N194" s="31" t="str">
        <x:v>Reconstruct planned final training episode 204: green pen, pink marker; start=Home. Match camera, calibration, bowl pose, and object geometry exactly.</x:v>
      </x:c>
      <x:c r="O194" s="31" t="str">
        <x:v>green pen</x:v>
      </x:c>
      <x:c r="P194" s="31" t="str"/>
      <x:c r="Q194" s="31" t="str"/>
      <x:c r="R194" s="31" t="str"/>
      <x:c r="S194" s="31" t="str">
        <x:f>IF('Blind Scoring'!I194="","",'Blind Scoring'!I194)</x:f>
      </x:c>
      <x:c r="T194" s="31" t="str">
        <x:f>'Blind Scoring'!J194</x:f>
        <x:v>No</x:v>
      </x:c>
      <x:c r="U194" s="31" t="str">
        <x:f>IF('Blind Scoring'!L194="","",'Blind Scoring'!L194)</x:f>
      </x:c>
    </x:row>
    <x:row r="195" ht="44" customHeight="1">
      <x:c r="A195" s="35" t="str">
        <x:v>Not Started</x:v>
      </x:c>
      <x:c r="B195" s="35" t="n">
        <x:v>193</x:v>
      </x:c>
      <x:c r="C195" s="35" t="str">
        <x:v>P04</x:v>
      </x:c>
      <x:c r="D195" s="35" t="n">
        <x:v>8</x:v>
      </x:c>
      <x:c r="E195" s="35" t="str">
        <x:v>Primary VLA</x:v>
      </x:c>
      <x:c r="F195" s="35" t="str">
        <x:v>VLA-0</x:v>
      </x:c>
      <x:c r="G195" s="35" t="n">
        <x:v>1</x:v>
      </x:c>
      <x:c r="H195" s="35" t="str">
        <x:v>Relational Placement</x:v>
      </x:c>
      <x:c r="I195" s="35" t="str">
        <x:v>Exact-scene paraphrase</x:v>
      </x:c>
      <x:c r="J195" s="35" t="str">
        <x:v>PVLA-RP-PAR-02</x:v>
      </x:c>
      <x:c r="K195" s="35" t="str"/>
      <x:c r="L195" s="31" t="str">
        <x:v>Move the red block to the side of the pink marker facing the robot.</x:v>
      </x:c>
      <x:c r="M195" s="31" t="str">
        <x:v>Move the red block to the side of the pink marker facing the robot.</x:v>
      </x:c>
      <x:c r="N195" s="31" t="str">
        <x:v>R-P01: pink marker at center [REFERENCE]; red block starts 21 cm behind the reference [TARGET START]; remaining objects are distractors with ≥12 cm clearance from the target path and commanded goal sector.</x:v>
      </x:c>
      <x:c r="O195" s="31" t="str">
        <x:v>red block</x:v>
      </x:c>
      <x:c r="P195" s="31" t="str"/>
      <x:c r="Q195" s="31" t="str"/>
      <x:c r="R195" s="31" t="str"/>
      <x:c r="S195" s="31" t="str">
        <x:f>IF('Blind Scoring'!I195="","",'Blind Scoring'!I195)</x:f>
      </x:c>
      <x:c r="T195" s="31" t="str">
        <x:f>'Blind Scoring'!J195</x:f>
        <x:v>No</x:v>
      </x:c>
      <x:c r="U195" s="31" t="str">
        <x:f>IF('Blind Scoring'!L195="","",'Blind Scoring'!L195)</x:f>
      </x:c>
    </x:row>
    <x:row r="196" ht="44" customHeight="1">
      <x:c r="A196" s="35" t="str">
        <x:v>Not Started</x:v>
      </x:c>
      <x:c r="B196" s="35" t="n">
        <x:v>194</x:v>
      </x:c>
      <x:c r="C196" s="35" t="str">
        <x:v>P04</x:v>
      </x:c>
      <x:c r="D196" s="35" t="n">
        <x:v>9</x:v>
      </x:c>
      <x:c r="E196" s="35" t="str">
        <x:v>Primary VLA</x:v>
      </x:c>
      <x:c r="F196" s="35" t="str">
        <x:v>VLA-0</x:v>
      </x:c>
      <x:c r="G196" s="35" t="n">
        <x:v>1</x:v>
      </x:c>
      <x:c r="H196" s="35" t="str">
        <x:v>Relational Placement</x:v>
      </x:c>
      <x:c r="I196" s="35" t="str">
        <x:v>Main matched control</x:v>
      </x:c>
      <x:c r="J196" s="35" t="str">
        <x:v>PVLA-RP-CTL-12</x:v>
      </x:c>
      <x:c r="K196" s="35" t="str">
        <x:v>R-CF22</x:v>
      </x:c>
      <x:c r="L196" s="31" t="str">
        <x:v>Place the red block near the green pen.</x:v>
      </x:c>
      <x:c r="M196" s="31" t="str">
        <x:v>Place the red block near the green pen.</x:v>
      </x:c>
      <x:c r="N196" s="31" t="str">
        <x:v>R-CF22-CTRL: green pen at back-left [REFERENCE]; red block starts 18 cm to the left of the reference [TARGET START]; blue block and pink marker are distractors outside the commanded goal sector.</x:v>
      </x:c>
      <x:c r="O196" s="31" t="str">
        <x:v>red block near green pen</x:v>
      </x:c>
      <x:c r="P196" s="31" t="str"/>
      <x:c r="Q196" s="31" t="str"/>
      <x:c r="R196" s="31" t="str"/>
      <x:c r="S196" s="31" t="str">
        <x:f>IF('Blind Scoring'!I196="","",'Blind Scoring'!I196)</x:f>
      </x:c>
      <x:c r="T196" s="31" t="str">
        <x:f>'Blind Scoring'!J196</x:f>
        <x:v>No</x:v>
      </x:c>
      <x:c r="U196" s="31" t="str">
        <x:f>IF('Blind Scoring'!L196="","",'Blind Scoring'!L196)</x:f>
      </x:c>
    </x:row>
    <x:row r="197" ht="44" customHeight="1">
      <x:c r="A197" s="35" t="str">
        <x:v>Not Started</x:v>
      </x:c>
      <x:c r="B197" s="35" t="n">
        <x:v>195</x:v>
      </x:c>
      <x:c r="C197" s="35" t="str">
        <x:v>P04</x:v>
      </x:c>
      <x:c r="D197" s="35" t="n">
        <x:v>10</x:v>
      </x:c>
      <x:c r="E197" s="35" t="str">
        <x:v>Primary VLA</x:v>
      </x:c>
      <x:c r="F197" s="35" t="str">
        <x:v>VLA-0</x:v>
      </x:c>
      <x:c r="G197" s="35" t="n">
        <x:v>1</x:v>
      </x:c>
      <x:c r="H197" s="35" t="str">
        <x:v>Relational Placement</x:v>
      </x:c>
      <x:c r="I197" s="35" t="str">
        <x:v>Main matched control</x:v>
      </x:c>
      <x:c r="J197" s="35" t="str">
        <x:v>PVLA-RP-CTL-02</x:v>
      </x:c>
      <x:c r="K197" s="35" t="str">
        <x:v>R-CF03</x:v>
      </x:c>
      <x:c r="L197" s="31" t="str">
        <x:v>Place the green pen beside the red block.</x:v>
      </x:c>
      <x:c r="M197" s="31" t="str">
        <x:v>Place the green pen beside the red block.</x:v>
      </x:c>
      <x:c r="N197" s="31" t="str">
        <x:v>R-CF03-CTRL: red block at back-right [REFERENCE]; green pen starts 24 cm to the left of the reference [TARGET START]; pink marker and blue block are distractors outside the commanded goal sector.</x:v>
      </x:c>
      <x:c r="O197" s="31" t="str">
        <x:v>green pen near red block</x:v>
      </x:c>
      <x:c r="P197" s="31" t="str"/>
      <x:c r="Q197" s="31" t="str"/>
      <x:c r="R197" s="31" t="str"/>
      <x:c r="S197" s="31" t="str">
        <x:f>IF('Blind Scoring'!I197="","",'Blind Scoring'!I197)</x:f>
      </x:c>
      <x:c r="T197" s="31" t="str">
        <x:f>'Blind Scoring'!J197</x:f>
        <x:v>No</x:v>
      </x:c>
      <x:c r="U197" s="31" t="str">
        <x:f>IF('Blind Scoring'!L197="","",'Blind Scoring'!L197)</x:f>
      </x:c>
    </x:row>
    <x:row r="198" ht="44" customHeight="1">
      <x:c r="A198" s="35" t="str">
        <x:v>Not Started</x:v>
      </x:c>
      <x:c r="B198" s="35" t="n">
        <x:v>196</x:v>
      </x:c>
      <x:c r="C198" s="35" t="str">
        <x:v>P04</x:v>
      </x:c>
      <x:c r="D198" s="35" t="n">
        <x:v>11</x:v>
      </x:c>
      <x:c r="E198" s="35" t="str">
        <x:v>Primary VLA</x:v>
      </x:c>
      <x:c r="F198" s="35" t="str">
        <x:v>VLA-0</x:v>
      </x:c>
      <x:c r="G198" s="35" t="n">
        <x:v>1</x:v>
      </x:c>
      <x:c r="H198" s="35" t="str">
        <x:v>Relational Placement</x:v>
      </x:c>
      <x:c r="I198" s="35" t="str">
        <x:v>Main held-out transfer</x:v>
      </x:c>
      <x:c r="J198" s="35" t="str">
        <x:v>PVLA-RP-TR-08</x:v>
      </x:c>
      <x:c r="K198" s="35" t="str">
        <x:v>R-CF15</x:v>
      </x:c>
      <x:c r="L198" s="31" t="str">
        <x:v>Place the green pen behind the red block.</x:v>
      </x:c>
      <x:c r="M198" s="31" t="str">
        <x:v>Place the green pen behind the red block.</x:v>
      </x:c>
      <x:c r="N198" s="31" t="str">
        <x:v>R-CF15-HELD: red block at front-right [REFERENCE]; green pen starts 24 cm in front of the reference [TARGET START]; pink marker and blue block are distractors outside the commanded goal sector.</x:v>
      </x:c>
      <x:c r="O198" s="31" t="str">
        <x:v>green pen → behind red block</x:v>
      </x:c>
      <x:c r="P198" s="31" t="str"/>
      <x:c r="Q198" s="31" t="str"/>
      <x:c r="R198" s="31" t="str"/>
      <x:c r="S198" s="31" t="str">
        <x:f>IF('Blind Scoring'!I198="","",'Blind Scoring'!I198)</x:f>
      </x:c>
      <x:c r="T198" s="31" t="str">
        <x:f>'Blind Scoring'!J198</x:f>
        <x:v>No</x:v>
      </x:c>
      <x:c r="U198" s="31" t="str">
        <x:f>IF('Blind Scoring'!L198="","",'Blind Scoring'!L198)</x:f>
      </x:c>
    </x:row>
    <x:row r="199" ht="44" customHeight="1">
      <x:c r="A199" s="35" t="str">
        <x:v>Not Started</x:v>
      </x:c>
      <x:c r="B199" s="35" t="n">
        <x:v>197</x:v>
      </x:c>
      <x:c r="C199" s="35" t="str">
        <x:v>P04</x:v>
      </x:c>
      <x:c r="D199" s="35" t="n">
        <x:v>12</x:v>
      </x:c>
      <x:c r="E199" s="35" t="str">
        <x:v>Primary VLA</x:v>
      </x:c>
      <x:c r="F199" s="35" t="str">
        <x:v>VLA-0</x:v>
      </x:c>
      <x:c r="G199" s="35" t="n">
        <x:v>1</x:v>
      </x:c>
      <x:c r="H199" s="35" t="str">
        <x:v>Relational Placement</x:v>
      </x:c>
      <x:c r="I199" s="35" t="str">
        <x:v>Exact-scene paraphrase</x:v>
      </x:c>
      <x:c r="J199" s="35" t="str">
        <x:v>PVLA-RP-PAR-06</x:v>
      </x:c>
      <x:c r="K199" s="35" t="str"/>
      <x:c r="L199" s="31" t="str">
        <x:v>Move the red block to the side of the pink marker facing the robot.</x:v>
      </x:c>
      <x:c r="M199" s="31" t="str">
        <x:v>Move the red block to the side of the pink marker facing the robot.</x:v>
      </x:c>
      <x:c r="N199" s="31" t="str">
        <x:v>R-P01: pink marker at center [REFERENCE]; red block starts 21 cm behind the reference [TARGET START]; remaining objects are distractors with ≥12 cm clearance from the target path and commanded goal sector.</x:v>
      </x:c>
      <x:c r="O199" s="31" t="str">
        <x:v>red block</x:v>
      </x:c>
      <x:c r="P199" s="31" t="str"/>
      <x:c r="Q199" s="31" t="str"/>
      <x:c r="R199" s="31" t="str"/>
      <x:c r="S199" s="31" t="str">
        <x:f>IF('Blind Scoring'!I199="","",'Blind Scoring'!I199)</x:f>
      </x:c>
      <x:c r="T199" s="31" t="str">
        <x:f>'Blind Scoring'!J199</x:f>
        <x:v>No</x:v>
      </x:c>
      <x:c r="U199" s="31" t="str">
        <x:f>IF('Blind Scoring'!L199="","",'Blind Scoring'!L199)</x:f>
      </x:c>
    </x:row>
    <x:row r="200" ht="44" customHeight="1">
      <x:c r="A200" s="35" t="str">
        <x:v>Not Started</x:v>
      </x:c>
      <x:c r="B200" s="35" t="n">
        <x:v>198</x:v>
      </x:c>
      <x:c r="C200" s="35" t="str">
        <x:v>P04</x:v>
      </x:c>
      <x:c r="D200" s="35" t="n">
        <x:v>13</x:v>
      </x:c>
      <x:c r="E200" s="35" t="str">
        <x:v>Primary VLA</x:v>
      </x:c>
      <x:c r="F200" s="35" t="str">
        <x:v>VLA-0</x:v>
      </x:c>
      <x:c r="G200" s="35" t="n">
        <x:v>1</x:v>
      </x:c>
      <x:c r="H200" s="35" t="str">
        <x:v>Relational Placement</x:v>
      </x:c>
      <x:c r="I200" s="35" t="str">
        <x:v>Main held-out transfer</x:v>
      </x:c>
      <x:c r="J200" s="35" t="str">
        <x:v>PVLA-RP-TR-05</x:v>
      </x:c>
      <x:c r="K200" s="35" t="str">
        <x:v>R-CF09</x:v>
      </x:c>
      <x:c r="L200" s="31" t="str">
        <x:v>Place the green pen in front of the red block.</x:v>
      </x:c>
      <x:c r="M200" s="31" t="str">
        <x:v>Place the green pen in front of the red block.</x:v>
      </x:c>
      <x:c r="N200" s="31" t="str">
        <x:v>R-CF09-HELD: red block at front-left [REFERENCE]; green pen starts 24 cm behind the reference [TARGET START]; pink marker and blue block are distractors outside the commanded goal sector.</x:v>
      </x:c>
      <x:c r="O200" s="31" t="str">
        <x:v>green pen → in front of red block</x:v>
      </x:c>
      <x:c r="P200" s="31" t="str"/>
      <x:c r="Q200" s="31" t="str"/>
      <x:c r="R200" s="31" t="str"/>
      <x:c r="S200" s="31" t="str">
        <x:f>IF('Blind Scoring'!I200="","",'Blind Scoring'!I200)</x:f>
      </x:c>
      <x:c r="T200" s="31" t="str">
        <x:f>'Blind Scoring'!J200</x:f>
        <x:v>No</x:v>
      </x:c>
      <x:c r="U200" s="31" t="str">
        <x:f>IF('Blind Scoring'!L200="","",'Blind Scoring'!L200)</x:f>
      </x:c>
    </x:row>
    <x:row r="201" ht="44" customHeight="1">
      <x:c r="A201" s="35" t="str">
        <x:v>Not Started</x:v>
      </x:c>
      <x:c r="B201" s="35" t="n">
        <x:v>199</x:v>
      </x:c>
      <x:c r="C201" s="35" t="str">
        <x:v>P04</x:v>
      </x:c>
      <x:c r="D201" s="35" t="n">
        <x:v>14</x:v>
      </x:c>
      <x:c r="E201" s="35" t="str">
        <x:v>Primary VLA</x:v>
      </x:c>
      <x:c r="F201" s="35" t="str">
        <x:v>VLA-0</x:v>
      </x:c>
      <x:c r="G201" s="35" t="n">
        <x:v>1</x:v>
      </x:c>
      <x:c r="H201" s="35" t="str">
        <x:v>Relational Placement</x:v>
      </x:c>
      <x:c r="I201" s="35" t="str">
        <x:v>Main matched control</x:v>
      </x:c>
      <x:c r="J201" s="35" t="str">
        <x:v>PVLA-RP-CTL-07</x:v>
      </x:c>
      <x:c r="K201" s="35" t="str">
        <x:v>R-CF13</x:v>
      </x:c>
      <x:c r="L201" s="31" t="str">
        <x:v>Place the green pen near the red block.</x:v>
      </x:c>
      <x:c r="M201" s="31" t="str">
        <x:v>Place the green pen near the red block.</x:v>
      </x:c>
      <x:c r="N201" s="31" t="str">
        <x:v>R-CF13-CTRL: red block at back-right [REFERENCE]; green pen starts 18 cm to the right of the reference [TARGET START]; pink marker and blue block are distractors outside the commanded goal sector.</x:v>
      </x:c>
      <x:c r="O201" s="31" t="str">
        <x:v>green pen near red block</x:v>
      </x:c>
      <x:c r="P201" s="31" t="str"/>
      <x:c r="Q201" s="31" t="str"/>
      <x:c r="R201" s="31" t="str"/>
      <x:c r="S201" s="31" t="str">
        <x:f>IF('Blind Scoring'!I201="","",'Blind Scoring'!I201)</x:f>
      </x:c>
      <x:c r="T201" s="31" t="str">
        <x:f>'Blind Scoring'!J201</x:f>
        <x:v>No</x:v>
      </x:c>
      <x:c r="U201" s="31" t="str">
        <x:f>IF('Blind Scoring'!L201="","",'Blind Scoring'!L201)</x:f>
      </x:c>
    </x:row>
    <x:row r="202" ht="44" customHeight="1">
      <x:c r="A202" s="35" t="str">
        <x:v>Not Started</x:v>
      </x:c>
      <x:c r="B202" s="35" t="n">
        <x:v>200</x:v>
      </x:c>
      <x:c r="C202" s="35" t="str">
        <x:v>P04</x:v>
      </x:c>
      <x:c r="D202" s="35" t="n">
        <x:v>15</x:v>
      </x:c>
      <x:c r="E202" s="35" t="str">
        <x:v>Primary VLA</x:v>
      </x:c>
      <x:c r="F202" s="35" t="str">
        <x:v>VLA-0</x:v>
      </x:c>
      <x:c r="G202" s="35" t="n">
        <x:v>1</x:v>
      </x:c>
      <x:c r="H202" s="35" t="str">
        <x:v>Relational Placement</x:v>
      </x:c>
      <x:c r="I202" s="35" t="str">
        <x:v>Language ablation — counterfactual</x:v>
      </x:c>
      <x:c r="J202" s="35" t="str">
        <x:v>PVLA-RP-ABL-CF-02</x:v>
      </x:c>
      <x:c r="K202" s="35" t="str">
        <x:v>R-CF11</x:v>
      </x:c>
      <x:c r="L202" s="31" t="str">
        <x:v>Place the green pen to the left of the red block.</x:v>
      </x:c>
      <x:c r="M202" s="31" t="str">
        <x:v>Place the green pen to the left of the red block.</x:v>
      </x:c>
      <x:c r="N202" s="31" t="str">
        <x:v>R-CF11-HELD: red block at center [REFERENCE]; green pen starts 21 cm to the left of the reference [TARGET START]; pink marker and blue block are distractors outside the commanded goal sector.</x:v>
      </x:c>
      <x:c r="O202" s="31" t="str">
        <x:v>green pen → to the left of red block</x:v>
      </x:c>
      <x:c r="P202" s="31" t="str"/>
      <x:c r="Q202" s="31" t="str"/>
      <x:c r="R202" s="31" t="str"/>
      <x:c r="S202" s="31" t="str">
        <x:f>IF('Blind Scoring'!I202="","",'Blind Scoring'!I202)</x:f>
      </x:c>
      <x:c r="T202" s="31" t="str">
        <x:f>'Blind Scoring'!J202</x:f>
        <x:v>No</x:v>
      </x:c>
      <x:c r="U202" s="31" t="str">
        <x:f>IF('Blind Scoring'!L202="","",'Blind Scoring'!L202)</x:f>
      </x:c>
    </x:row>
    <x:row r="203" ht="44" customHeight="1">
      <x:c r="A203" s="35" t="str">
        <x:v>Not Started</x:v>
      </x:c>
      <x:c r="B203" s="35" t="n">
        <x:v>201</x:v>
      </x:c>
      <x:c r="C203" s="35" t="str">
        <x:v>P04</x:v>
      </x:c>
      <x:c r="D203" s="35" t="n">
        <x:v>16</x:v>
      </x:c>
      <x:c r="E203" s="35" t="str">
        <x:v>Primary VLA</x:v>
      </x:c>
      <x:c r="F203" s="35" t="str">
        <x:v>VLA-0</x:v>
      </x:c>
      <x:c r="G203" s="35" t="n">
        <x:v>1</x:v>
      </x:c>
      <x:c r="H203" s="35" t="str">
        <x:v>Relational Placement</x:v>
      </x:c>
      <x:c r="I203" s="35" t="str">
        <x:v>Main held-out transfer</x:v>
      </x:c>
      <x:c r="J203" s="35" t="str">
        <x:v>PVLA-RP-TR-01</x:v>
      </x:c>
      <x:c r="K203" s="35" t="str">
        <x:v>R-CF01</x:v>
      </x:c>
      <x:c r="L203" s="31" t="str">
        <x:v>Place the green pen in front of the red block.</x:v>
      </x:c>
      <x:c r="M203" s="31" t="str">
        <x:v>Place the green pen in front of the red block.</x:v>
      </x:c>
      <x:c r="N203" s="31" t="str">
        <x:v>R-CF01-HELD: red block at center [REFERENCE]; green pen starts 18 cm behind the reference [TARGET START]; pink marker and blue block are distractors outside the commanded goal sector.</x:v>
      </x:c>
      <x:c r="O203" s="31" t="str">
        <x:v>green pen → in front of red block</x:v>
      </x:c>
      <x:c r="P203" s="31" t="str"/>
      <x:c r="Q203" s="31" t="str"/>
      <x:c r="R203" s="31" t="str"/>
      <x:c r="S203" s="31" t="str">
        <x:f>IF('Blind Scoring'!I203="","",'Blind Scoring'!I203)</x:f>
      </x:c>
      <x:c r="T203" s="31" t="str">
        <x:f>'Blind Scoring'!J203</x:f>
        <x:v>No</x:v>
      </x:c>
      <x:c r="U203" s="31" t="str">
        <x:f>IF('Blind Scoring'!L203="","",'Blind Scoring'!L203)</x:f>
      </x:c>
    </x:row>
    <x:row r="204" ht="44" customHeight="1">
      <x:c r="A204" s="35" t="str">
        <x:v>Not Started</x:v>
      </x:c>
      <x:c r="B204" s="35" t="n">
        <x:v>202</x:v>
      </x:c>
      <x:c r="C204" s="35" t="str">
        <x:v>P04</x:v>
      </x:c>
      <x:c r="D204" s="35" t="n">
        <x:v>17</x:v>
      </x:c>
      <x:c r="E204" s="35" t="str">
        <x:v>Primary VLA</x:v>
      </x:c>
      <x:c r="F204" s="35" t="str">
        <x:v>VLA-0</x:v>
      </x:c>
      <x:c r="G204" s="35" t="n">
        <x:v>1</x:v>
      </x:c>
      <x:c r="H204" s="35" t="str">
        <x:v>Relational Placement</x:v>
      </x:c>
      <x:c r="I204" s="35" t="str">
        <x:v>Main matched control</x:v>
      </x:c>
      <x:c r="J204" s="35" t="str">
        <x:v>PVLA-RP-CTL-09</x:v>
      </x:c>
      <x:c r="K204" s="35" t="str">
        <x:v>R-CF16</x:v>
      </x:c>
      <x:c r="L204" s="31" t="str">
        <x:v>Place the red block near the green pen.</x:v>
      </x:c>
      <x:c r="M204" s="31" t="str">
        <x:v>Place the red block near the green pen.</x:v>
      </x:c>
      <x:c r="N204" s="31" t="str">
        <x:v>R-CF16-CTRL: green pen at center [REFERENCE]; red block starts 18 cm to the right of the reference [TARGET START]; blue block and pink marker are distractors outside the commanded goal sector.</x:v>
      </x:c>
      <x:c r="O204" s="31" t="str">
        <x:v>red block near green pen</x:v>
      </x:c>
      <x:c r="P204" s="31" t="str"/>
      <x:c r="Q204" s="31" t="str"/>
      <x:c r="R204" s="31" t="str"/>
      <x:c r="S204" s="31" t="str">
        <x:f>IF('Blind Scoring'!I204="","",'Blind Scoring'!I204)</x:f>
      </x:c>
      <x:c r="T204" s="31" t="str">
        <x:f>'Blind Scoring'!J204</x:f>
        <x:v>No</x:v>
      </x:c>
      <x:c r="U204" s="31" t="str">
        <x:f>IF('Blind Scoring'!L204="","",'Blind Scoring'!L204)</x:f>
      </x:c>
    </x:row>
    <x:row r="205" ht="44" customHeight="1">
      <x:c r="A205" s="35" t="str">
        <x:v>Not Started</x:v>
      </x:c>
      <x:c r="B205" s="35" t="n">
        <x:v>203</x:v>
      </x:c>
      <x:c r="C205" s="35" t="str">
        <x:v>P04</x:v>
      </x:c>
      <x:c r="D205" s="35" t="n">
        <x:v>18</x:v>
      </x:c>
      <x:c r="E205" s="35" t="str">
        <x:v>Primary VLA</x:v>
      </x:c>
      <x:c r="F205" s="35" t="str">
        <x:v>VLA-0</x:v>
      </x:c>
      <x:c r="G205" s="35" t="n">
        <x:v>1</x:v>
      </x:c>
      <x:c r="H205" s="35" t="str">
        <x:v>Relational Placement</x:v>
      </x:c>
      <x:c r="I205" s="35" t="str">
        <x:v>Novel layout + seen language</x:v>
      </x:c>
      <x:c r="J205" s="35" t="str">
        <x:v>PVLA-RP-NOV-02</x:v>
      </x:c>
      <x:c r="K205" s="35" t="str"/>
      <x:c r="L205" s="31" t="str">
        <x:v>Place the green pen to the right of the pink marker.</x:v>
      </x:c>
      <x:c r="M205" s="31" t="str">
        <x:v>Place the green pen to the right of the pink marker.</x:v>
      </x:c>
      <x:c r="N205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205" s="31" t="str">
        <x:v>green pen</x:v>
      </x:c>
      <x:c r="P205" s="31" t="str"/>
      <x:c r="Q205" s="31" t="str"/>
      <x:c r="R205" s="31" t="str"/>
      <x:c r="S205" s="31" t="str">
        <x:f>IF('Blind Scoring'!I205="","",'Blind Scoring'!I205)</x:f>
      </x:c>
      <x:c r="T205" s="31" t="str">
        <x:f>'Blind Scoring'!J205</x:f>
        <x:v>No</x:v>
      </x:c>
      <x:c r="U205" s="31" t="str">
        <x:f>IF('Blind Scoring'!L205="","",'Blind Scoring'!L205)</x:f>
      </x:c>
    </x:row>
    <x:row r="206" ht="44" customHeight="1">
      <x:c r="A206" s="35" t="str">
        <x:v>Not Started</x:v>
      </x:c>
      <x:c r="B206" s="35" t="n">
        <x:v>204</x:v>
      </x:c>
      <x:c r="C206" s="35" t="str">
        <x:v>P04</x:v>
      </x:c>
      <x:c r="D206" s="35" t="n">
        <x:v>19</x:v>
      </x:c>
      <x:c r="E206" s="35" t="str">
        <x:v>Primary VLA</x:v>
      </x:c>
      <x:c r="F206" s="35" t="str">
        <x:v>VLA-0</x:v>
      </x:c>
      <x:c r="G206" s="35" t="n">
        <x:v>1</x:v>
      </x:c>
      <x:c r="H206" s="35" t="str">
        <x:v>Relational Placement</x:v>
      </x:c>
      <x:c r="I206" s="35" t="str">
        <x:v>Training reconstruction</x:v>
      </x:c>
      <x:c r="J206" s="35" t="str">
        <x:v>PVLA-RP-REC-02</x:v>
      </x:c>
      <x:c r="K206" s="35" t="str"/>
      <x:c r="L206" s="31" t="str">
        <x:v>Put the green pen on the table in front of the pink marker.</x:v>
      </x:c>
      <x:c r="M206" s="31" t="str">
        <x:v>Put the green pen on the table in front of the pink marker.</x:v>
      </x:c>
      <x:c r="N206" s="31" t="str">
        <x:v>Reconstruct planned final training episode 206: green pen, red block, pink marker, blue block; start=Home. Match camera, calibration, bowl pose, and object geometry exactly.</x:v>
      </x:c>
      <x:c r="O206" s="31" t="str">
        <x:v>green pen</x:v>
      </x:c>
      <x:c r="P206" s="31" t="str"/>
      <x:c r="Q206" s="31" t="str"/>
      <x:c r="R206" s="31" t="str"/>
      <x:c r="S206" s="31" t="str">
        <x:f>IF('Blind Scoring'!I206="","",'Blind Scoring'!I206)</x:f>
      </x:c>
      <x:c r="T206" s="31" t="str">
        <x:f>'Blind Scoring'!J206</x:f>
        <x:v>No</x:v>
      </x:c>
      <x:c r="U206" s="31" t="str">
        <x:f>IF('Blind Scoring'!L206="","",'Blind Scoring'!L206)</x:f>
      </x:c>
    </x:row>
    <x:row r="207" ht="44" customHeight="1">
      <x:c r="A207" s="35" t="str">
        <x:v>Not Started</x:v>
      </x:c>
      <x:c r="B207" s="35" t="n">
        <x:v>205</x:v>
      </x:c>
      <x:c r="C207" s="35" t="str">
        <x:v>P04</x:v>
      </x:c>
      <x:c r="D207" s="35" t="n">
        <x:v>20</x:v>
      </x:c>
      <x:c r="E207" s="35" t="str">
        <x:v>Primary VLA</x:v>
      </x:c>
      <x:c r="F207" s="35" t="str">
        <x:v>VLA-0</x:v>
      </x:c>
      <x:c r="G207" s="35" t="n">
        <x:v>1</x:v>
      </x:c>
      <x:c r="H207" s="35" t="str">
        <x:v>Relational Placement</x:v>
      </x:c>
      <x:c r="I207" s="35" t="str">
        <x:v>Exact-scene paraphrase</x:v>
      </x:c>
      <x:c r="J207" s="35" t="str">
        <x:v>PVLA-RP-PAR-03</x:v>
      </x:c>
      <x:c r="K207" s="35" t="str"/>
      <x:c r="L207" s="31" t="str">
        <x:v>Move the red block to the side of the pink marker facing the robot.</x:v>
      </x:c>
      <x:c r="M207" s="31" t="str">
        <x:v>Move the red block to the side of the pink marker facing the robot.</x:v>
      </x:c>
      <x:c r="N207" s="31" t="str">
        <x:v>R-P01: pink marker at center [REFERENCE]; red block starts 21 cm behind the reference [TARGET START]; remaining objects are distractors with ≥12 cm clearance from the target path and commanded goal sector.</x:v>
      </x:c>
      <x:c r="O207" s="31" t="str">
        <x:v>red block</x:v>
      </x:c>
      <x:c r="P207" s="31" t="str"/>
      <x:c r="Q207" s="31" t="str"/>
      <x:c r="R207" s="31" t="str"/>
      <x:c r="S207" s="31" t="str">
        <x:f>IF('Blind Scoring'!I207="","",'Blind Scoring'!I207)</x:f>
      </x:c>
      <x:c r="T207" s="31" t="str">
        <x:f>'Blind Scoring'!J207</x:f>
        <x:v>No</x:v>
      </x:c>
      <x:c r="U207" s="31" t="str">
        <x:f>IF('Blind Scoring'!L207="","",'Blind Scoring'!L207)</x:f>
      </x:c>
    </x:row>
    <x:row r="208" ht="44" customHeight="1">
      <x:c r="A208" s="35" t="str">
        <x:v>Not Started</x:v>
      </x:c>
      <x:c r="B208" s="35" t="n">
        <x:v>206</x:v>
      </x:c>
      <x:c r="C208" s="35" t="str">
        <x:v>P04</x:v>
      </x:c>
      <x:c r="D208" s="35" t="n">
        <x:v>21</x:v>
      </x:c>
      <x:c r="E208" s="35" t="str">
        <x:v>Primary VLA</x:v>
      </x:c>
      <x:c r="F208" s="35" t="str">
        <x:v>VLA-0</x:v>
      </x:c>
      <x:c r="G208" s="35" t="n">
        <x:v>1</x:v>
      </x:c>
      <x:c r="H208" s="35" t="str">
        <x:v>Relational Placement</x:v>
      </x:c>
      <x:c r="I208" s="35" t="str">
        <x:v>Novel layout + seen language</x:v>
      </x:c>
      <x:c r="J208" s="35" t="str">
        <x:v>PVLA-RP-NOV-07</x:v>
      </x:c>
      <x:c r="K208" s="35" t="str"/>
      <x:c r="L208" s="31" t="str">
        <x:v>Place the pink marker in front of the blue block.</x:v>
      </x:c>
      <x:c r="M208" s="31" t="str">
        <x:v>Place the pink marker in front of the blue block.</x:v>
      </x:c>
      <x:c r="N208" s="31" t="str">
        <x:v>R-S17: blue block at center [REFERENCE]; pink marker starts 18 cm behind the reference [TARGET START]; remaining objects are distractors with ≥12 cm clearance from the target path and commanded goal sector.</x:v>
      </x:c>
      <x:c r="O208" s="31" t="str">
        <x:v>pink marker</x:v>
      </x:c>
      <x:c r="P208" s="31" t="str"/>
      <x:c r="Q208" s="31" t="str"/>
      <x:c r="R208" s="31" t="str"/>
      <x:c r="S208" s="31" t="str">
        <x:f>IF('Blind Scoring'!I208="","",'Blind Scoring'!I208)</x:f>
      </x:c>
      <x:c r="T208" s="31" t="str">
        <x:f>'Blind Scoring'!J208</x:f>
        <x:v>No</x:v>
      </x:c>
      <x:c r="U208" s="31" t="str">
        <x:f>IF('Blind Scoring'!L208="","",'Blind Scoring'!L208)</x:f>
      </x:c>
    </x:row>
    <x:row r="209" ht="44" customHeight="1">
      <x:c r="A209" s="35" t="str">
        <x:v>Not Started</x:v>
      </x:c>
      <x:c r="B209" s="35" t="n">
        <x:v>207</x:v>
      </x:c>
      <x:c r="C209" s="35" t="str">
        <x:v>P04</x:v>
      </x:c>
      <x:c r="D209" s="35" t="n">
        <x:v>22</x:v>
      </x:c>
      <x:c r="E209" s="35" t="str">
        <x:v>Primary VLA</x:v>
      </x:c>
      <x:c r="F209" s="35" t="str">
        <x:v>VLA-0</x:v>
      </x:c>
      <x:c r="G209" s="35" t="n">
        <x:v>1</x:v>
      </x:c>
      <x:c r="H209" s="35" t="str">
        <x:v>Relational Placement</x:v>
      </x:c>
      <x:c r="I209" s="35" t="str">
        <x:v>Main held-out transfer</x:v>
      </x:c>
      <x:c r="J209" s="35" t="str">
        <x:v>PVLA-RP-TR-02</x:v>
      </x:c>
      <x:c r="K209" s="35" t="str">
        <x:v>R-CF03</x:v>
      </x:c>
      <x:c r="L209" s="31" t="str">
        <x:v>Place the green pen to the right of the red block.</x:v>
      </x:c>
      <x:c r="M209" s="31" t="str">
        <x:v>Place the green pen to the right of the red block.</x:v>
      </x:c>
      <x:c r="N209" s="31" t="str">
        <x:v>R-CF03-HELD: red block at back-right [REFERENCE]; green pen starts 24 cm to the left of the reference [TARGET START]; pink marker and blue block are distractors outside the commanded goal sector.</x:v>
      </x:c>
      <x:c r="O209" s="31" t="str">
        <x:v>green pen → to the right of red block</x:v>
      </x:c>
      <x:c r="P209" s="31" t="str"/>
      <x:c r="Q209" s="31" t="str"/>
      <x:c r="R209" s="31" t="str"/>
      <x:c r="S209" s="31" t="str">
        <x:f>IF('Blind Scoring'!I209="","",'Blind Scoring'!I209)</x:f>
      </x:c>
      <x:c r="T209" s="31" t="str">
        <x:f>'Blind Scoring'!J209</x:f>
        <x:v>No</x:v>
      </x:c>
      <x:c r="U209" s="31" t="str">
        <x:f>IF('Blind Scoring'!L209="","",'Blind Scoring'!L209)</x:f>
      </x:c>
    </x:row>
    <x:row r="210" ht="44" customHeight="1">
      <x:c r="A210" s="35" t="str">
        <x:v>Not Started</x:v>
      </x:c>
      <x:c r="B210" s="35" t="n">
        <x:v>208</x:v>
      </x:c>
      <x:c r="C210" s="35" t="str">
        <x:v>P04</x:v>
      </x:c>
      <x:c r="D210" s="35" t="n">
        <x:v>23</x:v>
      </x:c>
      <x:c r="E210" s="35" t="str">
        <x:v>Primary VLA</x:v>
      </x:c>
      <x:c r="F210" s="35" t="str">
        <x:v>VLA-0</x:v>
      </x:c>
      <x:c r="G210" s="35" t="n">
        <x:v>1</x:v>
      </x:c>
      <x:c r="H210" s="35" t="str">
        <x:v>Relational Placement</x:v>
      </x:c>
      <x:c r="I210" s="35" t="str">
        <x:v>Novel layout + seen language</x:v>
      </x:c>
      <x:c r="J210" s="35" t="str">
        <x:v>PVLA-RP-NOV-08</x:v>
      </x:c>
      <x:c r="K210" s="35" t="str"/>
      <x:c r="L210" s="31" t="str">
        <x:v>Place the red block to the right of the blue block.</x:v>
      </x:c>
      <x:c r="M210" s="31" t="str">
        <x:v>Place the red block to the right of the blue block.</x:v>
      </x:c>
      <x:c r="N210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210" s="31" t="str">
        <x:v>red block</x:v>
      </x:c>
      <x:c r="P210" s="31" t="str"/>
      <x:c r="Q210" s="31" t="str"/>
      <x:c r="R210" s="31" t="str"/>
      <x:c r="S210" s="31" t="str">
        <x:f>IF('Blind Scoring'!I210="","",'Blind Scoring'!I210)</x:f>
      </x:c>
      <x:c r="T210" s="31" t="str">
        <x:f>'Blind Scoring'!J210</x:f>
        <x:v>No</x:v>
      </x:c>
      <x:c r="U210" s="31" t="str">
        <x:f>IF('Blind Scoring'!L210="","",'Blind Scoring'!L210)</x:f>
      </x:c>
    </x:row>
    <x:row r="211" ht="44" customHeight="1">
      <x:c r="A211" s="35" t="str">
        <x:v>Not Started</x:v>
      </x:c>
      <x:c r="B211" s="35" t="n">
        <x:v>209</x:v>
      </x:c>
      <x:c r="C211" s="35" t="str">
        <x:v>P04</x:v>
      </x:c>
      <x:c r="D211" s="35" t="n">
        <x:v>24</x:v>
      </x:c>
      <x:c r="E211" s="35" t="str">
        <x:v>Primary VLA</x:v>
      </x:c>
      <x:c r="F211" s="35" t="str">
        <x:v>VLA-0</x:v>
      </x:c>
      <x:c r="G211" s="35" t="n">
        <x:v>1</x:v>
      </x:c>
      <x:c r="H211" s="35" t="str">
        <x:v>Relational Placement</x:v>
      </x:c>
      <x:c r="I211" s="35" t="str">
        <x:v>Main matched control</x:v>
      </x:c>
      <x:c r="J211" s="35" t="str">
        <x:v>PVLA-RP-CTL-15</x:v>
      </x:c>
      <x:c r="K211" s="35" t="str">
        <x:v>R-CF28</x:v>
      </x:c>
      <x:c r="L211" s="31" t="str">
        <x:v>Place the red block near the green pen.</x:v>
      </x:c>
      <x:c r="M211" s="31" t="str">
        <x:v>Place the red block near the green pen.</x:v>
      </x:c>
      <x:c r="N211" s="31" t="str">
        <x:v>R-CF28-CTRL: green pen at back-right [REFERENCE]; red block starts 18 cm behind the reference [TARGET START]; blue block and pink marker are distractors outside the commanded goal sector.</x:v>
      </x:c>
      <x:c r="O211" s="31" t="str">
        <x:v>red block near green pen</x:v>
      </x:c>
      <x:c r="P211" s="31" t="str"/>
      <x:c r="Q211" s="31" t="str"/>
      <x:c r="R211" s="31" t="str"/>
      <x:c r="S211" s="31" t="str">
        <x:f>IF('Blind Scoring'!I211="","",'Blind Scoring'!I211)</x:f>
      </x:c>
      <x:c r="T211" s="31" t="str">
        <x:f>'Blind Scoring'!J211</x:f>
        <x:v>No</x:v>
      </x:c>
      <x:c r="U211" s="31" t="str">
        <x:f>IF('Blind Scoring'!L211="","",'Blind Scoring'!L211)</x:f>
      </x:c>
    </x:row>
    <x:row r="212" ht="44" customHeight="1">
      <x:c r="A212" s="35" t="str">
        <x:v>Not Started</x:v>
      </x:c>
      <x:c r="B212" s="35" t="n">
        <x:v>210</x:v>
      </x:c>
      <x:c r="C212" s="35" t="str">
        <x:v>P04</x:v>
      </x:c>
      <x:c r="D212" s="35" t="n">
        <x:v>25</x:v>
      </x:c>
      <x:c r="E212" s="35" t="str">
        <x:v>Primary VLA</x:v>
      </x:c>
      <x:c r="F212" s="35" t="str">
        <x:v>VLA-0</x:v>
      </x:c>
      <x:c r="G212" s="35" t="n">
        <x:v>1</x:v>
      </x:c>
      <x:c r="H212" s="35" t="str">
        <x:v>Relational Placement</x:v>
      </x:c>
      <x:c r="I212" s="35" t="str">
        <x:v>Exact-scene paraphrase</x:v>
      </x:c>
      <x:c r="J212" s="35" t="str">
        <x:v>PVLA-RP-PAR-08</x:v>
      </x:c>
      <x:c r="K212" s="35" t="str"/>
      <x:c r="L212" s="31" t="str">
        <x:v>Move the red block to the side of the pink marker facing the robot.</x:v>
      </x:c>
      <x:c r="M212" s="31" t="str">
        <x:v>Move the red block to the side of the pink marker facing the robot.</x:v>
      </x:c>
      <x:c r="N212" s="31" t="str">
        <x:v>R-P01: pink marker at center [REFERENCE]; red block starts 21 cm behind the reference [TARGET START]; remaining objects are distractors with ≥12 cm clearance from the target path and commanded goal sector.</x:v>
      </x:c>
      <x:c r="O212" s="31" t="str">
        <x:v>red block</x:v>
      </x:c>
      <x:c r="P212" s="31" t="str"/>
      <x:c r="Q212" s="31" t="str"/>
      <x:c r="R212" s="31" t="str"/>
      <x:c r="S212" s="31" t="str">
        <x:f>IF('Blind Scoring'!I212="","",'Blind Scoring'!I212)</x:f>
      </x:c>
      <x:c r="T212" s="31" t="str">
        <x:f>'Blind Scoring'!J212</x:f>
        <x:v>No</x:v>
      </x:c>
      <x:c r="U212" s="31" t="str">
        <x:f>IF('Blind Scoring'!L212="","",'Blind Scoring'!L212)</x:f>
      </x:c>
    </x:row>
    <x:row r="213" ht="44" customHeight="1">
      <x:c r="A213" s="35" t="str">
        <x:v>Not Started</x:v>
      </x:c>
      <x:c r="B213" s="35" t="n">
        <x:v>211</x:v>
      </x:c>
      <x:c r="C213" s="35" t="str">
        <x:v>P04</x:v>
      </x:c>
      <x:c r="D213" s="35" t="n">
        <x:v>26</x:v>
      </x:c>
      <x:c r="E213" s="35" t="str">
        <x:v>Primary VLA</x:v>
      </x:c>
      <x:c r="F213" s="35" t="str">
        <x:v>VLA-0</x:v>
      </x:c>
      <x:c r="G213" s="35" t="n">
        <x:v>1</x:v>
      </x:c>
      <x:c r="H213" s="35" t="str">
        <x:v>Relational Placement</x:v>
      </x:c>
      <x:c r="I213" s="35" t="str">
        <x:v>Main held-out transfer</x:v>
      </x:c>
      <x:c r="J213" s="35" t="str">
        <x:v>PVLA-RP-TR-10</x:v>
      </x:c>
      <x:c r="K213" s="35" t="str">
        <x:v>R-CF18</x:v>
      </x:c>
      <x:c r="L213" s="31" t="str">
        <x:v>Place the red block behind the green pen.</x:v>
      </x:c>
      <x:c r="M213" s="31" t="str">
        <x:v>Place the red block behind the green pen.</x:v>
      </x:c>
      <x:c r="N213" s="31" t="str">
        <x:v>R-CF18-HELD: green pen at back-right [REFERENCE]; red block starts 24 cm in front of the reference [TARGET START]; blue block and pink marker are distractors outside the commanded goal sector.</x:v>
      </x:c>
      <x:c r="O213" s="31" t="str">
        <x:v>red block → behind green pen</x:v>
      </x:c>
      <x:c r="P213" s="31" t="str"/>
      <x:c r="Q213" s="31" t="str"/>
      <x:c r="R213" s="31" t="str"/>
      <x:c r="S213" s="31" t="str">
        <x:f>IF('Blind Scoring'!I213="","",'Blind Scoring'!I213)</x:f>
      </x:c>
      <x:c r="T213" s="31" t="str">
        <x:f>'Blind Scoring'!J213</x:f>
        <x:v>No</x:v>
      </x:c>
      <x:c r="U213" s="31" t="str">
        <x:f>IF('Blind Scoring'!L213="","",'Blind Scoring'!L213)</x:f>
      </x:c>
    </x:row>
    <x:row r="214" ht="44" customHeight="1">
      <x:c r="A214" s="35" t="str">
        <x:v>Not Started</x:v>
      </x:c>
      <x:c r="B214" s="35" t="n">
        <x:v>212</x:v>
      </x:c>
      <x:c r="C214" s="35" t="str">
        <x:v>P04</x:v>
      </x:c>
      <x:c r="D214" s="35" t="n">
        <x:v>27</x:v>
      </x:c>
      <x:c r="E214" s="35" t="str">
        <x:v>Primary VLA</x:v>
      </x:c>
      <x:c r="F214" s="35" t="str">
        <x:v>VLA-0</x:v>
      </x:c>
      <x:c r="G214" s="35" t="n">
        <x:v>1</x:v>
      </x:c>
      <x:c r="H214" s="35" t="str">
        <x:v>Relational Placement</x:v>
      </x:c>
      <x:c r="I214" s="35" t="str">
        <x:v>Novel layout + seen language</x:v>
      </x:c>
      <x:c r="J214" s="35" t="str">
        <x:v>PVLA-RP-NOV-03</x:v>
      </x:c>
      <x:c r="K214" s="35" t="str"/>
      <x:c r="L214" s="31" t="str">
        <x:v>Place the blue block behind the green pen.</x:v>
      </x:c>
      <x:c r="M214" s="31" t="str">
        <x:v>Place the blue block behind the green pen.</x:v>
      </x:c>
      <x:c r="N214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214" s="31" t="str">
        <x:v>blue block</x:v>
      </x:c>
      <x:c r="P214" s="31" t="str"/>
      <x:c r="Q214" s="31" t="str"/>
      <x:c r="R214" s="31" t="str"/>
      <x:c r="S214" s="31" t="str">
        <x:f>IF('Blind Scoring'!I214="","",'Blind Scoring'!I214)</x:f>
      </x:c>
      <x:c r="T214" s="31" t="str">
        <x:f>'Blind Scoring'!J214</x:f>
        <x:v>No</x:v>
      </x:c>
      <x:c r="U214" s="31" t="str">
        <x:f>IF('Blind Scoring'!L214="","",'Blind Scoring'!L214)</x:f>
      </x:c>
    </x:row>
    <x:row r="215" ht="44" customHeight="1">
      <x:c r="A215" s="35" t="str">
        <x:v>Not Started</x:v>
      </x:c>
      <x:c r="B215" s="35" t="n">
        <x:v>213</x:v>
      </x:c>
      <x:c r="C215" s="35" t="str">
        <x:v>P04</x:v>
      </x:c>
      <x:c r="D215" s="35" t="n">
        <x:v>28</x:v>
      </x:c>
      <x:c r="E215" s="35" t="str">
        <x:v>Primary VLA</x:v>
      </x:c>
      <x:c r="F215" s="35" t="str">
        <x:v>VLA-0</x:v>
      </x:c>
      <x:c r="G215" s="35" t="n">
        <x:v>1</x:v>
      </x:c>
      <x:c r="H215" s="35" t="str">
        <x:v>Relational Placement</x:v>
      </x:c>
      <x:c r="I215" s="35" t="str">
        <x:v>Language ablation — blank</x:v>
      </x:c>
      <x:c r="J215" s="35" t="str">
        <x:v>PVLA-RP-ABL-BLK-02</x:v>
      </x:c>
      <x:c r="K215" s="35" t="str">
        <x:v>R-CF03</x:v>
      </x:c>
      <x:c r="L215" s="31" t="str">
        <x:v>[EMPTY STRING — provide no instruction tokens]</x:v>
      </x:c>
      <x:c r="M215" s="31" t="str">
        <x:v>Place the green pen to the right of the red block.</x:v>
      </x:c>
      <x:c r="N215" s="31" t="str">
        <x:v>R-CF03-HELD: red block at back-right [REFERENCE]; green pen starts 24 cm to the left of the reference [TARGET START]; pink marker and blue block are distractors outside the commanded goal sector.</x:v>
      </x:c>
      <x:c r="O215" s="31" t="str">
        <x:v>No prespecified task success under blank language; record any action/selected target.</x:v>
      </x:c>
      <x:c r="P215" s="31" t="str"/>
      <x:c r="Q215" s="31" t="str"/>
      <x:c r="R215" s="31" t="str"/>
      <x:c r="S215" s="31" t="str">
        <x:f>IF('Blind Scoring'!I215="","",'Blind Scoring'!I215)</x:f>
      </x:c>
      <x:c r="T215" s="31" t="str">
        <x:f>'Blind Scoring'!J215</x:f>
        <x:v>No</x:v>
      </x:c>
      <x:c r="U215" s="31" t="str">
        <x:f>IF('Blind Scoring'!L215="","",'Blind Scoring'!L215)</x:f>
      </x:c>
    </x:row>
    <x:row r="216" ht="44" customHeight="1">
      <x:c r="A216" s="35" t="str">
        <x:v>Not Started</x:v>
      </x:c>
      <x:c r="B216" s="35" t="n">
        <x:v>214</x:v>
      </x:c>
      <x:c r="C216" s="35" t="str">
        <x:v>P04</x:v>
      </x:c>
      <x:c r="D216" s="35" t="n">
        <x:v>29</x:v>
      </x:c>
      <x:c r="E216" s="35" t="str">
        <x:v>Primary VLA</x:v>
      </x:c>
      <x:c r="F216" s="35" t="str">
        <x:v>VLA-0</x:v>
      </x:c>
      <x:c r="G216" s="35" t="n">
        <x:v>1</x:v>
      </x:c>
      <x:c r="H216" s="35" t="str">
        <x:v>Relational Placement</x:v>
      </x:c>
      <x:c r="I216" s="35" t="str">
        <x:v>Main held-out transfer</x:v>
      </x:c>
      <x:c r="J216" s="35" t="str">
        <x:v>PVLA-RP-TR-12</x:v>
      </x:c>
      <x:c r="K216" s="35" t="str">
        <x:v>R-CF22</x:v>
      </x:c>
      <x:c r="L216" s="31" t="str">
        <x:v>Place the red block to the right of the green pen.</x:v>
      </x:c>
      <x:c r="M216" s="31" t="str">
        <x:v>Place the red block to the right of the green pen.</x:v>
      </x:c>
      <x:c r="N216" s="31" t="str">
        <x:v>R-CF22-HELD: green pen at back-left [REFERENCE]; red block starts 18 cm to the left of the reference [TARGET START]; blue block and pink marker are distractors outside the commanded goal sector.</x:v>
      </x:c>
      <x:c r="O216" s="31" t="str">
        <x:v>red block → to the right of green pen</x:v>
      </x:c>
      <x:c r="P216" s="31" t="str"/>
      <x:c r="Q216" s="31" t="str"/>
      <x:c r="R216" s="31" t="str"/>
      <x:c r="S216" s="31" t="str">
        <x:f>IF('Blind Scoring'!I216="","",'Blind Scoring'!I216)</x:f>
      </x:c>
      <x:c r="T216" s="31" t="str">
        <x:f>'Blind Scoring'!J216</x:f>
        <x:v>No</x:v>
      </x:c>
      <x:c r="U216" s="31" t="str">
        <x:f>IF('Blind Scoring'!L216="","",'Blind Scoring'!L216)</x:f>
      </x:c>
    </x:row>
    <x:row r="217" ht="44" customHeight="1">
      <x:c r="A217" s="35" t="str">
        <x:v>Not Started</x:v>
      </x:c>
      <x:c r="B217" s="35" t="n">
        <x:v>215</x:v>
      </x:c>
      <x:c r="C217" s="35" t="str">
        <x:v>P04</x:v>
      </x:c>
      <x:c r="D217" s="35" t="n">
        <x:v>30</x:v>
      </x:c>
      <x:c r="E217" s="35" t="str">
        <x:v>Primary VLA</x:v>
      </x:c>
      <x:c r="F217" s="35" t="str">
        <x:v>VLA-0</x:v>
      </x:c>
      <x:c r="G217" s="35" t="n">
        <x:v>1</x:v>
      </x:c>
      <x:c r="H217" s="35" t="str">
        <x:v>Relational Placement</x:v>
      </x:c>
      <x:c r="I217" s="35" t="str">
        <x:v>Language ablation — counterfactual</x:v>
      </x:c>
      <x:c r="J217" s="35" t="str">
        <x:v>PVLA-RP-ABL-CF-03</x:v>
      </x:c>
      <x:c r="K217" s="35" t="str">
        <x:v>R-CF13</x:v>
      </x:c>
      <x:c r="L217" s="31" t="str">
        <x:v>Place the green pen to the right of the red block.</x:v>
      </x:c>
      <x:c r="M217" s="31" t="str">
        <x:v>Place the green pen to the right of the red block.</x:v>
      </x:c>
      <x:c r="N217" s="31" t="str">
        <x:v>R-CF13-HELD: red block at back-right [REFERENCE]; green pen starts 18 cm to the right of the reference [TARGET START]; pink marker and blue block are distractors outside the commanded goal sector.</x:v>
      </x:c>
      <x:c r="O217" s="31" t="str">
        <x:v>green pen → to the right of red block</x:v>
      </x:c>
      <x:c r="P217" s="31" t="str"/>
      <x:c r="Q217" s="31" t="str"/>
      <x:c r="R217" s="31" t="str"/>
      <x:c r="S217" s="31" t="str">
        <x:f>IF('Blind Scoring'!I217="","",'Blind Scoring'!I217)</x:f>
      </x:c>
      <x:c r="T217" s="31" t="str">
        <x:f>'Blind Scoring'!J217</x:f>
        <x:v>No</x:v>
      </x:c>
      <x:c r="U217" s="31" t="str">
        <x:f>IF('Blind Scoring'!L217="","",'Blind Scoring'!L217)</x:f>
      </x:c>
    </x:row>
    <x:row r="218" ht="44" customHeight="1">
      <x:c r="A218" s="35" t="str">
        <x:v>Not Started</x:v>
      </x:c>
      <x:c r="B218" s="35" t="n">
        <x:v>216</x:v>
      </x:c>
      <x:c r="C218" s="35" t="str">
        <x:v>P04</x:v>
      </x:c>
      <x:c r="D218" s="35" t="n">
        <x:v>31</x:v>
      </x:c>
      <x:c r="E218" s="35" t="str">
        <x:v>Primary VLA</x:v>
      </x:c>
      <x:c r="F218" s="35" t="str">
        <x:v>VLA-0</x:v>
      </x:c>
      <x:c r="G218" s="35" t="n">
        <x:v>1</x:v>
      </x:c>
      <x:c r="H218" s="35" t="str">
        <x:v>Relational Placement</x:v>
      </x:c>
      <x:c r="I218" s="35" t="str">
        <x:v>Exact-scene paraphrase</x:v>
      </x:c>
      <x:c r="J218" s="35" t="str">
        <x:v>PVLA-RP-PAR-01</x:v>
      </x:c>
      <x:c r="K218" s="35" t="str"/>
      <x:c r="L218" s="31" t="str">
        <x:v>Move the red block to the side of the pink marker facing the robot.</x:v>
      </x:c>
      <x:c r="M218" s="31" t="str">
        <x:v>Move the red block to the side of the pink marker facing the robot.</x:v>
      </x:c>
      <x:c r="N218" s="31" t="str">
        <x:v>R-P01: pink marker at center [REFERENCE]; red block starts 21 cm behind the reference [TARGET START]; remaining objects are distractors with ≥12 cm clearance from the target path and commanded goal sector.</x:v>
      </x:c>
      <x:c r="O218" s="31" t="str">
        <x:v>red block</x:v>
      </x:c>
      <x:c r="P218" s="31" t="str"/>
      <x:c r="Q218" s="31" t="str"/>
      <x:c r="R218" s="31" t="str"/>
      <x:c r="S218" s="31" t="str">
        <x:f>IF('Blind Scoring'!I218="","",'Blind Scoring'!I218)</x:f>
      </x:c>
      <x:c r="T218" s="31" t="str">
        <x:f>'Blind Scoring'!J218</x:f>
        <x:v>No</x:v>
      </x:c>
      <x:c r="U218" s="31" t="str">
        <x:f>IF('Blind Scoring'!L218="","",'Blind Scoring'!L218)</x:f>
      </x:c>
    </x:row>
    <x:row r="219" ht="44" customHeight="1">
      <x:c r="A219" s="35" t="str">
        <x:v>Not Started</x:v>
      </x:c>
      <x:c r="B219" s="35" t="n">
        <x:v>217</x:v>
      </x:c>
      <x:c r="C219" s="35" t="str">
        <x:v>P04</x:v>
      </x:c>
      <x:c r="D219" s="35" t="n">
        <x:v>32</x:v>
      </x:c>
      <x:c r="E219" s="35" t="str">
        <x:v>Primary VLA</x:v>
      </x:c>
      <x:c r="F219" s="35" t="str">
        <x:v>VLA-0</x:v>
      </x:c>
      <x:c r="G219" s="35" t="n">
        <x:v>1</x:v>
      </x:c>
      <x:c r="H219" s="35" t="str">
        <x:v>Relational Placement</x:v>
      </x:c>
      <x:c r="I219" s="35" t="str">
        <x:v>Main matched control</x:v>
      </x:c>
      <x:c r="J219" s="35" t="str">
        <x:v>PVLA-RP-CTL-13</x:v>
      </x:c>
      <x:c r="K219" s="35" t="str">
        <x:v>R-CF24</x:v>
      </x:c>
      <x:c r="L219" s="31" t="str">
        <x:v>Place the red block beside the green pen.</x:v>
      </x:c>
      <x:c r="M219" s="31" t="str">
        <x:v>Place the red block beside the green pen.</x:v>
      </x:c>
      <x:c r="N219" s="31" t="str">
        <x:v>R-CF24-CTRL: green pen at front-left [REFERENCE]; red block starts 24 cm to the right of the reference [TARGET START]; blue block and pink marker are distractors outside the commanded goal sector.</x:v>
      </x:c>
      <x:c r="O219" s="31" t="str">
        <x:v>red block near green pen</x:v>
      </x:c>
      <x:c r="P219" s="31" t="str"/>
      <x:c r="Q219" s="31" t="str"/>
      <x:c r="R219" s="31" t="str"/>
      <x:c r="S219" s="31" t="str">
        <x:f>IF('Blind Scoring'!I219="","",'Blind Scoring'!I219)</x:f>
      </x:c>
      <x:c r="T219" s="31" t="str">
        <x:f>'Blind Scoring'!J219</x:f>
        <x:v>No</x:v>
      </x:c>
      <x:c r="U219" s="31" t="str">
        <x:f>IF('Blind Scoring'!L219="","",'Blind Scoring'!L219)</x:f>
      </x:c>
    </x:row>
    <x:row r="220" ht="44" customHeight="1">
      <x:c r="A220" s="35" t="str">
        <x:v>Not Started</x:v>
      </x:c>
      <x:c r="B220" s="35" t="n">
        <x:v>218</x:v>
      </x:c>
      <x:c r="C220" s="35" t="str">
        <x:v>P04</x:v>
      </x:c>
      <x:c r="D220" s="35" t="n">
        <x:v>33</x:v>
      </x:c>
      <x:c r="E220" s="35" t="str">
        <x:v>Primary VLA</x:v>
      </x:c>
      <x:c r="F220" s="35" t="str">
        <x:v>VLA-0</x:v>
      </x:c>
      <x:c r="G220" s="35" t="n">
        <x:v>1</x:v>
      </x:c>
      <x:c r="H220" s="35" t="str">
        <x:v>Relational Placement</x:v>
      </x:c>
      <x:c r="I220" s="35" t="str">
        <x:v>Main held-out transfer</x:v>
      </x:c>
      <x:c r="J220" s="35" t="str">
        <x:v>PVLA-RP-TR-09</x:v>
      </x:c>
      <x:c r="K220" s="35" t="str">
        <x:v>R-CF16</x:v>
      </x:c>
      <x:c r="L220" s="31" t="str">
        <x:v>Place the red block to the left of the green pen.</x:v>
      </x:c>
      <x:c r="M220" s="31" t="str">
        <x:v>Place the red block to the left of the green pen.</x:v>
      </x:c>
      <x:c r="N220" s="31" t="str">
        <x:v>R-CF16-HELD: green pen at center [REFERENCE]; red block starts 18 cm to the right of the reference [TARGET START]; blue block and pink marker are distractors outside the commanded goal sector.</x:v>
      </x:c>
      <x:c r="O220" s="31" t="str">
        <x:v>red block → to the left of green pen</x:v>
      </x:c>
      <x:c r="P220" s="31" t="str"/>
      <x:c r="Q220" s="31" t="str"/>
      <x:c r="R220" s="31" t="str"/>
      <x:c r="S220" s="31" t="str">
        <x:f>IF('Blind Scoring'!I220="","",'Blind Scoring'!I220)</x:f>
      </x:c>
      <x:c r="T220" s="31" t="str">
        <x:f>'Blind Scoring'!J220</x:f>
        <x:v>No</x:v>
      </x:c>
      <x:c r="U220" s="31" t="str">
        <x:f>IF('Blind Scoring'!L220="","",'Blind Scoring'!L220)</x:f>
      </x:c>
    </x:row>
    <x:row r="221" ht="44" customHeight="1">
      <x:c r="A221" s="35" t="str">
        <x:v>Not Started</x:v>
      </x:c>
      <x:c r="B221" s="35" t="n">
        <x:v>219</x:v>
      </x:c>
      <x:c r="C221" s="35" t="str">
        <x:v>P04</x:v>
      </x:c>
      <x:c r="D221" s="35" t="n">
        <x:v>34</x:v>
      </x:c>
      <x:c r="E221" s="35" t="str">
        <x:v>Primary VLA</x:v>
      </x:c>
      <x:c r="F221" s="35" t="str">
        <x:v>VLA-0</x:v>
      </x:c>
      <x:c r="G221" s="35" t="n">
        <x:v>1</x:v>
      </x:c>
      <x:c r="H221" s="35" t="str">
        <x:v>Relational Placement</x:v>
      </x:c>
      <x:c r="I221" s="35" t="str">
        <x:v>Novel layout + seen language</x:v>
      </x:c>
      <x:c r="J221" s="35" t="str">
        <x:v>PVLA-RP-NOV-04</x:v>
      </x:c>
      <x:c r="K221" s="35" t="str"/>
      <x:c r="L221" s="31" t="str">
        <x:v>Place the green pen in front of the pink marker.</x:v>
      </x:c>
      <x:c r="M221" s="31" t="str">
        <x:v>Place the green pen in front of the pink marker.</x:v>
      </x:c>
      <x:c r="N221" s="31" t="str">
        <x:v>R-S09: pink marker at center [REFERENCE]; green pen starts 21 cm behind the reference [TARGET START]; remaining objects are distractors with ≥12 cm clearance from the target path and commanded goal sector.</x:v>
      </x:c>
      <x:c r="O221" s="31" t="str">
        <x:v>green pen</x:v>
      </x:c>
      <x:c r="P221" s="31" t="str"/>
      <x:c r="Q221" s="31" t="str"/>
      <x:c r="R221" s="31" t="str"/>
      <x:c r="S221" s="31" t="str">
        <x:f>IF('Blind Scoring'!I221="","",'Blind Scoring'!I221)</x:f>
      </x:c>
      <x:c r="T221" s="31" t="str">
        <x:f>'Blind Scoring'!J221</x:f>
        <x:v>No</x:v>
      </x:c>
      <x:c r="U221" s="31" t="str">
        <x:f>IF('Blind Scoring'!L221="","",'Blind Scoring'!L221)</x:f>
      </x:c>
    </x:row>
    <x:row r="222" ht="44" customHeight="1">
      <x:c r="A222" s="35" t="str">
        <x:v>Not Started</x:v>
      </x:c>
      <x:c r="B222" s="35" t="n">
        <x:v>220</x:v>
      </x:c>
      <x:c r="C222" s="35" t="str">
        <x:v>P04</x:v>
      </x:c>
      <x:c r="D222" s="35" t="n">
        <x:v>35</x:v>
      </x:c>
      <x:c r="E222" s="35" t="str">
        <x:v>Primary VLA</x:v>
      </x:c>
      <x:c r="F222" s="35" t="str">
        <x:v>VLA-0</x:v>
      </x:c>
      <x:c r="G222" s="35" t="n">
        <x:v>1</x:v>
      </x:c>
      <x:c r="H222" s="35" t="str">
        <x:v>Relational Placement</x:v>
      </x:c>
      <x:c r="I222" s="35" t="str">
        <x:v>Main held-out transfer</x:v>
      </x:c>
      <x:c r="J222" s="35" t="str">
        <x:v>PVLA-RP-TR-07</x:v>
      </x:c>
      <x:c r="K222" s="35" t="str">
        <x:v>R-CF13</x:v>
      </x:c>
      <x:c r="L222" s="31" t="str">
        <x:v>Place the green pen to the left of the red block.</x:v>
      </x:c>
      <x:c r="M222" s="31" t="str">
        <x:v>Place the green pen to the left of the red block.</x:v>
      </x:c>
      <x:c r="N222" s="31" t="str">
        <x:v>R-CF13-HELD: red block at back-right [REFERENCE]; green pen starts 18 cm to the right of the reference [TARGET START]; pink marker and blue block are distractors outside the commanded goal sector.</x:v>
      </x:c>
      <x:c r="O222" s="31" t="str">
        <x:v>green pen → to the left of red block</x:v>
      </x:c>
      <x:c r="P222" s="31" t="str"/>
      <x:c r="Q222" s="31" t="str"/>
      <x:c r="R222" s="31" t="str"/>
      <x:c r="S222" s="31" t="str">
        <x:f>IF('Blind Scoring'!I222="","",'Blind Scoring'!I222)</x:f>
      </x:c>
      <x:c r="T222" s="31" t="str">
        <x:f>'Blind Scoring'!J222</x:f>
        <x:v>No</x:v>
      </x:c>
      <x:c r="U222" s="31" t="str">
        <x:f>IF('Blind Scoring'!L222="","",'Blind Scoring'!L222)</x:f>
      </x:c>
    </x:row>
    <x:row r="223" ht="44" customHeight="1">
      <x:c r="A223" s="35" t="str">
        <x:v>Not Started</x:v>
      </x:c>
      <x:c r="B223" s="35" t="n">
        <x:v>221</x:v>
      </x:c>
      <x:c r="C223" s="35" t="str">
        <x:v>P04</x:v>
      </x:c>
      <x:c r="D223" s="35" t="n">
        <x:v>36</x:v>
      </x:c>
      <x:c r="E223" s="35" t="str">
        <x:v>Primary VLA</x:v>
      </x:c>
      <x:c r="F223" s="35" t="str">
        <x:v>VLA-0</x:v>
      </x:c>
      <x:c r="G223" s="35" t="n">
        <x:v>1</x:v>
      </x:c>
      <x:c r="H223" s="35" t="str">
        <x:v>Relational Placement</x:v>
      </x:c>
      <x:c r="I223" s="35" t="str">
        <x:v>Novel layout + seen language</x:v>
      </x:c>
      <x:c r="J223" s="35" t="str">
        <x:v>PVLA-RP-NOV-06</x:v>
      </x:c>
      <x:c r="K223" s="35" t="str"/>
      <x:c r="L223" s="31" t="str">
        <x:v>Place the red block to the left of the blue block.</x:v>
      </x:c>
      <x:c r="M223" s="31" t="str">
        <x:v>Place the red block to the left of the blue block.</x:v>
      </x:c>
      <x:c r="N223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223" s="31" t="str">
        <x:v>red block</x:v>
      </x:c>
      <x:c r="P223" s="31" t="str"/>
      <x:c r="Q223" s="31" t="str"/>
      <x:c r="R223" s="31" t="str"/>
      <x:c r="S223" s="31" t="str">
        <x:f>IF('Blind Scoring'!I223="","",'Blind Scoring'!I223)</x:f>
      </x:c>
      <x:c r="T223" s="31" t="str">
        <x:f>'Blind Scoring'!J223</x:f>
        <x:v>No</x:v>
      </x:c>
      <x:c r="U223" s="31" t="str">
        <x:f>IF('Blind Scoring'!L223="","",'Blind Scoring'!L223)</x:f>
      </x:c>
    </x:row>
    <x:row r="224" ht="44" customHeight="1">
      <x:c r="A224" s="35" t="str">
        <x:v>Not Started</x:v>
      </x:c>
      <x:c r="B224" s="35" t="n">
        <x:v>222</x:v>
      </x:c>
      <x:c r="C224" s="35" t="str">
        <x:v>P04</x:v>
      </x:c>
      <x:c r="D224" s="35" t="n">
        <x:v>37</x:v>
      </x:c>
      <x:c r="E224" s="35" t="str">
        <x:v>Primary VLA</x:v>
      </x:c>
      <x:c r="F224" s="35" t="str">
        <x:v>VLA-0</x:v>
      </x:c>
      <x:c r="G224" s="35" t="n">
        <x:v>1</x:v>
      </x:c>
      <x:c r="H224" s="35" t="str">
        <x:v>Relational Placement</x:v>
      </x:c>
      <x:c r="I224" s="35" t="str">
        <x:v>Main matched control</x:v>
      </x:c>
      <x:c r="J224" s="35" t="str">
        <x:v>PVLA-RP-CTL-04</x:v>
      </x:c>
      <x:c r="K224" s="35" t="str">
        <x:v>R-CF07</x:v>
      </x:c>
      <x:c r="L224" s="31" t="str">
        <x:v>Place the green pen near the red block.</x:v>
      </x:c>
      <x:c r="M224" s="31" t="str">
        <x:v>Place the green pen near the red block.</x:v>
      </x:c>
      <x:c r="N224" s="31" t="str">
        <x:v>R-CF07-CTRL: red block at back-left [REFERENCE]; green pen starts 18 cm in front of the reference [TARGET START]; pink marker and blue block are distractors outside the commanded goal sector.</x:v>
      </x:c>
      <x:c r="O224" s="31" t="str">
        <x:v>green pen near red block</x:v>
      </x:c>
      <x:c r="P224" s="31" t="str"/>
      <x:c r="Q224" s="31" t="str"/>
      <x:c r="R224" s="31" t="str"/>
      <x:c r="S224" s="31" t="str">
        <x:f>IF('Blind Scoring'!I224="","",'Blind Scoring'!I224)</x:f>
      </x:c>
      <x:c r="T224" s="31" t="str">
        <x:f>'Blind Scoring'!J224</x:f>
        <x:v>No</x:v>
      </x:c>
      <x:c r="U224" s="31" t="str">
        <x:f>IF('Blind Scoring'!L224="","",'Blind Scoring'!L224)</x:f>
      </x:c>
    </x:row>
    <x:row r="225" ht="44" customHeight="1">
      <x:c r="A225" s="35" t="str">
        <x:v>Not Started</x:v>
      </x:c>
      <x:c r="B225" s="35" t="n">
        <x:v>223</x:v>
      </x:c>
      <x:c r="C225" s="35" t="str">
        <x:v>P04</x:v>
      </x:c>
      <x:c r="D225" s="35" t="n">
        <x:v>38</x:v>
      </x:c>
      <x:c r="E225" s="35" t="str">
        <x:v>Primary VLA</x:v>
      </x:c>
      <x:c r="F225" s="35" t="str">
        <x:v>VLA-0</x:v>
      </x:c>
      <x:c r="G225" s="35" t="n">
        <x:v>1</x:v>
      </x:c>
      <x:c r="H225" s="35" t="str">
        <x:v>Relational Placement</x:v>
      </x:c>
      <x:c r="I225" s="35" t="str">
        <x:v>Training reconstruction</x:v>
      </x:c>
      <x:c r="J225" s="35" t="str">
        <x:v>PVLA-RP-REC-06</x:v>
      </x:c>
      <x:c r="K225" s="35" t="str"/>
      <x:c r="L225" s="31" t="str">
        <x:v>Place the green pen to the right of the pink marker.</x:v>
      </x:c>
      <x:c r="M225" s="31" t="str">
        <x:v>Place the green pen to the right of the pink marker.</x:v>
      </x:c>
      <x:c r="N225" s="31" t="str">
        <x:v>Reconstruct planned final training episode 243: green pen, pink marker, red block; start=Home. Match camera, calibration, bowl pose, and object geometry exactly.</x:v>
      </x:c>
      <x:c r="O225" s="31" t="str">
        <x:v>green pen</x:v>
      </x:c>
      <x:c r="P225" s="31" t="str"/>
      <x:c r="Q225" s="31" t="str"/>
      <x:c r="R225" s="31" t="str"/>
      <x:c r="S225" s="31" t="str">
        <x:f>IF('Blind Scoring'!I225="","",'Blind Scoring'!I225)</x:f>
      </x:c>
      <x:c r="T225" s="31" t="str">
        <x:f>'Blind Scoring'!J225</x:f>
        <x:v>No</x:v>
      </x:c>
      <x:c r="U225" s="31" t="str">
        <x:f>IF('Blind Scoring'!L225="","",'Blind Scoring'!L225)</x:f>
      </x:c>
    </x:row>
    <x:row r="226" ht="44" customHeight="1">
      <x:c r="A226" s="35" t="str">
        <x:v>Not Started</x:v>
      </x:c>
      <x:c r="B226" s="35" t="n">
        <x:v>224</x:v>
      </x:c>
      <x:c r="C226" s="35" t="str">
        <x:v>P04</x:v>
      </x:c>
      <x:c r="D226" s="35" t="n">
        <x:v>39</x:v>
      </x:c>
      <x:c r="E226" s="35" t="str">
        <x:v>Primary VLA</x:v>
      </x:c>
      <x:c r="F226" s="35" t="str">
        <x:v>VLA-0</x:v>
      </x:c>
      <x:c r="G226" s="35" t="n">
        <x:v>1</x:v>
      </x:c>
      <x:c r="H226" s="35" t="str">
        <x:v>Relational Placement</x:v>
      </x:c>
      <x:c r="I226" s="35" t="str">
        <x:v>Language ablation — counterfactual</x:v>
      </x:c>
      <x:c r="J226" s="35" t="str">
        <x:v>PVLA-RP-ABL-CF-01</x:v>
      </x:c>
      <x:c r="K226" s="35" t="str">
        <x:v>R-CF09</x:v>
      </x:c>
      <x:c r="L226" s="31" t="str">
        <x:v>Place the green pen behind the red block.</x:v>
      </x:c>
      <x:c r="M226" s="31" t="str">
        <x:v>Place the green pen behind the red block.</x:v>
      </x:c>
      <x:c r="N226" s="31" t="str">
        <x:v>R-CF09-HELD: red block at front-left [REFERENCE]; green pen starts 24 cm behind the reference [TARGET START]; pink marker and blue block are distractors outside the commanded goal sector.</x:v>
      </x:c>
      <x:c r="O226" s="31" t="str">
        <x:v>green pen → behind red block</x:v>
      </x:c>
      <x:c r="P226" s="31" t="str"/>
      <x:c r="Q226" s="31" t="str"/>
      <x:c r="R226" s="31" t="str"/>
      <x:c r="S226" s="31" t="str">
        <x:f>IF('Blind Scoring'!I226="","",'Blind Scoring'!I226)</x:f>
      </x:c>
      <x:c r="T226" s="31" t="str">
        <x:f>'Blind Scoring'!J226</x:f>
        <x:v>No</x:v>
      </x:c>
      <x:c r="U226" s="31" t="str">
        <x:f>IF('Blind Scoring'!L226="","",'Blind Scoring'!L226)</x:f>
      </x:c>
    </x:row>
    <x:row r="227" ht="44" customHeight="1">
      <x:c r="A227" s="35" t="str">
        <x:v>Not Started</x:v>
      </x:c>
      <x:c r="B227" s="35" t="n">
        <x:v>225</x:v>
      </x:c>
      <x:c r="C227" s="35" t="str">
        <x:v>P04</x:v>
      </x:c>
      <x:c r="D227" s="35" t="n">
        <x:v>40</x:v>
      </x:c>
      <x:c r="E227" s="35" t="str">
        <x:v>Primary VLA</x:v>
      </x:c>
      <x:c r="F227" s="35" t="str">
        <x:v>VLA-0</x:v>
      </x:c>
      <x:c r="G227" s="35" t="n">
        <x:v>1</x:v>
      </x:c>
      <x:c r="H227" s="35" t="str">
        <x:v>Relational Placement</x:v>
      </x:c>
      <x:c r="I227" s="35" t="str">
        <x:v>Main matched control</x:v>
      </x:c>
      <x:c r="J227" s="35" t="str">
        <x:v>PVLA-RP-CTL-16</x:v>
      </x:c>
      <x:c r="K227" s="35" t="str">
        <x:v>R-CF30</x:v>
      </x:c>
      <x:c r="L227" s="31" t="str">
        <x:v>Place the red block beside the green pen.</x:v>
      </x:c>
      <x:c r="M227" s="31" t="str">
        <x:v>Place the red block beside the green pen.</x:v>
      </x:c>
      <x:c r="N227" s="31" t="str">
        <x:v>R-CF30-CTRL: green pen at front-right [REFERENCE]; red block starts 24 cm to the left of the reference [TARGET START]; blue block and pink marker are distractors outside the commanded goal sector.</x:v>
      </x:c>
      <x:c r="O227" s="31" t="str">
        <x:v>red block near green pen</x:v>
      </x:c>
      <x:c r="P227" s="31" t="str"/>
      <x:c r="Q227" s="31" t="str"/>
      <x:c r="R227" s="31" t="str"/>
      <x:c r="S227" s="31" t="str">
        <x:f>IF('Blind Scoring'!I227="","",'Blind Scoring'!I227)</x:f>
      </x:c>
      <x:c r="T227" s="31" t="str">
        <x:f>'Blind Scoring'!J227</x:f>
        <x:v>No</x:v>
      </x:c>
      <x:c r="U227" s="31" t="str">
        <x:f>IF('Blind Scoring'!L227="","",'Blind Scoring'!L227)</x:f>
      </x:c>
    </x:row>
    <x:row r="228" ht="44" customHeight="1">
      <x:c r="A228" s="35" t="str">
        <x:v>Not Started</x:v>
      </x:c>
      <x:c r="B228" s="35" t="n">
        <x:v>226</x:v>
      </x:c>
      <x:c r="C228" s="35" t="str">
        <x:v>P04</x:v>
      </x:c>
      <x:c r="D228" s="35" t="n">
        <x:v>41</x:v>
      </x:c>
      <x:c r="E228" s="35" t="str">
        <x:v>Primary VLA</x:v>
      </x:c>
      <x:c r="F228" s="35" t="str">
        <x:v>VLA-0</x:v>
      </x:c>
      <x:c r="G228" s="35" t="n">
        <x:v>1</x:v>
      </x:c>
      <x:c r="H228" s="35" t="str">
        <x:v>Relational Placement</x:v>
      </x:c>
      <x:c r="I228" s="35" t="str">
        <x:v>Main matched control</x:v>
      </x:c>
      <x:c r="J228" s="35" t="str">
        <x:v>PVLA-RP-CTL-11</x:v>
      </x:c>
      <x:c r="K228" s="35" t="str">
        <x:v>R-CF20</x:v>
      </x:c>
      <x:c r="L228" s="31" t="str">
        <x:v>Place the red block next to the green pen.</x:v>
      </x:c>
      <x:c r="M228" s="31" t="str">
        <x:v>Place the red block next to the green pen.</x:v>
      </x:c>
      <x:c r="N228" s="31" t="str">
        <x:v>R-CF20-CTRL: green pen at front-right [REFERENCE]; red block starts 21 cm behind the reference [TARGET START]; blue block and pink marker are distractors outside the commanded goal sector.</x:v>
      </x:c>
      <x:c r="O228" s="31" t="str">
        <x:v>red block near green pen</x:v>
      </x:c>
      <x:c r="P228" s="31" t="str"/>
      <x:c r="Q228" s="31" t="str"/>
      <x:c r="R228" s="31" t="str"/>
      <x:c r="S228" s="31" t="str">
        <x:f>IF('Blind Scoring'!I228="","",'Blind Scoring'!I228)</x:f>
      </x:c>
      <x:c r="T228" s="31" t="str">
        <x:f>'Blind Scoring'!J228</x:f>
        <x:v>No</x:v>
      </x:c>
      <x:c r="U228" s="31" t="str">
        <x:f>IF('Blind Scoring'!L228="","",'Blind Scoring'!L228)</x:f>
      </x:c>
    </x:row>
    <x:row r="229" ht="44" customHeight="1">
      <x:c r="A229" s="35" t="str">
        <x:v>Not Started</x:v>
      </x:c>
      <x:c r="B229" s="35" t="n">
        <x:v>227</x:v>
      </x:c>
      <x:c r="C229" s="35" t="str">
        <x:v>P04</x:v>
      </x:c>
      <x:c r="D229" s="35" t="n">
        <x:v>42</x:v>
      </x:c>
      <x:c r="E229" s="35" t="str">
        <x:v>Primary VLA</x:v>
      </x:c>
      <x:c r="F229" s="35" t="str">
        <x:v>VLA-0</x:v>
      </x:c>
      <x:c r="G229" s="35" t="n">
        <x:v>1</x:v>
      </x:c>
      <x:c r="H229" s="35" t="str">
        <x:v>Relational Placement</x:v>
      </x:c>
      <x:c r="I229" s="35" t="str">
        <x:v>Training reconstruction</x:v>
      </x:c>
      <x:c r="J229" s="35" t="str">
        <x:v>PVLA-RP-REC-03</x:v>
      </x:c>
      <x:c r="K229" s="35" t="str"/>
      <x:c r="L229" s="31" t="str">
        <x:v>Place the green pen behind the pink marker.</x:v>
      </x:c>
      <x:c r="M229" s="31" t="str">
        <x:v>Place the green pen behind the pink marker.</x:v>
      </x:c>
      <x:c r="N229" s="31" t="str">
        <x:v>Reconstruct planned final training episode 218: green pen, pink marker, red block; start=Home. Match camera, calibration, bowl pose, and object geometry exactly.</x:v>
      </x:c>
      <x:c r="O229" s="31" t="str">
        <x:v>green pen</x:v>
      </x:c>
      <x:c r="P229" s="31" t="str"/>
      <x:c r="Q229" s="31" t="str"/>
      <x:c r="R229" s="31" t="str"/>
      <x:c r="S229" s="31" t="str">
        <x:f>IF('Blind Scoring'!I229="","",'Blind Scoring'!I229)</x:f>
      </x:c>
      <x:c r="T229" s="31" t="str">
        <x:f>'Blind Scoring'!J229</x:f>
        <x:v>No</x:v>
      </x:c>
      <x:c r="U229" s="31" t="str">
        <x:f>IF('Blind Scoring'!L229="","",'Blind Scoring'!L229)</x:f>
      </x:c>
    </x:row>
    <x:row r="230" ht="44" customHeight="1">
      <x:c r="A230" s="35" t="str">
        <x:v>Not Started</x:v>
      </x:c>
      <x:c r="B230" s="35" t="n">
        <x:v>228</x:v>
      </x:c>
      <x:c r="C230" s="35" t="str">
        <x:v>P04</x:v>
      </x:c>
      <x:c r="D230" s="35" t="n">
        <x:v>43</x:v>
      </x:c>
      <x:c r="E230" s="35" t="str">
        <x:v>Primary VLA</x:v>
      </x:c>
      <x:c r="F230" s="35" t="str">
        <x:v>VLA-0</x:v>
      </x:c>
      <x:c r="G230" s="35" t="n">
        <x:v>1</x:v>
      </x:c>
      <x:c r="H230" s="35" t="str">
        <x:v>Relational Placement</x:v>
      </x:c>
      <x:c r="I230" s="35" t="str">
        <x:v>Main held-out transfer</x:v>
      </x:c>
      <x:c r="J230" s="35" t="str">
        <x:v>PVLA-RP-TR-04</x:v>
      </x:c>
      <x:c r="K230" s="35" t="str">
        <x:v>R-CF07</x:v>
      </x:c>
      <x:c r="L230" s="31" t="str">
        <x:v>Place the green pen behind the red block.</x:v>
      </x:c>
      <x:c r="M230" s="31" t="str">
        <x:v>Place the green pen behind the red block.</x:v>
      </x:c>
      <x:c r="N230" s="31" t="str">
        <x:v>R-CF07-HELD: red block at back-left [REFERENCE]; green pen starts 18 cm in front of the reference [TARGET START]; pink marker and blue block are distractors outside the commanded goal sector.</x:v>
      </x:c>
      <x:c r="O230" s="31" t="str">
        <x:v>green pen → behind red block</x:v>
      </x:c>
      <x:c r="P230" s="31" t="str"/>
      <x:c r="Q230" s="31" t="str"/>
      <x:c r="R230" s="31" t="str"/>
      <x:c r="S230" s="31" t="str">
        <x:f>IF('Blind Scoring'!I230="","",'Blind Scoring'!I230)</x:f>
      </x:c>
      <x:c r="T230" s="31" t="str">
        <x:f>'Blind Scoring'!J230</x:f>
        <x:v>No</x:v>
      </x:c>
      <x:c r="U230" s="31" t="str">
        <x:f>IF('Blind Scoring'!L230="","",'Blind Scoring'!L230)</x:f>
      </x:c>
    </x:row>
    <x:row r="231" ht="44" customHeight="1">
      <x:c r="A231" s="35" t="str">
        <x:v>Not Started</x:v>
      </x:c>
      <x:c r="B231" s="35" t="n">
        <x:v>229</x:v>
      </x:c>
      <x:c r="C231" s="35" t="str">
        <x:v>P04</x:v>
      </x:c>
      <x:c r="D231" s="35" t="n">
        <x:v>44</x:v>
      </x:c>
      <x:c r="E231" s="35" t="str">
        <x:v>Primary VLA</x:v>
      </x:c>
      <x:c r="F231" s="35" t="str">
        <x:v>VLA-0</x:v>
      </x:c>
      <x:c r="G231" s="35" t="n">
        <x:v>1</x:v>
      </x:c>
      <x:c r="H231" s="35" t="str">
        <x:v>Relational Placement</x:v>
      </x:c>
      <x:c r="I231" s="35" t="str">
        <x:v>Main held-out transfer</x:v>
      </x:c>
      <x:c r="J231" s="35" t="str">
        <x:v>PVLA-RP-TR-06</x:v>
      </x:c>
      <x:c r="K231" s="35" t="str">
        <x:v>R-CF11</x:v>
      </x:c>
      <x:c r="L231" s="31" t="str">
        <x:v>Place the green pen to the right of the red block.</x:v>
      </x:c>
      <x:c r="M231" s="31" t="str">
        <x:v>Place the green pen to the right of the red block.</x:v>
      </x:c>
      <x:c r="N231" s="31" t="str">
        <x:v>R-CF11-HELD: red block at center [REFERENCE]; green pen starts 21 cm to the left of the reference [TARGET START]; pink marker and blue block are distractors outside the commanded goal sector.</x:v>
      </x:c>
      <x:c r="O231" s="31" t="str">
        <x:v>green pen → to the right of red block</x:v>
      </x:c>
      <x:c r="P231" s="31" t="str"/>
      <x:c r="Q231" s="31" t="str"/>
      <x:c r="R231" s="31" t="str"/>
      <x:c r="S231" s="31" t="str">
        <x:f>IF('Blind Scoring'!I231="","",'Blind Scoring'!I231)</x:f>
      </x:c>
      <x:c r="T231" s="31" t="str">
        <x:f>'Blind Scoring'!J231</x:f>
        <x:v>No</x:v>
      </x:c>
      <x:c r="U231" s="31" t="str">
        <x:f>IF('Blind Scoring'!L231="","",'Blind Scoring'!L231)</x:f>
      </x:c>
    </x:row>
    <x:row r="232" ht="44" customHeight="1">
      <x:c r="A232" s="35" t="str">
        <x:v>Not Started</x:v>
      </x:c>
      <x:c r="B232" s="35" t="n">
        <x:v>230</x:v>
      </x:c>
      <x:c r="C232" s="35" t="str">
        <x:v>P04</x:v>
      </x:c>
      <x:c r="D232" s="35" t="n">
        <x:v>45</x:v>
      </x:c>
      <x:c r="E232" s="35" t="str">
        <x:v>Primary VLA</x:v>
      </x:c>
      <x:c r="F232" s="35" t="str">
        <x:v>VLA-0</x:v>
      </x:c>
      <x:c r="G232" s="35" t="n">
        <x:v>1</x:v>
      </x:c>
      <x:c r="H232" s="35" t="str">
        <x:v>Relational Placement</x:v>
      </x:c>
      <x:c r="I232" s="35" t="str">
        <x:v>Language ablation — counterfactual</x:v>
      </x:c>
      <x:c r="J232" s="35" t="str">
        <x:v>PVLA-RP-ABL-CF-04</x:v>
      </x:c>
      <x:c r="K232" s="35" t="str">
        <x:v>R-CF15</x:v>
      </x:c>
      <x:c r="L232" s="31" t="str">
        <x:v>Place the green pen in front of the red block.</x:v>
      </x:c>
      <x:c r="M232" s="31" t="str">
        <x:v>Place the green pen in front of the red block.</x:v>
      </x:c>
      <x:c r="N232" s="31" t="str">
        <x:v>R-CF15-HELD: red block at front-right [REFERENCE]; green pen starts 24 cm in front of the reference [TARGET START]; pink marker and blue block are distractors outside the commanded goal sector.</x:v>
      </x:c>
      <x:c r="O232" s="31" t="str">
        <x:v>green pen → in front of red block</x:v>
      </x:c>
      <x:c r="P232" s="31" t="str"/>
      <x:c r="Q232" s="31" t="str"/>
      <x:c r="R232" s="31" t="str"/>
      <x:c r="S232" s="31" t="str">
        <x:f>IF('Blind Scoring'!I232="","",'Blind Scoring'!I232)</x:f>
      </x:c>
      <x:c r="T232" s="31" t="str">
        <x:f>'Blind Scoring'!J232</x:f>
        <x:v>No</x:v>
      </x:c>
      <x:c r="U232" s="31" t="str">
        <x:f>IF('Blind Scoring'!L232="","",'Blind Scoring'!L232)</x:f>
      </x:c>
    </x:row>
    <x:row r="233" ht="44" customHeight="1">
      <x:c r="A233" s="35" t="str">
        <x:v>Not Started</x:v>
      </x:c>
      <x:c r="B233" s="35" t="n">
        <x:v>231</x:v>
      </x:c>
      <x:c r="C233" s="35" t="str">
        <x:v>P04</x:v>
      </x:c>
      <x:c r="D233" s="35" t="n">
        <x:v>46</x:v>
      </x:c>
      <x:c r="E233" s="35" t="str">
        <x:v>Primary VLA</x:v>
      </x:c>
      <x:c r="F233" s="35" t="str">
        <x:v>VLA-0</x:v>
      </x:c>
      <x:c r="G233" s="35" t="n">
        <x:v>1</x:v>
      </x:c>
      <x:c r="H233" s="35" t="str">
        <x:v>Relational Placement</x:v>
      </x:c>
      <x:c r="I233" s="35" t="str">
        <x:v>Main matched control</x:v>
      </x:c>
      <x:c r="J233" s="35" t="str">
        <x:v>PVLA-RP-CTL-06</x:v>
      </x:c>
      <x:c r="K233" s="35" t="str">
        <x:v>R-CF11</x:v>
      </x:c>
      <x:c r="L233" s="31" t="str">
        <x:v>Place the green pen next to the red block.</x:v>
      </x:c>
      <x:c r="M233" s="31" t="str">
        <x:v>Place the green pen next to the red block.</x:v>
      </x:c>
      <x:c r="N233" s="31" t="str">
        <x:v>R-CF11-CTRL: red block at center [REFERENCE]; green pen starts 21 cm to the left of the reference [TARGET START]; pink marker and blue block are distractors outside the commanded goal sector.</x:v>
      </x:c>
      <x:c r="O233" s="31" t="str">
        <x:v>green pen near red block</x:v>
      </x:c>
      <x:c r="P233" s="31" t="str"/>
      <x:c r="Q233" s="31" t="str"/>
      <x:c r="R233" s="31" t="str"/>
      <x:c r="S233" s="31" t="str">
        <x:f>IF('Blind Scoring'!I233="","",'Blind Scoring'!I233)</x:f>
      </x:c>
      <x:c r="T233" s="31" t="str">
        <x:f>'Blind Scoring'!J233</x:f>
        <x:v>No</x:v>
      </x:c>
      <x:c r="U233" s="31" t="str">
        <x:f>IF('Blind Scoring'!L233="","",'Blind Scoring'!L233)</x:f>
      </x:c>
    </x:row>
    <x:row r="234" ht="44" customHeight="1">
      <x:c r="A234" s="35" t="str">
        <x:v>Not Started</x:v>
      </x:c>
      <x:c r="B234" s="35" t="n">
        <x:v>232</x:v>
      </x:c>
      <x:c r="C234" s="35" t="str">
        <x:v>P04</x:v>
      </x:c>
      <x:c r="D234" s="35" t="n">
        <x:v>47</x:v>
      </x:c>
      <x:c r="E234" s="35" t="str">
        <x:v>Primary VLA</x:v>
      </x:c>
      <x:c r="F234" s="35" t="str">
        <x:v>VLA-0</x:v>
      </x:c>
      <x:c r="G234" s="35" t="n">
        <x:v>1</x:v>
      </x:c>
      <x:c r="H234" s="35" t="str">
        <x:v>Relational Placement</x:v>
      </x:c>
      <x:c r="I234" s="35" t="str">
        <x:v>Main held-out transfer</x:v>
      </x:c>
      <x:c r="J234" s="35" t="str">
        <x:v>PVLA-RP-TR-13</x:v>
      </x:c>
      <x:c r="K234" s="35" t="str">
        <x:v>R-CF24</x:v>
      </x:c>
      <x:c r="L234" s="31" t="str">
        <x:v>Place the red block to the left of the green pen.</x:v>
      </x:c>
      <x:c r="M234" s="31" t="str">
        <x:v>Place the red block to the left of the green pen.</x:v>
      </x:c>
      <x:c r="N234" s="31" t="str">
        <x:v>R-CF24-HELD: green pen at front-left [REFERENCE]; red block starts 24 cm to the right of the reference [TARGET START]; blue block and pink marker are distractors outside the commanded goal sector.</x:v>
      </x:c>
      <x:c r="O234" s="31" t="str">
        <x:v>red block → to the left of green pen</x:v>
      </x:c>
      <x:c r="P234" s="31" t="str"/>
      <x:c r="Q234" s="31" t="str"/>
      <x:c r="R234" s="31" t="str"/>
      <x:c r="S234" s="31" t="str">
        <x:f>IF('Blind Scoring'!I234="","",'Blind Scoring'!I234)</x:f>
      </x:c>
      <x:c r="T234" s="31" t="str">
        <x:f>'Blind Scoring'!J234</x:f>
        <x:v>No</x:v>
      </x:c>
      <x:c r="U234" s="31" t="str">
        <x:f>IF('Blind Scoring'!L234="","",'Blind Scoring'!L234)</x:f>
      </x:c>
    </x:row>
    <x:row r="235" ht="44" customHeight="1">
      <x:c r="A235" s="35" t="str">
        <x:v>Not Started</x:v>
      </x:c>
      <x:c r="B235" s="35" t="n">
        <x:v>233</x:v>
      </x:c>
      <x:c r="C235" s="35" t="str">
        <x:v>P04</x:v>
      </x:c>
      <x:c r="D235" s="35" t="n">
        <x:v>48</x:v>
      </x:c>
      <x:c r="E235" s="35" t="str">
        <x:v>Primary VLA</x:v>
      </x:c>
      <x:c r="F235" s="35" t="str">
        <x:v>VLA-0</x:v>
      </x:c>
      <x:c r="G235" s="35" t="n">
        <x:v>1</x:v>
      </x:c>
      <x:c r="H235" s="35" t="str">
        <x:v>Relational Placement</x:v>
      </x:c>
      <x:c r="I235" s="35" t="str">
        <x:v>Exact-scene paraphrase</x:v>
      </x:c>
      <x:c r="J235" s="35" t="str">
        <x:v>PVLA-RP-PAR-04</x:v>
      </x:c>
      <x:c r="K235" s="35" t="str"/>
      <x:c r="L235" s="31" t="str">
        <x:v>Move the red block to the side of the pink marker facing the robot.</x:v>
      </x:c>
      <x:c r="M235" s="31" t="str">
        <x:v>Move the red block to the side of the pink marker facing the robot.</x:v>
      </x:c>
      <x:c r="N235" s="31" t="str">
        <x:v>R-P01: pink marker at center [REFERENCE]; red block starts 21 cm behind the reference [TARGET START]; remaining objects are distractors with ≥12 cm clearance from the target path and commanded goal sector.</x:v>
      </x:c>
      <x:c r="O235" s="31" t="str">
        <x:v>red block</x:v>
      </x:c>
      <x:c r="P235" s="31" t="str"/>
      <x:c r="Q235" s="31" t="str"/>
      <x:c r="R235" s="31" t="str"/>
      <x:c r="S235" s="31" t="str">
        <x:f>IF('Blind Scoring'!I235="","",'Blind Scoring'!I235)</x:f>
      </x:c>
      <x:c r="T235" s="31" t="str">
        <x:f>'Blind Scoring'!J235</x:f>
        <x:v>No</x:v>
      </x:c>
      <x:c r="U235" s="31" t="str">
        <x:f>IF('Blind Scoring'!L235="","",'Blind Scoring'!L235)</x:f>
      </x:c>
    </x:row>
    <x:row r="236" ht="44" customHeight="1">
      <x:c r="A236" s="35" t="str">
        <x:v>Not Started</x:v>
      </x:c>
      <x:c r="B236" s="35" t="n">
        <x:v>234</x:v>
      </x:c>
      <x:c r="C236" s="35" t="str">
        <x:v>P04</x:v>
      </x:c>
      <x:c r="D236" s="35" t="n">
        <x:v>49</x:v>
      </x:c>
      <x:c r="E236" s="35" t="str">
        <x:v>Primary VLA</x:v>
      </x:c>
      <x:c r="F236" s="35" t="str">
        <x:v>VLA-0</x:v>
      </x:c>
      <x:c r="G236" s="35" t="n">
        <x:v>1</x:v>
      </x:c>
      <x:c r="H236" s="35" t="str">
        <x:v>Relational Placement</x:v>
      </x:c>
      <x:c r="I236" s="35" t="str">
        <x:v>Main matched control</x:v>
      </x:c>
      <x:c r="J236" s="35" t="str">
        <x:v>PVLA-RP-CTL-01</x:v>
      </x:c>
      <x:c r="K236" s="35" t="str">
        <x:v>R-CF01</x:v>
      </x:c>
      <x:c r="L236" s="31" t="str">
        <x:v>Place the green pen near the red block.</x:v>
      </x:c>
      <x:c r="M236" s="31" t="str">
        <x:v>Place the green pen near the red block.</x:v>
      </x:c>
      <x:c r="N236" s="31" t="str">
        <x:v>R-CF01-CTRL: red block at center [REFERENCE]; green pen starts 18 cm behind the reference [TARGET START]; pink marker and blue block are distractors outside the commanded goal sector.</x:v>
      </x:c>
      <x:c r="O236" s="31" t="str">
        <x:v>green pen near red block</x:v>
      </x:c>
      <x:c r="P236" s="31" t="str"/>
      <x:c r="Q236" s="31" t="str"/>
      <x:c r="R236" s="31" t="str"/>
      <x:c r="S236" s="31" t="str">
        <x:f>IF('Blind Scoring'!I236="","",'Blind Scoring'!I236)</x:f>
      </x:c>
      <x:c r="T236" s="31" t="str">
        <x:f>'Blind Scoring'!J236</x:f>
        <x:v>No</x:v>
      </x:c>
      <x:c r="U236" s="31" t="str">
        <x:f>IF('Blind Scoring'!L236="","",'Blind Scoring'!L236)</x:f>
      </x:c>
    </x:row>
    <x:row r="237" ht="44" customHeight="1">
      <x:c r="A237" s="35" t="str">
        <x:v>Not Started</x:v>
      </x:c>
      <x:c r="B237" s="35" t="n">
        <x:v>235</x:v>
      </x:c>
      <x:c r="C237" s="35" t="str">
        <x:v>P04</x:v>
      </x:c>
      <x:c r="D237" s="35" t="n">
        <x:v>50</x:v>
      </x:c>
      <x:c r="E237" s="35" t="str">
        <x:v>Primary VLA</x:v>
      </x:c>
      <x:c r="F237" s="35" t="str">
        <x:v>VLA-0</x:v>
      </x:c>
      <x:c r="G237" s="35" t="n">
        <x:v>1</x:v>
      </x:c>
      <x:c r="H237" s="35" t="str">
        <x:v>Relational Placement</x:v>
      </x:c>
      <x:c r="I237" s="35" t="str">
        <x:v>Training reconstruction</x:v>
      </x:c>
      <x:c r="J237" s="35" t="str">
        <x:v>PVLA-RP-REC-05</x:v>
      </x:c>
      <x:c r="K237" s="35" t="str"/>
      <x:c r="L237" s="31" t="str">
        <x:v>Place the green pen to the left of the pink marker.</x:v>
      </x:c>
      <x:c r="M237" s="31" t="str">
        <x:v>Place the green pen to the left of the pink marker.</x:v>
      </x:c>
      <x:c r="N237" s="31" t="str">
        <x:v>Reconstruct planned final training episode 230: green pen, pink marker, red block; start=Home. Match camera, calibration, bowl pose, and object geometry exactly.</x:v>
      </x:c>
      <x:c r="O237" s="31" t="str">
        <x:v>green pen</x:v>
      </x:c>
      <x:c r="P237" s="31" t="str"/>
      <x:c r="Q237" s="31" t="str"/>
      <x:c r="R237" s="31" t="str"/>
      <x:c r="S237" s="31" t="str">
        <x:f>IF('Blind Scoring'!I237="","",'Blind Scoring'!I237)</x:f>
      </x:c>
      <x:c r="T237" s="31" t="str">
        <x:f>'Blind Scoring'!J237</x:f>
        <x:v>No</x:v>
      </x:c>
      <x:c r="U237" s="31" t="str">
        <x:f>IF('Blind Scoring'!L237="","",'Blind Scoring'!L237)</x:f>
      </x:c>
    </x:row>
    <x:row r="238" ht="44" customHeight="1">
      <x:c r="A238" s="35" t="str">
        <x:v>Not Started</x:v>
      </x:c>
      <x:c r="B238" s="35" t="n">
        <x:v>236</x:v>
      </x:c>
      <x:c r="C238" s="35" t="str">
        <x:v>P04</x:v>
      </x:c>
      <x:c r="D238" s="35" t="n">
        <x:v>51</x:v>
      </x:c>
      <x:c r="E238" s="35" t="str">
        <x:v>Primary VLA</x:v>
      </x:c>
      <x:c r="F238" s="35" t="str">
        <x:v>VLA-0</x:v>
      </x:c>
      <x:c r="G238" s="35" t="n">
        <x:v>1</x:v>
      </x:c>
      <x:c r="H238" s="35" t="str">
        <x:v>Relational Placement</x:v>
      </x:c>
      <x:c r="I238" s="35" t="str">
        <x:v>Exact-scene paraphrase</x:v>
      </x:c>
      <x:c r="J238" s="35" t="str">
        <x:v>PVLA-RP-PAR-05</x:v>
      </x:c>
      <x:c r="K238" s="35" t="str"/>
      <x:c r="L238" s="31" t="str">
        <x:v>Move the red block to the side of the pink marker facing the robot.</x:v>
      </x:c>
      <x:c r="M238" s="31" t="str">
        <x:v>Move the red block to the side of the pink marker facing the robot.</x:v>
      </x:c>
      <x:c r="N238" s="31" t="str">
        <x:v>R-P01: pink marker at center [REFERENCE]; red block starts 21 cm behind the reference [TARGET START]; remaining objects are distractors with ≥12 cm clearance from the target path and commanded goal sector.</x:v>
      </x:c>
      <x:c r="O238" s="31" t="str">
        <x:v>red block</x:v>
      </x:c>
      <x:c r="P238" s="31" t="str"/>
      <x:c r="Q238" s="31" t="str"/>
      <x:c r="R238" s="31" t="str"/>
      <x:c r="S238" s="31" t="str">
        <x:f>IF('Blind Scoring'!I238="","",'Blind Scoring'!I238)</x:f>
      </x:c>
      <x:c r="T238" s="31" t="str">
        <x:f>'Blind Scoring'!J238</x:f>
        <x:v>No</x:v>
      </x:c>
      <x:c r="U238" s="31" t="str">
        <x:f>IF('Blind Scoring'!L238="","",'Blind Scoring'!L238)</x:f>
      </x:c>
    </x:row>
    <x:row r="239" ht="44" customHeight="1">
      <x:c r="A239" s="35" t="str">
        <x:v>Not Started</x:v>
      </x:c>
      <x:c r="B239" s="35" t="n">
        <x:v>237</x:v>
      </x:c>
      <x:c r="C239" s="35" t="str">
        <x:v>P04</x:v>
      </x:c>
      <x:c r="D239" s="35" t="n">
        <x:v>52</x:v>
      </x:c>
      <x:c r="E239" s="35" t="str">
        <x:v>Primary VLA</x:v>
      </x:c>
      <x:c r="F239" s="35" t="str">
        <x:v>VLA-0</x:v>
      </x:c>
      <x:c r="G239" s="35" t="n">
        <x:v>1</x:v>
      </x:c>
      <x:c r="H239" s="35" t="str">
        <x:v>Relational Placement</x:v>
      </x:c>
      <x:c r="I239" s="35" t="str">
        <x:v>Main held-out transfer</x:v>
      </x:c>
      <x:c r="J239" s="35" t="str">
        <x:v>PVLA-RP-TR-16</x:v>
      </x:c>
      <x:c r="K239" s="35" t="str">
        <x:v>R-CF30</x:v>
      </x:c>
      <x:c r="L239" s="31" t="str">
        <x:v>Place the red block to the right of the green pen.</x:v>
      </x:c>
      <x:c r="M239" s="31" t="str">
        <x:v>Place the red block to the right of the green pen.</x:v>
      </x:c>
      <x:c r="N239" s="31" t="str">
        <x:v>R-CF30-HELD: green pen at front-right [REFERENCE]; red block starts 24 cm to the left of the reference [TARGET START]; blue block and pink marker are distractors outside the commanded goal sector.</x:v>
      </x:c>
      <x:c r="O239" s="31" t="str">
        <x:v>red block → to the right of green pen</x:v>
      </x:c>
      <x:c r="P239" s="31" t="str"/>
      <x:c r="Q239" s="31" t="str"/>
      <x:c r="R239" s="31" t="str"/>
      <x:c r="S239" s="31" t="str">
        <x:f>IF('Blind Scoring'!I239="","",'Blind Scoring'!I239)</x:f>
      </x:c>
      <x:c r="T239" s="31" t="str">
        <x:f>'Blind Scoring'!J239</x:f>
        <x:v>No</x:v>
      </x:c>
      <x:c r="U239" s="31" t="str">
        <x:f>IF('Blind Scoring'!L239="","",'Blind Scoring'!L239)</x:f>
      </x:c>
    </x:row>
    <x:row r="240" ht="44" customHeight="1">
      <x:c r="A240" s="35" t="str">
        <x:v>Not Started</x:v>
      </x:c>
      <x:c r="B240" s="35" t="n">
        <x:v>238</x:v>
      </x:c>
      <x:c r="C240" s="35" t="str">
        <x:v>P04</x:v>
      </x:c>
      <x:c r="D240" s="35" t="n">
        <x:v>53</x:v>
      </x:c>
      <x:c r="E240" s="35" t="str">
        <x:v>Primary VLA</x:v>
      </x:c>
      <x:c r="F240" s="35" t="str">
        <x:v>VLA-0</x:v>
      </x:c>
      <x:c r="G240" s="35" t="n">
        <x:v>1</x:v>
      </x:c>
      <x:c r="H240" s="35" t="str">
        <x:v>Relational Placement</x:v>
      </x:c>
      <x:c r="I240" s="35" t="str">
        <x:v>Novel layout + seen language</x:v>
      </x:c>
      <x:c r="J240" s="35" t="str">
        <x:v>PVLA-RP-NOV-05</x:v>
      </x:c>
      <x:c r="K240" s="35" t="str"/>
      <x:c r="L240" s="31" t="str">
        <x:v>Place the pink marker to the right of the blue block.</x:v>
      </x:c>
      <x:c r="M240" s="31" t="str">
        <x:v>Place the pink marker to the right of the blue block.</x:v>
      </x:c>
      <x:c r="N240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240" s="31" t="str">
        <x:v>pink marker</x:v>
      </x:c>
      <x:c r="P240" s="31" t="str"/>
      <x:c r="Q240" s="31" t="str"/>
      <x:c r="R240" s="31" t="str"/>
      <x:c r="S240" s="31" t="str">
        <x:f>IF('Blind Scoring'!I240="","",'Blind Scoring'!I240)</x:f>
      </x:c>
      <x:c r="T240" s="31" t="str">
        <x:f>'Blind Scoring'!J240</x:f>
        <x:v>No</x:v>
      </x:c>
      <x:c r="U240" s="31" t="str">
        <x:f>IF('Blind Scoring'!L240="","",'Blind Scoring'!L240)</x:f>
      </x:c>
    </x:row>
    <x:row r="241" ht="44" customHeight="1">
      <x:c r="A241" s="35" t="str">
        <x:v>Not Started</x:v>
      </x:c>
      <x:c r="B241" s="35" t="n">
        <x:v>239</x:v>
      </x:c>
      <x:c r="C241" s="35" t="str">
        <x:v>P04</x:v>
      </x:c>
      <x:c r="D241" s="35" t="n">
        <x:v>54</x:v>
      </x:c>
      <x:c r="E241" s="35" t="str">
        <x:v>Primary VLA</x:v>
      </x:c>
      <x:c r="F241" s="35" t="str">
        <x:v>VLA-0</x:v>
      </x:c>
      <x:c r="G241" s="35" t="n">
        <x:v>1</x:v>
      </x:c>
      <x:c r="H241" s="35" t="str">
        <x:v>Relational Placement</x:v>
      </x:c>
      <x:c r="I241" s="35" t="str">
        <x:v>Exact-scene paraphrase</x:v>
      </x:c>
      <x:c r="J241" s="35" t="str">
        <x:v>PVLA-RP-PAR-07</x:v>
      </x:c>
      <x:c r="K241" s="35" t="str"/>
      <x:c r="L241" s="31" t="str">
        <x:v>Move the red block to the side of the pink marker facing the robot.</x:v>
      </x:c>
      <x:c r="M241" s="31" t="str">
        <x:v>Move the red block to the side of the pink marker facing the robot.</x:v>
      </x:c>
      <x:c r="N241" s="31" t="str">
        <x:v>R-P01: pink marker at center [REFERENCE]; red block starts 21 cm behind the reference [TARGET START]; remaining objects are distractors with ≥12 cm clearance from the target path and commanded goal sector.</x:v>
      </x:c>
      <x:c r="O241" s="31" t="str">
        <x:v>red block</x:v>
      </x:c>
      <x:c r="P241" s="31" t="str"/>
      <x:c r="Q241" s="31" t="str"/>
      <x:c r="R241" s="31" t="str"/>
      <x:c r="S241" s="31" t="str">
        <x:f>IF('Blind Scoring'!I241="","",'Blind Scoring'!I241)</x:f>
      </x:c>
      <x:c r="T241" s="31" t="str">
        <x:f>'Blind Scoring'!J241</x:f>
        <x:v>No</x:v>
      </x:c>
      <x:c r="U241" s="31" t="str">
        <x:f>IF('Blind Scoring'!L241="","",'Blind Scoring'!L241)</x:f>
      </x:c>
    </x:row>
    <x:row r="242" ht="44" customHeight="1">
      <x:c r="A242" s="35" t="str">
        <x:v>Not Started</x:v>
      </x:c>
      <x:c r="B242" s="35" t="n">
        <x:v>240</x:v>
      </x:c>
      <x:c r="C242" s="35" t="str">
        <x:v>P04</x:v>
      </x:c>
      <x:c r="D242" s="35" t="n">
        <x:v>55</x:v>
      </x:c>
      <x:c r="E242" s="35" t="str">
        <x:v>Primary VLA</x:v>
      </x:c>
      <x:c r="F242" s="35" t="str">
        <x:v>VLA-0</x:v>
      </x:c>
      <x:c r="G242" s="35" t="n">
        <x:v>1</x:v>
      </x:c>
      <x:c r="H242" s="35" t="str">
        <x:v>Relational Placement</x:v>
      </x:c>
      <x:c r="I242" s="35" t="str">
        <x:v>Main matched control</x:v>
      </x:c>
      <x:c r="J242" s="35" t="str">
        <x:v>PVLA-RP-CTL-03</x:v>
      </x:c>
      <x:c r="K242" s="35" t="str">
        <x:v>R-CF05</x:v>
      </x:c>
      <x:c r="L242" s="31" t="str">
        <x:v>Place the green pen next to the red block.</x:v>
      </x:c>
      <x:c r="M242" s="31" t="str">
        <x:v>Place the green pen next to the red block.</x:v>
      </x:c>
      <x:c r="N242" s="31" t="str">
        <x:v>R-CF05-CTRL: red block at front-right [REFERENCE]; green pen starts 21 cm to the right of the reference [TARGET START]; pink marker and blue block are distractors outside the commanded goal sector.</x:v>
      </x:c>
      <x:c r="O242" s="31" t="str">
        <x:v>green pen near red block</x:v>
      </x:c>
      <x:c r="P242" s="31" t="str"/>
      <x:c r="Q242" s="31" t="str"/>
      <x:c r="R242" s="31" t="str"/>
      <x:c r="S242" s="31" t="str">
        <x:f>IF('Blind Scoring'!I242="","",'Blind Scoring'!I242)</x:f>
      </x:c>
      <x:c r="T242" s="31" t="str">
        <x:f>'Blind Scoring'!J242</x:f>
        <x:v>No</x:v>
      </x:c>
      <x:c r="U242" s="31" t="str">
        <x:f>IF('Blind Scoring'!L242="","",'Blind Scoring'!L242)</x:f>
      </x:c>
    </x:row>
    <x:row r="243" ht="44" customHeight="1">
      <x:c r="A243" s="35" t="str">
        <x:v>Not Started</x:v>
      </x:c>
      <x:c r="B243" s="35" t="n">
        <x:v>241</x:v>
      </x:c>
      <x:c r="C243" s="35" t="str">
        <x:v>P04</x:v>
      </x:c>
      <x:c r="D243" s="35" t="n">
        <x:v>56</x:v>
      </x:c>
      <x:c r="E243" s="35" t="str">
        <x:v>Primary VLA</x:v>
      </x:c>
      <x:c r="F243" s="35" t="str">
        <x:v>VLA-0</x:v>
      </x:c>
      <x:c r="G243" s="35" t="n">
        <x:v>1</x:v>
      </x:c>
      <x:c r="H243" s="35" t="str">
        <x:v>Relational Placement</x:v>
      </x:c>
      <x:c r="I243" s="35" t="str">
        <x:v>Language ablation — blank</x:v>
      </x:c>
      <x:c r="J243" s="35" t="str">
        <x:v>PVLA-RP-ABL-BLK-03</x:v>
      </x:c>
      <x:c r="K243" s="35" t="str">
        <x:v>R-CF05</x:v>
      </x:c>
      <x:c r="L243" s="31" t="str">
        <x:v>[EMPTY STRING — provide no instruction tokens]</x:v>
      </x:c>
      <x:c r="M243" s="31" t="str">
        <x:v>Place the green pen to the left of the red block.</x:v>
      </x:c>
      <x:c r="N243" s="31" t="str">
        <x:v>R-CF05-HELD: red block at front-right [REFERENCE]; green pen starts 21 cm to the right of the reference [TARGET START]; pink marker and blue block are distractors outside the commanded goal sector.</x:v>
      </x:c>
      <x:c r="O243" s="31" t="str">
        <x:v>No prespecified task success under blank language; record any action/selected target.</x:v>
      </x:c>
      <x:c r="P243" s="31" t="str"/>
      <x:c r="Q243" s="31" t="str"/>
      <x:c r="R243" s="31" t="str"/>
      <x:c r="S243" s="31" t="str">
        <x:f>IF('Blind Scoring'!I243="","",'Blind Scoring'!I243)</x:f>
      </x:c>
      <x:c r="T243" s="31" t="str">
        <x:f>'Blind Scoring'!J243</x:f>
        <x:v>No</x:v>
      </x:c>
      <x:c r="U243" s="31" t="str">
        <x:f>IF('Blind Scoring'!L243="","",'Blind Scoring'!L243)</x:f>
      </x:c>
    </x:row>
    <x:row r="244" ht="44" customHeight="1">
      <x:c r="A244" s="35" t="str">
        <x:v>Not Started</x:v>
      </x:c>
      <x:c r="B244" s="35" t="n">
        <x:v>242</x:v>
      </x:c>
      <x:c r="C244" s="35" t="str">
        <x:v>P04</x:v>
      </x:c>
      <x:c r="D244" s="35" t="n">
        <x:v>57</x:v>
      </x:c>
      <x:c r="E244" s="35" t="str">
        <x:v>Primary VLA</x:v>
      </x:c>
      <x:c r="F244" s="35" t="str">
        <x:v>VLA-0</x:v>
      </x:c>
      <x:c r="G244" s="35" t="n">
        <x:v>1</x:v>
      </x:c>
      <x:c r="H244" s="35" t="str">
        <x:v>Relational Placement</x:v>
      </x:c>
      <x:c r="I244" s="35" t="str">
        <x:v>Language ablation — blank</x:v>
      </x:c>
      <x:c r="J244" s="35" t="str">
        <x:v>PVLA-RP-ABL-BLK-04</x:v>
      </x:c>
      <x:c r="K244" s="35" t="str">
        <x:v>R-CF07</x:v>
      </x:c>
      <x:c r="L244" s="31" t="str">
        <x:v>[EMPTY STRING — provide no instruction tokens]</x:v>
      </x:c>
      <x:c r="M244" s="31" t="str">
        <x:v>Place the green pen behind the red block.</x:v>
      </x:c>
      <x:c r="N244" s="31" t="str">
        <x:v>R-CF07-HELD: red block at back-left [REFERENCE]; green pen starts 18 cm in front of the reference [TARGET START]; pink marker and blue block are distractors outside the commanded goal sector.</x:v>
      </x:c>
      <x:c r="O244" s="31" t="str">
        <x:v>No prespecified task success under blank language; record any action/selected target.</x:v>
      </x:c>
      <x:c r="P244" s="31" t="str"/>
      <x:c r="Q244" s="31" t="str"/>
      <x:c r="R244" s="31" t="str"/>
      <x:c r="S244" s="31" t="str">
        <x:f>IF('Blind Scoring'!I244="","",'Blind Scoring'!I244)</x:f>
      </x:c>
      <x:c r="T244" s="31" t="str">
        <x:f>'Blind Scoring'!J244</x:f>
        <x:v>No</x:v>
      </x:c>
      <x:c r="U244" s="31" t="str">
        <x:f>IF('Blind Scoring'!L244="","",'Blind Scoring'!L244)</x:f>
      </x:c>
    </x:row>
    <x:row r="245" ht="44" customHeight="1">
      <x:c r="A245" s="35" t="str">
        <x:v>Not Started</x:v>
      </x:c>
      <x:c r="B245" s="35" t="n">
        <x:v>243</x:v>
      </x:c>
      <x:c r="C245" s="35" t="str">
        <x:v>P04</x:v>
      </x:c>
      <x:c r="D245" s="35" t="n">
        <x:v>58</x:v>
      </x:c>
      <x:c r="E245" s="35" t="str">
        <x:v>Primary VLA</x:v>
      </x:c>
      <x:c r="F245" s="35" t="str">
        <x:v>VLA-0</x:v>
      </x:c>
      <x:c r="G245" s="35" t="n">
        <x:v>1</x:v>
      </x:c>
      <x:c r="H245" s="35" t="str">
        <x:v>Relational Placement</x:v>
      </x:c>
      <x:c r="I245" s="35" t="str">
        <x:v>Main matched control</x:v>
      </x:c>
      <x:c r="J245" s="35" t="str">
        <x:v>PVLA-RP-CTL-08</x:v>
      </x:c>
      <x:c r="K245" s="35" t="str">
        <x:v>R-CF15</x:v>
      </x:c>
      <x:c r="L245" s="31" t="str">
        <x:v>Place the green pen beside the red block.</x:v>
      </x:c>
      <x:c r="M245" s="31" t="str">
        <x:v>Place the green pen beside the red block.</x:v>
      </x:c>
      <x:c r="N245" s="31" t="str">
        <x:v>R-CF15-CTRL: red block at front-right [REFERENCE]; green pen starts 24 cm in front of the reference [TARGET START]; pink marker and blue block are distractors outside the commanded goal sector.</x:v>
      </x:c>
      <x:c r="O245" s="31" t="str">
        <x:v>green pen near red block</x:v>
      </x:c>
      <x:c r="P245" s="31" t="str"/>
      <x:c r="Q245" s="31" t="str"/>
      <x:c r="R245" s="31" t="str"/>
      <x:c r="S245" s="31" t="str">
        <x:f>IF('Blind Scoring'!I245="","",'Blind Scoring'!I245)</x:f>
      </x:c>
      <x:c r="T245" s="31" t="str">
        <x:f>'Blind Scoring'!J245</x:f>
        <x:v>No</x:v>
      </x:c>
      <x:c r="U245" s="31" t="str">
        <x:f>IF('Blind Scoring'!L245="","",'Blind Scoring'!L245)</x:f>
      </x:c>
    </x:row>
    <x:row r="246" ht="44" customHeight="1">
      <x:c r="A246" s="35" t="str">
        <x:v>Not Started</x:v>
      </x:c>
      <x:c r="B246" s="35" t="n">
        <x:v>244</x:v>
      </x:c>
      <x:c r="C246" s="35" t="str">
        <x:v>P04</x:v>
      </x:c>
      <x:c r="D246" s="35" t="n">
        <x:v>59</x:v>
      </x:c>
      <x:c r="E246" s="35" t="str">
        <x:v>Primary VLA</x:v>
      </x:c>
      <x:c r="F246" s="35" t="str">
        <x:v>VLA-0</x:v>
      </x:c>
      <x:c r="G246" s="35" t="n">
        <x:v>1</x:v>
      </x:c>
      <x:c r="H246" s="35" t="str">
        <x:v>Relational Placement</x:v>
      </x:c>
      <x:c r="I246" s="35" t="str">
        <x:v>Training reconstruction</x:v>
      </x:c>
      <x:c r="J246" s="35" t="str">
        <x:v>PVLA-RP-REC-04</x:v>
      </x:c>
      <x:c r="K246" s="35" t="str"/>
      <x:c r="L246" s="31" t="str">
        <x:v>Place the green pen behind the pink marker.</x:v>
      </x:c>
      <x:c r="M246" s="31" t="str">
        <x:v>Place the green pen behind the pink marker.</x:v>
      </x:c>
      <x:c r="N246" s="31" t="str">
        <x:v>Reconstruct planned final training episode 219: green pen, red block, pink marker, blue block; start=Home. Match camera, calibration, bowl pose, and object geometry exactly.</x:v>
      </x:c>
      <x:c r="O246" s="31" t="str">
        <x:v>green pen</x:v>
      </x:c>
      <x:c r="P246" s="31" t="str"/>
      <x:c r="Q246" s="31" t="str"/>
      <x:c r="R246" s="31" t="str"/>
      <x:c r="S246" s="31" t="str">
        <x:f>IF('Blind Scoring'!I246="","",'Blind Scoring'!I246)</x:f>
      </x:c>
      <x:c r="T246" s="31" t="str">
        <x:f>'Blind Scoring'!J246</x:f>
        <x:v>No</x:v>
      </x:c>
      <x:c r="U246" s="31" t="str">
        <x:f>IF('Blind Scoring'!L246="","",'Blind Scoring'!L246)</x:f>
      </x:c>
    </x:row>
    <x:row r="247" ht="44" customHeight="1">
      <x:c r="A247" s="35" t="str">
        <x:v>Not Started</x:v>
      </x:c>
      <x:c r="B247" s="35" t="n">
        <x:v>245</x:v>
      </x:c>
      <x:c r="C247" s="35" t="str">
        <x:v>P04</x:v>
      </x:c>
      <x:c r="D247" s="35" t="n">
        <x:v>60</x:v>
      </x:c>
      <x:c r="E247" s="35" t="str">
        <x:v>Primary VLA</x:v>
      </x:c>
      <x:c r="F247" s="35" t="str">
        <x:v>VLA-0</x:v>
      </x:c>
      <x:c r="G247" s="35" t="n">
        <x:v>1</x:v>
      </x:c>
      <x:c r="H247" s="35" t="str">
        <x:v>Relational Placement</x:v>
      </x:c>
      <x:c r="I247" s="35" t="str">
        <x:v>Main held-out transfer</x:v>
      </x:c>
      <x:c r="J247" s="35" t="str">
        <x:v>PVLA-RP-TR-03</x:v>
      </x:c>
      <x:c r="K247" s="35" t="str">
        <x:v>R-CF05</x:v>
      </x:c>
      <x:c r="L247" s="31" t="str">
        <x:v>Place the green pen to the left of the red block.</x:v>
      </x:c>
      <x:c r="M247" s="31" t="str">
        <x:v>Place the green pen to the left of the red block.</x:v>
      </x:c>
      <x:c r="N247" s="31" t="str">
        <x:v>R-CF05-HELD: red block at front-right [REFERENCE]; green pen starts 21 cm to the right of the reference [TARGET START]; pink marker and blue block are distractors outside the commanded goal sector.</x:v>
      </x:c>
      <x:c r="O247" s="31" t="str">
        <x:v>green pen → to the left of red block</x:v>
      </x:c>
      <x:c r="P247" s="31" t="str"/>
      <x:c r="Q247" s="31" t="str"/>
      <x:c r="R247" s="31" t="str"/>
      <x:c r="S247" s="31" t="str">
        <x:f>IF('Blind Scoring'!I247="","",'Blind Scoring'!I247)</x:f>
      </x:c>
      <x:c r="T247" s="31" t="str">
        <x:f>'Blind Scoring'!J247</x:f>
        <x:v>No</x:v>
      </x:c>
      <x:c r="U247" s="31" t="str">
        <x:f>IF('Blind Scoring'!L247="","",'Blind Scoring'!L247)</x:f>
      </x:c>
    </x:row>
    <x:row r="248" ht="44" customHeight="1">
      <x:c r="A248" s="35" t="str">
        <x:v>Not Started</x:v>
      </x:c>
      <x:c r="B248" s="35" t="n">
        <x:v>246</x:v>
      </x:c>
      <x:c r="C248" s="35" t="str">
        <x:v>P04</x:v>
      </x:c>
      <x:c r="D248" s="35" t="n">
        <x:v>61</x:v>
      </x:c>
      <x:c r="E248" s="35" t="str">
        <x:v>Primary VLA</x:v>
      </x:c>
      <x:c r="F248" s="35" t="str">
        <x:v>VLA-0</x:v>
      </x:c>
      <x:c r="G248" s="35" t="n">
        <x:v>1</x:v>
      </x:c>
      <x:c r="H248" s="35" t="str">
        <x:v>Relational Placement</x:v>
      </x:c>
      <x:c r="I248" s="35" t="str">
        <x:v>Main matched control</x:v>
      </x:c>
      <x:c r="J248" s="35" t="str">
        <x:v>PVLA-RP-CTL-14</x:v>
      </x:c>
      <x:c r="K248" s="35" t="str">
        <x:v>R-CF26</x:v>
      </x:c>
      <x:c r="L248" s="31" t="str">
        <x:v>Place the red block next to the green pen.</x:v>
      </x:c>
      <x:c r="M248" s="31" t="str">
        <x:v>Place the red block next to the green pen.</x:v>
      </x:c>
      <x:c r="N248" s="31" t="str">
        <x:v>R-CF26-CTRL: green pen at center [REFERENCE]; red block starts 21 cm in front of the reference [TARGET START]; blue block and pink marker are distractors outside the commanded goal sector.</x:v>
      </x:c>
      <x:c r="O248" s="31" t="str">
        <x:v>red block near green pen</x:v>
      </x:c>
      <x:c r="P248" s="31" t="str"/>
      <x:c r="Q248" s="31" t="str"/>
      <x:c r="R248" s="31" t="str"/>
      <x:c r="S248" s="31" t="str">
        <x:f>IF('Blind Scoring'!I248="","",'Blind Scoring'!I248)</x:f>
      </x:c>
      <x:c r="T248" s="31" t="str">
        <x:f>'Blind Scoring'!J248</x:f>
        <x:v>No</x:v>
      </x:c>
      <x:c r="U248" s="31" t="str">
        <x:f>IF('Blind Scoring'!L248="","",'Blind Scoring'!L248)</x:f>
      </x:c>
    </x:row>
    <x:row r="249" ht="44" customHeight="1">
      <x:c r="A249" s="35" t="str">
        <x:v>Not Started</x:v>
      </x:c>
      <x:c r="B249" s="35" t="n">
        <x:v>247</x:v>
      </x:c>
      <x:c r="C249" s="35" t="str">
        <x:v>P04</x:v>
      </x:c>
      <x:c r="D249" s="35" t="n">
        <x:v>62</x:v>
      </x:c>
      <x:c r="E249" s="35" t="str">
        <x:v>Primary VLA</x:v>
      </x:c>
      <x:c r="F249" s="35" t="str">
        <x:v>VLA-0</x:v>
      </x:c>
      <x:c r="G249" s="35" t="n">
        <x:v>1</x:v>
      </x:c>
      <x:c r="H249" s="35" t="str">
        <x:v>Relational Placement</x:v>
      </x:c>
      <x:c r="I249" s="35" t="str">
        <x:v>Main held-out transfer</x:v>
      </x:c>
      <x:c r="J249" s="35" t="str">
        <x:v>PVLA-RP-TR-14</x:v>
      </x:c>
      <x:c r="K249" s="35" t="str">
        <x:v>R-CF26</x:v>
      </x:c>
      <x:c r="L249" s="31" t="str">
        <x:v>Place the red block behind the green pen.</x:v>
      </x:c>
      <x:c r="M249" s="31" t="str">
        <x:v>Place the red block behind the green pen.</x:v>
      </x:c>
      <x:c r="N249" s="31" t="str">
        <x:v>R-CF26-HELD: green pen at center [REFERENCE]; red block starts 21 cm in front of the reference [TARGET START]; blue block and pink marker are distractors outside the commanded goal sector.</x:v>
      </x:c>
      <x:c r="O249" s="31" t="str">
        <x:v>red block → behind green pen</x:v>
      </x:c>
      <x:c r="P249" s="31" t="str"/>
      <x:c r="Q249" s="31" t="str"/>
      <x:c r="R249" s="31" t="str"/>
      <x:c r="S249" s="31" t="str">
        <x:f>IF('Blind Scoring'!I249="","",'Blind Scoring'!I249)</x:f>
      </x:c>
      <x:c r="T249" s="31" t="str">
        <x:f>'Blind Scoring'!J249</x:f>
        <x:v>No</x:v>
      </x:c>
      <x:c r="U249" s="31" t="str">
        <x:f>IF('Blind Scoring'!L249="","",'Blind Scoring'!L249)</x:f>
      </x:c>
    </x:row>
    <x:row r="250" ht="44" customHeight="1">
      <x:c r="A250" s="35" t="str">
        <x:v>Not Started</x:v>
      </x:c>
      <x:c r="B250" s="35" t="n">
        <x:v>248</x:v>
      </x:c>
      <x:c r="C250" s="35" t="str">
        <x:v>P05</x:v>
      </x:c>
      <x:c r="D250" s="35" t="n">
        <x:v>1</x:v>
      </x:c>
      <x:c r="E250" s="35" t="str">
        <x:v>Primary VLA</x:v>
      </x:c>
      <x:c r="F250" s="35" t="str">
        <x:v>VLA-0</x:v>
      </x:c>
      <x:c r="G250" s="35" t="n">
        <x:v>1</x:v>
      </x:c>
      <x:c r="H250" s="35" t="str">
        <x:v>Counting</x:v>
      </x:c>
      <x:c r="I250" s="35" t="str">
        <x:v>Novel layout + seen language</x:v>
      </x:c>
      <x:c r="J250" s="35" t="str">
        <x:v>PVLA-CT-NOV-07</x:v>
      </x:c>
      <x:c r="K250" s="35" t="str"/>
      <x:c r="L250" s="31" t="str">
        <x:v>Make the bowl contain exactly zero objects.</x:v>
      </x:c>
      <x:c r="M250" s="31" t="str">
        <x:v>Make the bowl contain exactly zero objects.</x:v>
      </x:c>
      <x:c r="N250" s="31" t="str">
        <x:v>C-N17: bowl=[green pencil sharpener] (1); table left→right=[airplane toy without propellers, blue pen, yellow block]; robot home.</x:v>
      </x:c>
      <x:c r="O250" s="31" t="str"/>
      <x:c r="P250" s="31" t="str"/>
      <x:c r="Q250" s="31" t="str"/>
      <x:c r="R250" s="31" t="str"/>
      <x:c r="S250" s="31" t="str">
        <x:f>IF('Blind Scoring'!I250="","",'Blind Scoring'!I250)</x:f>
      </x:c>
      <x:c r="T250" s="31" t="str">
        <x:f>'Blind Scoring'!J250</x:f>
        <x:v>No</x:v>
      </x:c>
      <x:c r="U250" s="31" t="str">
        <x:f>IF('Blind Scoring'!L250="","",'Blind Scoring'!L250)</x:f>
      </x:c>
    </x:row>
    <x:row r="251" ht="44" customHeight="1">
      <x:c r="A251" s="35" t="str">
        <x:v>Not Started</x:v>
      </x:c>
      <x:c r="B251" s="35" t="n">
        <x:v>249</x:v>
      </x:c>
      <x:c r="C251" s="35" t="str">
        <x:v>P05</x:v>
      </x:c>
      <x:c r="D251" s="35" t="n">
        <x:v>2</x:v>
      </x:c>
      <x:c r="E251" s="35" t="str">
        <x:v>Primary VLA</x:v>
      </x:c>
      <x:c r="F251" s="35" t="str">
        <x:v>VLA-0</x:v>
      </x:c>
      <x:c r="G251" s="35" t="n">
        <x:v>1</x:v>
      </x:c>
      <x:c r="H251" s="35" t="str">
        <x:v>Counting</x:v>
      </x:c>
      <x:c r="I251" s="35" t="str">
        <x:v>Main held-out transfer</x:v>
      </x:c>
      <x:c r="J251" s="35" t="str">
        <x:v>PVLA-CT-TR-01</x:v>
      </x:c>
      <x:c r="K251" s="35" t="str">
        <x:v>C-CF01-A</x:v>
      </x:c>
      <x:c r="L251" s="31" t="str">
        <x:v>Leave exactly one object in the bowl.</x:v>
      </x:c>
      <x:c r="M251" s="31" t="str">
        <x:v>Leave exactly one object in the bowl.</x:v>
      </x:c>
      <x:c r="N251" s="31" t="str">
        <x:v>C-CF01A: bowl=[blue pen, yellow block] (2); table=[green pencil sharpener, airplane toy without propellers]; robot home; acceptable action=remove either bowl object.</x:v>
      </x:c>
      <x:c r="O251" s="31" t="str">
        <x:v>REMOVE one bowl object</x:v>
      </x:c>
      <x:c r="P251" s="31" t="str"/>
      <x:c r="Q251" s="31" t="str"/>
      <x:c r="R251" s="31" t="str"/>
      <x:c r="S251" s="31" t="str">
        <x:f>IF('Blind Scoring'!I251="","",'Blind Scoring'!I251)</x:f>
      </x:c>
      <x:c r="T251" s="31" t="str">
        <x:f>'Blind Scoring'!J251</x:f>
        <x:v>No</x:v>
      </x:c>
      <x:c r="U251" s="31" t="str">
        <x:f>IF('Blind Scoring'!L251="","",'Blind Scoring'!L251)</x:f>
      </x:c>
    </x:row>
    <x:row r="252" ht="44" customHeight="1">
      <x:c r="A252" s="35" t="str">
        <x:v>Not Started</x:v>
      </x:c>
      <x:c r="B252" s="35" t="n">
        <x:v>250</x:v>
      </x:c>
      <x:c r="C252" s="35" t="str">
        <x:v>P05</x:v>
      </x:c>
      <x:c r="D252" s="35" t="n">
        <x:v>3</x:v>
      </x:c>
      <x:c r="E252" s="35" t="str">
        <x:v>Primary VLA</x:v>
      </x:c>
      <x:c r="F252" s="35" t="str">
        <x:v>VLA-0</x:v>
      </x:c>
      <x:c r="G252" s="35" t="n">
        <x:v>1</x:v>
      </x:c>
      <x:c r="H252" s="35" t="str">
        <x:v>Counting</x:v>
      </x:c>
      <x:c r="I252" s="35" t="str">
        <x:v>Main held-out transfer</x:v>
      </x:c>
      <x:c r="J252" s="35" t="str">
        <x:v>PVLA-CT-TR-14</x:v>
      </x:c>
      <x:c r="K252" s="35" t="str">
        <x:v>C-CF10-B</x:v>
      </x:c>
      <x:c r="L252" s="31" t="str">
        <x:v>Leave exactly three objects in the bowl.</x:v>
      </x:c>
      <x:c r="M252" s="31" t="str">
        <x:v>Leave exactly three objects in the bowl.</x:v>
      </x:c>
      <x:c r="N252" s="31" t="str">
        <x:v>C-CF10B: bowl=[yellow block, green pencil sharpener] (2); table=[airplane toy without propellers, blue pen]; robot home; acceptable action=add either table object.</x:v>
      </x:c>
      <x:c r="O252" s="31" t="str">
        <x:v>ADD one table object</x:v>
      </x:c>
      <x:c r="P252" s="31" t="str"/>
      <x:c r="Q252" s="31" t="str"/>
      <x:c r="R252" s="31" t="str"/>
      <x:c r="S252" s="31" t="str">
        <x:f>IF('Blind Scoring'!I252="","",'Blind Scoring'!I252)</x:f>
      </x:c>
      <x:c r="T252" s="31" t="str">
        <x:f>'Blind Scoring'!J252</x:f>
        <x:v>No</x:v>
      </x:c>
      <x:c r="U252" s="31" t="str">
        <x:f>IF('Blind Scoring'!L252="","",'Blind Scoring'!L252)</x:f>
      </x:c>
    </x:row>
    <x:row r="253" ht="44" customHeight="1">
      <x:c r="A253" s="35" t="str">
        <x:v>Not Started</x:v>
      </x:c>
      <x:c r="B253" s="35" t="n">
        <x:v>251</x:v>
      </x:c>
      <x:c r="C253" s="35" t="str">
        <x:v>P05</x:v>
      </x:c>
      <x:c r="D253" s="35" t="n">
        <x:v>4</x:v>
      </x:c>
      <x:c r="E253" s="35" t="str">
        <x:v>Primary VLA</x:v>
      </x:c>
      <x:c r="F253" s="35" t="str">
        <x:v>VLA-0</x:v>
      </x:c>
      <x:c r="G253" s="35" t="n">
        <x:v>1</x:v>
      </x:c>
      <x:c r="H253" s="35" t="str">
        <x:v>Counting</x:v>
      </x:c>
      <x:c r="I253" s="35" t="str">
        <x:v>Language ablation — counterfactual</x:v>
      </x:c>
      <x:c r="J253" s="35" t="str">
        <x:v>PVLA-CT-ABL-CF-02</x:v>
      </x:c>
      <x:c r="K253" s="35" t="str">
        <x:v>C-CF04-B</x:v>
      </x:c>
      <x:c r="L253" s="31" t="str">
        <x:v>Leave exactly one object in the bowl.</x:v>
      </x:c>
      <x:c r="M253" s="31" t="str">
        <x:v>Leave exactly one object in the bowl.</x:v>
      </x:c>
      <x:c r="N253" s="31" t="str">
        <x:v>C-CF04B: bowl=[airplane toy without propellers, blue pen] (2); table=[yellow block, green pencil sharpener]; robot home; acceptable action=add either table object.</x:v>
      </x:c>
      <x:c r="O253" s="31" t="str">
        <x:v>REMOVE one bowl object</x:v>
      </x:c>
      <x:c r="P253" s="31" t="str"/>
      <x:c r="Q253" s="31" t="str"/>
      <x:c r="R253" s="31" t="str"/>
      <x:c r="S253" s="31" t="str">
        <x:f>IF('Blind Scoring'!I253="","",'Blind Scoring'!I253)</x:f>
      </x:c>
      <x:c r="T253" s="31" t="str">
        <x:f>'Blind Scoring'!J253</x:f>
        <x:v>No</x:v>
      </x:c>
      <x:c r="U253" s="31" t="str">
        <x:f>IF('Blind Scoring'!L253="","",'Blind Scoring'!L253)</x:f>
      </x:c>
    </x:row>
    <x:row r="254" ht="44" customHeight="1">
      <x:c r="A254" s="35" t="str">
        <x:v>Not Started</x:v>
      </x:c>
      <x:c r="B254" s="35" t="n">
        <x:v>252</x:v>
      </x:c>
      <x:c r="C254" s="35" t="str">
        <x:v>P05</x:v>
      </x:c>
      <x:c r="D254" s="35" t="n">
        <x:v>5</x:v>
      </x:c>
      <x:c r="E254" s="35" t="str">
        <x:v>Primary VLA</x:v>
      </x:c>
      <x:c r="F254" s="35" t="str">
        <x:v>VLA-0</x:v>
      </x:c>
      <x:c r="G254" s="35" t="n">
        <x:v>1</x:v>
      </x:c>
      <x:c r="H254" s="35" t="str">
        <x:v>Counting</x:v>
      </x:c>
      <x:c r="I254" s="35" t="str">
        <x:v>Language ablation — blank</x:v>
      </x:c>
      <x:c r="J254" s="35" t="str">
        <x:v>PVLA-CT-ABL-BLK-01</x:v>
      </x:c>
      <x:c r="K254" s="35" t="str">
        <x:v>C-CF01-A</x:v>
      </x:c>
      <x:c r="L254" s="31" t="str">
        <x:v>[EMPTY STRING — provide no instruction tokens]</x:v>
      </x:c>
      <x:c r="M254" s="31" t="str">
        <x:v>Leave exactly one object in the bowl.</x:v>
      </x:c>
      <x:c r="N254" s="31" t="str">
        <x:v>C-CF01A: bowl=[blue pen, yellow block] (2); table=[green pencil sharpener, airplane toy without propellers]; robot home; acceptable action=remove either bowl object.</x:v>
      </x:c>
      <x:c r="O254" s="31" t="str">
        <x:v>No prespecified task success under blank language; record any action/selected target.</x:v>
      </x:c>
      <x:c r="P254" s="31" t="str"/>
      <x:c r="Q254" s="31" t="str"/>
      <x:c r="R254" s="31" t="str"/>
      <x:c r="S254" s="31" t="str">
        <x:f>IF('Blind Scoring'!I254="","",'Blind Scoring'!I254)</x:f>
      </x:c>
      <x:c r="T254" s="31" t="str">
        <x:f>'Blind Scoring'!J254</x:f>
        <x:v>No</x:v>
      </x:c>
      <x:c r="U254" s="31" t="str">
        <x:f>IF('Blind Scoring'!L254="","",'Blind Scoring'!L254)</x:f>
      </x:c>
    </x:row>
    <x:row r="255" ht="44" customHeight="1">
      <x:c r="A255" s="35" t="str">
        <x:v>Not Started</x:v>
      </x:c>
      <x:c r="B255" s="35" t="n">
        <x:v>253</x:v>
      </x:c>
      <x:c r="C255" s="35" t="str">
        <x:v>P05</x:v>
      </x:c>
      <x:c r="D255" s="35" t="n">
        <x:v>6</x:v>
      </x:c>
      <x:c r="E255" s="35" t="str">
        <x:v>Primary VLA</x:v>
      </x:c>
      <x:c r="F255" s="35" t="str">
        <x:v>VLA-0</x:v>
      </x:c>
      <x:c r="G255" s="35" t="n">
        <x:v>1</x:v>
      </x:c>
      <x:c r="H255" s="35" t="str">
        <x:v>Counting</x:v>
      </x:c>
      <x:c r="I255" s="35" t="str">
        <x:v>Main held-out transfer</x:v>
      </x:c>
      <x:c r="J255" s="35" t="str">
        <x:v>PVLA-CT-TR-09</x:v>
      </x:c>
      <x:c r="K255" s="35" t="str">
        <x:v>C-CF07-A</x:v>
      </x:c>
      <x:c r="L255" s="31" t="str">
        <x:v>Leave exactly one object in the bowl.</x:v>
      </x:c>
      <x:c r="M255" s="31" t="str">
        <x:v>Leave exactly one object in the bowl.</x:v>
      </x:c>
      <x:c r="N255" s="31" t="str">
        <x:v>C-CF07A: bowl=[green pencil sharpener, airplane toy without propellers] (2); table=[blue pen, yellow block]; robot home; acceptable action=remove either bowl object.</x:v>
      </x:c>
      <x:c r="O255" s="31" t="str">
        <x:v>REMOVE one bowl object</x:v>
      </x:c>
      <x:c r="P255" s="31" t="str"/>
      <x:c r="Q255" s="31" t="str"/>
      <x:c r="R255" s="31" t="str"/>
      <x:c r="S255" s="31" t="str">
        <x:f>IF('Blind Scoring'!I255="","",'Blind Scoring'!I255)</x:f>
      </x:c>
      <x:c r="T255" s="31" t="str">
        <x:f>'Blind Scoring'!J255</x:f>
        <x:v>No</x:v>
      </x:c>
      <x:c r="U255" s="31" t="str">
        <x:f>IF('Blind Scoring'!L255="","",'Blind Scoring'!L255)</x:f>
      </x:c>
    </x:row>
    <x:row r="256" ht="44" customHeight="1">
      <x:c r="A256" s="35" t="str">
        <x:v>Not Started</x:v>
      </x:c>
      <x:c r="B256" s="35" t="n">
        <x:v>254</x:v>
      </x:c>
      <x:c r="C256" s="35" t="str">
        <x:v>P05</x:v>
      </x:c>
      <x:c r="D256" s="35" t="n">
        <x:v>7</x:v>
      </x:c>
      <x:c r="E256" s="35" t="str">
        <x:v>Primary VLA</x:v>
      </x:c>
      <x:c r="F256" s="35" t="str">
        <x:v>VLA-0</x:v>
      </x:c>
      <x:c r="G256" s="35" t="n">
        <x:v>1</x:v>
      </x:c>
      <x:c r="H256" s="35" t="str">
        <x:v>Counting</x:v>
      </x:c>
      <x:c r="I256" s="35" t="str">
        <x:v>Exact-scene paraphrase</x:v>
      </x:c>
      <x:c r="J256" s="35" t="str">
        <x:v>PVLA-CT-PAR-03</x:v>
      </x:c>
      <x:c r="K256" s="35" t="str"/>
      <x:c r="L256" s="31" t="str">
        <x:v>Finish with two objects in the bowl.</x:v>
      </x:c>
      <x:c r="M256" s="31" t="str">
        <x:v>Finish with two objects in the bowl.</x:v>
      </x:c>
      <x:c r="N256" s="31" t="str">
        <x:v>C-N01: bowl=[blue pen] (1); table left→right=[yellow block, green pencil sharpener, airplane toy without propellers]; robot home.</x:v>
      </x:c>
      <x:c r="O256" s="31" t="str"/>
      <x:c r="P256" s="31" t="str"/>
      <x:c r="Q256" s="31" t="str"/>
      <x:c r="R256" s="31" t="str"/>
      <x:c r="S256" s="31" t="str">
        <x:f>IF('Blind Scoring'!I256="","",'Blind Scoring'!I256)</x:f>
      </x:c>
      <x:c r="T256" s="31" t="str">
        <x:f>'Blind Scoring'!J256</x:f>
        <x:v>No</x:v>
      </x:c>
      <x:c r="U256" s="31" t="str">
        <x:f>IF('Blind Scoring'!L256="","",'Blind Scoring'!L256)</x:f>
      </x:c>
    </x:row>
    <x:row r="257" ht="44" customHeight="1">
      <x:c r="A257" s="35" t="str">
        <x:v>Not Started</x:v>
      </x:c>
      <x:c r="B257" s="35" t="n">
        <x:v>255</x:v>
      </x:c>
      <x:c r="C257" s="35" t="str">
        <x:v>P05</x:v>
      </x:c>
      <x:c r="D257" s="35" t="n">
        <x:v>8</x:v>
      </x:c>
      <x:c r="E257" s="35" t="str">
        <x:v>Primary VLA</x:v>
      </x:c>
      <x:c r="F257" s="35" t="str">
        <x:v>VLA-0</x:v>
      </x:c>
      <x:c r="G257" s="35" t="n">
        <x:v>1</x:v>
      </x:c>
      <x:c r="H257" s="35" t="str">
        <x:v>Counting</x:v>
      </x:c>
      <x:c r="I257" s="35" t="str">
        <x:v>Training reconstruction</x:v>
      </x:c>
      <x:c r="J257" s="35" t="str">
        <x:v>PVLA-CT-REC-05</x:v>
      </x:c>
      <x:c r="K257" s="35" t="str"/>
      <x:c r="L257" s="31" t="str">
        <x:v>Remove the yellow block from the bowl.</x:v>
      </x:c>
      <x:c r="M257" s="31" t="str">
        <x:v>Remove the yellow block from the bowl.</x:v>
      </x:c>
      <x:c r="N257" s="31" t="str">
        <x:v>Reconstruct planned final training episode 896: yellow block, green pencil sharpener, airplane toy without propellers, blue pen; start=Post-Drop. Match camera, calibration, bowl pose, and object geometry exactly.</x:v>
      </x:c>
      <x:c r="O257" s="31" t="str">
        <x:v>yellow block</x:v>
      </x:c>
      <x:c r="P257" s="31" t="str"/>
      <x:c r="Q257" s="31" t="str"/>
      <x:c r="R257" s="31" t="str"/>
      <x:c r="S257" s="31" t="str">
        <x:f>IF('Blind Scoring'!I257="","",'Blind Scoring'!I257)</x:f>
      </x:c>
      <x:c r="T257" s="31" t="str">
        <x:f>'Blind Scoring'!J257</x:f>
        <x:v>No</x:v>
      </x:c>
      <x:c r="U257" s="31" t="str">
        <x:f>IF('Blind Scoring'!L257="","",'Blind Scoring'!L257)</x:f>
      </x:c>
    </x:row>
    <x:row r="258" ht="44" customHeight="1">
      <x:c r="A258" s="35" t="str">
        <x:v>Not Started</x:v>
      </x:c>
      <x:c r="B258" s="35" t="n">
        <x:v>256</x:v>
      </x:c>
      <x:c r="C258" s="35" t="str">
        <x:v>P05</x:v>
      </x:c>
      <x:c r="D258" s="35" t="n">
        <x:v>9</x:v>
      </x:c>
      <x:c r="E258" s="35" t="str">
        <x:v>Primary VLA</x:v>
      </x:c>
      <x:c r="F258" s="35" t="str">
        <x:v>VLA-0</x:v>
      </x:c>
      <x:c r="G258" s="35" t="n">
        <x:v>1</x:v>
      </x:c>
      <x:c r="H258" s="35" t="str">
        <x:v>Counting</x:v>
      </x:c>
      <x:c r="I258" s="35" t="str">
        <x:v>Training reconstruction</x:v>
      </x:c>
      <x:c r="J258" s="35" t="str">
        <x:v>PVLA-CT-REC-01</x:v>
      </x:c>
      <x:c r="K258" s="35" t="str"/>
      <x:c r="L258" s="31" t="str">
        <x:v>Move the blue pen into the bowl.</x:v>
      </x:c>
      <x:c r="M258" s="31" t="str">
        <x:v>Move the blue pen into the bowl.</x:v>
      </x:c>
      <x:c r="N258" s="31" t="str">
        <x:v>Reconstruct planned final training episode 800: blue pen, yellow block, green pencil sharpener, airplane toy without propellers; start=Home. Match camera, calibration, bowl pose, and object geometry exactly.</x:v>
      </x:c>
      <x:c r="O258" s="31" t="str">
        <x:v>blue pen</x:v>
      </x:c>
      <x:c r="P258" s="31" t="str"/>
      <x:c r="Q258" s="31" t="str"/>
      <x:c r="R258" s="31" t="str"/>
      <x:c r="S258" s="31" t="str">
        <x:f>IF('Blind Scoring'!I258="","",'Blind Scoring'!I258)</x:f>
      </x:c>
      <x:c r="T258" s="31" t="str">
        <x:f>'Blind Scoring'!J258</x:f>
        <x:v>No</x:v>
      </x:c>
      <x:c r="U258" s="31" t="str">
        <x:f>IF('Blind Scoring'!L258="","",'Blind Scoring'!L258)</x:f>
      </x:c>
    </x:row>
    <x:row r="259" ht="44" customHeight="1">
      <x:c r="A259" s="35" t="str">
        <x:v>Not Started</x:v>
      </x:c>
      <x:c r="B259" s="35" t="n">
        <x:v>257</x:v>
      </x:c>
      <x:c r="C259" s="35" t="str">
        <x:v>P05</x:v>
      </x:c>
      <x:c r="D259" s="35" t="n">
        <x:v>10</x:v>
      </x:c>
      <x:c r="E259" s="35" t="str">
        <x:v>Primary VLA</x:v>
      </x:c>
      <x:c r="F259" s="35" t="str">
        <x:v>VLA-0</x:v>
      </x:c>
      <x:c r="G259" s="35" t="n">
        <x:v>1</x:v>
      </x:c>
      <x:c r="H259" s="35" t="str">
        <x:v>Counting</x:v>
      </x:c>
      <x:c r="I259" s="35" t="str">
        <x:v>Novel layout + seen language</x:v>
      </x:c>
      <x:c r="J259" s="35" t="str">
        <x:v>PVLA-CT-NOV-05</x:v>
      </x:c>
      <x:c r="K259" s="35" t="str"/>
      <x:c r="L259" s="31" t="str">
        <x:v>Adjust the bowl so that it contains zero objects.</x:v>
      </x:c>
      <x:c r="M259" s="31" t="str">
        <x:v>Adjust the bowl so that it contains zero objects.</x:v>
      </x:c>
      <x:c r="N259" s="31" t="str">
        <x:v>C-N12: bowl=[yellow block] (1); table left→right=[green pencil sharpener, airplane toy without propellers, blue pen]; robot home.</x:v>
      </x:c>
      <x:c r="O259" s="31" t="str"/>
      <x:c r="P259" s="31" t="str"/>
      <x:c r="Q259" s="31" t="str"/>
      <x:c r="R259" s="31" t="str"/>
      <x:c r="S259" s="31" t="str">
        <x:f>IF('Blind Scoring'!I259="","",'Blind Scoring'!I259)</x:f>
      </x:c>
      <x:c r="T259" s="31" t="str">
        <x:f>'Blind Scoring'!J259</x:f>
        <x:v>No</x:v>
      </x:c>
      <x:c r="U259" s="31" t="str">
        <x:f>IF('Blind Scoring'!L259="","",'Blind Scoring'!L259)</x:f>
      </x:c>
    </x:row>
    <x:row r="260" ht="44" customHeight="1">
      <x:c r="A260" s="35" t="str">
        <x:v>Not Started</x:v>
      </x:c>
      <x:c r="B260" s="35" t="n">
        <x:v>258</x:v>
      </x:c>
      <x:c r="C260" s="35" t="str">
        <x:v>P05</x:v>
      </x:c>
      <x:c r="D260" s="35" t="n">
        <x:v>11</x:v>
      </x:c>
      <x:c r="E260" s="35" t="str">
        <x:v>Primary VLA</x:v>
      </x:c>
      <x:c r="F260" s="35" t="str">
        <x:v>VLA-0</x:v>
      </x:c>
      <x:c r="G260" s="35" t="n">
        <x:v>1</x:v>
      </x:c>
      <x:c r="H260" s="35" t="str">
        <x:v>Counting</x:v>
      </x:c>
      <x:c r="I260" s="35" t="str">
        <x:v>Novel layout + seen language</x:v>
      </x:c>
      <x:c r="J260" s="35" t="str">
        <x:v>PVLA-CT-NOV-02</x:v>
      </x:c>
      <x:c r="K260" s="35" t="str"/>
      <x:c r="L260" s="31" t="str">
        <x:v>Make the bowl contain exactly two objects.</x:v>
      </x:c>
      <x:c r="M260" s="31" t="str">
        <x:v>Make the bowl contain exactly two objects.</x:v>
      </x:c>
      <x:c r="N260" s="31" t="str">
        <x:v>C-N04: bowl=[airplane toy without propellers, blue pen, yellow block] (3); table left→right=[green pencil sharpener]; robot home.</x:v>
      </x:c>
      <x:c r="O260" s="31" t="str"/>
      <x:c r="P260" s="31" t="str"/>
      <x:c r="Q260" s="31" t="str"/>
      <x:c r="R260" s="31" t="str"/>
      <x:c r="S260" s="31" t="str">
        <x:f>IF('Blind Scoring'!I260="","",'Blind Scoring'!I260)</x:f>
      </x:c>
      <x:c r="T260" s="31" t="str">
        <x:f>'Blind Scoring'!J260</x:f>
        <x:v>No</x:v>
      </x:c>
      <x:c r="U260" s="31" t="str">
        <x:f>IF('Blind Scoring'!L260="","",'Blind Scoring'!L260)</x:f>
      </x:c>
    </x:row>
    <x:row r="261" ht="44" customHeight="1">
      <x:c r="A261" s="35" t="str">
        <x:v>Not Started</x:v>
      </x:c>
      <x:c r="B261" s="35" t="n">
        <x:v>259</x:v>
      </x:c>
      <x:c r="C261" s="35" t="str">
        <x:v>P05</x:v>
      </x:c>
      <x:c r="D261" s="35" t="n">
        <x:v>12</x:v>
      </x:c>
      <x:c r="E261" s="35" t="str">
        <x:v>Primary VLA</x:v>
      </x:c>
      <x:c r="F261" s="35" t="str">
        <x:v>VLA-0</x:v>
      </x:c>
      <x:c r="G261" s="35" t="n">
        <x:v>1</x:v>
      </x:c>
      <x:c r="H261" s="35" t="str">
        <x:v>Counting</x:v>
      </x:c>
      <x:c r="I261" s="35" t="str">
        <x:v>Main matched control</x:v>
      </x:c>
      <x:c r="J261" s="35" t="str">
        <x:v>PVLA-CT-CTL-15</x:v>
      </x:c>
      <x:c r="K261" s="35" t="str">
        <x:v>C-CF12-A</x:v>
      </x:c>
      <x:c r="L261" s="31" t="str">
        <x:v>Remove the airplane toy without propellers from the bowl.</x:v>
      </x:c>
      <x:c r="M261" s="31" t="str">
        <x:v>Remove the airplane toy without propellers from the bowl.</x:v>
      </x:c>
      <x:c r="N261" s="31" t="str">
        <x:v>C-CF12-CA: bowl=[airplane toy without propellers, blue pen] (2); table=[yellow block, green pencil sharpener]; robot home; acceptable action=remove either bowl object.</x:v>
      </x:c>
      <x:c r="O261" s="31" t="str">
        <x:v>REMOVE airplane toy without propellers</x:v>
      </x:c>
      <x:c r="P261" s="31" t="str"/>
      <x:c r="Q261" s="31" t="str"/>
      <x:c r="R261" s="31" t="str"/>
      <x:c r="S261" s="31" t="str">
        <x:f>IF('Blind Scoring'!I261="","",'Blind Scoring'!I261)</x:f>
      </x:c>
      <x:c r="T261" s="31" t="str">
        <x:f>'Blind Scoring'!J261</x:f>
        <x:v>No</x:v>
      </x:c>
      <x:c r="U261" s="31" t="str">
        <x:f>IF('Blind Scoring'!L261="","",'Blind Scoring'!L261)</x:f>
      </x:c>
    </x:row>
    <x:row r="262" ht="44" customHeight="1">
      <x:c r="A262" s="35" t="str">
        <x:v>Not Started</x:v>
      </x:c>
      <x:c r="B262" s="35" t="n">
        <x:v>260</x:v>
      </x:c>
      <x:c r="C262" s="35" t="str">
        <x:v>P05</x:v>
      </x:c>
      <x:c r="D262" s="35" t="n">
        <x:v>13</x:v>
      </x:c>
      <x:c r="E262" s="35" t="str">
        <x:v>Primary VLA</x:v>
      </x:c>
      <x:c r="F262" s="35" t="str">
        <x:v>VLA-0</x:v>
      </x:c>
      <x:c r="G262" s="35" t="n">
        <x:v>1</x:v>
      </x:c>
      <x:c r="H262" s="35" t="str">
        <x:v>Counting</x:v>
      </x:c>
      <x:c r="I262" s="35" t="str">
        <x:v>Training reconstruction</x:v>
      </x:c>
      <x:c r="J262" s="35" t="str">
        <x:v>PVLA-CT-REC-02</x:v>
      </x:c>
      <x:c r="K262" s="35" t="str"/>
      <x:c r="L262" s="31" t="str">
        <x:v>Leave no objects in the bowl.</x:v>
      </x:c>
      <x:c r="M262" s="31" t="str">
        <x:v>Leave no objects in the bowl.</x:v>
      </x:c>
      <x:c r="N262" s="31" t="str">
        <x:v>Reconstruct planned final training episode 829: blue pen, yellow block, airplane toy without propellers; start=Recovery. Match camera, calibration, bowl pose, and object geometry exactly.</x:v>
      </x:c>
      <x:c r="O262" s="31" t="str">
        <x:v>blue pen</x:v>
      </x:c>
      <x:c r="P262" s="31" t="str"/>
      <x:c r="Q262" s="31" t="str"/>
      <x:c r="R262" s="31" t="str"/>
      <x:c r="S262" s="31" t="str">
        <x:f>IF('Blind Scoring'!I262="","",'Blind Scoring'!I262)</x:f>
      </x:c>
      <x:c r="T262" s="31" t="str">
        <x:f>'Blind Scoring'!J262</x:f>
        <x:v>No</x:v>
      </x:c>
      <x:c r="U262" s="31" t="str">
        <x:f>IF('Blind Scoring'!L262="","",'Blind Scoring'!L262)</x:f>
      </x:c>
    </x:row>
    <x:row r="263" ht="44" customHeight="1">
      <x:c r="A263" s="35" t="str">
        <x:v>Not Started</x:v>
      </x:c>
      <x:c r="B263" s="35" t="n">
        <x:v>261</x:v>
      </x:c>
      <x:c r="C263" s="35" t="str">
        <x:v>P05</x:v>
      </x:c>
      <x:c r="D263" s="35" t="n">
        <x:v>14</x:v>
      </x:c>
      <x:c r="E263" s="35" t="str">
        <x:v>Primary VLA</x:v>
      </x:c>
      <x:c r="F263" s="35" t="str">
        <x:v>VLA-0</x:v>
      </x:c>
      <x:c r="G263" s="35" t="n">
        <x:v>1</x:v>
      </x:c>
      <x:c r="H263" s="35" t="str">
        <x:v>Counting</x:v>
      </x:c>
      <x:c r="I263" s="35" t="str">
        <x:v>Main matched control</x:v>
      </x:c>
      <x:c r="J263" s="35" t="str">
        <x:v>PVLA-CT-CTL-02</x:v>
      </x:c>
      <x:c r="K263" s="35" t="str">
        <x:v>C-CF01-B</x:v>
      </x:c>
      <x:c r="L263" s="31" t="str">
        <x:v>Put the green pencil sharpener in the bowl.</x:v>
      </x:c>
      <x:c r="M263" s="31" t="str">
        <x:v>Put the green pencil sharpener in the bowl.</x:v>
      </x:c>
      <x:c r="N263" s="31" t="str">
        <x:v>C-CF01-CB: bowl=[blue pen, yellow block] (2); table=[green pencil sharpener, airplane toy without propellers]; robot home; acceptable action=add either table object.</x:v>
      </x:c>
      <x:c r="O263" s="31" t="str">
        <x:v>ADD green pencil sharpener</x:v>
      </x:c>
      <x:c r="P263" s="31" t="str"/>
      <x:c r="Q263" s="31" t="str"/>
      <x:c r="R263" s="31" t="str"/>
      <x:c r="S263" s="31" t="str">
        <x:f>IF('Blind Scoring'!I263="","",'Blind Scoring'!I263)</x:f>
      </x:c>
      <x:c r="T263" s="31" t="str">
        <x:f>'Blind Scoring'!J263</x:f>
        <x:v>No</x:v>
      </x:c>
      <x:c r="U263" s="31" t="str">
        <x:f>IF('Blind Scoring'!L263="","",'Blind Scoring'!L263)</x:f>
      </x:c>
    </x:row>
    <x:row r="264" ht="44" customHeight="1">
      <x:c r="A264" s="35" t="str">
        <x:v>Not Started</x:v>
      </x:c>
      <x:c r="B264" s="35" t="n">
        <x:v>262</x:v>
      </x:c>
      <x:c r="C264" s="35" t="str">
        <x:v>P05</x:v>
      </x:c>
      <x:c r="D264" s="35" t="n">
        <x:v>15</x:v>
      </x:c>
      <x:c r="E264" s="35" t="str">
        <x:v>Primary VLA</x:v>
      </x:c>
      <x:c r="F264" s="35" t="str">
        <x:v>VLA-0</x:v>
      </x:c>
      <x:c r="G264" s="35" t="n">
        <x:v>1</x:v>
      </x:c>
      <x:c r="H264" s="35" t="str">
        <x:v>Counting</x:v>
      </x:c>
      <x:c r="I264" s="35" t="str">
        <x:v>Main matched control</x:v>
      </x:c>
      <x:c r="J264" s="35" t="str">
        <x:v>PVLA-CT-CTL-14</x:v>
      </x:c>
      <x:c r="K264" s="35" t="str">
        <x:v>C-CF10-B</x:v>
      </x:c>
      <x:c r="L264" s="31" t="str">
        <x:v>Put the airplane toy without propellers in the bowl.</x:v>
      </x:c>
      <x:c r="M264" s="31" t="str">
        <x:v>Put the airplane toy without propellers in the bowl.</x:v>
      </x:c>
      <x:c r="N264" s="31" t="str">
        <x:v>C-CF10-CB: bowl=[yellow block, green pencil sharpener] (2); table=[airplane toy without propellers, blue pen]; robot home; acceptable action=add either table object.</x:v>
      </x:c>
      <x:c r="O264" s="31" t="str">
        <x:v>ADD airplane toy without propellers</x:v>
      </x:c>
      <x:c r="P264" s="31" t="str"/>
      <x:c r="Q264" s="31" t="str"/>
      <x:c r="R264" s="31" t="str"/>
      <x:c r="S264" s="31" t="str">
        <x:f>IF('Blind Scoring'!I264="","",'Blind Scoring'!I264)</x:f>
      </x:c>
      <x:c r="T264" s="31" t="str">
        <x:f>'Blind Scoring'!J264</x:f>
        <x:v>No</x:v>
      </x:c>
      <x:c r="U264" s="31" t="str">
        <x:f>IF('Blind Scoring'!L264="","",'Blind Scoring'!L264)</x:f>
      </x:c>
    </x:row>
    <x:row r="265" ht="44" customHeight="1">
      <x:c r="A265" s="35" t="str">
        <x:v>Not Started</x:v>
      </x:c>
      <x:c r="B265" s="35" t="n">
        <x:v>263</x:v>
      </x:c>
      <x:c r="C265" s="35" t="str">
        <x:v>P05</x:v>
      </x:c>
      <x:c r="D265" s="35" t="n">
        <x:v>16</x:v>
      </x:c>
      <x:c r="E265" s="35" t="str">
        <x:v>Primary VLA</x:v>
      </x:c>
      <x:c r="F265" s="35" t="str">
        <x:v>VLA-0</x:v>
      </x:c>
      <x:c r="G265" s="35" t="n">
        <x:v>1</x:v>
      </x:c>
      <x:c r="H265" s="35" t="str">
        <x:v>Counting</x:v>
      </x:c>
      <x:c r="I265" s="35" t="str">
        <x:v>Main held-out transfer</x:v>
      </x:c>
      <x:c r="J265" s="35" t="str">
        <x:v>PVLA-CT-TR-13</x:v>
      </x:c>
      <x:c r="K265" s="35" t="str">
        <x:v>C-CF10-A</x:v>
      </x:c>
      <x:c r="L265" s="31" t="str">
        <x:v>Leave exactly one object in the bowl.</x:v>
      </x:c>
      <x:c r="M265" s="31" t="str">
        <x:v>Leave exactly one object in the bowl.</x:v>
      </x:c>
      <x:c r="N265" s="31" t="str">
        <x:v>C-CF10A: bowl=[yellow block, green pencil sharpener] (2); table=[airplane toy without propellers, blue pen]; robot home; acceptable action=remove either bowl object.</x:v>
      </x:c>
      <x:c r="O265" s="31" t="str">
        <x:v>REMOVE one bowl object</x:v>
      </x:c>
      <x:c r="P265" s="31" t="str"/>
      <x:c r="Q265" s="31" t="str"/>
      <x:c r="R265" s="31" t="str"/>
      <x:c r="S265" s="31" t="str">
        <x:f>IF('Blind Scoring'!I265="","",'Blind Scoring'!I265)</x:f>
      </x:c>
      <x:c r="T265" s="31" t="str">
        <x:f>'Blind Scoring'!J265</x:f>
        <x:v>No</x:v>
      </x:c>
      <x:c r="U265" s="31" t="str">
        <x:f>IF('Blind Scoring'!L265="","",'Blind Scoring'!L265)</x:f>
      </x:c>
    </x:row>
    <x:row r="266" ht="44" customHeight="1">
      <x:c r="A266" s="35" t="str">
        <x:v>Not Started</x:v>
      </x:c>
      <x:c r="B266" s="35" t="n">
        <x:v>264</x:v>
      </x:c>
      <x:c r="C266" s="35" t="str">
        <x:v>P05</x:v>
      </x:c>
      <x:c r="D266" s="35" t="n">
        <x:v>17</x:v>
      </x:c>
      <x:c r="E266" s="35" t="str">
        <x:v>Primary VLA</x:v>
      </x:c>
      <x:c r="F266" s="35" t="str">
        <x:v>VLA-0</x:v>
      </x:c>
      <x:c r="G266" s="35" t="n">
        <x:v>1</x:v>
      </x:c>
      <x:c r="H266" s="35" t="str">
        <x:v>Counting</x:v>
      </x:c>
      <x:c r="I266" s="35" t="str">
        <x:v>Language ablation — blank</x:v>
      </x:c>
      <x:c r="J266" s="35" t="str">
        <x:v>PVLA-CT-ABL-BLK-02</x:v>
      </x:c>
      <x:c r="K266" s="35" t="str">
        <x:v>C-CF01-B</x:v>
      </x:c>
      <x:c r="L266" s="31" t="str">
        <x:v>[EMPTY STRING — provide no instruction tokens]</x:v>
      </x:c>
      <x:c r="M266" s="31" t="str">
        <x:v>Leave exactly three objects in the bowl.</x:v>
      </x:c>
      <x:c r="N266" s="31" t="str">
        <x:v>C-CF01B: bowl=[blue pen, yellow block] (2); table=[green pencil sharpener, airplane toy without propellers]; robot home; acceptable action=add either table object.</x:v>
      </x:c>
      <x:c r="O266" s="31" t="str">
        <x:v>No prespecified task success under blank language; record any action/selected target.</x:v>
      </x:c>
      <x:c r="P266" s="31" t="str"/>
      <x:c r="Q266" s="31" t="str"/>
      <x:c r="R266" s="31" t="str"/>
      <x:c r="S266" s="31" t="str">
        <x:f>IF('Blind Scoring'!I266="","",'Blind Scoring'!I266)</x:f>
      </x:c>
      <x:c r="T266" s="31" t="str">
        <x:f>'Blind Scoring'!J266</x:f>
        <x:v>No</x:v>
      </x:c>
      <x:c r="U266" s="31" t="str">
        <x:f>IF('Blind Scoring'!L266="","",'Blind Scoring'!L266)</x:f>
      </x:c>
    </x:row>
    <x:row r="267" ht="44" customHeight="1">
      <x:c r="A267" s="35" t="str">
        <x:v>Not Started</x:v>
      </x:c>
      <x:c r="B267" s="35" t="n">
        <x:v>265</x:v>
      </x:c>
      <x:c r="C267" s="35" t="str">
        <x:v>P05</x:v>
      </x:c>
      <x:c r="D267" s="35" t="n">
        <x:v>18</x:v>
      </x:c>
      <x:c r="E267" s="35" t="str">
        <x:v>Primary VLA</x:v>
      </x:c>
      <x:c r="F267" s="35" t="str">
        <x:v>VLA-0</x:v>
      </x:c>
      <x:c r="G267" s="35" t="n">
        <x:v>1</x:v>
      </x:c>
      <x:c r="H267" s="35" t="str">
        <x:v>Counting</x:v>
      </x:c>
      <x:c r="I267" s="35" t="str">
        <x:v>Main matched control</x:v>
      </x:c>
      <x:c r="J267" s="35" t="str">
        <x:v>PVLA-CT-CTL-03</x:v>
      </x:c>
      <x:c r="K267" s="35" t="str">
        <x:v>C-CF03-A</x:v>
      </x:c>
      <x:c r="L267" s="31" t="str">
        <x:v>Remove the green pencil sharpener from the bowl.</x:v>
      </x:c>
      <x:c r="M267" s="31" t="str">
        <x:v>Remove the green pencil sharpener from the bowl.</x:v>
      </x:c>
      <x:c r="N267" s="31" t="str">
        <x:v>C-CF03-CA: bowl=[green pencil sharpener, airplane toy without propellers] (2); table=[blue pen, yellow block]; robot home; acceptable action=remove either bowl object.</x:v>
      </x:c>
      <x:c r="O267" s="31" t="str">
        <x:v>REMOVE green pencil sharpener</x:v>
      </x:c>
      <x:c r="P267" s="31" t="str"/>
      <x:c r="Q267" s="31" t="str"/>
      <x:c r="R267" s="31" t="str"/>
      <x:c r="S267" s="31" t="str">
        <x:f>IF('Blind Scoring'!I267="","",'Blind Scoring'!I267)</x:f>
      </x:c>
      <x:c r="T267" s="31" t="str">
        <x:f>'Blind Scoring'!J267</x:f>
        <x:v>No</x:v>
      </x:c>
      <x:c r="U267" s="31" t="str">
        <x:f>IF('Blind Scoring'!L267="","",'Blind Scoring'!L267)</x:f>
      </x:c>
    </x:row>
    <x:row r="268" ht="44" customHeight="1">
      <x:c r="A268" s="35" t="str">
        <x:v>Not Started</x:v>
      </x:c>
      <x:c r="B268" s="35" t="n">
        <x:v>266</x:v>
      </x:c>
      <x:c r="C268" s="35" t="str">
        <x:v>P05</x:v>
      </x:c>
      <x:c r="D268" s="35" t="n">
        <x:v>19</x:v>
      </x:c>
      <x:c r="E268" s="35" t="str">
        <x:v>Primary VLA</x:v>
      </x:c>
      <x:c r="F268" s="35" t="str">
        <x:v>VLA-0</x:v>
      </x:c>
      <x:c r="G268" s="35" t="n">
        <x:v>1</x:v>
      </x:c>
      <x:c r="H268" s="35" t="str">
        <x:v>Counting</x:v>
      </x:c>
      <x:c r="I268" s="35" t="str">
        <x:v>Exact-scene paraphrase</x:v>
      </x:c>
      <x:c r="J268" s="35" t="str">
        <x:v>PVLA-CT-PAR-01</x:v>
      </x:c>
      <x:c r="K268" s="35" t="str"/>
      <x:c r="L268" s="31" t="str">
        <x:v>Finish with two objects in the bowl.</x:v>
      </x:c>
      <x:c r="M268" s="31" t="str">
        <x:v>Finish with two objects in the bowl.</x:v>
      </x:c>
      <x:c r="N268" s="31" t="str">
        <x:v>C-N01: bowl=[blue pen] (1); table left→right=[yellow block, green pencil sharpener, airplane toy without propellers]; robot home.</x:v>
      </x:c>
      <x:c r="O268" s="31" t="str"/>
      <x:c r="P268" s="31" t="str"/>
      <x:c r="Q268" s="31" t="str"/>
      <x:c r="R268" s="31" t="str"/>
      <x:c r="S268" s="31" t="str">
        <x:f>IF('Blind Scoring'!I268="","",'Blind Scoring'!I268)</x:f>
      </x:c>
      <x:c r="T268" s="31" t="str">
        <x:f>'Blind Scoring'!J268</x:f>
        <x:v>No</x:v>
      </x:c>
      <x:c r="U268" s="31" t="str">
        <x:f>IF('Blind Scoring'!L268="","",'Blind Scoring'!L268)</x:f>
      </x:c>
    </x:row>
    <x:row r="269" ht="44" customHeight="1">
      <x:c r="A269" s="35" t="str">
        <x:v>Not Started</x:v>
      </x:c>
      <x:c r="B269" s="35" t="n">
        <x:v>267</x:v>
      </x:c>
      <x:c r="C269" s="35" t="str">
        <x:v>P05</x:v>
      </x:c>
      <x:c r="D269" s="35" t="n">
        <x:v>20</x:v>
      </x:c>
      <x:c r="E269" s="35" t="str">
        <x:v>Primary VLA</x:v>
      </x:c>
      <x:c r="F269" s="35" t="str">
        <x:v>VLA-0</x:v>
      </x:c>
      <x:c r="G269" s="35" t="n">
        <x:v>1</x:v>
      </x:c>
      <x:c r="H269" s="35" t="str">
        <x:v>Counting</x:v>
      </x:c>
      <x:c r="I269" s="35" t="str">
        <x:v>Main matched control</x:v>
      </x:c>
      <x:c r="J269" s="35" t="str">
        <x:v>PVLA-CT-CTL-08</x:v>
      </x:c>
      <x:c r="K269" s="35" t="str">
        <x:v>C-CF06-B</x:v>
      </x:c>
      <x:c r="L269" s="31" t="str">
        <x:v>Put the airplane toy without propellers in the bowl.</x:v>
      </x:c>
      <x:c r="M269" s="31" t="str">
        <x:v>Put the airplane toy without propellers in the bowl.</x:v>
      </x:c>
      <x:c r="N269" s="31" t="str">
        <x:v>C-CF06-CB: bowl=[yellow block, green pencil sharpener] (2); table=[airplane toy without propellers, blue pen]; robot home; acceptable action=add either table object.</x:v>
      </x:c>
      <x:c r="O269" s="31" t="str">
        <x:v>ADD airplane toy without propellers</x:v>
      </x:c>
      <x:c r="P269" s="31" t="str"/>
      <x:c r="Q269" s="31" t="str"/>
      <x:c r="R269" s="31" t="str"/>
      <x:c r="S269" s="31" t="str">
        <x:f>IF('Blind Scoring'!I269="","",'Blind Scoring'!I269)</x:f>
      </x:c>
      <x:c r="T269" s="31" t="str">
        <x:f>'Blind Scoring'!J269</x:f>
        <x:v>No</x:v>
      </x:c>
      <x:c r="U269" s="31" t="str">
        <x:f>IF('Blind Scoring'!L269="","",'Blind Scoring'!L269)</x:f>
      </x:c>
    </x:row>
    <x:row r="270" ht="44" customHeight="1">
      <x:c r="A270" s="35" t="str">
        <x:v>Not Started</x:v>
      </x:c>
      <x:c r="B270" s="35" t="n">
        <x:v>268</x:v>
      </x:c>
      <x:c r="C270" s="35" t="str">
        <x:v>P05</x:v>
      </x:c>
      <x:c r="D270" s="35" t="n">
        <x:v>21</x:v>
      </x:c>
      <x:c r="E270" s="35" t="str">
        <x:v>Primary VLA</x:v>
      </x:c>
      <x:c r="F270" s="35" t="str">
        <x:v>VLA-0</x:v>
      </x:c>
      <x:c r="G270" s="35" t="n">
        <x:v>1</x:v>
      </x:c>
      <x:c r="H270" s="35" t="str">
        <x:v>Counting</x:v>
      </x:c>
      <x:c r="I270" s="35" t="str">
        <x:v>Language ablation — blank</x:v>
      </x:c>
      <x:c r="J270" s="35" t="str">
        <x:v>PVLA-CT-ABL-BLK-04</x:v>
      </x:c>
      <x:c r="K270" s="35" t="str">
        <x:v>C-CF03-B</x:v>
      </x:c>
      <x:c r="L270" s="31" t="str">
        <x:v>[EMPTY STRING — provide no instruction tokens]</x:v>
      </x:c>
      <x:c r="M270" s="31" t="str">
        <x:v>Leave exactly three objects in the bowl.</x:v>
      </x:c>
      <x:c r="N270" s="31" t="str">
        <x:v>C-CF03B: bowl=[green pencil sharpener, airplane toy without propellers] (2); table=[blue pen, yellow block]; robot home; acceptable action=add either table object.</x:v>
      </x:c>
      <x:c r="O270" s="31" t="str">
        <x:v>No prespecified task success under blank language; record any action/selected target.</x:v>
      </x:c>
      <x:c r="P270" s="31" t="str"/>
      <x:c r="Q270" s="31" t="str"/>
      <x:c r="R270" s="31" t="str"/>
      <x:c r="S270" s="31" t="str">
        <x:f>IF('Blind Scoring'!I270="","",'Blind Scoring'!I270)</x:f>
      </x:c>
      <x:c r="T270" s="31" t="str">
        <x:f>'Blind Scoring'!J270</x:f>
        <x:v>No</x:v>
      </x:c>
      <x:c r="U270" s="31" t="str">
        <x:f>IF('Blind Scoring'!L270="","",'Blind Scoring'!L270)</x:f>
      </x:c>
    </x:row>
    <x:row r="271" ht="44" customHeight="1">
      <x:c r="A271" s="35" t="str">
        <x:v>Not Started</x:v>
      </x:c>
      <x:c r="B271" s="35" t="n">
        <x:v>269</x:v>
      </x:c>
      <x:c r="C271" s="35" t="str">
        <x:v>P05</x:v>
      </x:c>
      <x:c r="D271" s="35" t="n">
        <x:v>22</x:v>
      </x:c>
      <x:c r="E271" s="35" t="str">
        <x:v>Primary VLA</x:v>
      </x:c>
      <x:c r="F271" s="35" t="str">
        <x:v>VLA-0</x:v>
      </x:c>
      <x:c r="G271" s="35" t="n">
        <x:v>1</x:v>
      </x:c>
      <x:c r="H271" s="35" t="str">
        <x:v>Counting</x:v>
      </x:c>
      <x:c r="I271" s="35" t="str">
        <x:v>Main matched control</x:v>
      </x:c>
      <x:c r="J271" s="35" t="str">
        <x:v>PVLA-CT-CTL-12</x:v>
      </x:c>
      <x:c r="K271" s="35" t="str">
        <x:v>C-CF09-B</x:v>
      </x:c>
      <x:c r="L271" s="31" t="str">
        <x:v>Put the green pencil sharpener in the bowl.</x:v>
      </x:c>
      <x:c r="M271" s="31" t="str">
        <x:v>Put the green pencil sharpener in the bowl.</x:v>
      </x:c>
      <x:c r="N271" s="31" t="str">
        <x:v>C-CF09-CB: bowl=[blue pen, yellow block] (2); table=[green pencil sharpener, airplane toy without propellers]; robot home; acceptable action=add either table object.</x:v>
      </x:c>
      <x:c r="O271" s="31" t="str">
        <x:v>ADD green pencil sharpener</x:v>
      </x:c>
      <x:c r="P271" s="31" t="str"/>
      <x:c r="Q271" s="31" t="str"/>
      <x:c r="R271" s="31" t="str"/>
      <x:c r="S271" s="31" t="str">
        <x:f>IF('Blind Scoring'!I271="","",'Blind Scoring'!I271)</x:f>
      </x:c>
      <x:c r="T271" s="31" t="str">
        <x:f>'Blind Scoring'!J271</x:f>
        <x:v>No</x:v>
      </x:c>
      <x:c r="U271" s="31" t="str">
        <x:f>IF('Blind Scoring'!L271="","",'Blind Scoring'!L271)</x:f>
      </x:c>
    </x:row>
    <x:row r="272" ht="44" customHeight="1">
      <x:c r="A272" s="35" t="str">
        <x:v>Not Started</x:v>
      </x:c>
      <x:c r="B272" s="35" t="n">
        <x:v>270</x:v>
      </x:c>
      <x:c r="C272" s="35" t="str">
        <x:v>P05</x:v>
      </x:c>
      <x:c r="D272" s="35" t="n">
        <x:v>23</x:v>
      </x:c>
      <x:c r="E272" s="35" t="str">
        <x:v>Primary VLA</x:v>
      </x:c>
      <x:c r="F272" s="35" t="str">
        <x:v>VLA-0</x:v>
      </x:c>
      <x:c r="G272" s="35" t="n">
        <x:v>1</x:v>
      </x:c>
      <x:c r="H272" s="35" t="str">
        <x:v>Counting</x:v>
      </x:c>
      <x:c r="I272" s="35" t="str">
        <x:v>Main matched control</x:v>
      </x:c>
      <x:c r="J272" s="35" t="str">
        <x:v>PVLA-CT-CTL-07</x:v>
      </x:c>
      <x:c r="K272" s="35" t="str">
        <x:v>C-CF06-A</x:v>
      </x:c>
      <x:c r="L272" s="31" t="str">
        <x:v>Remove the yellow block from the bowl.</x:v>
      </x:c>
      <x:c r="M272" s="31" t="str">
        <x:v>Remove the yellow block from the bowl.</x:v>
      </x:c>
      <x:c r="N272" s="31" t="str">
        <x:v>C-CF06-CA: bowl=[yellow block, green pencil sharpener] (2); table=[airplane toy without propellers, blue pen]; robot home; acceptable action=remove either bowl object.</x:v>
      </x:c>
      <x:c r="O272" s="31" t="str">
        <x:v>REMOVE yellow block</x:v>
      </x:c>
      <x:c r="P272" s="31" t="str"/>
      <x:c r="Q272" s="31" t="str"/>
      <x:c r="R272" s="31" t="str"/>
      <x:c r="S272" s="31" t="str">
        <x:f>IF('Blind Scoring'!I272="","",'Blind Scoring'!I272)</x:f>
      </x:c>
      <x:c r="T272" s="31" t="str">
        <x:f>'Blind Scoring'!J272</x:f>
        <x:v>No</x:v>
      </x:c>
      <x:c r="U272" s="31" t="str">
        <x:f>IF('Blind Scoring'!L272="","",'Blind Scoring'!L272)</x:f>
      </x:c>
    </x:row>
    <x:row r="273" ht="44" customHeight="1">
      <x:c r="A273" s="35" t="str">
        <x:v>Not Started</x:v>
      </x:c>
      <x:c r="B273" s="35" t="n">
        <x:v>271</x:v>
      </x:c>
      <x:c r="C273" s="35" t="str">
        <x:v>P05</x:v>
      </x:c>
      <x:c r="D273" s="35" t="n">
        <x:v>24</x:v>
      </x:c>
      <x:c r="E273" s="35" t="str">
        <x:v>Primary VLA</x:v>
      </x:c>
      <x:c r="F273" s="35" t="str">
        <x:v>VLA-0</x:v>
      </x:c>
      <x:c r="G273" s="35" t="n">
        <x:v>1</x:v>
      </x:c>
      <x:c r="H273" s="35" t="str">
        <x:v>Counting</x:v>
      </x:c>
      <x:c r="I273" s="35" t="str">
        <x:v>Main held-out transfer</x:v>
      </x:c>
      <x:c r="J273" s="35" t="str">
        <x:v>PVLA-CT-TR-07</x:v>
      </x:c>
      <x:c r="K273" s="35" t="str">
        <x:v>C-CF06-A</x:v>
      </x:c>
      <x:c r="L273" s="31" t="str">
        <x:v>Leave exactly one object in the bowl.</x:v>
      </x:c>
      <x:c r="M273" s="31" t="str">
        <x:v>Leave exactly one object in the bowl.</x:v>
      </x:c>
      <x:c r="N273" s="31" t="str">
        <x:v>C-CF06A: bowl=[yellow block, green pencil sharpener] (2); table=[airplane toy without propellers, blue pen]; robot home; acceptable action=remove either bowl object.</x:v>
      </x:c>
      <x:c r="O273" s="31" t="str">
        <x:v>REMOVE one bowl object</x:v>
      </x:c>
      <x:c r="P273" s="31" t="str"/>
      <x:c r="Q273" s="31" t="str"/>
      <x:c r="R273" s="31" t="str"/>
      <x:c r="S273" s="31" t="str">
        <x:f>IF('Blind Scoring'!I273="","",'Blind Scoring'!I273)</x:f>
      </x:c>
      <x:c r="T273" s="31" t="str">
        <x:f>'Blind Scoring'!J273</x:f>
        <x:v>No</x:v>
      </x:c>
      <x:c r="U273" s="31" t="str">
        <x:f>IF('Blind Scoring'!L273="","",'Blind Scoring'!L273)</x:f>
      </x:c>
    </x:row>
    <x:row r="274" ht="44" customHeight="1">
      <x:c r="A274" s="35" t="str">
        <x:v>Not Started</x:v>
      </x:c>
      <x:c r="B274" s="35" t="n">
        <x:v>272</x:v>
      </x:c>
      <x:c r="C274" s="35" t="str">
        <x:v>P05</x:v>
      </x:c>
      <x:c r="D274" s="35" t="n">
        <x:v>25</x:v>
      </x:c>
      <x:c r="E274" s="35" t="str">
        <x:v>Primary VLA</x:v>
      </x:c>
      <x:c r="F274" s="35" t="str">
        <x:v>VLA-0</x:v>
      </x:c>
      <x:c r="G274" s="35" t="n">
        <x:v>1</x:v>
      </x:c>
      <x:c r="H274" s="35" t="str">
        <x:v>Counting</x:v>
      </x:c>
      <x:c r="I274" s="35" t="str">
        <x:v>Main matched control</x:v>
      </x:c>
      <x:c r="J274" s="35" t="str">
        <x:v>PVLA-CT-CTL-13</x:v>
      </x:c>
      <x:c r="K274" s="35" t="str">
        <x:v>C-CF10-A</x:v>
      </x:c>
      <x:c r="L274" s="31" t="str">
        <x:v>Remove the yellow block from the bowl.</x:v>
      </x:c>
      <x:c r="M274" s="31" t="str">
        <x:v>Remove the yellow block from the bowl.</x:v>
      </x:c>
      <x:c r="N274" s="31" t="str">
        <x:v>C-CF10-CA: bowl=[yellow block, green pencil sharpener] (2); table=[airplane toy without propellers, blue pen]; robot home; acceptable action=remove either bowl object.</x:v>
      </x:c>
      <x:c r="O274" s="31" t="str">
        <x:v>REMOVE yellow block</x:v>
      </x:c>
      <x:c r="P274" s="31" t="str"/>
      <x:c r="Q274" s="31" t="str"/>
      <x:c r="R274" s="31" t="str"/>
      <x:c r="S274" s="31" t="str">
        <x:f>IF('Blind Scoring'!I274="","",'Blind Scoring'!I274)</x:f>
      </x:c>
      <x:c r="T274" s="31" t="str">
        <x:f>'Blind Scoring'!J274</x:f>
        <x:v>No</x:v>
      </x:c>
      <x:c r="U274" s="31" t="str">
        <x:f>IF('Blind Scoring'!L274="","",'Blind Scoring'!L274)</x:f>
      </x:c>
    </x:row>
    <x:row r="275" ht="44" customHeight="1">
      <x:c r="A275" s="35" t="str">
        <x:v>Not Started</x:v>
      </x:c>
      <x:c r="B275" s="35" t="n">
        <x:v>273</x:v>
      </x:c>
      <x:c r="C275" s="35" t="str">
        <x:v>P05</x:v>
      </x:c>
      <x:c r="D275" s="35" t="n">
        <x:v>26</x:v>
      </x:c>
      <x:c r="E275" s="35" t="str">
        <x:v>Primary VLA</x:v>
      </x:c>
      <x:c r="F275" s="35" t="str">
        <x:v>VLA-0</x:v>
      </x:c>
      <x:c r="G275" s="35" t="n">
        <x:v>1</x:v>
      </x:c>
      <x:c r="H275" s="35" t="str">
        <x:v>Counting</x:v>
      </x:c>
      <x:c r="I275" s="35" t="str">
        <x:v>Main matched control</x:v>
      </x:c>
      <x:c r="J275" s="35" t="str">
        <x:v>PVLA-CT-CTL-01</x:v>
      </x:c>
      <x:c r="K275" s="35" t="str">
        <x:v>C-CF01-A</x:v>
      </x:c>
      <x:c r="L275" s="31" t="str">
        <x:v>Remove the blue pen from the bowl.</x:v>
      </x:c>
      <x:c r="M275" s="31" t="str">
        <x:v>Remove the blue pen from the bowl.</x:v>
      </x:c>
      <x:c r="N275" s="31" t="str">
        <x:v>C-CF01-CA: bowl=[blue pen, yellow block] (2); table=[green pencil sharpener, airplane toy without propellers]; robot home; acceptable action=remove either bowl object.</x:v>
      </x:c>
      <x:c r="O275" s="31" t="str">
        <x:v>REMOVE blue pen</x:v>
      </x:c>
      <x:c r="P275" s="31" t="str"/>
      <x:c r="Q275" s="31" t="str"/>
      <x:c r="R275" s="31" t="str"/>
      <x:c r="S275" s="31" t="str">
        <x:f>IF('Blind Scoring'!I275="","",'Blind Scoring'!I275)</x:f>
      </x:c>
      <x:c r="T275" s="31" t="str">
        <x:f>'Blind Scoring'!J275</x:f>
        <x:v>No</x:v>
      </x:c>
      <x:c r="U275" s="31" t="str">
        <x:f>IF('Blind Scoring'!L275="","",'Blind Scoring'!L275)</x:f>
      </x:c>
    </x:row>
    <x:row r="276" ht="44" customHeight="1">
      <x:c r="A276" s="35" t="str">
        <x:v>Not Started</x:v>
      </x:c>
      <x:c r="B276" s="35" t="n">
        <x:v>274</x:v>
      </x:c>
      <x:c r="C276" s="35" t="str">
        <x:v>P05</x:v>
      </x:c>
      <x:c r="D276" s="35" t="n">
        <x:v>27</x:v>
      </x:c>
      <x:c r="E276" s="35" t="str">
        <x:v>Primary VLA</x:v>
      </x:c>
      <x:c r="F276" s="35" t="str">
        <x:v>VLA-0</x:v>
      </x:c>
      <x:c r="G276" s="35" t="n">
        <x:v>1</x:v>
      </x:c>
      <x:c r="H276" s="35" t="str">
        <x:v>Counting</x:v>
      </x:c>
      <x:c r="I276" s="35" t="str">
        <x:v>Main held-out transfer</x:v>
      </x:c>
      <x:c r="J276" s="35" t="str">
        <x:v>PVLA-CT-TR-05</x:v>
      </x:c>
      <x:c r="K276" s="35" t="str">
        <x:v>C-CF04-A</x:v>
      </x:c>
      <x:c r="L276" s="31" t="str">
        <x:v>Leave exactly one object in the bowl.</x:v>
      </x:c>
      <x:c r="M276" s="31" t="str">
        <x:v>Leave exactly one object in the bowl.</x:v>
      </x:c>
      <x:c r="N276" s="31" t="str">
        <x:v>C-CF04A: bowl=[airplane toy without propellers, blue pen] (2); table=[yellow block, green pencil sharpener]; robot home; acceptable action=remove either bowl object.</x:v>
      </x:c>
      <x:c r="O276" s="31" t="str">
        <x:v>REMOVE one bowl object</x:v>
      </x:c>
      <x:c r="P276" s="31" t="str"/>
      <x:c r="Q276" s="31" t="str"/>
      <x:c r="R276" s="31" t="str"/>
      <x:c r="S276" s="31" t="str">
        <x:f>IF('Blind Scoring'!I276="","",'Blind Scoring'!I276)</x:f>
      </x:c>
      <x:c r="T276" s="31" t="str">
        <x:f>'Blind Scoring'!J276</x:f>
        <x:v>No</x:v>
      </x:c>
      <x:c r="U276" s="31" t="str">
        <x:f>IF('Blind Scoring'!L276="","",'Blind Scoring'!L276)</x:f>
      </x:c>
    </x:row>
    <x:row r="277" ht="44" customHeight="1">
      <x:c r="A277" s="35" t="str">
        <x:v>Not Started</x:v>
      </x:c>
      <x:c r="B277" s="35" t="n">
        <x:v>275</x:v>
      </x:c>
      <x:c r="C277" s="35" t="str">
        <x:v>P05</x:v>
      </x:c>
      <x:c r="D277" s="35" t="n">
        <x:v>28</x:v>
      </x:c>
      <x:c r="E277" s="35" t="str">
        <x:v>Primary VLA</x:v>
      </x:c>
      <x:c r="F277" s="35" t="str">
        <x:v>VLA-0</x:v>
      </x:c>
      <x:c r="G277" s="35" t="n">
        <x:v>1</x:v>
      </x:c>
      <x:c r="H277" s="35" t="str">
        <x:v>Counting</x:v>
      </x:c>
      <x:c r="I277" s="35" t="str">
        <x:v>Main held-out transfer</x:v>
      </x:c>
      <x:c r="J277" s="35" t="str">
        <x:v>PVLA-CT-TR-11</x:v>
      </x:c>
      <x:c r="K277" s="35" t="str">
        <x:v>C-CF09-A</x:v>
      </x:c>
      <x:c r="L277" s="31" t="str">
        <x:v>Leave exactly one object in the bowl.</x:v>
      </x:c>
      <x:c r="M277" s="31" t="str">
        <x:v>Leave exactly one object in the bowl.</x:v>
      </x:c>
      <x:c r="N277" s="31" t="str">
        <x:v>C-CF09A: bowl=[blue pen, yellow block] (2); table=[green pencil sharpener, airplane toy without propellers]; robot home; acceptable action=remove either bowl object.</x:v>
      </x:c>
      <x:c r="O277" s="31" t="str">
        <x:v>REMOVE one bowl object</x:v>
      </x:c>
      <x:c r="P277" s="31" t="str"/>
      <x:c r="Q277" s="31" t="str"/>
      <x:c r="R277" s="31" t="str"/>
      <x:c r="S277" s="31" t="str">
        <x:f>IF('Blind Scoring'!I277="","",'Blind Scoring'!I277)</x:f>
      </x:c>
      <x:c r="T277" s="31" t="str">
        <x:f>'Blind Scoring'!J277</x:f>
        <x:v>No</x:v>
      </x:c>
      <x:c r="U277" s="31" t="str">
        <x:f>IF('Blind Scoring'!L277="","",'Blind Scoring'!L277)</x:f>
      </x:c>
    </x:row>
    <x:row r="278" ht="44" customHeight="1">
      <x:c r="A278" s="35" t="str">
        <x:v>Not Started</x:v>
      </x:c>
      <x:c r="B278" s="35" t="n">
        <x:v>276</x:v>
      </x:c>
      <x:c r="C278" s="35" t="str">
        <x:v>P05</x:v>
      </x:c>
      <x:c r="D278" s="35" t="n">
        <x:v>29</x:v>
      </x:c>
      <x:c r="E278" s="35" t="str">
        <x:v>Primary VLA</x:v>
      </x:c>
      <x:c r="F278" s="35" t="str">
        <x:v>VLA-0</x:v>
      </x:c>
      <x:c r="G278" s="35" t="n">
        <x:v>1</x:v>
      </x:c>
      <x:c r="H278" s="35" t="str">
        <x:v>Counting</x:v>
      </x:c>
      <x:c r="I278" s="35" t="str">
        <x:v>Training reconstruction</x:v>
      </x:c>
      <x:c r="J278" s="35" t="str">
        <x:v>PVLA-CT-REC-03</x:v>
      </x:c>
      <x:c r="K278" s="35" t="str"/>
      <x:c r="L278" s="31" t="str">
        <x:v>Move the yellow block into the bowl.</x:v>
      </x:c>
      <x:c r="M278" s="31" t="str">
        <x:v>Move the yellow block into the bowl.</x:v>
      </x:c>
      <x:c r="N278" s="31" t="str">
        <x:v>Reconstruct planned final training episode 850: yellow block, green pencil sharpener, airplane toy without propellers, blue pen; start=Home. Match camera, calibration, bowl pose, and object geometry exactly.</x:v>
      </x:c>
      <x:c r="O278" s="31" t="str">
        <x:v>yellow block</x:v>
      </x:c>
      <x:c r="P278" s="31" t="str"/>
      <x:c r="Q278" s="31" t="str"/>
      <x:c r="R278" s="31" t="str"/>
      <x:c r="S278" s="31" t="str">
        <x:f>IF('Blind Scoring'!I278="","",'Blind Scoring'!I278)</x:f>
      </x:c>
      <x:c r="T278" s="31" t="str">
        <x:f>'Blind Scoring'!J278</x:f>
        <x:v>No</x:v>
      </x:c>
      <x:c r="U278" s="31" t="str">
        <x:f>IF('Blind Scoring'!L278="","",'Blind Scoring'!L278)</x:f>
      </x:c>
    </x:row>
    <x:row r="279" ht="44" customHeight="1">
      <x:c r="A279" s="35" t="str">
        <x:v>Not Started</x:v>
      </x:c>
      <x:c r="B279" s="35" t="n">
        <x:v>277</x:v>
      </x:c>
      <x:c r="C279" s="35" t="str">
        <x:v>P05</x:v>
      </x:c>
      <x:c r="D279" s="35" t="n">
        <x:v>30</x:v>
      </x:c>
      <x:c r="E279" s="35" t="str">
        <x:v>Primary VLA</x:v>
      </x:c>
      <x:c r="F279" s="35" t="str">
        <x:v>VLA-0</x:v>
      </x:c>
      <x:c r="G279" s="35" t="n">
        <x:v>1</x:v>
      </x:c>
      <x:c r="H279" s="35" t="str">
        <x:v>Counting</x:v>
      </x:c>
      <x:c r="I279" s="35" t="str">
        <x:v>Main held-out transfer</x:v>
      </x:c>
      <x:c r="J279" s="35" t="str">
        <x:v>PVLA-CT-TR-08</x:v>
      </x:c>
      <x:c r="K279" s="35" t="str">
        <x:v>C-CF06-B</x:v>
      </x:c>
      <x:c r="L279" s="31" t="str">
        <x:v>Leave exactly three objects in the bowl.</x:v>
      </x:c>
      <x:c r="M279" s="31" t="str">
        <x:v>Leave exactly three objects in the bowl.</x:v>
      </x:c>
      <x:c r="N279" s="31" t="str">
        <x:v>C-CF06B: bowl=[yellow block, green pencil sharpener] (2); table=[airplane toy without propellers, blue pen]; robot home; acceptable action=add either table object.</x:v>
      </x:c>
      <x:c r="O279" s="31" t="str">
        <x:v>ADD one table object</x:v>
      </x:c>
      <x:c r="P279" s="31" t="str"/>
      <x:c r="Q279" s="31" t="str"/>
      <x:c r="R279" s="31" t="str"/>
      <x:c r="S279" s="31" t="str">
        <x:f>IF('Blind Scoring'!I279="","",'Blind Scoring'!I279)</x:f>
      </x:c>
      <x:c r="T279" s="31" t="str">
        <x:f>'Blind Scoring'!J279</x:f>
        <x:v>No</x:v>
      </x:c>
      <x:c r="U279" s="31" t="str">
        <x:f>IF('Blind Scoring'!L279="","",'Blind Scoring'!L279)</x:f>
      </x:c>
    </x:row>
    <x:row r="280" ht="44" customHeight="1">
      <x:c r="A280" s="35" t="str">
        <x:v>Not Started</x:v>
      </x:c>
      <x:c r="B280" s="35" t="n">
        <x:v>278</x:v>
      </x:c>
      <x:c r="C280" s="35" t="str">
        <x:v>P05</x:v>
      </x:c>
      <x:c r="D280" s="35" t="n">
        <x:v>31</x:v>
      </x:c>
      <x:c r="E280" s="35" t="str">
        <x:v>Primary VLA</x:v>
      </x:c>
      <x:c r="F280" s="35" t="str">
        <x:v>VLA-0</x:v>
      </x:c>
      <x:c r="G280" s="35" t="n">
        <x:v>1</x:v>
      </x:c>
      <x:c r="H280" s="35" t="str">
        <x:v>Counting</x:v>
      </x:c>
      <x:c r="I280" s="35" t="str">
        <x:v>Main held-out transfer</x:v>
      </x:c>
      <x:c r="J280" s="35" t="str">
        <x:v>PVLA-CT-TR-16</x:v>
      </x:c>
      <x:c r="K280" s="35" t="str">
        <x:v>C-CF12-B</x:v>
      </x:c>
      <x:c r="L280" s="31" t="str">
        <x:v>Leave exactly three objects in the bowl.</x:v>
      </x:c>
      <x:c r="M280" s="31" t="str">
        <x:v>Leave exactly three objects in the bowl.</x:v>
      </x:c>
      <x:c r="N280" s="31" t="str">
        <x:v>C-CF12B: bowl=[airplane toy without propellers, blue pen] (2); table=[yellow block, green pencil sharpener]; robot home; acceptable action=add either table object.</x:v>
      </x:c>
      <x:c r="O280" s="31" t="str">
        <x:v>ADD one table object</x:v>
      </x:c>
      <x:c r="P280" s="31" t="str"/>
      <x:c r="Q280" s="31" t="str"/>
      <x:c r="R280" s="31" t="str"/>
      <x:c r="S280" s="31" t="str">
        <x:f>IF('Blind Scoring'!I280="","",'Blind Scoring'!I280)</x:f>
      </x:c>
      <x:c r="T280" s="31" t="str">
        <x:f>'Blind Scoring'!J280</x:f>
        <x:v>No</x:v>
      </x:c>
      <x:c r="U280" s="31" t="str">
        <x:f>IF('Blind Scoring'!L280="","",'Blind Scoring'!L280)</x:f>
      </x:c>
    </x:row>
    <x:row r="281" ht="44" customHeight="1">
      <x:c r="A281" s="35" t="str">
        <x:v>Not Started</x:v>
      </x:c>
      <x:c r="B281" s="35" t="n">
        <x:v>279</x:v>
      </x:c>
      <x:c r="C281" s="35" t="str">
        <x:v>P05</x:v>
      </x:c>
      <x:c r="D281" s="35" t="n">
        <x:v>32</x:v>
      </x:c>
      <x:c r="E281" s="35" t="str">
        <x:v>Primary VLA</x:v>
      </x:c>
      <x:c r="F281" s="35" t="str">
        <x:v>VLA-0</x:v>
      </x:c>
      <x:c r="G281" s="35" t="n">
        <x:v>1</x:v>
      </x:c>
      <x:c r="H281" s="35" t="str">
        <x:v>Counting</x:v>
      </x:c>
      <x:c r="I281" s="35" t="str">
        <x:v>Main matched control</x:v>
      </x:c>
      <x:c r="J281" s="35" t="str">
        <x:v>PVLA-CT-CTL-11</x:v>
      </x:c>
      <x:c r="K281" s="35" t="str">
        <x:v>C-CF09-A</x:v>
      </x:c>
      <x:c r="L281" s="31" t="str">
        <x:v>Remove the blue pen from the bowl.</x:v>
      </x:c>
      <x:c r="M281" s="31" t="str">
        <x:v>Remove the blue pen from the bowl.</x:v>
      </x:c>
      <x:c r="N281" s="31" t="str">
        <x:v>C-CF09-CA: bowl=[blue pen, yellow block] (2); table=[green pencil sharpener, airplane toy without propellers]; robot home; acceptable action=remove either bowl object.</x:v>
      </x:c>
      <x:c r="O281" s="31" t="str">
        <x:v>REMOVE blue pen</x:v>
      </x:c>
      <x:c r="P281" s="31" t="str"/>
      <x:c r="Q281" s="31" t="str"/>
      <x:c r="R281" s="31" t="str"/>
      <x:c r="S281" s="31" t="str">
        <x:f>IF('Blind Scoring'!I281="","",'Blind Scoring'!I281)</x:f>
      </x:c>
      <x:c r="T281" s="31" t="str">
        <x:f>'Blind Scoring'!J281</x:f>
        <x:v>No</x:v>
      </x:c>
      <x:c r="U281" s="31" t="str">
        <x:f>IF('Blind Scoring'!L281="","",'Blind Scoring'!L281)</x:f>
      </x:c>
    </x:row>
    <x:row r="282" ht="44" customHeight="1">
      <x:c r="A282" s="35" t="str">
        <x:v>Not Started</x:v>
      </x:c>
      <x:c r="B282" s="35" t="n">
        <x:v>280</x:v>
      </x:c>
      <x:c r="C282" s="35" t="str">
        <x:v>P05</x:v>
      </x:c>
      <x:c r="D282" s="35" t="n">
        <x:v>33</x:v>
      </x:c>
      <x:c r="E282" s="35" t="str">
        <x:v>Primary VLA</x:v>
      </x:c>
      <x:c r="F282" s="35" t="str">
        <x:v>VLA-0</x:v>
      </x:c>
      <x:c r="G282" s="35" t="n">
        <x:v>1</x:v>
      </x:c>
      <x:c r="H282" s="35" t="str">
        <x:v>Counting</x:v>
      </x:c>
      <x:c r="I282" s="35" t="str">
        <x:v>Exact-scene paraphrase</x:v>
      </x:c>
      <x:c r="J282" s="35" t="str">
        <x:v>PVLA-CT-PAR-08</x:v>
      </x:c>
      <x:c r="K282" s="35" t="str"/>
      <x:c r="L282" s="31" t="str">
        <x:v>Finish with two objects in the bowl.</x:v>
      </x:c>
      <x:c r="M282" s="31" t="str">
        <x:v>Finish with two objects in the bowl.</x:v>
      </x:c>
      <x:c r="N282" s="31" t="str">
        <x:v>C-N01: bowl=[blue pen] (1); table left→right=[yellow block, green pencil sharpener, airplane toy without propellers]; robot home.</x:v>
      </x:c>
      <x:c r="O282" s="31" t="str"/>
      <x:c r="P282" s="31" t="str"/>
      <x:c r="Q282" s="31" t="str"/>
      <x:c r="R282" s="31" t="str"/>
      <x:c r="S282" s="31" t="str">
        <x:f>IF('Blind Scoring'!I282="","",'Blind Scoring'!I282)</x:f>
      </x:c>
      <x:c r="T282" s="31" t="str">
        <x:f>'Blind Scoring'!J282</x:f>
        <x:v>No</x:v>
      </x:c>
      <x:c r="U282" s="31" t="str">
        <x:f>IF('Blind Scoring'!L282="","",'Blind Scoring'!L282)</x:f>
      </x:c>
    </x:row>
    <x:row r="283" ht="44" customHeight="1">
      <x:c r="A283" s="35" t="str">
        <x:v>Not Started</x:v>
      </x:c>
      <x:c r="B283" s="35" t="n">
        <x:v>281</x:v>
      </x:c>
      <x:c r="C283" s="35" t="str">
        <x:v>P05</x:v>
      </x:c>
      <x:c r="D283" s="35" t="n">
        <x:v>34</x:v>
      </x:c>
      <x:c r="E283" s="35" t="str">
        <x:v>Primary VLA</x:v>
      </x:c>
      <x:c r="F283" s="35" t="str">
        <x:v>VLA-0</x:v>
      </x:c>
      <x:c r="G283" s="35" t="n">
        <x:v>1</x:v>
      </x:c>
      <x:c r="H283" s="35" t="str">
        <x:v>Counting</x:v>
      </x:c>
      <x:c r="I283" s="35" t="str">
        <x:v>Main held-out transfer</x:v>
      </x:c>
      <x:c r="J283" s="35" t="str">
        <x:v>PVLA-CT-TR-04</x:v>
      </x:c>
      <x:c r="K283" s="35" t="str">
        <x:v>C-CF03-B</x:v>
      </x:c>
      <x:c r="L283" s="31" t="str">
        <x:v>Leave exactly three objects in the bowl.</x:v>
      </x:c>
      <x:c r="M283" s="31" t="str">
        <x:v>Leave exactly three objects in the bowl.</x:v>
      </x:c>
      <x:c r="N283" s="31" t="str">
        <x:v>C-CF03B: bowl=[green pencil sharpener, airplane toy without propellers] (2); table=[blue pen, yellow block]; robot home; acceptable action=add either table object.</x:v>
      </x:c>
      <x:c r="O283" s="31" t="str">
        <x:v>ADD one table object</x:v>
      </x:c>
      <x:c r="P283" s="31" t="str"/>
      <x:c r="Q283" s="31" t="str"/>
      <x:c r="R283" s="31" t="str"/>
      <x:c r="S283" s="31" t="str">
        <x:f>IF('Blind Scoring'!I283="","",'Blind Scoring'!I283)</x:f>
      </x:c>
      <x:c r="T283" s="31" t="str">
        <x:f>'Blind Scoring'!J283</x:f>
        <x:v>No</x:v>
      </x:c>
      <x:c r="U283" s="31" t="str">
        <x:f>IF('Blind Scoring'!L283="","",'Blind Scoring'!L283)</x:f>
      </x:c>
    </x:row>
    <x:row r="284" ht="44" customHeight="1">
      <x:c r="A284" s="35" t="str">
        <x:v>Not Started</x:v>
      </x:c>
      <x:c r="B284" s="35" t="n">
        <x:v>282</x:v>
      </x:c>
      <x:c r="C284" s="35" t="str">
        <x:v>P05</x:v>
      </x:c>
      <x:c r="D284" s="35" t="n">
        <x:v>35</x:v>
      </x:c>
      <x:c r="E284" s="35" t="str">
        <x:v>Primary VLA</x:v>
      </x:c>
      <x:c r="F284" s="35" t="str">
        <x:v>VLA-0</x:v>
      </x:c>
      <x:c r="G284" s="35" t="n">
        <x:v>1</x:v>
      </x:c>
      <x:c r="H284" s="35" t="str">
        <x:v>Counting</x:v>
      </x:c>
      <x:c r="I284" s="35" t="str">
        <x:v>Main held-out transfer</x:v>
      </x:c>
      <x:c r="J284" s="35" t="str">
        <x:v>PVLA-CT-TR-06</x:v>
      </x:c>
      <x:c r="K284" s="35" t="str">
        <x:v>C-CF04-B</x:v>
      </x:c>
      <x:c r="L284" s="31" t="str">
        <x:v>Leave exactly three objects in the bowl.</x:v>
      </x:c>
      <x:c r="M284" s="31" t="str">
        <x:v>Leave exactly three objects in the bowl.</x:v>
      </x:c>
      <x:c r="N284" s="31" t="str">
        <x:v>C-CF04B: bowl=[airplane toy without propellers, blue pen] (2); table=[yellow block, green pencil sharpener]; robot home; acceptable action=add either table object.</x:v>
      </x:c>
      <x:c r="O284" s="31" t="str">
        <x:v>ADD one table object</x:v>
      </x:c>
      <x:c r="P284" s="31" t="str"/>
      <x:c r="Q284" s="31" t="str"/>
      <x:c r="R284" s="31" t="str"/>
      <x:c r="S284" s="31" t="str">
        <x:f>IF('Blind Scoring'!I284="","",'Blind Scoring'!I284)</x:f>
      </x:c>
      <x:c r="T284" s="31" t="str">
        <x:f>'Blind Scoring'!J284</x:f>
        <x:v>No</x:v>
      </x:c>
      <x:c r="U284" s="31" t="str">
        <x:f>IF('Blind Scoring'!L284="","",'Blind Scoring'!L284)</x:f>
      </x:c>
    </x:row>
    <x:row r="285" ht="44" customHeight="1">
      <x:c r="A285" s="35" t="str">
        <x:v>Not Started</x:v>
      </x:c>
      <x:c r="B285" s="35" t="n">
        <x:v>283</x:v>
      </x:c>
      <x:c r="C285" s="35" t="str">
        <x:v>P05</x:v>
      </x:c>
      <x:c r="D285" s="35" t="n">
        <x:v>36</x:v>
      </x:c>
      <x:c r="E285" s="35" t="str">
        <x:v>Primary VLA</x:v>
      </x:c>
      <x:c r="F285" s="35" t="str">
        <x:v>VLA-0</x:v>
      </x:c>
      <x:c r="G285" s="35" t="n">
        <x:v>1</x:v>
      </x:c>
      <x:c r="H285" s="35" t="str">
        <x:v>Counting</x:v>
      </x:c>
      <x:c r="I285" s="35" t="str">
        <x:v>Novel layout + seen language</x:v>
      </x:c>
      <x:c r="J285" s="35" t="str">
        <x:v>PVLA-CT-NOV-03</x:v>
      </x:c>
      <x:c r="K285" s="35" t="str"/>
      <x:c r="L285" s="31" t="str">
        <x:v>Adjust the bowl so that it contains two objects.</x:v>
      </x:c>
      <x:c r="M285" s="31" t="str">
        <x:v>Adjust the bowl so that it contains two objects.</x:v>
      </x:c>
      <x:c r="N285" s="31" t="str">
        <x:v>C-N06: bowl=[yellow block, green pencil sharpener, airplane toy without propellers] (3); table left→right=[blue pen]; robot home.</x:v>
      </x:c>
      <x:c r="O285" s="31" t="str"/>
      <x:c r="P285" s="31" t="str"/>
      <x:c r="Q285" s="31" t="str"/>
      <x:c r="R285" s="31" t="str"/>
      <x:c r="S285" s="31" t="str">
        <x:f>IF('Blind Scoring'!I285="","",'Blind Scoring'!I285)</x:f>
      </x:c>
      <x:c r="T285" s="31" t="str">
        <x:f>'Blind Scoring'!J285</x:f>
        <x:v>No</x:v>
      </x:c>
      <x:c r="U285" s="31" t="str">
        <x:f>IF('Blind Scoring'!L285="","",'Blind Scoring'!L285)</x:f>
      </x:c>
    </x:row>
    <x:row r="286" ht="44" customHeight="1">
      <x:c r="A286" s="35" t="str">
        <x:v>Not Started</x:v>
      </x:c>
      <x:c r="B286" s="35" t="n">
        <x:v>284</x:v>
      </x:c>
      <x:c r="C286" s="35" t="str">
        <x:v>P05</x:v>
      </x:c>
      <x:c r="D286" s="35" t="n">
        <x:v>37</x:v>
      </x:c>
      <x:c r="E286" s="35" t="str">
        <x:v>Primary VLA</x:v>
      </x:c>
      <x:c r="F286" s="35" t="str">
        <x:v>VLA-0</x:v>
      </x:c>
      <x:c r="G286" s="35" t="n">
        <x:v>1</x:v>
      </x:c>
      <x:c r="H286" s="35" t="str">
        <x:v>Counting</x:v>
      </x:c>
      <x:c r="I286" s="35" t="str">
        <x:v>Main matched control</x:v>
      </x:c>
      <x:c r="J286" s="35" t="str">
        <x:v>PVLA-CT-CTL-16</x:v>
      </x:c>
      <x:c r="K286" s="35" t="str">
        <x:v>C-CF12-B</x:v>
      </x:c>
      <x:c r="L286" s="31" t="str">
        <x:v>Put the yellow block in the bowl.</x:v>
      </x:c>
      <x:c r="M286" s="31" t="str">
        <x:v>Put the yellow block in the bowl.</x:v>
      </x:c>
      <x:c r="N286" s="31" t="str">
        <x:v>C-CF12-CB: bowl=[airplane toy without propellers, blue pen] (2); table=[yellow block, green pencil sharpener]; robot home; acceptable action=add either table object.</x:v>
      </x:c>
      <x:c r="O286" s="31" t="str">
        <x:v>ADD yellow block</x:v>
      </x:c>
      <x:c r="P286" s="31" t="str"/>
      <x:c r="Q286" s="31" t="str"/>
      <x:c r="R286" s="31" t="str"/>
      <x:c r="S286" s="31" t="str">
        <x:f>IF('Blind Scoring'!I286="","",'Blind Scoring'!I286)</x:f>
      </x:c>
      <x:c r="T286" s="31" t="str">
        <x:f>'Blind Scoring'!J286</x:f>
        <x:v>No</x:v>
      </x:c>
      <x:c r="U286" s="31" t="str">
        <x:f>IF('Blind Scoring'!L286="","",'Blind Scoring'!L286)</x:f>
      </x:c>
    </x:row>
    <x:row r="287" ht="44" customHeight="1">
      <x:c r="A287" s="35" t="str">
        <x:v>Not Started</x:v>
      </x:c>
      <x:c r="B287" s="35" t="n">
        <x:v>285</x:v>
      </x:c>
      <x:c r="C287" s="35" t="str">
        <x:v>P05</x:v>
      </x:c>
      <x:c r="D287" s="35" t="n">
        <x:v>38</x:v>
      </x:c>
      <x:c r="E287" s="35" t="str">
        <x:v>Primary VLA</x:v>
      </x:c>
      <x:c r="F287" s="35" t="str">
        <x:v>VLA-0</x:v>
      </x:c>
      <x:c r="G287" s="35" t="n">
        <x:v>1</x:v>
      </x:c>
      <x:c r="H287" s="35" t="str">
        <x:v>Counting</x:v>
      </x:c>
      <x:c r="I287" s="35" t="str">
        <x:v>Exact-scene paraphrase</x:v>
      </x:c>
      <x:c r="J287" s="35" t="str">
        <x:v>PVLA-CT-PAR-05</x:v>
      </x:c>
      <x:c r="K287" s="35" t="str"/>
      <x:c r="L287" s="31" t="str">
        <x:v>Finish with two objects in the bowl.</x:v>
      </x:c>
      <x:c r="M287" s="31" t="str">
        <x:v>Finish with two objects in the bowl.</x:v>
      </x:c>
      <x:c r="N287" s="31" t="str">
        <x:v>C-N01: bowl=[blue pen] (1); table left→right=[yellow block, green pencil sharpener, airplane toy without propellers]; robot home.</x:v>
      </x:c>
      <x:c r="O287" s="31" t="str"/>
      <x:c r="P287" s="31" t="str"/>
      <x:c r="Q287" s="31" t="str"/>
      <x:c r="R287" s="31" t="str"/>
      <x:c r="S287" s="31" t="str">
        <x:f>IF('Blind Scoring'!I287="","",'Blind Scoring'!I287)</x:f>
      </x:c>
      <x:c r="T287" s="31" t="str">
        <x:f>'Blind Scoring'!J287</x:f>
        <x:v>No</x:v>
      </x:c>
      <x:c r="U287" s="31" t="str">
        <x:f>IF('Blind Scoring'!L287="","",'Blind Scoring'!L287)</x:f>
      </x:c>
    </x:row>
    <x:row r="288" ht="44" customHeight="1">
      <x:c r="A288" s="35" t="str">
        <x:v>Not Started</x:v>
      </x:c>
      <x:c r="B288" s="35" t="n">
        <x:v>286</x:v>
      </x:c>
      <x:c r="C288" s="35" t="str">
        <x:v>P05</x:v>
      </x:c>
      <x:c r="D288" s="35" t="n">
        <x:v>39</x:v>
      </x:c>
      <x:c r="E288" s="35" t="str">
        <x:v>Primary VLA</x:v>
      </x:c>
      <x:c r="F288" s="35" t="str">
        <x:v>VLA-0</x:v>
      </x:c>
      <x:c r="G288" s="35" t="n">
        <x:v>1</x:v>
      </x:c>
      <x:c r="H288" s="35" t="str">
        <x:v>Counting</x:v>
      </x:c>
      <x:c r="I288" s="35" t="str">
        <x:v>Main matched control</x:v>
      </x:c>
      <x:c r="J288" s="35" t="str">
        <x:v>PVLA-CT-CTL-06</x:v>
      </x:c>
      <x:c r="K288" s="35" t="str">
        <x:v>C-CF04-B</x:v>
      </x:c>
      <x:c r="L288" s="31" t="str">
        <x:v>Put the yellow block in the bowl.</x:v>
      </x:c>
      <x:c r="M288" s="31" t="str">
        <x:v>Put the yellow block in the bowl.</x:v>
      </x:c>
      <x:c r="N288" s="31" t="str">
        <x:v>C-CF04-CB: bowl=[airplane toy without propellers, blue pen] (2); table=[yellow block, green pencil sharpener]; robot home; acceptable action=add either table object.</x:v>
      </x:c>
      <x:c r="O288" s="31" t="str">
        <x:v>ADD yellow block</x:v>
      </x:c>
      <x:c r="P288" s="31" t="str"/>
      <x:c r="Q288" s="31" t="str"/>
      <x:c r="R288" s="31" t="str"/>
      <x:c r="S288" s="31" t="str">
        <x:f>IF('Blind Scoring'!I288="","",'Blind Scoring'!I288)</x:f>
      </x:c>
      <x:c r="T288" s="31" t="str">
        <x:f>'Blind Scoring'!J288</x:f>
        <x:v>No</x:v>
      </x:c>
      <x:c r="U288" s="31" t="str">
        <x:f>IF('Blind Scoring'!L288="","",'Blind Scoring'!L288)</x:f>
      </x:c>
    </x:row>
    <x:row r="289" ht="44" customHeight="1">
      <x:c r="A289" s="35" t="str">
        <x:v>Not Started</x:v>
      </x:c>
      <x:c r="B289" s="35" t="n">
        <x:v>287</x:v>
      </x:c>
      <x:c r="C289" s="35" t="str">
        <x:v>P05</x:v>
      </x:c>
      <x:c r="D289" s="35" t="n">
        <x:v>40</x:v>
      </x:c>
      <x:c r="E289" s="35" t="str">
        <x:v>Primary VLA</x:v>
      </x:c>
      <x:c r="F289" s="35" t="str">
        <x:v>VLA-0</x:v>
      </x:c>
      <x:c r="G289" s="35" t="n">
        <x:v>1</x:v>
      </x:c>
      <x:c r="H289" s="35" t="str">
        <x:v>Counting</x:v>
      </x:c>
      <x:c r="I289" s="35" t="str">
        <x:v>Novel layout + seen language</x:v>
      </x:c>
      <x:c r="J289" s="35" t="str">
        <x:v>PVLA-CT-NOV-01</x:v>
      </x:c>
      <x:c r="K289" s="35" t="str"/>
      <x:c r="L289" s="31" t="str">
        <x:v>Make the bowl contain exactly two objects.</x:v>
      </x:c>
      <x:c r="M289" s="31" t="str">
        <x:v>Make the bowl contain exactly two objects.</x:v>
      </x:c>
      <x:c r="N289" s="31" t="str">
        <x:v>C-N01: bowl=[blue pen] (1); table left→right=[yellow block, green pencil sharpener, airplane toy without propellers]; robot home.</x:v>
      </x:c>
      <x:c r="O289" s="31" t="str"/>
      <x:c r="P289" s="31" t="str"/>
      <x:c r="Q289" s="31" t="str"/>
      <x:c r="R289" s="31" t="str"/>
      <x:c r="S289" s="31" t="str">
        <x:f>IF('Blind Scoring'!I289="","",'Blind Scoring'!I289)</x:f>
      </x:c>
      <x:c r="T289" s="31" t="str">
        <x:f>'Blind Scoring'!J289</x:f>
        <x:v>No</x:v>
      </x:c>
      <x:c r="U289" s="31" t="str">
        <x:f>IF('Blind Scoring'!L289="","",'Blind Scoring'!L289)</x:f>
      </x:c>
    </x:row>
    <x:row r="290" ht="44" customHeight="1">
      <x:c r="A290" s="35" t="str">
        <x:v>Not Started</x:v>
      </x:c>
      <x:c r="B290" s="35" t="n">
        <x:v>288</x:v>
      </x:c>
      <x:c r="C290" s="35" t="str">
        <x:v>P05</x:v>
      </x:c>
      <x:c r="D290" s="35" t="n">
        <x:v>41</x:v>
      </x:c>
      <x:c r="E290" s="35" t="str">
        <x:v>Primary VLA</x:v>
      </x:c>
      <x:c r="F290" s="35" t="str">
        <x:v>VLA-0</x:v>
      </x:c>
      <x:c r="G290" s="35" t="n">
        <x:v>1</x:v>
      </x:c>
      <x:c r="H290" s="35" t="str">
        <x:v>Counting</x:v>
      </x:c>
      <x:c r="I290" s="35" t="str">
        <x:v>Language ablation — blank</x:v>
      </x:c>
      <x:c r="J290" s="35" t="str">
        <x:v>PVLA-CT-ABL-BLK-03</x:v>
      </x:c>
      <x:c r="K290" s="35" t="str">
        <x:v>C-CF03-A</x:v>
      </x:c>
      <x:c r="L290" s="31" t="str">
        <x:v>[EMPTY STRING — provide no instruction tokens]</x:v>
      </x:c>
      <x:c r="M290" s="31" t="str">
        <x:v>Leave exactly one object in the bowl.</x:v>
      </x:c>
      <x:c r="N290" s="31" t="str">
        <x:v>C-CF03A: bowl=[green pencil sharpener, airplane toy without propellers] (2); table=[blue pen, yellow block]; robot home; acceptable action=remove either bowl object.</x:v>
      </x:c>
      <x:c r="O290" s="31" t="str">
        <x:v>No prespecified task success under blank language; record any action/selected target.</x:v>
      </x:c>
      <x:c r="P290" s="31" t="str"/>
      <x:c r="Q290" s="31" t="str"/>
      <x:c r="R290" s="31" t="str"/>
      <x:c r="S290" s="31" t="str">
        <x:f>IF('Blind Scoring'!I290="","",'Blind Scoring'!I290)</x:f>
      </x:c>
      <x:c r="T290" s="31" t="str">
        <x:f>'Blind Scoring'!J290</x:f>
        <x:v>No</x:v>
      </x:c>
      <x:c r="U290" s="31" t="str">
        <x:f>IF('Blind Scoring'!L290="","",'Blind Scoring'!L290)</x:f>
      </x:c>
    </x:row>
    <x:row r="291" ht="44" customHeight="1">
      <x:c r="A291" s="35" t="str">
        <x:v>Not Started</x:v>
      </x:c>
      <x:c r="B291" s="35" t="n">
        <x:v>289</x:v>
      </x:c>
      <x:c r="C291" s="35" t="str">
        <x:v>P05</x:v>
      </x:c>
      <x:c r="D291" s="35" t="n">
        <x:v>42</x:v>
      </x:c>
      <x:c r="E291" s="35" t="str">
        <x:v>Primary VLA</x:v>
      </x:c>
      <x:c r="F291" s="35" t="str">
        <x:v>VLA-0</x:v>
      </x:c>
      <x:c r="G291" s="35" t="n">
        <x:v>1</x:v>
      </x:c>
      <x:c r="H291" s="35" t="str">
        <x:v>Counting</x:v>
      </x:c>
      <x:c r="I291" s="35" t="str">
        <x:v>Exact-scene paraphrase</x:v>
      </x:c>
      <x:c r="J291" s="35" t="str">
        <x:v>PVLA-CT-PAR-06</x:v>
      </x:c>
      <x:c r="K291" s="35" t="str"/>
      <x:c r="L291" s="31" t="str">
        <x:v>Finish with two objects in the bowl.</x:v>
      </x:c>
      <x:c r="M291" s="31" t="str">
        <x:v>Finish with two objects in the bowl.</x:v>
      </x:c>
      <x:c r="N291" s="31" t="str">
        <x:v>C-N01: bowl=[blue pen] (1); table left→right=[yellow block, green pencil sharpener, airplane toy without propellers]; robot home.</x:v>
      </x:c>
      <x:c r="O291" s="31" t="str"/>
      <x:c r="P291" s="31" t="str"/>
      <x:c r="Q291" s="31" t="str"/>
      <x:c r="R291" s="31" t="str"/>
      <x:c r="S291" s="31" t="str">
        <x:f>IF('Blind Scoring'!I291="","",'Blind Scoring'!I291)</x:f>
      </x:c>
      <x:c r="T291" s="31" t="str">
        <x:f>'Blind Scoring'!J291</x:f>
        <x:v>No</x:v>
      </x:c>
      <x:c r="U291" s="31" t="str">
        <x:f>IF('Blind Scoring'!L291="","",'Blind Scoring'!L291)</x:f>
      </x:c>
    </x:row>
    <x:row r="292" ht="44" customHeight="1">
      <x:c r="A292" s="35" t="str">
        <x:v>Not Started</x:v>
      </x:c>
      <x:c r="B292" s="35" t="n">
        <x:v>290</x:v>
      </x:c>
      <x:c r="C292" s="35" t="str">
        <x:v>P05</x:v>
      </x:c>
      <x:c r="D292" s="35" t="n">
        <x:v>43</x:v>
      </x:c>
      <x:c r="E292" s="35" t="str">
        <x:v>Primary VLA</x:v>
      </x:c>
      <x:c r="F292" s="35" t="str">
        <x:v>VLA-0</x:v>
      </x:c>
      <x:c r="G292" s="35" t="n">
        <x:v>1</x:v>
      </x:c>
      <x:c r="H292" s="35" t="str">
        <x:v>Counting</x:v>
      </x:c>
      <x:c r="I292" s="35" t="str">
        <x:v>Exact-scene paraphrase</x:v>
      </x:c>
      <x:c r="J292" s="35" t="str">
        <x:v>PVLA-CT-PAR-02</x:v>
      </x:c>
      <x:c r="K292" s="35" t="str"/>
      <x:c r="L292" s="31" t="str">
        <x:v>Finish with two objects in the bowl.</x:v>
      </x:c>
      <x:c r="M292" s="31" t="str">
        <x:v>Finish with two objects in the bowl.</x:v>
      </x:c>
      <x:c r="N292" s="31" t="str">
        <x:v>C-N01: bowl=[blue pen] (1); table left→right=[yellow block, green pencil sharpener, airplane toy without propellers]; robot home.</x:v>
      </x:c>
      <x:c r="O292" s="31" t="str"/>
      <x:c r="P292" s="31" t="str"/>
      <x:c r="Q292" s="31" t="str"/>
      <x:c r="R292" s="31" t="str"/>
      <x:c r="S292" s="31" t="str">
        <x:f>IF('Blind Scoring'!I292="","",'Blind Scoring'!I292)</x:f>
      </x:c>
      <x:c r="T292" s="31" t="str">
        <x:f>'Blind Scoring'!J292</x:f>
        <x:v>No</x:v>
      </x:c>
      <x:c r="U292" s="31" t="str">
        <x:f>IF('Blind Scoring'!L292="","",'Blind Scoring'!L292)</x:f>
      </x:c>
    </x:row>
    <x:row r="293" ht="44" customHeight="1">
      <x:c r="A293" s="35" t="str">
        <x:v>Not Started</x:v>
      </x:c>
      <x:c r="B293" s="35" t="n">
        <x:v>291</x:v>
      </x:c>
      <x:c r="C293" s="35" t="str">
        <x:v>P05</x:v>
      </x:c>
      <x:c r="D293" s="35" t="n">
        <x:v>44</x:v>
      </x:c>
      <x:c r="E293" s="35" t="str">
        <x:v>Primary VLA</x:v>
      </x:c>
      <x:c r="F293" s="35" t="str">
        <x:v>VLA-0</x:v>
      </x:c>
      <x:c r="G293" s="35" t="n">
        <x:v>1</x:v>
      </x:c>
      <x:c r="H293" s="35" t="str">
        <x:v>Counting</x:v>
      </x:c>
      <x:c r="I293" s="35" t="str">
        <x:v>Main held-out transfer</x:v>
      </x:c>
      <x:c r="J293" s="35" t="str">
        <x:v>PVLA-CT-TR-10</x:v>
      </x:c>
      <x:c r="K293" s="35" t="str">
        <x:v>C-CF07-B</x:v>
      </x:c>
      <x:c r="L293" s="31" t="str">
        <x:v>Leave exactly three objects in the bowl.</x:v>
      </x:c>
      <x:c r="M293" s="31" t="str">
        <x:v>Leave exactly three objects in the bowl.</x:v>
      </x:c>
      <x:c r="N293" s="31" t="str">
        <x:v>C-CF07B: bowl=[green pencil sharpener, airplane toy without propellers] (2); table=[blue pen, yellow block]; robot home; acceptable action=add either table object.</x:v>
      </x:c>
      <x:c r="O293" s="31" t="str">
        <x:v>ADD one table object</x:v>
      </x:c>
      <x:c r="P293" s="31" t="str"/>
      <x:c r="Q293" s="31" t="str"/>
      <x:c r="R293" s="31" t="str"/>
      <x:c r="S293" s="31" t="str">
        <x:f>IF('Blind Scoring'!I293="","",'Blind Scoring'!I293)</x:f>
      </x:c>
      <x:c r="T293" s="31" t="str">
        <x:f>'Blind Scoring'!J293</x:f>
        <x:v>No</x:v>
      </x:c>
      <x:c r="U293" s="31" t="str">
        <x:f>IF('Blind Scoring'!L293="","",'Blind Scoring'!L293)</x:f>
      </x:c>
    </x:row>
    <x:row r="294" ht="44" customHeight="1">
      <x:c r="A294" s="35" t="str">
        <x:v>Not Started</x:v>
      </x:c>
      <x:c r="B294" s="35" t="n">
        <x:v>292</x:v>
      </x:c>
      <x:c r="C294" s="35" t="str">
        <x:v>P05</x:v>
      </x:c>
      <x:c r="D294" s="35" t="n">
        <x:v>45</x:v>
      </x:c>
      <x:c r="E294" s="35" t="str">
        <x:v>Primary VLA</x:v>
      </x:c>
      <x:c r="F294" s="35" t="str">
        <x:v>VLA-0</x:v>
      </x:c>
      <x:c r="G294" s="35" t="n">
        <x:v>1</x:v>
      </x:c>
      <x:c r="H294" s="35" t="str">
        <x:v>Counting</x:v>
      </x:c>
      <x:c r="I294" s="35" t="str">
        <x:v>Language ablation — counterfactual</x:v>
      </x:c>
      <x:c r="J294" s="35" t="str">
        <x:v>PVLA-CT-ABL-CF-03</x:v>
      </x:c>
      <x:c r="K294" s="35" t="str">
        <x:v>C-CF06-A</x:v>
      </x:c>
      <x:c r="L294" s="31" t="str">
        <x:v>Leave exactly three objects in the bowl.</x:v>
      </x:c>
      <x:c r="M294" s="31" t="str">
        <x:v>Leave exactly three objects in the bowl.</x:v>
      </x:c>
      <x:c r="N294" s="31" t="str">
        <x:v>C-CF06A: bowl=[yellow block, green pencil sharpener] (2); table=[airplane toy without propellers, blue pen]; robot home; acceptable action=remove either bowl object.</x:v>
      </x:c>
      <x:c r="O294" s="31" t="str">
        <x:v>ADD one table object</x:v>
      </x:c>
      <x:c r="P294" s="31" t="str"/>
      <x:c r="Q294" s="31" t="str"/>
      <x:c r="R294" s="31" t="str"/>
      <x:c r="S294" s="31" t="str">
        <x:f>IF('Blind Scoring'!I294="","",'Blind Scoring'!I294)</x:f>
      </x:c>
      <x:c r="T294" s="31" t="str">
        <x:f>'Blind Scoring'!J294</x:f>
        <x:v>No</x:v>
      </x:c>
      <x:c r="U294" s="31" t="str">
        <x:f>IF('Blind Scoring'!L294="","",'Blind Scoring'!L294)</x:f>
      </x:c>
    </x:row>
    <x:row r="295" ht="44" customHeight="1">
      <x:c r="A295" s="35" t="str">
        <x:v>Not Started</x:v>
      </x:c>
      <x:c r="B295" s="35" t="n">
        <x:v>293</x:v>
      </x:c>
      <x:c r="C295" s="35" t="str">
        <x:v>P05</x:v>
      </x:c>
      <x:c r="D295" s="35" t="n">
        <x:v>46</x:v>
      </x:c>
      <x:c r="E295" s="35" t="str">
        <x:v>Primary VLA</x:v>
      </x:c>
      <x:c r="F295" s="35" t="str">
        <x:v>VLA-0</x:v>
      </x:c>
      <x:c r="G295" s="35" t="n">
        <x:v>1</x:v>
      </x:c>
      <x:c r="H295" s="35" t="str">
        <x:v>Counting</x:v>
      </x:c>
      <x:c r="I295" s="35" t="str">
        <x:v>Main matched control</x:v>
      </x:c>
      <x:c r="J295" s="35" t="str">
        <x:v>PVLA-CT-CTL-09</x:v>
      </x:c>
      <x:c r="K295" s="35" t="str">
        <x:v>C-CF07-A</x:v>
      </x:c>
      <x:c r="L295" s="31" t="str">
        <x:v>Remove the green pencil sharpener from the bowl.</x:v>
      </x:c>
      <x:c r="M295" s="31" t="str">
        <x:v>Remove the green pencil sharpener from the bowl.</x:v>
      </x:c>
      <x:c r="N295" s="31" t="str">
        <x:v>C-CF07-CA: bowl=[green pencil sharpener, airplane toy without propellers] (2); table=[blue pen, yellow block]; robot home; acceptable action=remove either bowl object.</x:v>
      </x:c>
      <x:c r="O295" s="31" t="str">
        <x:v>REMOVE green pencil sharpener</x:v>
      </x:c>
      <x:c r="P295" s="31" t="str"/>
      <x:c r="Q295" s="31" t="str"/>
      <x:c r="R295" s="31" t="str"/>
      <x:c r="S295" s="31" t="str">
        <x:f>IF('Blind Scoring'!I295="","",'Blind Scoring'!I295)</x:f>
      </x:c>
      <x:c r="T295" s="31" t="str">
        <x:f>'Blind Scoring'!J295</x:f>
        <x:v>No</x:v>
      </x:c>
      <x:c r="U295" s="31" t="str">
        <x:f>IF('Blind Scoring'!L295="","",'Blind Scoring'!L295)</x:f>
      </x:c>
    </x:row>
    <x:row r="296" ht="44" customHeight="1">
      <x:c r="A296" s="35" t="str">
        <x:v>Not Started</x:v>
      </x:c>
      <x:c r="B296" s="35" t="n">
        <x:v>294</x:v>
      </x:c>
      <x:c r="C296" s="35" t="str">
        <x:v>P05</x:v>
      </x:c>
      <x:c r="D296" s="35" t="n">
        <x:v>47</x:v>
      </x:c>
      <x:c r="E296" s="35" t="str">
        <x:v>Primary VLA</x:v>
      </x:c>
      <x:c r="F296" s="35" t="str">
        <x:v>VLA-0</x:v>
      </x:c>
      <x:c r="G296" s="35" t="n">
        <x:v>1</x:v>
      </x:c>
      <x:c r="H296" s="35" t="str">
        <x:v>Counting</x:v>
      </x:c>
      <x:c r="I296" s="35" t="str">
        <x:v>Novel layout + seen language</x:v>
      </x:c>
      <x:c r="J296" s="35" t="str">
        <x:v>PVLA-CT-NOV-04</x:v>
      </x:c>
      <x:c r="K296" s="35" t="str"/>
      <x:c r="L296" s="31" t="str">
        <x:v>Adjust the bowl so that it contains two objects.</x:v>
      </x:c>
      <x:c r="M296" s="31" t="str">
        <x:v>Adjust the bowl so that it contains two objects.</x:v>
      </x:c>
      <x:c r="N296" s="31" t="str">
        <x:v>C-N09: bowl=[blue pen] (1); table left→right=[yellow block, green pencil sharpener, airplane toy without propellers]; robot home.</x:v>
      </x:c>
      <x:c r="O296" s="31" t="str"/>
      <x:c r="P296" s="31" t="str"/>
      <x:c r="Q296" s="31" t="str"/>
      <x:c r="R296" s="31" t="str"/>
      <x:c r="S296" s="31" t="str">
        <x:f>IF('Blind Scoring'!I296="","",'Blind Scoring'!I296)</x:f>
      </x:c>
      <x:c r="T296" s="31" t="str">
        <x:f>'Blind Scoring'!J296</x:f>
        <x:v>No</x:v>
      </x:c>
      <x:c r="U296" s="31" t="str">
        <x:f>IF('Blind Scoring'!L296="","",'Blind Scoring'!L296)</x:f>
      </x:c>
    </x:row>
    <x:row r="297" ht="44" customHeight="1">
      <x:c r="A297" s="35" t="str">
        <x:v>Not Started</x:v>
      </x:c>
      <x:c r="B297" s="35" t="n">
        <x:v>295</x:v>
      </x:c>
      <x:c r="C297" s="35" t="str">
        <x:v>P05</x:v>
      </x:c>
      <x:c r="D297" s="35" t="n">
        <x:v>48</x:v>
      </x:c>
      <x:c r="E297" s="35" t="str">
        <x:v>Primary VLA</x:v>
      </x:c>
      <x:c r="F297" s="35" t="str">
        <x:v>VLA-0</x:v>
      </x:c>
      <x:c r="G297" s="35" t="n">
        <x:v>1</x:v>
      </x:c>
      <x:c r="H297" s="35" t="str">
        <x:v>Counting</x:v>
      </x:c>
      <x:c r="I297" s="35" t="str">
        <x:v>Main held-out transfer</x:v>
      </x:c>
      <x:c r="J297" s="35" t="str">
        <x:v>PVLA-CT-TR-12</x:v>
      </x:c>
      <x:c r="K297" s="35" t="str">
        <x:v>C-CF09-B</x:v>
      </x:c>
      <x:c r="L297" s="31" t="str">
        <x:v>Leave exactly three objects in the bowl.</x:v>
      </x:c>
      <x:c r="M297" s="31" t="str">
        <x:v>Leave exactly three objects in the bowl.</x:v>
      </x:c>
      <x:c r="N297" s="31" t="str">
        <x:v>C-CF09B: bowl=[blue pen, yellow block] (2); table=[green pencil sharpener, airplane toy without propellers]; robot home; acceptable action=add either table object.</x:v>
      </x:c>
      <x:c r="O297" s="31" t="str">
        <x:v>ADD one table object</x:v>
      </x:c>
      <x:c r="P297" s="31" t="str"/>
      <x:c r="Q297" s="31" t="str"/>
      <x:c r="R297" s="31" t="str"/>
      <x:c r="S297" s="31" t="str">
        <x:f>IF('Blind Scoring'!I297="","",'Blind Scoring'!I297)</x:f>
      </x:c>
      <x:c r="T297" s="31" t="str">
        <x:f>'Blind Scoring'!J297</x:f>
        <x:v>No</x:v>
      </x:c>
      <x:c r="U297" s="31" t="str">
        <x:f>IF('Blind Scoring'!L297="","",'Blind Scoring'!L297)</x:f>
      </x:c>
    </x:row>
    <x:row r="298" ht="44" customHeight="1">
      <x:c r="A298" s="35" t="str">
        <x:v>Not Started</x:v>
      </x:c>
      <x:c r="B298" s="35" t="n">
        <x:v>296</x:v>
      </x:c>
      <x:c r="C298" s="35" t="str">
        <x:v>P05</x:v>
      </x:c>
      <x:c r="D298" s="35" t="n">
        <x:v>49</x:v>
      </x:c>
      <x:c r="E298" s="35" t="str">
        <x:v>Primary VLA</x:v>
      </x:c>
      <x:c r="F298" s="35" t="str">
        <x:v>VLA-0</x:v>
      </x:c>
      <x:c r="G298" s="35" t="n">
        <x:v>1</x:v>
      </x:c>
      <x:c r="H298" s="35" t="str">
        <x:v>Counting</x:v>
      </x:c>
      <x:c r="I298" s="35" t="str">
        <x:v>Exact-scene paraphrase</x:v>
      </x:c>
      <x:c r="J298" s="35" t="str">
        <x:v>PVLA-CT-PAR-04</x:v>
      </x:c>
      <x:c r="K298" s="35" t="str"/>
      <x:c r="L298" s="31" t="str">
        <x:v>Finish with two objects in the bowl.</x:v>
      </x:c>
      <x:c r="M298" s="31" t="str">
        <x:v>Finish with two objects in the bowl.</x:v>
      </x:c>
      <x:c r="N298" s="31" t="str">
        <x:v>C-N01: bowl=[blue pen] (1); table left→right=[yellow block, green pencil sharpener, airplane toy without propellers]; robot home.</x:v>
      </x:c>
      <x:c r="O298" s="31" t="str"/>
      <x:c r="P298" s="31" t="str"/>
      <x:c r="Q298" s="31" t="str"/>
      <x:c r="R298" s="31" t="str"/>
      <x:c r="S298" s="31" t="str">
        <x:f>IF('Blind Scoring'!I298="","",'Blind Scoring'!I298)</x:f>
      </x:c>
      <x:c r="T298" s="31" t="str">
        <x:f>'Blind Scoring'!J298</x:f>
        <x:v>No</x:v>
      </x:c>
      <x:c r="U298" s="31" t="str">
        <x:f>IF('Blind Scoring'!L298="","",'Blind Scoring'!L298)</x:f>
      </x:c>
    </x:row>
    <x:row r="299" ht="44" customHeight="1">
      <x:c r="A299" s="35" t="str">
        <x:v>Not Started</x:v>
      </x:c>
      <x:c r="B299" s="35" t="n">
        <x:v>297</x:v>
      </x:c>
      <x:c r="C299" s="35" t="str">
        <x:v>P05</x:v>
      </x:c>
      <x:c r="D299" s="35" t="n">
        <x:v>50</x:v>
      </x:c>
      <x:c r="E299" s="35" t="str">
        <x:v>Primary VLA</x:v>
      </x:c>
      <x:c r="F299" s="35" t="str">
        <x:v>VLA-0</x:v>
      </x:c>
      <x:c r="G299" s="35" t="n">
        <x:v>1</x:v>
      </x:c>
      <x:c r="H299" s="35" t="str">
        <x:v>Counting</x:v>
      </x:c>
      <x:c r="I299" s="35" t="str">
        <x:v>Main matched control</x:v>
      </x:c>
      <x:c r="J299" s="35" t="str">
        <x:v>PVLA-CT-CTL-05</x:v>
      </x:c>
      <x:c r="K299" s="35" t="str">
        <x:v>C-CF04-A</x:v>
      </x:c>
      <x:c r="L299" s="31" t="str">
        <x:v>Remove the airplane toy without propellers from the bowl.</x:v>
      </x:c>
      <x:c r="M299" s="31" t="str">
        <x:v>Remove the airplane toy without propellers from the bowl.</x:v>
      </x:c>
      <x:c r="N299" s="31" t="str">
        <x:v>C-CF04-CA: bowl=[airplane toy without propellers, blue pen] (2); table=[yellow block, green pencil sharpener]; robot home; acceptable action=remove either bowl object.</x:v>
      </x:c>
      <x:c r="O299" s="31" t="str">
        <x:v>REMOVE airplane toy without propellers</x:v>
      </x:c>
      <x:c r="P299" s="31" t="str"/>
      <x:c r="Q299" s="31" t="str"/>
      <x:c r="R299" s="31" t="str"/>
      <x:c r="S299" s="31" t="str">
        <x:f>IF('Blind Scoring'!I299="","",'Blind Scoring'!I299)</x:f>
      </x:c>
      <x:c r="T299" s="31" t="str">
        <x:f>'Blind Scoring'!J299</x:f>
        <x:v>No</x:v>
      </x:c>
      <x:c r="U299" s="31" t="str">
        <x:f>IF('Blind Scoring'!L299="","",'Blind Scoring'!L299)</x:f>
      </x:c>
    </x:row>
    <x:row r="300" ht="44" customHeight="1">
      <x:c r="A300" s="35" t="str">
        <x:v>Not Started</x:v>
      </x:c>
      <x:c r="B300" s="35" t="n">
        <x:v>298</x:v>
      </x:c>
      <x:c r="C300" s="35" t="str">
        <x:v>P05</x:v>
      </x:c>
      <x:c r="D300" s="35" t="n">
        <x:v>51</x:v>
      </x:c>
      <x:c r="E300" s="35" t="str">
        <x:v>Primary VLA</x:v>
      </x:c>
      <x:c r="F300" s="35" t="str">
        <x:v>VLA-0</x:v>
      </x:c>
      <x:c r="G300" s="35" t="n">
        <x:v>1</x:v>
      </x:c>
      <x:c r="H300" s="35" t="str">
        <x:v>Counting</x:v>
      </x:c>
      <x:c r="I300" s="35" t="str">
        <x:v>Language ablation — counterfactual</x:v>
      </x:c>
      <x:c r="J300" s="35" t="str">
        <x:v>PVLA-CT-ABL-CF-04</x:v>
      </x:c>
      <x:c r="K300" s="35" t="str">
        <x:v>C-CF06-B</x:v>
      </x:c>
      <x:c r="L300" s="31" t="str">
        <x:v>Leave exactly one object in the bowl.</x:v>
      </x:c>
      <x:c r="M300" s="31" t="str">
        <x:v>Leave exactly one object in the bowl.</x:v>
      </x:c>
      <x:c r="N300" s="31" t="str">
        <x:v>C-CF06B: bowl=[yellow block, green pencil sharpener] (2); table=[airplane toy without propellers, blue pen]; robot home; acceptable action=add either table object.</x:v>
      </x:c>
      <x:c r="O300" s="31" t="str">
        <x:v>REMOVE one bowl object</x:v>
      </x:c>
      <x:c r="P300" s="31" t="str"/>
      <x:c r="Q300" s="31" t="str"/>
      <x:c r="R300" s="31" t="str"/>
      <x:c r="S300" s="31" t="str">
        <x:f>IF('Blind Scoring'!I300="","",'Blind Scoring'!I300)</x:f>
      </x:c>
      <x:c r="T300" s="31" t="str">
        <x:f>'Blind Scoring'!J300</x:f>
        <x:v>No</x:v>
      </x:c>
      <x:c r="U300" s="31" t="str">
        <x:f>IF('Blind Scoring'!L300="","",'Blind Scoring'!L300)</x:f>
      </x:c>
    </x:row>
    <x:row r="301" ht="44" customHeight="1">
      <x:c r="A301" s="35" t="str">
        <x:v>Not Started</x:v>
      </x:c>
      <x:c r="B301" s="35" t="n">
        <x:v>299</x:v>
      </x:c>
      <x:c r="C301" s="35" t="str">
        <x:v>P05</x:v>
      </x:c>
      <x:c r="D301" s="35" t="n">
        <x:v>52</x:v>
      </x:c>
      <x:c r="E301" s="35" t="str">
        <x:v>Primary VLA</x:v>
      </x:c>
      <x:c r="F301" s="35" t="str">
        <x:v>VLA-0</x:v>
      </x:c>
      <x:c r="G301" s="35" t="n">
        <x:v>1</x:v>
      </x:c>
      <x:c r="H301" s="35" t="str">
        <x:v>Counting</x:v>
      </x:c>
      <x:c r="I301" s="35" t="str">
        <x:v>Exact-scene paraphrase</x:v>
      </x:c>
      <x:c r="J301" s="35" t="str">
        <x:v>PVLA-CT-PAR-07</x:v>
      </x:c>
      <x:c r="K301" s="35" t="str"/>
      <x:c r="L301" s="31" t="str">
        <x:v>Finish with two objects in the bowl.</x:v>
      </x:c>
      <x:c r="M301" s="31" t="str">
        <x:v>Finish with two objects in the bowl.</x:v>
      </x:c>
      <x:c r="N301" s="31" t="str">
        <x:v>C-N01: bowl=[blue pen] (1); table left→right=[yellow block, green pencil sharpener, airplane toy without propellers]; robot home.</x:v>
      </x:c>
      <x:c r="O301" s="31" t="str"/>
      <x:c r="P301" s="31" t="str"/>
      <x:c r="Q301" s="31" t="str"/>
      <x:c r="R301" s="31" t="str"/>
      <x:c r="S301" s="31" t="str">
        <x:f>IF('Blind Scoring'!I301="","",'Blind Scoring'!I301)</x:f>
      </x:c>
      <x:c r="T301" s="31" t="str">
        <x:f>'Blind Scoring'!J301</x:f>
        <x:v>No</x:v>
      </x:c>
      <x:c r="U301" s="31" t="str">
        <x:f>IF('Blind Scoring'!L301="","",'Blind Scoring'!L301)</x:f>
      </x:c>
    </x:row>
    <x:row r="302" ht="44" customHeight="1">
      <x:c r="A302" s="35" t="str">
        <x:v>Not Started</x:v>
      </x:c>
      <x:c r="B302" s="35" t="n">
        <x:v>300</x:v>
      </x:c>
      <x:c r="C302" s="35" t="str">
        <x:v>P05</x:v>
      </x:c>
      <x:c r="D302" s="35" t="n">
        <x:v>53</x:v>
      </x:c>
      <x:c r="E302" s="35" t="str">
        <x:v>Primary VLA</x:v>
      </x:c>
      <x:c r="F302" s="35" t="str">
        <x:v>VLA-0</x:v>
      </x:c>
      <x:c r="G302" s="35" t="n">
        <x:v>1</x:v>
      </x:c>
      <x:c r="H302" s="35" t="str">
        <x:v>Counting</x:v>
      </x:c>
      <x:c r="I302" s="35" t="str">
        <x:v>Main held-out transfer</x:v>
      </x:c>
      <x:c r="J302" s="35" t="str">
        <x:v>PVLA-CT-TR-15</x:v>
      </x:c>
      <x:c r="K302" s="35" t="str">
        <x:v>C-CF12-A</x:v>
      </x:c>
      <x:c r="L302" s="31" t="str">
        <x:v>Leave exactly one object in the bowl.</x:v>
      </x:c>
      <x:c r="M302" s="31" t="str">
        <x:v>Leave exactly one object in the bowl.</x:v>
      </x:c>
      <x:c r="N302" s="31" t="str">
        <x:v>C-CF12A: bowl=[airplane toy without propellers, blue pen] (2); table=[yellow block, green pencil sharpener]; robot home; acceptable action=remove either bowl object.</x:v>
      </x:c>
      <x:c r="O302" s="31" t="str">
        <x:v>REMOVE one bowl object</x:v>
      </x:c>
      <x:c r="P302" s="31" t="str"/>
      <x:c r="Q302" s="31" t="str"/>
      <x:c r="R302" s="31" t="str"/>
      <x:c r="S302" s="31" t="str">
        <x:f>IF('Blind Scoring'!I302="","",'Blind Scoring'!I302)</x:f>
      </x:c>
      <x:c r="T302" s="31" t="str">
        <x:f>'Blind Scoring'!J302</x:f>
        <x:v>No</x:v>
      </x:c>
      <x:c r="U302" s="31" t="str">
        <x:f>IF('Blind Scoring'!L302="","",'Blind Scoring'!L302)</x:f>
      </x:c>
    </x:row>
    <x:row r="303" ht="44" customHeight="1">
      <x:c r="A303" s="35" t="str">
        <x:v>Not Started</x:v>
      </x:c>
      <x:c r="B303" s="35" t="n">
        <x:v>301</x:v>
      </x:c>
      <x:c r="C303" s="35" t="str">
        <x:v>P05</x:v>
      </x:c>
      <x:c r="D303" s="35" t="n">
        <x:v>54</x:v>
      </x:c>
      <x:c r="E303" s="35" t="str">
        <x:v>Primary VLA</x:v>
      </x:c>
      <x:c r="F303" s="35" t="str">
        <x:v>VLA-0</x:v>
      </x:c>
      <x:c r="G303" s="35" t="n">
        <x:v>1</x:v>
      </x:c>
      <x:c r="H303" s="35" t="str">
        <x:v>Counting</x:v>
      </x:c>
      <x:c r="I303" s="35" t="str">
        <x:v>Language ablation — counterfactual</x:v>
      </x:c>
      <x:c r="J303" s="35" t="str">
        <x:v>PVLA-CT-ABL-CF-01</x:v>
      </x:c>
      <x:c r="K303" s="35" t="str">
        <x:v>C-CF04-A</x:v>
      </x:c>
      <x:c r="L303" s="31" t="str">
        <x:v>Leave exactly three objects in the bowl.</x:v>
      </x:c>
      <x:c r="M303" s="31" t="str">
        <x:v>Leave exactly three objects in the bowl.</x:v>
      </x:c>
      <x:c r="N303" s="31" t="str">
        <x:v>C-CF04A: bowl=[airplane toy without propellers, blue pen] (2); table=[yellow block, green pencil sharpener]; robot home; acceptable action=remove either bowl object.</x:v>
      </x:c>
      <x:c r="O303" s="31" t="str">
        <x:v>ADD one table object</x:v>
      </x:c>
      <x:c r="P303" s="31" t="str"/>
      <x:c r="Q303" s="31" t="str"/>
      <x:c r="R303" s="31" t="str"/>
      <x:c r="S303" s="31" t="str">
        <x:f>IF('Blind Scoring'!I303="","",'Blind Scoring'!I303)</x:f>
      </x:c>
      <x:c r="T303" s="31" t="str">
        <x:f>'Blind Scoring'!J303</x:f>
        <x:v>No</x:v>
      </x:c>
      <x:c r="U303" s="31" t="str">
        <x:f>IF('Blind Scoring'!L303="","",'Blind Scoring'!L303)</x:f>
      </x:c>
    </x:row>
    <x:row r="304" ht="44" customHeight="1">
      <x:c r="A304" s="35" t="str">
        <x:v>Not Started</x:v>
      </x:c>
      <x:c r="B304" s="35" t="n">
        <x:v>302</x:v>
      </x:c>
      <x:c r="C304" s="35" t="str">
        <x:v>P05</x:v>
      </x:c>
      <x:c r="D304" s="35" t="n">
        <x:v>55</x:v>
      </x:c>
      <x:c r="E304" s="35" t="str">
        <x:v>Primary VLA</x:v>
      </x:c>
      <x:c r="F304" s="35" t="str">
        <x:v>VLA-0</x:v>
      </x:c>
      <x:c r="G304" s="35" t="n">
        <x:v>1</x:v>
      </x:c>
      <x:c r="H304" s="35" t="str">
        <x:v>Counting</x:v>
      </x:c>
      <x:c r="I304" s="35" t="str">
        <x:v>Main held-out transfer</x:v>
      </x:c>
      <x:c r="J304" s="35" t="str">
        <x:v>PVLA-CT-TR-02</x:v>
      </x:c>
      <x:c r="K304" s="35" t="str">
        <x:v>C-CF01-B</x:v>
      </x:c>
      <x:c r="L304" s="31" t="str">
        <x:v>Leave exactly three objects in the bowl.</x:v>
      </x:c>
      <x:c r="M304" s="31" t="str">
        <x:v>Leave exactly three objects in the bowl.</x:v>
      </x:c>
      <x:c r="N304" s="31" t="str">
        <x:v>C-CF01B: bowl=[blue pen, yellow block] (2); table=[green pencil sharpener, airplane toy without propellers]; robot home; acceptable action=add either table object.</x:v>
      </x:c>
      <x:c r="O304" s="31" t="str">
        <x:v>ADD one table object</x:v>
      </x:c>
      <x:c r="P304" s="31" t="str"/>
      <x:c r="Q304" s="31" t="str"/>
      <x:c r="R304" s="31" t="str"/>
      <x:c r="S304" s="31" t="str">
        <x:f>IF('Blind Scoring'!I304="","",'Blind Scoring'!I304)</x:f>
      </x:c>
      <x:c r="T304" s="31" t="str">
        <x:f>'Blind Scoring'!J304</x:f>
        <x:v>No</x:v>
      </x:c>
      <x:c r="U304" s="31" t="str">
        <x:f>IF('Blind Scoring'!L304="","",'Blind Scoring'!L304)</x:f>
      </x:c>
    </x:row>
    <x:row r="305" ht="44" customHeight="1">
      <x:c r="A305" s="35" t="str">
        <x:v>Not Started</x:v>
      </x:c>
      <x:c r="B305" s="35" t="n">
        <x:v>303</x:v>
      </x:c>
      <x:c r="C305" s="35" t="str">
        <x:v>P05</x:v>
      </x:c>
      <x:c r="D305" s="35" t="n">
        <x:v>56</x:v>
      </x:c>
      <x:c r="E305" s="35" t="str">
        <x:v>Primary VLA</x:v>
      </x:c>
      <x:c r="F305" s="35" t="str">
        <x:v>VLA-0</x:v>
      </x:c>
      <x:c r="G305" s="35" t="n">
        <x:v>1</x:v>
      </x:c>
      <x:c r="H305" s="35" t="str">
        <x:v>Counting</x:v>
      </x:c>
      <x:c r="I305" s="35" t="str">
        <x:v>Novel layout + seen language</x:v>
      </x:c>
      <x:c r="J305" s="35" t="str">
        <x:v>PVLA-CT-NOV-06</x:v>
      </x:c>
      <x:c r="K305" s="35" t="str"/>
      <x:c r="L305" s="31" t="str">
        <x:v>Adjust the bowl so that it contains zero objects.</x:v>
      </x:c>
      <x:c r="M305" s="31" t="str">
        <x:v>Adjust the bowl so that it contains zero objects.</x:v>
      </x:c>
      <x:c r="N305" s="31" t="str">
        <x:v>C-N15: bowl=[blue pen] (1); table left→right=[yellow block, green pencil sharpener, airplane toy without propellers]; robot home.</x:v>
      </x:c>
      <x:c r="O305" s="31" t="str"/>
      <x:c r="P305" s="31" t="str"/>
      <x:c r="Q305" s="31" t="str"/>
      <x:c r="R305" s="31" t="str"/>
      <x:c r="S305" s="31" t="str">
        <x:f>IF('Blind Scoring'!I305="","",'Blind Scoring'!I305)</x:f>
      </x:c>
      <x:c r="T305" s="31" t="str">
        <x:f>'Blind Scoring'!J305</x:f>
        <x:v>No</x:v>
      </x:c>
      <x:c r="U305" s="31" t="str">
        <x:f>IF('Blind Scoring'!L305="","",'Blind Scoring'!L305)</x:f>
      </x:c>
    </x:row>
    <x:row r="306" ht="44" customHeight="1">
      <x:c r="A306" s="35" t="str">
        <x:v>Not Started</x:v>
      </x:c>
      <x:c r="B306" s="35" t="n">
        <x:v>304</x:v>
      </x:c>
      <x:c r="C306" s="35" t="str">
        <x:v>P05</x:v>
      </x:c>
      <x:c r="D306" s="35" t="n">
        <x:v>57</x:v>
      </x:c>
      <x:c r="E306" s="35" t="str">
        <x:v>Primary VLA</x:v>
      </x:c>
      <x:c r="F306" s="35" t="str">
        <x:v>VLA-0</x:v>
      </x:c>
      <x:c r="G306" s="35" t="n">
        <x:v>1</x:v>
      </x:c>
      <x:c r="H306" s="35" t="str">
        <x:v>Counting</x:v>
      </x:c>
      <x:c r="I306" s="35" t="str">
        <x:v>Main matched control</x:v>
      </x:c>
      <x:c r="J306" s="35" t="str">
        <x:v>PVLA-CT-CTL-04</x:v>
      </x:c>
      <x:c r="K306" s="35" t="str">
        <x:v>C-CF03-B</x:v>
      </x:c>
      <x:c r="L306" s="31" t="str">
        <x:v>Put the blue pen in the bowl.</x:v>
      </x:c>
      <x:c r="M306" s="31" t="str">
        <x:v>Put the blue pen in the bowl.</x:v>
      </x:c>
      <x:c r="N306" s="31" t="str">
        <x:v>C-CF03-CB: bowl=[green pencil sharpener, airplane toy without propellers] (2); table=[blue pen, yellow block]; robot home; acceptable action=add either table object.</x:v>
      </x:c>
      <x:c r="O306" s="31" t="str">
        <x:v>ADD blue pen</x:v>
      </x:c>
      <x:c r="P306" s="31" t="str"/>
      <x:c r="Q306" s="31" t="str"/>
      <x:c r="R306" s="31" t="str"/>
      <x:c r="S306" s="31" t="str">
        <x:f>IF('Blind Scoring'!I306="","",'Blind Scoring'!I306)</x:f>
      </x:c>
      <x:c r="T306" s="31" t="str">
        <x:f>'Blind Scoring'!J306</x:f>
        <x:v>No</x:v>
      </x:c>
      <x:c r="U306" s="31" t="str">
        <x:f>IF('Blind Scoring'!L306="","",'Blind Scoring'!L306)</x:f>
      </x:c>
    </x:row>
    <x:row r="307" ht="44" customHeight="1">
      <x:c r="A307" s="35" t="str">
        <x:v>Not Started</x:v>
      </x:c>
      <x:c r="B307" s="35" t="n">
        <x:v>305</x:v>
      </x:c>
      <x:c r="C307" s="35" t="str">
        <x:v>P05</x:v>
      </x:c>
      <x:c r="D307" s="35" t="n">
        <x:v>58</x:v>
      </x:c>
      <x:c r="E307" s="35" t="str">
        <x:v>Primary VLA</x:v>
      </x:c>
      <x:c r="F307" s="35" t="str">
        <x:v>VLA-0</x:v>
      </x:c>
      <x:c r="G307" s="35" t="n">
        <x:v>1</x:v>
      </x:c>
      <x:c r="H307" s="35" t="str">
        <x:v>Counting</x:v>
      </x:c>
      <x:c r="I307" s="35" t="str">
        <x:v>Novel layout + seen language</x:v>
      </x:c>
      <x:c r="J307" s="35" t="str">
        <x:v>PVLA-CT-NOV-08</x:v>
      </x:c>
      <x:c r="K307" s="35" t="str"/>
      <x:c r="L307" s="31" t="str">
        <x:v>Make the bowl contain exactly zero objects.</x:v>
      </x:c>
      <x:c r="M307" s="31" t="str">
        <x:v>Make the bowl contain exactly zero objects.</x:v>
      </x:c>
      <x:c r="N307" s="31" t="str">
        <x:v>C-N20: bowl=[yellow block] (1); table left→right=[green pencil sharpener, airplane toy without propellers, blue pen]; robot home.</x:v>
      </x:c>
      <x:c r="O307" s="31" t="str"/>
      <x:c r="P307" s="31" t="str"/>
      <x:c r="Q307" s="31" t="str"/>
      <x:c r="R307" s="31" t="str"/>
      <x:c r="S307" s="31" t="str">
        <x:f>IF('Blind Scoring'!I307="","",'Blind Scoring'!I307)</x:f>
      </x:c>
      <x:c r="T307" s="31" t="str">
        <x:f>'Blind Scoring'!J307</x:f>
        <x:v>No</x:v>
      </x:c>
      <x:c r="U307" s="31" t="str">
        <x:f>IF('Blind Scoring'!L307="","",'Blind Scoring'!L307)</x:f>
      </x:c>
    </x:row>
    <x:row r="308" ht="44" customHeight="1">
      <x:c r="A308" s="35" t="str">
        <x:v>Not Started</x:v>
      </x:c>
      <x:c r="B308" s="35" t="n">
        <x:v>306</x:v>
      </x:c>
      <x:c r="C308" s="35" t="str">
        <x:v>P05</x:v>
      </x:c>
      <x:c r="D308" s="35" t="n">
        <x:v>59</x:v>
      </x:c>
      <x:c r="E308" s="35" t="str">
        <x:v>Primary VLA</x:v>
      </x:c>
      <x:c r="F308" s="35" t="str">
        <x:v>VLA-0</x:v>
      </x:c>
      <x:c r="G308" s="35" t="n">
        <x:v>1</x:v>
      </x:c>
      <x:c r="H308" s="35" t="str">
        <x:v>Counting</x:v>
      </x:c>
      <x:c r="I308" s="35" t="str">
        <x:v>Training reconstruction</x:v>
      </x:c>
      <x:c r="J308" s="35" t="str">
        <x:v>PVLA-CT-REC-04</x:v>
      </x:c>
      <x:c r="K308" s="35" t="str"/>
      <x:c r="L308" s="31" t="str">
        <x:v>Leave exactly two objects in the bowl.</x:v>
      </x:c>
      <x:c r="M308" s="31" t="str">
        <x:v>Leave exactly two objects in the bowl.</x:v>
      </x:c>
      <x:c r="N308" s="31" t="str">
        <x:v>Reconstruct planned final training episode 861: green pencil sharpener, yellow block, airplane toy without propellers, blue pen; start=Post-Drop. Match camera, calibration, bowl pose, and object geometry exactly.</x:v>
      </x:c>
      <x:c r="O308" s="31" t="str">
        <x:v>yellow block</x:v>
      </x:c>
      <x:c r="P308" s="31" t="str"/>
      <x:c r="Q308" s="31" t="str"/>
      <x:c r="R308" s="31" t="str"/>
      <x:c r="S308" s="31" t="str">
        <x:f>IF('Blind Scoring'!I308="","",'Blind Scoring'!I308)</x:f>
      </x:c>
      <x:c r="T308" s="31" t="str">
        <x:f>'Blind Scoring'!J308</x:f>
        <x:v>No</x:v>
      </x:c>
      <x:c r="U308" s="31" t="str">
        <x:f>IF('Blind Scoring'!L308="","",'Blind Scoring'!L308)</x:f>
      </x:c>
    </x:row>
    <x:row r="309" ht="44" customHeight="1">
      <x:c r="A309" s="35" t="str">
        <x:v>Not Started</x:v>
      </x:c>
      <x:c r="B309" s="35" t="n">
        <x:v>307</x:v>
      </x:c>
      <x:c r="C309" s="35" t="str">
        <x:v>P05</x:v>
      </x:c>
      <x:c r="D309" s="35" t="n">
        <x:v>60</x:v>
      </x:c>
      <x:c r="E309" s="35" t="str">
        <x:v>Primary VLA</x:v>
      </x:c>
      <x:c r="F309" s="35" t="str">
        <x:v>VLA-0</x:v>
      </x:c>
      <x:c r="G309" s="35" t="n">
        <x:v>1</x:v>
      </x:c>
      <x:c r="H309" s="35" t="str">
        <x:v>Counting</x:v>
      </x:c>
      <x:c r="I309" s="35" t="str">
        <x:v>Main held-out transfer</x:v>
      </x:c>
      <x:c r="J309" s="35" t="str">
        <x:v>PVLA-CT-TR-03</x:v>
      </x:c>
      <x:c r="K309" s="35" t="str">
        <x:v>C-CF03-A</x:v>
      </x:c>
      <x:c r="L309" s="31" t="str">
        <x:v>Leave exactly one object in the bowl.</x:v>
      </x:c>
      <x:c r="M309" s="31" t="str">
        <x:v>Leave exactly one object in the bowl.</x:v>
      </x:c>
      <x:c r="N309" s="31" t="str">
        <x:v>C-CF03A: bowl=[green pencil sharpener, airplane toy without propellers] (2); table=[blue pen, yellow block]; robot home; acceptable action=remove either bowl object.</x:v>
      </x:c>
      <x:c r="O309" s="31" t="str">
        <x:v>REMOVE one bowl object</x:v>
      </x:c>
      <x:c r="P309" s="31" t="str"/>
      <x:c r="Q309" s="31" t="str"/>
      <x:c r="R309" s="31" t="str"/>
      <x:c r="S309" s="31" t="str">
        <x:f>IF('Blind Scoring'!I309="","",'Blind Scoring'!I309)</x:f>
      </x:c>
      <x:c r="T309" s="31" t="str">
        <x:f>'Blind Scoring'!J309</x:f>
        <x:v>No</x:v>
      </x:c>
      <x:c r="U309" s="31" t="str">
        <x:f>IF('Blind Scoring'!L309="","",'Blind Scoring'!L309)</x:f>
      </x:c>
    </x:row>
    <x:row r="310" ht="44" customHeight="1">
      <x:c r="A310" s="35" t="str">
        <x:v>Not Started</x:v>
      </x:c>
      <x:c r="B310" s="35" t="n">
        <x:v>308</x:v>
      </x:c>
      <x:c r="C310" s="35" t="str">
        <x:v>P05</x:v>
      </x:c>
      <x:c r="D310" s="35" t="n">
        <x:v>61</x:v>
      </x:c>
      <x:c r="E310" s="35" t="str">
        <x:v>Primary VLA</x:v>
      </x:c>
      <x:c r="F310" s="35" t="str">
        <x:v>VLA-0</x:v>
      </x:c>
      <x:c r="G310" s="35" t="n">
        <x:v>1</x:v>
      </x:c>
      <x:c r="H310" s="35" t="str">
        <x:v>Counting</x:v>
      </x:c>
      <x:c r="I310" s="35" t="str">
        <x:v>Main matched control</x:v>
      </x:c>
      <x:c r="J310" s="35" t="str">
        <x:v>PVLA-CT-CTL-10</x:v>
      </x:c>
      <x:c r="K310" s="35" t="str">
        <x:v>C-CF07-B</x:v>
      </x:c>
      <x:c r="L310" s="31" t="str">
        <x:v>Put the blue pen in the bowl.</x:v>
      </x:c>
      <x:c r="M310" s="31" t="str">
        <x:v>Put the blue pen in the bowl.</x:v>
      </x:c>
      <x:c r="N310" s="31" t="str">
        <x:v>C-CF07-CB: bowl=[green pencil sharpener, airplane toy without propellers] (2); table=[blue pen, yellow block]; robot home; acceptable action=add either table object.</x:v>
      </x:c>
      <x:c r="O310" s="31" t="str">
        <x:v>ADD blue pen</x:v>
      </x:c>
      <x:c r="P310" s="31" t="str"/>
      <x:c r="Q310" s="31" t="str"/>
      <x:c r="R310" s="31" t="str"/>
      <x:c r="S310" s="31" t="str">
        <x:f>IF('Blind Scoring'!I310="","",'Blind Scoring'!I310)</x:f>
      </x:c>
      <x:c r="T310" s="31" t="str">
        <x:f>'Blind Scoring'!J310</x:f>
        <x:v>No</x:v>
      </x:c>
      <x:c r="U310" s="31" t="str">
        <x:f>IF('Blind Scoring'!L310="","",'Blind Scoring'!L310)</x:f>
      </x:c>
    </x:row>
    <x:row r="311" ht="44" customHeight="1">
      <x:c r="A311" s="35" t="str">
        <x:v>Not Started</x:v>
      </x:c>
      <x:c r="B311" s="35" t="n">
        <x:v>309</x:v>
      </x:c>
      <x:c r="C311" s="35" t="str">
        <x:v>P05</x:v>
      </x:c>
      <x:c r="D311" s="35" t="n">
        <x:v>62</x:v>
      </x:c>
      <x:c r="E311" s="35" t="str">
        <x:v>Primary VLA</x:v>
      </x:c>
      <x:c r="F311" s="35" t="str">
        <x:v>VLA-0</x:v>
      </x:c>
      <x:c r="G311" s="35" t="n">
        <x:v>1</x:v>
      </x:c>
      <x:c r="H311" s="35" t="str">
        <x:v>Counting</x:v>
      </x:c>
      <x:c r="I311" s="35" t="str">
        <x:v>Training reconstruction</x:v>
      </x:c>
      <x:c r="J311" s="35" t="str">
        <x:v>PVLA-CT-REC-06</x:v>
      </x:c>
      <x:c r="K311" s="35" t="str"/>
      <x:c r="L311" s="31" t="str">
        <x:v>Move the airplane toy without propellers into the bowl.</x:v>
      </x:c>
      <x:c r="M311" s="31" t="str">
        <x:v>Move the airplane toy without propellers into the bowl.</x:v>
      </x:c>
      <x:c r="N311" s="31" t="str">
        <x:v>Reconstruct planned final training episode 950: airplane toy without propellers, blue pen, yellow block, green pencil sharpener; start=Home. Match camera, calibration, bowl pose, and object geometry exactly.</x:v>
      </x:c>
      <x:c r="O311" s="31" t="str">
        <x:v>airplane toy without propellers</x:v>
      </x:c>
      <x:c r="P311" s="31" t="str"/>
      <x:c r="Q311" s="31" t="str"/>
      <x:c r="R311" s="31" t="str"/>
      <x:c r="S311" s="31" t="str">
        <x:f>IF('Blind Scoring'!I311="","",'Blind Scoring'!I311)</x:f>
      </x:c>
      <x:c r="T311" s="31" t="str">
        <x:f>'Blind Scoring'!J311</x:f>
        <x:v>No</x:v>
      </x:c>
      <x:c r="U311" s="31" t="str">
        <x:f>IF('Blind Scoring'!L311="","",'Blind Scoring'!L311)</x:f>
      </x:c>
    </x:row>
    <x:row r="312" ht="44" customHeight="1">
      <x:c r="A312" s="35" t="str">
        <x:v>Not Started</x:v>
      </x:c>
      <x:c r="B312" s="35" t="n">
        <x:v>310</x:v>
      </x:c>
      <x:c r="C312" s="35" t="str">
        <x:v>P06</x:v>
      </x:c>
      <x:c r="D312" s="35" t="n">
        <x:v>1</x:v>
      </x:c>
      <x:c r="E312" s="35" t="str">
        <x:v>Primary VLA</x:v>
      </x:c>
      <x:c r="F312" s="35" t="str">
        <x:v>VLA-0</x:v>
      </x:c>
      <x:c r="G312" s="35" t="n">
        <x:v>1</x:v>
      </x:c>
      <x:c r="H312" s="35" t="str">
        <x:v>State Recognition</x:v>
      </x:c>
      <x:c r="I312" s="35" t="str">
        <x:v>Main held-out transfer</x:v>
      </x:c>
      <x:c r="J312" s="35" t="str">
        <x:v>PVLA-ST-TR-12</x:v>
      </x:c>
      <x:c r="K312" s="35" t="str">
        <x:v>S-CF22</x:v>
      </x:c>
      <x:c r="L312" s="31" t="str">
        <x:v>Place the upright glass spice container in the bowl.</x:v>
      </x:c>
      <x:c r="M312" s="31" t="str">
        <x:v>Place the upright glass spice container in the bowl.</x:v>
      </x:c>
      <x:c r="N312" s="31" t="str">
        <x:v>S-CF22-HELD: P1 white cup B=C/UR; P2 glass spice container A=O/UR [TARGET]; P3 glass spice container B=O/UD [COMPETITOR]; P4 yellow-white striped cup B=C/UD.</x:v>
      </x:c>
      <x:c r="O312" s="31" t="str">
        <x:v>glass spice container A</x:v>
      </x:c>
      <x:c r="P312" s="31" t="str"/>
      <x:c r="Q312" s="31" t="str"/>
      <x:c r="R312" s="31" t="str"/>
      <x:c r="S312" s="31" t="str">
        <x:f>IF('Blind Scoring'!I312="","",'Blind Scoring'!I312)</x:f>
      </x:c>
      <x:c r="T312" s="31" t="str">
        <x:f>'Blind Scoring'!J312</x:f>
        <x:v>No</x:v>
      </x:c>
      <x:c r="U312" s="31" t="str">
        <x:f>IF('Blind Scoring'!L312="","",'Blind Scoring'!L312)</x:f>
      </x:c>
    </x:row>
    <x:row r="313" ht="44" customHeight="1">
      <x:c r="A313" s="35" t="str">
        <x:v>Not Started</x:v>
      </x:c>
      <x:c r="B313" s="35" t="n">
        <x:v>311</x:v>
      </x:c>
      <x:c r="C313" s="35" t="str">
        <x:v>P06</x:v>
      </x:c>
      <x:c r="D313" s="35" t="n">
        <x:v>2</x:v>
      </x:c>
      <x:c r="E313" s="35" t="str">
        <x:v>Primary VLA</x:v>
      </x:c>
      <x:c r="F313" s="35" t="str">
        <x:v>VLA-0</x:v>
      </x:c>
      <x:c r="G313" s="35" t="n">
        <x:v>1</x:v>
      </x:c>
      <x:c r="H313" s="35" t="str">
        <x:v>State Recognition</x:v>
      </x:c>
      <x:c r="I313" s="35" t="str">
        <x:v>Main matched control</x:v>
      </x:c>
      <x:c r="J313" s="35" t="str">
        <x:v>PVLA-ST-CTL-08</x:v>
      </x:c>
      <x:c r="K313" s="35" t="str">
        <x:v>S-CF15</x:v>
      </x:c>
      <x:c r="L313" s="31" t="str">
        <x:v>Place a yellow-white striped cup in the bowl.</x:v>
      </x:c>
      <x:c r="M313" s="31" t="str">
        <x:v>Place a yellow-white striped cup in the bowl.</x:v>
      </x:c>
      <x:c r="N313" s="31" t="str">
        <x:v>S-CF15-CTRL: P1 brown cup A=C/UR; P2 glass spice container A=O/UR; P3 yellow-white striped cup A=C/UD [TARGET].</x:v>
      </x:c>
      <x:c r="O313" s="31" t="str">
        <x:v>yellow-white striped cup A</x:v>
      </x:c>
      <x:c r="P313" s="31" t="str"/>
      <x:c r="Q313" s="31" t="str"/>
      <x:c r="R313" s="31" t="str"/>
      <x:c r="S313" s="31" t="str">
        <x:f>IF('Blind Scoring'!I313="","",'Blind Scoring'!I313)</x:f>
      </x:c>
      <x:c r="T313" s="31" t="str">
        <x:f>'Blind Scoring'!J313</x:f>
        <x:v>No</x:v>
      </x:c>
      <x:c r="U313" s="31" t="str">
        <x:f>IF('Blind Scoring'!L313="","",'Blind Scoring'!L313)</x:f>
      </x:c>
    </x:row>
    <x:row r="314" ht="44" customHeight="1">
      <x:c r="A314" s="35" t="str">
        <x:v>Not Started</x:v>
      </x:c>
      <x:c r="B314" s="35" t="n">
        <x:v>312</x:v>
      </x:c>
      <x:c r="C314" s="35" t="str">
        <x:v>P06</x:v>
      </x:c>
      <x:c r="D314" s="35" t="n">
        <x:v>3</x:v>
      </x:c>
      <x:c r="E314" s="35" t="str">
        <x:v>Primary VLA</x:v>
      </x:c>
      <x:c r="F314" s="35" t="str">
        <x:v>VLA-0</x:v>
      </x:c>
      <x:c r="G314" s="35" t="n">
        <x:v>1</x:v>
      </x:c>
      <x:c r="H314" s="35" t="str">
        <x:v>State Recognition</x:v>
      </x:c>
      <x:c r="I314" s="35" t="str">
        <x:v>Novel layout + seen language</x:v>
      </x:c>
      <x:c r="J314" s="35" t="str">
        <x:v>PVLA-ST-NOV-06</x:v>
      </x:c>
      <x:c r="K314" s="35" t="str">
        <x:v>S-CF15</x:v>
      </x:c>
      <x:c r="L314" s="31" t="str">
        <x:v>Place the open yellow-white striped cup in the bowl.</x:v>
      </x:c>
      <x:c r="M314" s="31" t="str">
        <x:v>Place the open yellow-white striped cup in the bowl.</x:v>
      </x:c>
      <x:c r="N314" s="31" t="str">
        <x:v>S-CF15-SEEN: P1 brown cup A=C/UR; P2 glass spice container A=O/UR; P3 yellow-white striped cup A=C/UD [TARGET]; P4 yellow-white striped cup B=O/UD [COMPETITOR].</x:v>
      </x:c>
      <x:c r="O314" s="31" t="str">
        <x:v>yellow-white striped cup B</x:v>
      </x:c>
      <x:c r="P314" s="31" t="str"/>
      <x:c r="Q314" s="31" t="str"/>
      <x:c r="R314" s="31" t="str"/>
      <x:c r="S314" s="31" t="str">
        <x:f>IF('Blind Scoring'!I314="","",'Blind Scoring'!I314)</x:f>
      </x:c>
      <x:c r="T314" s="31" t="str">
        <x:f>'Blind Scoring'!J314</x:f>
        <x:v>No</x:v>
      </x:c>
      <x:c r="U314" s="31" t="str">
        <x:f>IF('Blind Scoring'!L314="","",'Blind Scoring'!L314)</x:f>
      </x:c>
    </x:row>
    <x:row r="315" ht="44" customHeight="1">
      <x:c r="A315" s="35" t="str">
        <x:v>Not Started</x:v>
      </x:c>
      <x:c r="B315" s="35" t="n">
        <x:v>313</x:v>
      </x:c>
      <x:c r="C315" s="35" t="str">
        <x:v>P06</x:v>
      </x:c>
      <x:c r="D315" s="35" t="n">
        <x:v>4</x:v>
      </x:c>
      <x:c r="E315" s="35" t="str">
        <x:v>Primary VLA</x:v>
      </x:c>
      <x:c r="F315" s="35" t="str">
        <x:v>VLA-0</x:v>
      </x:c>
      <x:c r="G315" s="35" t="n">
        <x:v>1</x:v>
      </x:c>
      <x:c r="H315" s="35" t="str">
        <x:v>State Recognition</x:v>
      </x:c>
      <x:c r="I315" s="35" t="str">
        <x:v>Exact-scene paraphrase</x:v>
      </x:c>
      <x:c r="J315" s="35" t="str">
        <x:v>PVLA-ST-PAR-03</x:v>
      </x:c>
      <x:c r="K315" s="35" t="str">
        <x:v>S-CF06</x:v>
      </x:c>
      <x:c r="L315" s="31" t="str">
        <x:v>Move the overturned glass spice container into the bowl.</x:v>
      </x:c>
      <x:c r="M315" s="31" t="str">
        <x:v>Move the overturned glass spice container into the bowl.</x:v>
      </x:c>
      <x:c r="N315" s="31" t="str">
        <x:v>S-CF06-PARA: P1 white cup B=C/UR; P2 glass spice container A=O/UR [TARGET]; P3 glass spice container B=O/UD [COMPETITOR]; P4 yellow-white striped cup B=C/UD.</x:v>
      </x:c>
      <x:c r="O315" s="31" t="str">
        <x:v>glass spice container B</x:v>
      </x:c>
      <x:c r="P315" s="31" t="str"/>
      <x:c r="Q315" s="31" t="str"/>
      <x:c r="R315" s="31" t="str"/>
      <x:c r="S315" s="31" t="str">
        <x:f>IF('Blind Scoring'!I315="","",'Blind Scoring'!I315)</x:f>
      </x:c>
      <x:c r="T315" s="31" t="str">
        <x:f>'Blind Scoring'!J315</x:f>
        <x:v>No</x:v>
      </x:c>
      <x:c r="U315" s="31" t="str">
        <x:f>IF('Blind Scoring'!L315="","",'Blind Scoring'!L315)</x:f>
      </x:c>
    </x:row>
    <x:row r="316" ht="44" customHeight="1">
      <x:c r="A316" s="35" t="str">
        <x:v>Not Started</x:v>
      </x:c>
      <x:c r="B316" s="35" t="n">
        <x:v>314</x:v>
      </x:c>
      <x:c r="C316" s="35" t="str">
        <x:v>P06</x:v>
      </x:c>
      <x:c r="D316" s="35" t="n">
        <x:v>5</x:v>
      </x:c>
      <x:c r="E316" s="35" t="str">
        <x:v>Primary VLA</x:v>
      </x:c>
      <x:c r="F316" s="35" t="str">
        <x:v>VLA-0</x:v>
      </x:c>
      <x:c r="G316" s="35" t="n">
        <x:v>1</x:v>
      </x:c>
      <x:c r="H316" s="35" t="str">
        <x:v>State Recognition</x:v>
      </x:c>
      <x:c r="I316" s="35" t="str">
        <x:v>Exact-scene paraphrase</x:v>
      </x:c>
      <x:c r="J316" s="35" t="str">
        <x:v>PVLA-ST-PAR-06</x:v>
      </x:c>
      <x:c r="K316" s="35" t="str">
        <x:v>S-CF15</x:v>
      </x:c>
      <x:c r="L316" s="31" t="str">
        <x:v>Move the yellow-white striped cup that is open into the bowl.</x:v>
      </x:c>
      <x:c r="M316" s="31" t="str">
        <x:v>Move the yellow-white striped cup that is open into the bowl.</x:v>
      </x:c>
      <x:c r="N316" s="31" t="str">
        <x:v>S-CF15-PARA: P1 brown cup A=C/UR; P2 glass spice container A=O/UR; P3 yellow-white striped cup A=C/UD [TARGET]; P4 yellow-white striped cup B=O/UD [COMPETITOR].</x:v>
      </x:c>
      <x:c r="O316" s="31" t="str">
        <x:v>yellow-white striped cup B</x:v>
      </x:c>
      <x:c r="P316" s="31" t="str"/>
      <x:c r="Q316" s="31" t="str"/>
      <x:c r="R316" s="31" t="str"/>
      <x:c r="S316" s="31" t="str">
        <x:f>IF('Blind Scoring'!I316="","",'Blind Scoring'!I316)</x:f>
      </x:c>
      <x:c r="T316" s="31" t="str">
        <x:f>'Blind Scoring'!J316</x:f>
        <x:v>No</x:v>
      </x:c>
      <x:c r="U316" s="31" t="str">
        <x:f>IF('Blind Scoring'!L316="","",'Blind Scoring'!L316)</x:f>
      </x:c>
    </x:row>
    <x:row r="317" ht="44" customHeight="1">
      <x:c r="A317" s="35" t="str">
        <x:v>Not Started</x:v>
      </x:c>
      <x:c r="B317" s="35" t="n">
        <x:v>315</x:v>
      </x:c>
      <x:c r="C317" s="35" t="str">
        <x:v>P06</x:v>
      </x:c>
      <x:c r="D317" s="35" t="n">
        <x:v>6</x:v>
      </x:c>
      <x:c r="E317" s="35" t="str">
        <x:v>Primary VLA</x:v>
      </x:c>
      <x:c r="F317" s="35" t="str">
        <x:v>VLA-0</x:v>
      </x:c>
      <x:c r="G317" s="35" t="n">
        <x:v>1</x:v>
      </x:c>
      <x:c r="H317" s="35" t="str">
        <x:v>State Recognition</x:v>
      </x:c>
      <x:c r="I317" s="35" t="str">
        <x:v>Exact-scene paraphrase</x:v>
      </x:c>
      <x:c r="J317" s="35" t="str">
        <x:v>PVLA-ST-PAR-08</x:v>
      </x:c>
      <x:c r="K317" s="35" t="str">
        <x:v>S-CF20</x:v>
      </x:c>
      <x:c r="L317" s="31" t="str">
        <x:v>Find the white cup that is turned upside down and move it into the bowl.</x:v>
      </x:c>
      <x:c r="M317" s="31" t="str">
        <x:v>Find the white cup that is turned upside down and move it into the bowl.</x:v>
      </x:c>
      <x:c r="N317" s="31" t="str">
        <x:v>S-CF20-PARA: P1 white cup A=C/UD [COMPETITOR]; P2 yellow-white striped cup B=O/UR; P3 brown cup A=O/UD; P4 white cup B=C/UR [TARGET].</x:v>
      </x:c>
      <x:c r="O317" s="31" t="str">
        <x:v>white cup A</x:v>
      </x:c>
      <x:c r="P317" s="31" t="str"/>
      <x:c r="Q317" s="31" t="str"/>
      <x:c r="R317" s="31" t="str"/>
      <x:c r="S317" s="31" t="str">
        <x:f>IF('Blind Scoring'!I317="","",'Blind Scoring'!I317)</x:f>
      </x:c>
      <x:c r="T317" s="31" t="str">
        <x:f>'Blind Scoring'!J317</x:f>
        <x:v>No</x:v>
      </x:c>
      <x:c r="U317" s="31" t="str">
        <x:f>IF('Blind Scoring'!L317="","",'Blind Scoring'!L317)</x:f>
      </x:c>
    </x:row>
    <x:row r="318" ht="44" customHeight="1">
      <x:c r="A318" s="35" t="str">
        <x:v>Not Started</x:v>
      </x:c>
      <x:c r="B318" s="35" t="n">
        <x:v>316</x:v>
      </x:c>
      <x:c r="C318" s="35" t="str">
        <x:v>P06</x:v>
      </x:c>
      <x:c r="D318" s="35" t="n">
        <x:v>7</x:v>
      </x:c>
      <x:c r="E318" s="35" t="str">
        <x:v>Primary VLA</x:v>
      </x:c>
      <x:c r="F318" s="35" t="str">
        <x:v>VLA-0</x:v>
      </x:c>
      <x:c r="G318" s="35" t="n">
        <x:v>1</x:v>
      </x:c>
      <x:c r="H318" s="35" t="str">
        <x:v>State Recognition</x:v>
      </x:c>
      <x:c r="I318" s="35" t="str">
        <x:v>Language ablation — counterfactual</x:v>
      </x:c>
      <x:c r="J318" s="35" t="str">
        <x:v>PVLA-ST-ABL-CF-02</x:v>
      </x:c>
      <x:c r="K318" s="35" t="str">
        <x:v>S-CF11</x:v>
      </x:c>
      <x:c r="L318" s="31" t="str">
        <x:v>Place the open glass spice container in the bowl.</x:v>
      </x:c>
      <x:c r="M318" s="31" t="str">
        <x:v>Place the open glass spice container in the bowl.</x:v>
      </x:c>
      <x:c r="N318" s="31" t="str">
        <x:v>S-CF11-HELD: P1 white cup A=C/UR; P2 yellow-white striped cup A=O/UR; P3 glass spice container B=C/UD [TARGET]; P4 glass spice container A=O/UD [COMPETITOR].</x:v>
      </x:c>
      <x:c r="O318" s="31" t="str">
        <x:v>glass spice container A</x:v>
      </x:c>
      <x:c r="P318" s="31" t="str"/>
      <x:c r="Q318" s="31" t="str"/>
      <x:c r="R318" s="31" t="str"/>
      <x:c r="S318" s="31" t="str">
        <x:f>IF('Blind Scoring'!I318="","",'Blind Scoring'!I318)</x:f>
      </x:c>
      <x:c r="T318" s="31" t="str">
        <x:f>'Blind Scoring'!J318</x:f>
        <x:v>No</x:v>
      </x:c>
      <x:c r="U318" s="31" t="str">
        <x:f>IF('Blind Scoring'!L318="","",'Blind Scoring'!L318)</x:f>
      </x:c>
    </x:row>
    <x:row r="319" ht="44" customHeight="1">
      <x:c r="A319" s="35" t="str">
        <x:v>Not Started</x:v>
      </x:c>
      <x:c r="B319" s="35" t="n">
        <x:v>317</x:v>
      </x:c>
      <x:c r="C319" s="35" t="str">
        <x:v>P06</x:v>
      </x:c>
      <x:c r="D319" s="35" t="n">
        <x:v>8</x:v>
      </x:c>
      <x:c r="E319" s="35" t="str">
        <x:v>Primary VLA</x:v>
      </x:c>
      <x:c r="F319" s="35" t="str">
        <x:v>VLA-0</x:v>
      </x:c>
      <x:c r="G319" s="35" t="n">
        <x:v>1</x:v>
      </x:c>
      <x:c r="H319" s="35" t="str">
        <x:v>State Recognition</x:v>
      </x:c>
      <x:c r="I319" s="35" t="str">
        <x:v>Main matched control</x:v>
      </x:c>
      <x:c r="J319" s="35" t="str">
        <x:v>PVLA-ST-CTL-02</x:v>
      </x:c>
      <x:c r="K319" s="35" t="str">
        <x:v>S-CF03</x:v>
      </x:c>
      <x:c r="L319" s="31" t="str">
        <x:v>Place a glass spice container in the bowl.</x:v>
      </x:c>
      <x:c r="M319" s="31" t="str">
        <x:v>Place a glass spice container in the bowl.</x:v>
      </x:c>
      <x:c r="N319" s="31" t="str">
        <x:v>S-CF03-CTRL: P1 white cup A=C/UR; P2 yellow-white striped cup A=O/UR; P3 glass spice container B=C/UD [TARGET].</x:v>
      </x:c>
      <x:c r="O319" s="31" t="str">
        <x:v>glass spice container B</x:v>
      </x:c>
      <x:c r="P319" s="31" t="str"/>
      <x:c r="Q319" s="31" t="str"/>
      <x:c r="R319" s="31" t="str"/>
      <x:c r="S319" s="31" t="str">
        <x:f>IF('Blind Scoring'!I319="","",'Blind Scoring'!I319)</x:f>
      </x:c>
      <x:c r="T319" s="31" t="str">
        <x:f>'Blind Scoring'!J319</x:f>
        <x:v>No</x:v>
      </x:c>
      <x:c r="U319" s="31" t="str">
        <x:f>IF('Blind Scoring'!L319="","",'Blind Scoring'!L319)</x:f>
      </x:c>
    </x:row>
    <x:row r="320" ht="44" customHeight="1">
      <x:c r="A320" s="35" t="str">
        <x:v>Not Started</x:v>
      </x:c>
      <x:c r="B320" s="35" t="n">
        <x:v>318</x:v>
      </x:c>
      <x:c r="C320" s="35" t="str">
        <x:v>P06</x:v>
      </x:c>
      <x:c r="D320" s="35" t="n">
        <x:v>9</x:v>
      </x:c>
      <x:c r="E320" s="35" t="str">
        <x:v>Primary VLA</x:v>
      </x:c>
      <x:c r="F320" s="35" t="str">
        <x:v>VLA-0</x:v>
      </x:c>
      <x:c r="G320" s="35" t="n">
        <x:v>1</x:v>
      </x:c>
      <x:c r="H320" s="35" t="str">
        <x:v>State Recognition</x:v>
      </x:c>
      <x:c r="I320" s="35" t="str">
        <x:v>Training reconstruction</x:v>
      </x:c>
      <x:c r="J320" s="35" t="str">
        <x:v>PVLA-ST-REC-06</x:v>
      </x:c>
      <x:c r="K320" s="35" t="str"/>
      <x:c r="L320" s="31" t="str">
        <x:v>Move a glass spice container into the bowl.</x:v>
      </x:c>
      <x:c r="M320" s="31" t="str">
        <x:v>Move a glass spice container into the bowl.</x:v>
      </x:c>
      <x:c r="N320" s="31" t="str">
        <x:v>Reconstruct planned final training episode 191: glass spice container A, brown cup A, white cup B; start=Home. Match camera, calibration, bowl pose, and object geometry exactly.</x:v>
      </x:c>
      <x:c r="O320" s="31" t="str">
        <x:v>glass spice container A</x:v>
      </x:c>
      <x:c r="P320" s="31" t="str"/>
      <x:c r="Q320" s="31" t="str"/>
      <x:c r="R320" s="31" t="str"/>
      <x:c r="S320" s="31" t="str">
        <x:f>IF('Blind Scoring'!I320="","",'Blind Scoring'!I320)</x:f>
      </x:c>
      <x:c r="T320" s="31" t="str">
        <x:f>'Blind Scoring'!J320</x:f>
        <x:v>No</x:v>
      </x:c>
      <x:c r="U320" s="31" t="str">
        <x:f>IF('Blind Scoring'!L320="","",'Blind Scoring'!L320)</x:f>
      </x:c>
    </x:row>
    <x:row r="321" ht="44" customHeight="1">
      <x:c r="A321" s="35" t="str">
        <x:v>Not Started</x:v>
      </x:c>
      <x:c r="B321" s="35" t="n">
        <x:v>319</x:v>
      </x:c>
      <x:c r="C321" s="35" t="str">
        <x:v>P06</x:v>
      </x:c>
      <x:c r="D321" s="35" t="n">
        <x:v>10</x:v>
      </x:c>
      <x:c r="E321" s="35" t="str">
        <x:v>Primary VLA</x:v>
      </x:c>
      <x:c r="F321" s="35" t="str">
        <x:v>VLA-0</x:v>
      </x:c>
      <x:c r="G321" s="35" t="n">
        <x:v>1</x:v>
      </x:c>
      <x:c r="H321" s="35" t="str">
        <x:v>State Recognition</x:v>
      </x:c>
      <x:c r="I321" s="35" t="str">
        <x:v>Main matched control</x:v>
      </x:c>
      <x:c r="J321" s="35" t="str">
        <x:v>PVLA-ST-CTL-05</x:v>
      </x:c>
      <x:c r="K321" s="35" t="str">
        <x:v>S-CF09</x:v>
      </x:c>
      <x:c r="L321" s="31" t="str">
        <x:v>Place a white cup in the bowl.</x:v>
      </x:c>
      <x:c r="M321" s="31" t="str">
        <x:v>Place a white cup in the bowl.</x:v>
      </x:c>
      <x:c r="N321" s="31" t="str">
        <x:v>S-CF09-CTRL: P1 white cup A=C/UR [TARGET]; P3 yellow-white striped cup A=C/UD; P4 brown cup B=O/UD.</x:v>
      </x:c>
      <x:c r="O321" s="31" t="str">
        <x:v>white cup A</x:v>
      </x:c>
      <x:c r="P321" s="31" t="str"/>
      <x:c r="Q321" s="31" t="str"/>
      <x:c r="R321" s="31" t="str"/>
      <x:c r="S321" s="31" t="str">
        <x:f>IF('Blind Scoring'!I321="","",'Blind Scoring'!I321)</x:f>
      </x:c>
      <x:c r="T321" s="31" t="str">
        <x:f>'Blind Scoring'!J321</x:f>
        <x:v>No</x:v>
      </x:c>
      <x:c r="U321" s="31" t="str">
        <x:f>IF('Blind Scoring'!L321="","",'Blind Scoring'!L321)</x:f>
      </x:c>
    </x:row>
    <x:row r="322" ht="44" customHeight="1">
      <x:c r="A322" s="35" t="str">
        <x:v>Not Started</x:v>
      </x:c>
      <x:c r="B322" s="35" t="n">
        <x:v>320</x:v>
      </x:c>
      <x:c r="C322" s="35" t="str">
        <x:v>P06</x:v>
      </x:c>
      <x:c r="D322" s="35" t="n">
        <x:v>11</x:v>
      </x:c>
      <x:c r="E322" s="35" t="str">
        <x:v>Primary VLA</x:v>
      </x:c>
      <x:c r="F322" s="35" t="str">
        <x:v>VLA-0</x:v>
      </x:c>
      <x:c r="G322" s="35" t="n">
        <x:v>1</x:v>
      </x:c>
      <x:c r="H322" s="35" t="str">
        <x:v>State Recognition</x:v>
      </x:c>
      <x:c r="I322" s="35" t="str">
        <x:v>Main matched control</x:v>
      </x:c>
      <x:c r="J322" s="35" t="str">
        <x:v>PVLA-ST-CTL-16</x:v>
      </x:c>
      <x:c r="K322" s="35" t="str">
        <x:v>S-CF30</x:v>
      </x:c>
      <x:c r="L322" s="31" t="str">
        <x:v>Place a glass spice container in the bowl.</x:v>
      </x:c>
      <x:c r="M322" s="31" t="str">
        <x:v>Place a glass spice container in the bowl.</x:v>
      </x:c>
      <x:c r="N322" s="31" t="str">
        <x:v>S-CF30-CTRL: P1 white cup B=C/UR; P2 glass spice container A=O/UR [TARGET]; P4 yellow-white striped cup B=C/UD.</x:v>
      </x:c>
      <x:c r="O322" s="31" t="str">
        <x:v>glass spice container A</x:v>
      </x:c>
      <x:c r="P322" s="31" t="str"/>
      <x:c r="Q322" s="31" t="str"/>
      <x:c r="R322" s="31" t="str"/>
      <x:c r="S322" s="31" t="str">
        <x:f>IF('Blind Scoring'!I322="","",'Blind Scoring'!I322)</x:f>
      </x:c>
      <x:c r="T322" s="31" t="str">
        <x:f>'Blind Scoring'!J322</x:f>
        <x:v>No</x:v>
      </x:c>
      <x:c r="U322" s="31" t="str">
        <x:f>IF('Blind Scoring'!L322="","",'Blind Scoring'!L322)</x:f>
      </x:c>
    </x:row>
    <x:row r="323" ht="44" customHeight="1">
      <x:c r="A323" s="35" t="str">
        <x:v>Not Started</x:v>
      </x:c>
      <x:c r="B323" s="35" t="n">
        <x:v>321</x:v>
      </x:c>
      <x:c r="C323" s="35" t="str">
        <x:v>P06</x:v>
      </x:c>
      <x:c r="D323" s="35" t="n">
        <x:v>12</x:v>
      </x:c>
      <x:c r="E323" s="35" t="str">
        <x:v>Primary VLA</x:v>
      </x:c>
      <x:c r="F323" s="35" t="str">
        <x:v>VLA-0</x:v>
      </x:c>
      <x:c r="G323" s="35" t="n">
        <x:v>1</x:v>
      </x:c>
      <x:c r="H323" s="35" t="str">
        <x:v>State Recognition</x:v>
      </x:c>
      <x:c r="I323" s="35" t="str">
        <x:v>Main matched control</x:v>
      </x:c>
      <x:c r="J323" s="35" t="str">
        <x:v>PVLA-ST-CTL-06</x:v>
      </x:c>
      <x:c r="K323" s="35" t="str">
        <x:v>S-CF11</x:v>
      </x:c>
      <x:c r="L323" s="31" t="str">
        <x:v>Place a glass spice container in the bowl.</x:v>
      </x:c>
      <x:c r="M323" s="31" t="str">
        <x:v>Place a glass spice container in the bowl.</x:v>
      </x:c>
      <x:c r="N323" s="31" t="str">
        <x:v>S-CF11-CTRL: P1 white cup A=C/UR; P2 yellow-white striped cup A=O/UR; P3 glass spice container B=C/UD [TARGET].</x:v>
      </x:c>
      <x:c r="O323" s="31" t="str">
        <x:v>glass spice container B</x:v>
      </x:c>
      <x:c r="P323" s="31" t="str"/>
      <x:c r="Q323" s="31" t="str"/>
      <x:c r="R323" s="31" t="str"/>
      <x:c r="S323" s="31" t="str">
        <x:f>IF('Blind Scoring'!I323="","",'Blind Scoring'!I323)</x:f>
      </x:c>
      <x:c r="T323" s="31" t="str">
        <x:f>'Blind Scoring'!J323</x:f>
        <x:v>No</x:v>
      </x:c>
      <x:c r="U323" s="31" t="str">
        <x:f>IF('Blind Scoring'!L323="","",'Blind Scoring'!L323)</x:f>
      </x:c>
    </x:row>
    <x:row r="324" ht="44" customHeight="1">
      <x:c r="A324" s="35" t="str">
        <x:v>Not Started</x:v>
      </x:c>
      <x:c r="B324" s="35" t="n">
        <x:v>322</x:v>
      </x:c>
      <x:c r="C324" s="35" t="str">
        <x:v>P06</x:v>
      </x:c>
      <x:c r="D324" s="35" t="n">
        <x:v>13</x:v>
      </x:c>
      <x:c r="E324" s="35" t="str">
        <x:v>Primary VLA</x:v>
      </x:c>
      <x:c r="F324" s="35" t="str">
        <x:v>VLA-0</x:v>
      </x:c>
      <x:c r="G324" s="35" t="n">
        <x:v>1</x:v>
      </x:c>
      <x:c r="H324" s="35" t="str">
        <x:v>State Recognition</x:v>
      </x:c>
      <x:c r="I324" s="35" t="str">
        <x:v>Main held-out transfer</x:v>
      </x:c>
      <x:c r="J324" s="35" t="str">
        <x:v>PVLA-ST-TR-01</x:v>
      </x:c>
      <x:c r="K324" s="35" t="str">
        <x:v>S-CF01</x:v>
      </x:c>
      <x:c r="L324" s="31" t="str">
        <x:v>Place the closed white cup in the bowl.</x:v>
      </x:c>
      <x:c r="M324" s="31" t="str">
        <x:v>Place the closed white cup in the bowl.</x:v>
      </x:c>
      <x:c r="N324" s="31" t="str">
        <x:v>S-CF01-HELD: P1 white cup A=C/UR [TARGET]; P2 white cup B=O/UR [COMPETITOR]; P3 yellow-white striped cup A=C/UD; P4 brown cup B=O/UD.</x:v>
      </x:c>
      <x:c r="O324" s="31" t="str">
        <x:v>white cup A</x:v>
      </x:c>
      <x:c r="P324" s="31" t="str"/>
      <x:c r="Q324" s="31" t="str"/>
      <x:c r="R324" s="31" t="str"/>
      <x:c r="S324" s="31" t="str">
        <x:f>IF('Blind Scoring'!I324="","",'Blind Scoring'!I324)</x:f>
      </x:c>
      <x:c r="T324" s="31" t="str">
        <x:f>'Blind Scoring'!J324</x:f>
        <x:v>No</x:v>
      </x:c>
      <x:c r="U324" s="31" t="str">
        <x:f>IF('Blind Scoring'!L324="","",'Blind Scoring'!L324)</x:f>
      </x:c>
    </x:row>
    <x:row r="325" ht="44" customHeight="1">
      <x:c r="A325" s="35" t="str">
        <x:v>Not Started</x:v>
      </x:c>
      <x:c r="B325" s="35" t="n">
        <x:v>323</x:v>
      </x:c>
      <x:c r="C325" s="35" t="str">
        <x:v>P06</x:v>
      </x:c>
      <x:c r="D325" s="35" t="n">
        <x:v>14</x:v>
      </x:c>
      <x:c r="E325" s="35" t="str">
        <x:v>Primary VLA</x:v>
      </x:c>
      <x:c r="F325" s="35" t="str">
        <x:v>VLA-0</x:v>
      </x:c>
      <x:c r="G325" s="35" t="n">
        <x:v>1</x:v>
      </x:c>
      <x:c r="H325" s="35" t="str">
        <x:v>State Recognition</x:v>
      </x:c>
      <x:c r="I325" s="35" t="str">
        <x:v>Main held-out transfer</x:v>
      </x:c>
      <x:c r="J325" s="35" t="str">
        <x:v>PVLA-ST-TR-05</x:v>
      </x:c>
      <x:c r="K325" s="35" t="str">
        <x:v>S-CF09</x:v>
      </x:c>
      <x:c r="L325" s="31" t="str">
        <x:v>Place the closed white cup in the bowl.</x:v>
      </x:c>
      <x:c r="M325" s="31" t="str">
        <x:v>Place the closed white cup in the bowl.</x:v>
      </x:c>
      <x:c r="N325" s="31" t="str">
        <x:v>S-CF09-HELD: P1 white cup A=C/UR [TARGET]; P2 white cup B=O/UR [COMPETITOR]; P3 yellow-white striped cup A=C/UD; P4 brown cup B=O/UD.</x:v>
      </x:c>
      <x:c r="O325" s="31" t="str">
        <x:v>white cup A</x:v>
      </x:c>
      <x:c r="P325" s="31" t="str"/>
      <x:c r="Q325" s="31" t="str"/>
      <x:c r="R325" s="31" t="str"/>
      <x:c r="S325" s="31" t="str">
        <x:f>IF('Blind Scoring'!I325="","",'Blind Scoring'!I325)</x:f>
      </x:c>
      <x:c r="T325" s="31" t="str">
        <x:f>'Blind Scoring'!J325</x:f>
        <x:v>No</x:v>
      </x:c>
      <x:c r="U325" s="31" t="str">
        <x:f>IF('Blind Scoring'!L325="","",'Blind Scoring'!L325)</x:f>
      </x:c>
    </x:row>
    <x:row r="326" ht="44" customHeight="1">
      <x:c r="A326" s="35" t="str">
        <x:v>Not Started</x:v>
      </x:c>
      <x:c r="B326" s="35" t="n">
        <x:v>324</x:v>
      </x:c>
      <x:c r="C326" s="35" t="str">
        <x:v>P06</x:v>
      </x:c>
      <x:c r="D326" s="35" t="n">
        <x:v>15</x:v>
      </x:c>
      <x:c r="E326" s="35" t="str">
        <x:v>Primary VLA</x:v>
      </x:c>
      <x:c r="F326" s="35" t="str">
        <x:v>VLA-0</x:v>
      </x:c>
      <x:c r="G326" s="35" t="n">
        <x:v>1</x:v>
      </x:c>
      <x:c r="H326" s="35" t="str">
        <x:v>State Recognition</x:v>
      </x:c>
      <x:c r="I326" s="35" t="str">
        <x:v>Novel layout + seen language</x:v>
      </x:c>
      <x:c r="J326" s="35" t="str">
        <x:v>PVLA-ST-NOV-04</x:v>
      </x:c>
      <x:c r="K326" s="35" t="str">
        <x:v>S-CF09</x:v>
      </x:c>
      <x:c r="L326" s="31" t="str">
        <x:v>Place the open white cup in the bowl.</x:v>
      </x:c>
      <x:c r="M326" s="31" t="str">
        <x:v>Place the open white cup in the bowl.</x:v>
      </x:c>
      <x:c r="N326" s="31" t="str">
        <x:v>S-CF09-SEEN: P1 white cup A=C/UR [TARGET]; P2 white cup B=O/UR [COMPETITOR]; P3 yellow-white striped cup A=C/UD; P4 brown cup B=O/UD.</x:v>
      </x:c>
      <x:c r="O326" s="31" t="str">
        <x:v>white cup B</x:v>
      </x:c>
      <x:c r="P326" s="31" t="str"/>
      <x:c r="Q326" s="31" t="str"/>
      <x:c r="R326" s="31" t="str"/>
      <x:c r="S326" s="31" t="str">
        <x:f>IF('Blind Scoring'!I326="","",'Blind Scoring'!I326)</x:f>
      </x:c>
      <x:c r="T326" s="31" t="str">
        <x:f>'Blind Scoring'!J326</x:f>
        <x:v>No</x:v>
      </x:c>
      <x:c r="U326" s="31" t="str">
        <x:f>IF('Blind Scoring'!L326="","",'Blind Scoring'!L326)</x:f>
      </x:c>
    </x:row>
    <x:row r="327" ht="44" customHeight="1">
      <x:c r="A327" s="35" t="str">
        <x:v>Not Started</x:v>
      </x:c>
      <x:c r="B327" s="35" t="n">
        <x:v>325</x:v>
      </x:c>
      <x:c r="C327" s="35" t="str">
        <x:v>P06</x:v>
      </x:c>
      <x:c r="D327" s="35" t="n">
        <x:v>16</x:v>
      </x:c>
      <x:c r="E327" s="35" t="str">
        <x:v>Primary VLA</x:v>
      </x:c>
      <x:c r="F327" s="35" t="str">
        <x:v>VLA-0</x:v>
      </x:c>
      <x:c r="G327" s="35" t="n">
        <x:v>1</x:v>
      </x:c>
      <x:c r="H327" s="35" t="str">
        <x:v>State Recognition</x:v>
      </x:c>
      <x:c r="I327" s="35" t="str">
        <x:v>Main held-out transfer</x:v>
      </x:c>
      <x:c r="J327" s="35" t="str">
        <x:v>PVLA-ST-TR-13</x:v>
      </x:c>
      <x:c r="K327" s="35" t="str">
        <x:v>S-CF24</x:v>
      </x:c>
      <x:c r="L327" s="31" t="str">
        <x:v>Place the upright brown cup in the bowl.</x:v>
      </x:c>
      <x:c r="M327" s="31" t="str">
        <x:v>Place the upright brown cup in the bowl.</x:v>
      </x:c>
      <x:c r="N327" s="31" t="str">
        <x:v>S-CF24-HELD: P1 brown cup A=C/UD [COMPETITOR]; P2 glass spice container B=O/UR; P3 white cup A=O/UD; P4 brown cup B=C/UR [TARGET].</x:v>
      </x:c>
      <x:c r="O327" s="31" t="str">
        <x:v>brown cup B</x:v>
      </x:c>
      <x:c r="P327" s="31" t="str"/>
      <x:c r="Q327" s="31" t="str"/>
      <x:c r="R327" s="31" t="str"/>
      <x:c r="S327" s="31" t="str">
        <x:f>IF('Blind Scoring'!I327="","",'Blind Scoring'!I327)</x:f>
      </x:c>
      <x:c r="T327" s="31" t="str">
        <x:f>'Blind Scoring'!J327</x:f>
        <x:v>No</x:v>
      </x:c>
      <x:c r="U327" s="31" t="str">
        <x:f>IF('Blind Scoring'!L327="","",'Blind Scoring'!L327)</x:f>
      </x:c>
    </x:row>
    <x:row r="328" ht="44" customHeight="1">
      <x:c r="A328" s="35" t="str">
        <x:v>Not Started</x:v>
      </x:c>
      <x:c r="B328" s="35" t="n">
        <x:v>326</x:v>
      </x:c>
      <x:c r="C328" s="35" t="str">
        <x:v>P06</x:v>
      </x:c>
      <x:c r="D328" s="35" t="n">
        <x:v>17</x:v>
      </x:c>
      <x:c r="E328" s="35" t="str">
        <x:v>Primary VLA</x:v>
      </x:c>
      <x:c r="F328" s="35" t="str">
        <x:v>VLA-0</x:v>
      </x:c>
      <x:c r="G328" s="35" t="n">
        <x:v>1</x:v>
      </x:c>
      <x:c r="H328" s="35" t="str">
        <x:v>State Recognition</x:v>
      </x:c>
      <x:c r="I328" s="35" t="str">
        <x:v>Language ablation — blank</x:v>
      </x:c>
      <x:c r="J328" s="35" t="str">
        <x:v>PVLA-ST-ABL-BLK-03</x:v>
      </x:c>
      <x:c r="K328" s="35" t="str">
        <x:v>S-CF05</x:v>
      </x:c>
      <x:c r="L328" s="31" t="str">
        <x:v>[EMPTY STRING — provide no instruction tokens]</x:v>
      </x:c>
      <x:c r="M328" s="31" t="str">
        <x:v>Place the closed brown cup in the bowl.</x:v>
      </x:c>
      <x:c r="N328" s="31" t="str">
        <x:v>S-CF05-HELD: P1 brown cup A=C/UR [TARGET]; P2 brown cup B=O/UR [COMPETITOR]; P3 glass spice container A=C/UD; P4 white cup B=O/UD.</x:v>
      </x:c>
      <x:c r="O328" s="31" t="str">
        <x:v>No prespecified task success under blank language; record any action/selected target.</x:v>
      </x:c>
      <x:c r="P328" s="31" t="str"/>
      <x:c r="Q328" s="31" t="str"/>
      <x:c r="R328" s="31" t="str"/>
      <x:c r="S328" s="31" t="str">
        <x:f>IF('Blind Scoring'!I328="","",'Blind Scoring'!I328)</x:f>
      </x:c>
      <x:c r="T328" s="31" t="str">
        <x:f>'Blind Scoring'!J328</x:f>
        <x:v>No</x:v>
      </x:c>
      <x:c r="U328" s="31" t="str">
        <x:f>IF('Blind Scoring'!L328="","",'Blind Scoring'!L328)</x:f>
      </x:c>
    </x:row>
    <x:row r="329" ht="44" customHeight="1">
      <x:c r="A329" s="35" t="str">
        <x:v>Not Started</x:v>
      </x:c>
      <x:c r="B329" s="35" t="n">
        <x:v>327</x:v>
      </x:c>
      <x:c r="C329" s="35" t="str">
        <x:v>P06</x:v>
      </x:c>
      <x:c r="D329" s="35" t="n">
        <x:v>18</x:v>
      </x:c>
      <x:c r="E329" s="35" t="str">
        <x:v>Primary VLA</x:v>
      </x:c>
      <x:c r="F329" s="35" t="str">
        <x:v>VLA-0</x:v>
      </x:c>
      <x:c r="G329" s="35" t="n">
        <x:v>1</x:v>
      </x:c>
      <x:c r="H329" s="35" t="str">
        <x:v>State Recognition</x:v>
      </x:c>
      <x:c r="I329" s="35" t="str">
        <x:v>Main matched control</x:v>
      </x:c>
      <x:c r="J329" s="35" t="str">
        <x:v>PVLA-ST-CTL-14</x:v>
      </x:c>
      <x:c r="K329" s="35" t="str">
        <x:v>S-CF26</x:v>
      </x:c>
      <x:c r="L329" s="31" t="str">
        <x:v>Place a yellow-white striped cup in the bowl.</x:v>
      </x:c>
      <x:c r="M329" s="31" t="str">
        <x:v>Place a yellow-white striped cup in the bowl.</x:v>
      </x:c>
      <x:c r="N329" s="31" t="str">
        <x:v>S-CF26-CTRL: P1 brown cup B=C/UR; P2 yellow-white striped cup B=O/UR [TARGET]; P4 glass spice container B=C/UD.</x:v>
      </x:c>
      <x:c r="O329" s="31" t="str">
        <x:v>yellow-white striped cup B</x:v>
      </x:c>
      <x:c r="P329" s="31" t="str"/>
      <x:c r="Q329" s="31" t="str"/>
      <x:c r="R329" s="31" t="str"/>
      <x:c r="S329" s="31" t="str">
        <x:f>IF('Blind Scoring'!I329="","",'Blind Scoring'!I329)</x:f>
      </x:c>
      <x:c r="T329" s="31" t="str">
        <x:f>'Blind Scoring'!J329</x:f>
        <x:v>No</x:v>
      </x:c>
      <x:c r="U329" s="31" t="str">
        <x:f>IF('Blind Scoring'!L329="","",'Blind Scoring'!L329)</x:f>
      </x:c>
    </x:row>
    <x:row r="330" ht="44" customHeight="1">
      <x:c r="A330" s="35" t="str">
        <x:v>Not Started</x:v>
      </x:c>
      <x:c r="B330" s="35" t="n">
        <x:v>328</x:v>
      </x:c>
      <x:c r="C330" s="35" t="str">
        <x:v>P06</x:v>
      </x:c>
      <x:c r="D330" s="35" t="n">
        <x:v>19</x:v>
      </x:c>
      <x:c r="E330" s="35" t="str">
        <x:v>Primary VLA</x:v>
      </x:c>
      <x:c r="F330" s="35" t="str">
        <x:v>VLA-0</x:v>
      </x:c>
      <x:c r="G330" s="35" t="n">
        <x:v>1</x:v>
      </x:c>
      <x:c r="H330" s="35" t="str">
        <x:v>State Recognition</x:v>
      </x:c>
      <x:c r="I330" s="35" t="str">
        <x:v>Language ablation — blank</x:v>
      </x:c>
      <x:c r="J330" s="35" t="str">
        <x:v>PVLA-ST-ABL-BLK-02</x:v>
      </x:c>
      <x:c r="K330" s="35" t="str">
        <x:v>S-CF03</x:v>
      </x:c>
      <x:c r="L330" s="31" t="str">
        <x:v>[EMPTY STRING — provide no instruction tokens]</x:v>
      </x:c>
      <x:c r="M330" s="31" t="str">
        <x:v>Place the closed glass spice container in the bowl.</x:v>
      </x:c>
      <x:c r="N330" s="31" t="str">
        <x:v>S-CF03-HELD: P1 white cup A=C/UR; P2 yellow-white striped cup A=O/UR; P3 glass spice container B=C/UD [TARGET]; P4 glass spice container A=O/UD [COMPETITOR].</x:v>
      </x:c>
      <x:c r="O330" s="31" t="str">
        <x:v>No prespecified task success under blank language; record any action/selected target.</x:v>
      </x:c>
      <x:c r="P330" s="31" t="str"/>
      <x:c r="Q330" s="31" t="str"/>
      <x:c r="R330" s="31" t="str"/>
      <x:c r="S330" s="31" t="str">
        <x:f>IF('Blind Scoring'!I330="","",'Blind Scoring'!I330)</x:f>
      </x:c>
      <x:c r="T330" s="31" t="str">
        <x:f>'Blind Scoring'!J330</x:f>
        <x:v>No</x:v>
      </x:c>
      <x:c r="U330" s="31" t="str">
        <x:f>IF('Blind Scoring'!L330="","",'Blind Scoring'!L330)</x:f>
      </x:c>
    </x:row>
    <x:row r="331" ht="44" customHeight="1">
      <x:c r="A331" s="35" t="str">
        <x:v>Not Started</x:v>
      </x:c>
      <x:c r="B331" s="35" t="n">
        <x:v>329</x:v>
      </x:c>
      <x:c r="C331" s="35" t="str">
        <x:v>P06</x:v>
      </x:c>
      <x:c r="D331" s="35" t="n">
        <x:v>20</x:v>
      </x:c>
      <x:c r="E331" s="35" t="str">
        <x:v>Primary VLA</x:v>
      </x:c>
      <x:c r="F331" s="35" t="str">
        <x:v>VLA-0</x:v>
      </x:c>
      <x:c r="G331" s="35" t="n">
        <x:v>1</x:v>
      </x:c>
      <x:c r="H331" s="35" t="str">
        <x:v>State Recognition</x:v>
      </x:c>
      <x:c r="I331" s="35" t="str">
        <x:v>Main matched control</x:v>
      </x:c>
      <x:c r="J331" s="35" t="str">
        <x:v>PVLA-ST-CTL-12</x:v>
      </x:c>
      <x:c r="K331" s="35" t="str">
        <x:v>S-CF22</x:v>
      </x:c>
      <x:c r="L331" s="31" t="str">
        <x:v>Place a glass spice container in the bowl.</x:v>
      </x:c>
      <x:c r="M331" s="31" t="str">
        <x:v>Place a glass spice container in the bowl.</x:v>
      </x:c>
      <x:c r="N331" s="31" t="str">
        <x:v>S-CF22-CTRL: P1 white cup B=C/UR; P2 glass spice container A=O/UR [TARGET]; P4 yellow-white striped cup B=C/UD.</x:v>
      </x:c>
      <x:c r="O331" s="31" t="str">
        <x:v>glass spice container A</x:v>
      </x:c>
      <x:c r="P331" s="31" t="str"/>
      <x:c r="Q331" s="31" t="str"/>
      <x:c r="R331" s="31" t="str"/>
      <x:c r="S331" s="31" t="str">
        <x:f>IF('Blind Scoring'!I331="","",'Blind Scoring'!I331)</x:f>
      </x:c>
      <x:c r="T331" s="31" t="str">
        <x:f>'Blind Scoring'!J331</x:f>
        <x:v>No</x:v>
      </x:c>
      <x:c r="U331" s="31" t="str">
        <x:f>IF('Blind Scoring'!L331="","",'Blind Scoring'!L331)</x:f>
      </x:c>
    </x:row>
    <x:row r="332" ht="44" customHeight="1">
      <x:c r="A332" s="35" t="str">
        <x:v>Not Started</x:v>
      </x:c>
      <x:c r="B332" s="35" t="n">
        <x:v>330</x:v>
      </x:c>
      <x:c r="C332" s="35" t="str">
        <x:v>P06</x:v>
      </x:c>
      <x:c r="D332" s="35" t="n">
        <x:v>21</x:v>
      </x:c>
      <x:c r="E332" s="35" t="str">
        <x:v>Primary VLA</x:v>
      </x:c>
      <x:c r="F332" s="35" t="str">
        <x:v>VLA-0</x:v>
      </x:c>
      <x:c r="G332" s="35" t="n">
        <x:v>1</x:v>
      </x:c>
      <x:c r="H332" s="35" t="str">
        <x:v>State Recognition</x:v>
      </x:c>
      <x:c r="I332" s="35" t="str">
        <x:v>Exact-scene paraphrase</x:v>
      </x:c>
      <x:c r="J332" s="35" t="str">
        <x:v>PVLA-ST-PAR-05</x:v>
      </x:c>
      <x:c r="K332" s="35" t="str">
        <x:v>S-CF12</x:v>
      </x:c>
      <x:c r="L332" s="31" t="str">
        <x:v>Move the overturned white cup into the bowl.</x:v>
      </x:c>
      <x:c r="M332" s="31" t="str">
        <x:v>Move the overturned white cup into the bowl.</x:v>
      </x:c>
      <x:c r="N332" s="31" t="str">
        <x:v>S-CF12-PARA: P1 white cup A=C/UD [COMPETITOR]; P2 yellow-white striped cup B=O/UR; P3 brown cup A=O/UD; P4 white cup B=C/UR [TARGET].</x:v>
      </x:c>
      <x:c r="O332" s="31" t="str">
        <x:v>white cup A</x:v>
      </x:c>
      <x:c r="P332" s="31" t="str"/>
      <x:c r="Q332" s="31" t="str"/>
      <x:c r="R332" s="31" t="str"/>
      <x:c r="S332" s="31" t="str">
        <x:f>IF('Blind Scoring'!I332="","",'Blind Scoring'!I332)</x:f>
      </x:c>
      <x:c r="T332" s="31" t="str">
        <x:f>'Blind Scoring'!J332</x:f>
        <x:v>No</x:v>
      </x:c>
      <x:c r="U332" s="31" t="str">
        <x:f>IF('Blind Scoring'!L332="","",'Blind Scoring'!L332)</x:f>
      </x:c>
    </x:row>
    <x:row r="333" ht="44" customHeight="1">
      <x:c r="A333" s="35" t="str">
        <x:v>Not Started</x:v>
      </x:c>
      <x:c r="B333" s="35" t="n">
        <x:v>331</x:v>
      </x:c>
      <x:c r="C333" s="35" t="str">
        <x:v>P06</x:v>
      </x:c>
      <x:c r="D333" s="35" t="n">
        <x:v>22</x:v>
      </x:c>
      <x:c r="E333" s="35" t="str">
        <x:v>Primary VLA</x:v>
      </x:c>
      <x:c r="F333" s="35" t="str">
        <x:v>VLA-0</x:v>
      </x:c>
      <x:c r="G333" s="35" t="n">
        <x:v>1</x:v>
      </x:c>
      <x:c r="H333" s="35" t="str">
        <x:v>State Recognition</x:v>
      </x:c>
      <x:c r="I333" s="35" t="str">
        <x:v>Exact-scene paraphrase</x:v>
      </x:c>
      <x:c r="J333" s="35" t="str">
        <x:v>PVLA-ST-PAR-02</x:v>
      </x:c>
      <x:c r="K333" s="35" t="str">
        <x:v>S-CF04</x:v>
      </x:c>
      <x:c r="L333" s="31" t="str">
        <x:v>Put the inverted white cup into the bowl.</x:v>
      </x:c>
      <x:c r="M333" s="31" t="str">
        <x:v>Put the inverted white cup into the bowl.</x:v>
      </x:c>
      <x:c r="N333" s="31" t="str">
        <x:v>S-CF04-PARA: P1 white cup A=C/UD [COMPETITOR]; P2 yellow-white striped cup B=O/UR; P3 brown cup A=O/UD; P4 white cup B=C/UR [TARGET].</x:v>
      </x:c>
      <x:c r="O333" s="31" t="str">
        <x:v>white cup A</x:v>
      </x:c>
      <x:c r="P333" s="31" t="str"/>
      <x:c r="Q333" s="31" t="str"/>
      <x:c r="R333" s="31" t="str"/>
      <x:c r="S333" s="31" t="str">
        <x:f>IF('Blind Scoring'!I333="","",'Blind Scoring'!I333)</x:f>
      </x:c>
      <x:c r="T333" s="31" t="str">
        <x:f>'Blind Scoring'!J333</x:f>
        <x:v>No</x:v>
      </x:c>
      <x:c r="U333" s="31" t="str">
        <x:f>IF('Blind Scoring'!L333="","",'Blind Scoring'!L333)</x:f>
      </x:c>
    </x:row>
    <x:row r="334" ht="44" customHeight="1">
      <x:c r="A334" s="35" t="str">
        <x:v>Not Started</x:v>
      </x:c>
      <x:c r="B334" s="35" t="n">
        <x:v>332</x:v>
      </x:c>
      <x:c r="C334" s="35" t="str">
        <x:v>P06</x:v>
      </x:c>
      <x:c r="D334" s="35" t="n">
        <x:v>23</x:v>
      </x:c>
      <x:c r="E334" s="35" t="str">
        <x:v>Primary VLA</x:v>
      </x:c>
      <x:c r="F334" s="35" t="str">
        <x:v>VLA-0</x:v>
      </x:c>
      <x:c r="G334" s="35" t="n">
        <x:v>1</x:v>
      </x:c>
      <x:c r="H334" s="35" t="str">
        <x:v>State Recognition</x:v>
      </x:c>
      <x:c r="I334" s="35" t="str">
        <x:v>Novel layout + seen language</x:v>
      </x:c>
      <x:c r="J334" s="35" t="str">
        <x:v>PVLA-ST-NOV-08</x:v>
      </x:c>
      <x:c r="K334" s="35" t="str">
        <x:v>S-CF20</x:v>
      </x:c>
      <x:c r="L334" s="31" t="str">
        <x:v>Place the upside-down white cup in the bowl.</x:v>
      </x:c>
      <x:c r="M334" s="31" t="str">
        <x:v>Place the upside-down white cup in the bowl.</x:v>
      </x:c>
      <x:c r="N334" s="31" t="str">
        <x:v>S-CF20-SEEN: P1 white cup A=C/UD [COMPETITOR]; P2 yellow-white striped cup B=O/UR; P3 brown cup A=O/UD; P4 white cup B=C/UR [TARGET].</x:v>
      </x:c>
      <x:c r="O334" s="31" t="str">
        <x:v>white cup A</x:v>
      </x:c>
      <x:c r="P334" s="31" t="str"/>
      <x:c r="Q334" s="31" t="str"/>
      <x:c r="R334" s="31" t="str"/>
      <x:c r="S334" s="31" t="str">
        <x:f>IF('Blind Scoring'!I334="","",'Blind Scoring'!I334)</x:f>
      </x:c>
      <x:c r="T334" s="31" t="str">
        <x:f>'Blind Scoring'!J334</x:f>
        <x:v>No</x:v>
      </x:c>
      <x:c r="U334" s="31" t="str">
        <x:f>IF('Blind Scoring'!L334="","",'Blind Scoring'!L334)</x:f>
      </x:c>
    </x:row>
    <x:row r="335" ht="44" customHeight="1">
      <x:c r="A335" s="35" t="str">
        <x:v>Not Started</x:v>
      </x:c>
      <x:c r="B335" s="35" t="n">
        <x:v>333</x:v>
      </x:c>
      <x:c r="C335" s="35" t="str">
        <x:v>P06</x:v>
      </x:c>
      <x:c r="D335" s="35" t="n">
        <x:v>24</x:v>
      </x:c>
      <x:c r="E335" s="35" t="str">
        <x:v>Primary VLA</x:v>
      </x:c>
      <x:c r="F335" s="35" t="str">
        <x:v>VLA-0</x:v>
      </x:c>
      <x:c r="G335" s="35" t="n">
        <x:v>1</x:v>
      </x:c>
      <x:c r="H335" s="35" t="str">
        <x:v>State Recognition</x:v>
      </x:c>
      <x:c r="I335" s="35" t="str">
        <x:v>Main matched control</x:v>
      </x:c>
      <x:c r="J335" s="35" t="str">
        <x:v>PVLA-ST-CTL-15</x:v>
      </x:c>
      <x:c r="K335" s="35" t="str">
        <x:v>S-CF28</x:v>
      </x:c>
      <x:c r="L335" s="31" t="str">
        <x:v>Place a white cup in the bowl.</x:v>
      </x:c>
      <x:c r="M335" s="31" t="str">
        <x:v>Place a white cup in the bowl.</x:v>
      </x:c>
      <x:c r="N335" s="31" t="str">
        <x:v>S-CF28-CTRL: P2 yellow-white striped cup B=O/UR; P3 brown cup A=O/UD; P4 white cup B=C/UR [TARGET].</x:v>
      </x:c>
      <x:c r="O335" s="31" t="str">
        <x:v>white cup B</x:v>
      </x:c>
      <x:c r="P335" s="31" t="str"/>
      <x:c r="Q335" s="31" t="str"/>
      <x:c r="R335" s="31" t="str"/>
      <x:c r="S335" s="31" t="str">
        <x:f>IF('Blind Scoring'!I335="","",'Blind Scoring'!I335)</x:f>
      </x:c>
      <x:c r="T335" s="31" t="str">
        <x:f>'Blind Scoring'!J335</x:f>
        <x:v>No</x:v>
      </x:c>
      <x:c r="U335" s="31" t="str">
        <x:f>IF('Blind Scoring'!L335="","",'Blind Scoring'!L335)</x:f>
      </x:c>
    </x:row>
    <x:row r="336" ht="44" customHeight="1">
      <x:c r="A336" s="35" t="str">
        <x:v>Not Started</x:v>
      </x:c>
      <x:c r="B336" s="35" t="n">
        <x:v>334</x:v>
      </x:c>
      <x:c r="C336" s="35" t="str">
        <x:v>P06</x:v>
      </x:c>
      <x:c r="D336" s="35" t="n">
        <x:v>25</x:v>
      </x:c>
      <x:c r="E336" s="35" t="str">
        <x:v>Primary VLA</x:v>
      </x:c>
      <x:c r="F336" s="35" t="str">
        <x:v>VLA-0</x:v>
      </x:c>
      <x:c r="G336" s="35" t="n">
        <x:v>1</x:v>
      </x:c>
      <x:c r="H336" s="35" t="str">
        <x:v>State Recognition</x:v>
      </x:c>
      <x:c r="I336" s="35" t="str">
        <x:v>Novel layout + seen language</x:v>
      </x:c>
      <x:c r="J336" s="35" t="str">
        <x:v>PVLA-ST-NOV-05</x:v>
      </x:c>
      <x:c r="K336" s="35" t="str">
        <x:v>S-CF12</x:v>
      </x:c>
      <x:c r="L336" s="31" t="str">
        <x:v>Place the upside-down white cup in the bowl.</x:v>
      </x:c>
      <x:c r="M336" s="31" t="str">
        <x:v>Place the upside-down white cup in the bowl.</x:v>
      </x:c>
      <x:c r="N336" s="31" t="str">
        <x:v>S-CF12-SEEN: P1 white cup A=C/UD [COMPETITOR]; P2 yellow-white striped cup B=O/UR; P3 brown cup A=O/UD; P4 white cup B=C/UR [TARGET].</x:v>
      </x:c>
      <x:c r="O336" s="31" t="str">
        <x:v>white cup A</x:v>
      </x:c>
      <x:c r="P336" s="31" t="str"/>
      <x:c r="Q336" s="31" t="str"/>
      <x:c r="R336" s="31" t="str"/>
      <x:c r="S336" s="31" t="str">
        <x:f>IF('Blind Scoring'!I336="","",'Blind Scoring'!I336)</x:f>
      </x:c>
      <x:c r="T336" s="31" t="str">
        <x:f>'Blind Scoring'!J336</x:f>
        <x:v>No</x:v>
      </x:c>
      <x:c r="U336" s="31" t="str">
        <x:f>IF('Blind Scoring'!L336="","",'Blind Scoring'!L336)</x:f>
      </x:c>
    </x:row>
    <x:row r="337" ht="44" customHeight="1">
      <x:c r="A337" s="35" t="str">
        <x:v>Not Started</x:v>
      </x:c>
      <x:c r="B337" s="35" t="n">
        <x:v>335</x:v>
      </x:c>
      <x:c r="C337" s="35" t="str">
        <x:v>P06</x:v>
      </x:c>
      <x:c r="D337" s="35" t="n">
        <x:v>26</x:v>
      </x:c>
      <x:c r="E337" s="35" t="str">
        <x:v>Primary VLA</x:v>
      </x:c>
      <x:c r="F337" s="35" t="str">
        <x:v>VLA-0</x:v>
      </x:c>
      <x:c r="G337" s="35" t="n">
        <x:v>1</x:v>
      </x:c>
      <x:c r="H337" s="35" t="str">
        <x:v>State Recognition</x:v>
      </x:c>
      <x:c r="I337" s="35" t="str">
        <x:v>Language ablation — blank</x:v>
      </x:c>
      <x:c r="J337" s="35" t="str">
        <x:v>PVLA-ST-ABL-BLK-04</x:v>
      </x:c>
      <x:c r="K337" s="35" t="str">
        <x:v>S-CF07</x:v>
      </x:c>
      <x:c r="L337" s="31" t="str">
        <x:v>[EMPTY STRING — provide no instruction tokens]</x:v>
      </x:c>
      <x:c r="M337" s="31" t="str">
        <x:v>Place the closed yellow-white striped cup in the bowl.</x:v>
      </x:c>
      <x:c r="N337" s="31" t="str">
        <x:v>S-CF07-HELD: P1 brown cup A=C/UR; P2 glass spice container A=O/UR; P3 yellow-white striped cup A=C/UD [TARGET]; P4 yellow-white striped cup B=O/UD [COMPETITOR].</x:v>
      </x:c>
      <x:c r="O337" s="31" t="str">
        <x:v>No prespecified task success under blank language; record any action/selected target.</x:v>
      </x:c>
      <x:c r="P337" s="31" t="str"/>
      <x:c r="Q337" s="31" t="str"/>
      <x:c r="R337" s="31" t="str"/>
      <x:c r="S337" s="31" t="str">
        <x:f>IF('Blind Scoring'!I337="","",'Blind Scoring'!I337)</x:f>
      </x:c>
      <x:c r="T337" s="31" t="str">
        <x:f>'Blind Scoring'!J337</x:f>
        <x:v>No</x:v>
      </x:c>
      <x:c r="U337" s="31" t="str">
        <x:f>IF('Blind Scoring'!L337="","",'Blind Scoring'!L337)</x:f>
      </x:c>
    </x:row>
    <x:row r="338" ht="44" customHeight="1">
      <x:c r="A338" s="35" t="str">
        <x:v>Not Started</x:v>
      </x:c>
      <x:c r="B338" s="35" t="n">
        <x:v>336</x:v>
      </x:c>
      <x:c r="C338" s="35" t="str">
        <x:v>P06</x:v>
      </x:c>
      <x:c r="D338" s="35" t="n">
        <x:v>27</x:v>
      </x:c>
      <x:c r="E338" s="35" t="str">
        <x:v>Primary VLA</x:v>
      </x:c>
      <x:c r="F338" s="35" t="str">
        <x:v>VLA-0</x:v>
      </x:c>
      <x:c r="G338" s="35" t="n">
        <x:v>1</x:v>
      </x:c>
      <x:c r="H338" s="35" t="str">
        <x:v>State Recognition</x:v>
      </x:c>
      <x:c r="I338" s="35" t="str">
        <x:v>Main matched control</x:v>
      </x:c>
      <x:c r="J338" s="35" t="str">
        <x:v>PVLA-ST-CTL-10</x:v>
      </x:c>
      <x:c r="K338" s="35" t="str">
        <x:v>S-CF18</x:v>
      </x:c>
      <x:c r="L338" s="31" t="str">
        <x:v>Place a yellow-white striped cup in the bowl.</x:v>
      </x:c>
      <x:c r="M338" s="31" t="str">
        <x:v>Place a yellow-white striped cup in the bowl.</x:v>
      </x:c>
      <x:c r="N338" s="31" t="str">
        <x:v>S-CF18-CTRL: P1 brown cup B=C/UR; P2 yellow-white striped cup B=O/UR [TARGET]; P4 glass spice container B=C/UD.</x:v>
      </x:c>
      <x:c r="O338" s="31" t="str">
        <x:v>yellow-white striped cup B</x:v>
      </x:c>
      <x:c r="P338" s="31" t="str"/>
      <x:c r="Q338" s="31" t="str"/>
      <x:c r="R338" s="31" t="str"/>
      <x:c r="S338" s="31" t="str">
        <x:f>IF('Blind Scoring'!I338="","",'Blind Scoring'!I338)</x:f>
      </x:c>
      <x:c r="T338" s="31" t="str">
        <x:f>'Blind Scoring'!J338</x:f>
        <x:v>No</x:v>
      </x:c>
      <x:c r="U338" s="31" t="str">
        <x:f>IF('Blind Scoring'!L338="","",'Blind Scoring'!L338)</x:f>
      </x:c>
    </x:row>
    <x:row r="339" ht="44" customHeight="1">
      <x:c r="A339" s="35" t="str">
        <x:v>Not Started</x:v>
      </x:c>
      <x:c r="B339" s="35" t="n">
        <x:v>337</x:v>
      </x:c>
      <x:c r="C339" s="35" t="str">
        <x:v>P06</x:v>
      </x:c>
      <x:c r="D339" s="35" t="n">
        <x:v>28</x:v>
      </x:c>
      <x:c r="E339" s="35" t="str">
        <x:v>Primary VLA</x:v>
      </x:c>
      <x:c r="F339" s="35" t="str">
        <x:v>VLA-0</x:v>
      </x:c>
      <x:c r="G339" s="35" t="n">
        <x:v>1</x:v>
      </x:c>
      <x:c r="H339" s="35" t="str">
        <x:v>State Recognition</x:v>
      </x:c>
      <x:c r="I339" s="35" t="str">
        <x:v>Novel layout + seen language</x:v>
      </x:c>
      <x:c r="J339" s="35" t="str">
        <x:v>PVLA-ST-NOV-01</x:v>
      </x:c>
      <x:c r="K339" s="35" t="str">
        <x:v>S-CF01</x:v>
      </x:c>
      <x:c r="L339" s="31" t="str">
        <x:v>Place the open white cup in the bowl.</x:v>
      </x:c>
      <x:c r="M339" s="31" t="str">
        <x:v>Place the open white cup in the bowl.</x:v>
      </x:c>
      <x:c r="N339" s="31" t="str">
        <x:v>S-CF01-SEEN: P1 white cup A=C/UR [TARGET]; P2 white cup B=O/UR [COMPETITOR]; P3 yellow-white striped cup A=C/UD; P4 brown cup B=O/UD.</x:v>
      </x:c>
      <x:c r="O339" s="31" t="str">
        <x:v>white cup B</x:v>
      </x:c>
      <x:c r="P339" s="31" t="str"/>
      <x:c r="Q339" s="31" t="str"/>
      <x:c r="R339" s="31" t="str"/>
      <x:c r="S339" s="31" t="str">
        <x:f>IF('Blind Scoring'!I339="","",'Blind Scoring'!I339)</x:f>
      </x:c>
      <x:c r="T339" s="31" t="str">
        <x:f>'Blind Scoring'!J339</x:f>
        <x:v>No</x:v>
      </x:c>
      <x:c r="U339" s="31" t="str">
        <x:f>IF('Blind Scoring'!L339="","",'Blind Scoring'!L339)</x:f>
      </x:c>
    </x:row>
    <x:row r="340" ht="44" customHeight="1">
      <x:c r="A340" s="35" t="str">
        <x:v>Not Started</x:v>
      </x:c>
      <x:c r="B340" s="35" t="n">
        <x:v>338</x:v>
      </x:c>
      <x:c r="C340" s="35" t="str">
        <x:v>P06</x:v>
      </x:c>
      <x:c r="D340" s="35" t="n">
        <x:v>29</x:v>
      </x:c>
      <x:c r="E340" s="35" t="str">
        <x:v>Primary VLA</x:v>
      </x:c>
      <x:c r="F340" s="35" t="str">
        <x:v>VLA-0</x:v>
      </x:c>
      <x:c r="G340" s="35" t="n">
        <x:v>1</x:v>
      </x:c>
      <x:c r="H340" s="35" t="str">
        <x:v>State Recognition</x:v>
      </x:c>
      <x:c r="I340" s="35" t="str">
        <x:v>Main held-out transfer</x:v>
      </x:c>
      <x:c r="J340" s="35" t="str">
        <x:v>PVLA-ST-TR-08</x:v>
      </x:c>
      <x:c r="K340" s="35" t="str">
        <x:v>S-CF15</x:v>
      </x:c>
      <x:c r="L340" s="31" t="str">
        <x:v>Place the closed yellow-white striped cup in the bowl.</x:v>
      </x:c>
      <x:c r="M340" s="31" t="str">
        <x:v>Place the closed yellow-white striped cup in the bowl.</x:v>
      </x:c>
      <x:c r="N340" s="31" t="str">
        <x:v>S-CF15-HELD: P1 brown cup A=C/UR; P2 glass spice container A=O/UR; P3 yellow-white striped cup A=C/UD [TARGET]; P4 yellow-white striped cup B=O/UD [COMPETITOR].</x:v>
      </x:c>
      <x:c r="O340" s="31" t="str">
        <x:v>yellow-white striped cup A</x:v>
      </x:c>
      <x:c r="P340" s="31" t="str"/>
      <x:c r="Q340" s="31" t="str"/>
      <x:c r="R340" s="31" t="str"/>
      <x:c r="S340" s="31" t="str">
        <x:f>IF('Blind Scoring'!I340="","",'Blind Scoring'!I340)</x:f>
      </x:c>
      <x:c r="T340" s="31" t="str">
        <x:f>'Blind Scoring'!J340</x:f>
        <x:v>No</x:v>
      </x:c>
      <x:c r="U340" s="31" t="str">
        <x:f>IF('Blind Scoring'!L340="","",'Blind Scoring'!L340)</x:f>
      </x:c>
    </x:row>
    <x:row r="341" ht="44" customHeight="1">
      <x:c r="A341" s="35" t="str">
        <x:v>Not Started</x:v>
      </x:c>
      <x:c r="B341" s="35" t="n">
        <x:v>339</x:v>
      </x:c>
      <x:c r="C341" s="35" t="str">
        <x:v>P06</x:v>
      </x:c>
      <x:c r="D341" s="35" t="n">
        <x:v>30</x:v>
      </x:c>
      <x:c r="E341" s="35" t="str">
        <x:v>Primary VLA</x:v>
      </x:c>
      <x:c r="F341" s="35" t="str">
        <x:v>VLA-0</x:v>
      </x:c>
      <x:c r="G341" s="35" t="n">
        <x:v>1</x:v>
      </x:c>
      <x:c r="H341" s="35" t="str">
        <x:v>State Recognition</x:v>
      </x:c>
      <x:c r="I341" s="35" t="str">
        <x:v>Main held-out transfer</x:v>
      </x:c>
      <x:c r="J341" s="35" t="str">
        <x:v>PVLA-ST-TR-06</x:v>
      </x:c>
      <x:c r="K341" s="35" t="str">
        <x:v>S-CF11</x:v>
      </x:c>
      <x:c r="L341" s="31" t="str">
        <x:v>Place the closed glass spice container in the bowl.</x:v>
      </x:c>
      <x:c r="M341" s="31" t="str">
        <x:v>Place the closed glass spice container in the bowl.</x:v>
      </x:c>
      <x:c r="N341" s="31" t="str">
        <x:v>S-CF11-HELD: P1 white cup A=C/UR; P2 yellow-white striped cup A=O/UR; P3 glass spice container B=C/UD [TARGET]; P4 glass spice container A=O/UD [COMPETITOR].</x:v>
      </x:c>
      <x:c r="O341" s="31" t="str">
        <x:v>glass spice container B</x:v>
      </x:c>
      <x:c r="P341" s="31" t="str"/>
      <x:c r="Q341" s="31" t="str"/>
      <x:c r="R341" s="31" t="str"/>
      <x:c r="S341" s="31" t="str">
        <x:f>IF('Blind Scoring'!I341="","",'Blind Scoring'!I341)</x:f>
      </x:c>
      <x:c r="T341" s="31" t="str">
        <x:f>'Blind Scoring'!J341</x:f>
        <x:v>No</x:v>
      </x:c>
      <x:c r="U341" s="31" t="str">
        <x:f>IF('Blind Scoring'!L341="","",'Blind Scoring'!L341)</x:f>
      </x:c>
    </x:row>
    <x:row r="342" ht="44" customHeight="1">
      <x:c r="A342" s="35" t="str">
        <x:v>Not Started</x:v>
      </x:c>
      <x:c r="B342" s="35" t="n">
        <x:v>340</x:v>
      </x:c>
      <x:c r="C342" s="35" t="str">
        <x:v>P06</x:v>
      </x:c>
      <x:c r="D342" s="35" t="n">
        <x:v>31</x:v>
      </x:c>
      <x:c r="E342" s="35" t="str">
        <x:v>Primary VLA</x:v>
      </x:c>
      <x:c r="F342" s="35" t="str">
        <x:v>VLA-0</x:v>
      </x:c>
      <x:c r="G342" s="35" t="n">
        <x:v>1</x:v>
      </x:c>
      <x:c r="H342" s="35" t="str">
        <x:v>State Recognition</x:v>
      </x:c>
      <x:c r="I342" s="35" t="str">
        <x:v>Novel layout + seen language</x:v>
      </x:c>
      <x:c r="J342" s="35" t="str">
        <x:v>PVLA-ST-NOV-03</x:v>
      </x:c>
      <x:c r="K342" s="35" t="str">
        <x:v>S-CF06</x:v>
      </x:c>
      <x:c r="L342" s="31" t="str">
        <x:v>Place the upside-down glass spice container in the bowl.</x:v>
      </x:c>
      <x:c r="M342" s="31" t="str">
        <x:v>Place the upside-down glass spice container in the bowl.</x:v>
      </x:c>
      <x:c r="N342" s="31" t="str">
        <x:v>S-CF06-SEEN: P1 white cup B=C/UR; P2 glass spice container A=O/UR [TARGET]; P3 glass spice container B=O/UD [COMPETITOR]; P4 yellow-white striped cup B=C/UD.</x:v>
      </x:c>
      <x:c r="O342" s="31" t="str">
        <x:v>glass spice container B</x:v>
      </x:c>
      <x:c r="P342" s="31" t="str"/>
      <x:c r="Q342" s="31" t="str"/>
      <x:c r="R342" s="31" t="str"/>
      <x:c r="S342" s="31" t="str">
        <x:f>IF('Blind Scoring'!I342="","",'Blind Scoring'!I342)</x:f>
      </x:c>
      <x:c r="T342" s="31" t="str">
        <x:f>'Blind Scoring'!J342</x:f>
        <x:v>No</x:v>
      </x:c>
      <x:c r="U342" s="31" t="str">
        <x:f>IF('Blind Scoring'!L342="","",'Blind Scoring'!L342)</x:f>
      </x:c>
    </x:row>
    <x:row r="343" ht="44" customHeight="1">
      <x:c r="A343" s="35" t="str">
        <x:v>Not Started</x:v>
      </x:c>
      <x:c r="B343" s="35" t="n">
        <x:v>341</x:v>
      </x:c>
      <x:c r="C343" s="35" t="str">
        <x:v>P06</x:v>
      </x:c>
      <x:c r="D343" s="35" t="n">
        <x:v>32</x:v>
      </x:c>
      <x:c r="E343" s="35" t="str">
        <x:v>Primary VLA</x:v>
      </x:c>
      <x:c r="F343" s="35" t="str">
        <x:v>VLA-0</x:v>
      </x:c>
      <x:c r="G343" s="35" t="n">
        <x:v>1</x:v>
      </x:c>
      <x:c r="H343" s="35" t="str">
        <x:v>State Recognition</x:v>
      </x:c>
      <x:c r="I343" s="35" t="str">
        <x:v>Main held-out transfer</x:v>
      </x:c>
      <x:c r="J343" s="35" t="str">
        <x:v>PVLA-ST-TR-16</x:v>
      </x:c>
      <x:c r="K343" s="35" t="str">
        <x:v>S-CF30</x:v>
      </x:c>
      <x:c r="L343" s="31" t="str">
        <x:v>Place the upright glass spice container in the bowl.</x:v>
      </x:c>
      <x:c r="M343" s="31" t="str">
        <x:v>Place the upright glass spice container in the bowl.</x:v>
      </x:c>
      <x:c r="N343" s="31" t="str">
        <x:v>S-CF30-HELD: P1 white cup B=C/UR; P2 glass spice container A=O/UR [TARGET]; P3 glass spice container B=O/UD [COMPETITOR]; P4 yellow-white striped cup B=C/UD.</x:v>
      </x:c>
      <x:c r="O343" s="31" t="str">
        <x:v>glass spice container A</x:v>
      </x:c>
      <x:c r="P343" s="31" t="str"/>
      <x:c r="Q343" s="31" t="str"/>
      <x:c r="R343" s="31" t="str"/>
      <x:c r="S343" s="31" t="str">
        <x:f>IF('Blind Scoring'!I343="","",'Blind Scoring'!I343)</x:f>
      </x:c>
      <x:c r="T343" s="31" t="str">
        <x:f>'Blind Scoring'!J343</x:f>
        <x:v>No</x:v>
      </x:c>
      <x:c r="U343" s="31" t="str">
        <x:f>IF('Blind Scoring'!L343="","",'Blind Scoring'!L343)</x:f>
      </x:c>
    </x:row>
    <x:row r="344" ht="44" customHeight="1">
      <x:c r="A344" s="35" t="str">
        <x:v>Not Started</x:v>
      </x:c>
      <x:c r="B344" s="35" t="n">
        <x:v>342</x:v>
      </x:c>
      <x:c r="C344" s="35" t="str">
        <x:v>P06</x:v>
      </x:c>
      <x:c r="D344" s="35" t="n">
        <x:v>33</x:v>
      </x:c>
      <x:c r="E344" s="35" t="str">
        <x:v>Primary VLA</x:v>
      </x:c>
      <x:c r="F344" s="35" t="str">
        <x:v>VLA-0</x:v>
      </x:c>
      <x:c r="G344" s="35" t="n">
        <x:v>1</x:v>
      </x:c>
      <x:c r="H344" s="35" t="str">
        <x:v>State Recognition</x:v>
      </x:c>
      <x:c r="I344" s="35" t="str">
        <x:v>Language ablation — counterfactual</x:v>
      </x:c>
      <x:c r="J344" s="35" t="str">
        <x:v>PVLA-ST-ABL-CF-01</x:v>
      </x:c>
      <x:c r="K344" s="35" t="str">
        <x:v>S-CF09</x:v>
      </x:c>
      <x:c r="L344" s="31" t="str">
        <x:v>Place the open white cup in the bowl.</x:v>
      </x:c>
      <x:c r="M344" s="31" t="str">
        <x:v>Place the open white cup in the bowl.</x:v>
      </x:c>
      <x:c r="N344" s="31" t="str">
        <x:v>S-CF09-HELD: P1 white cup A=C/UR [TARGET]; P2 white cup B=O/UR [COMPETITOR]; P3 yellow-white striped cup A=C/UD; P4 brown cup B=O/UD.</x:v>
      </x:c>
      <x:c r="O344" s="31" t="str">
        <x:v>white cup B</x:v>
      </x:c>
      <x:c r="P344" s="31" t="str"/>
      <x:c r="Q344" s="31" t="str"/>
      <x:c r="R344" s="31" t="str"/>
      <x:c r="S344" s="31" t="str">
        <x:f>IF('Blind Scoring'!I344="","",'Blind Scoring'!I344)</x:f>
      </x:c>
      <x:c r="T344" s="31" t="str">
        <x:f>'Blind Scoring'!J344</x:f>
        <x:v>No</x:v>
      </x:c>
      <x:c r="U344" s="31" t="str">
        <x:f>IF('Blind Scoring'!L344="","",'Blind Scoring'!L344)</x:f>
      </x:c>
    </x:row>
    <x:row r="345" ht="44" customHeight="1">
      <x:c r="A345" s="35" t="str">
        <x:v>Not Started</x:v>
      </x:c>
      <x:c r="B345" s="35" t="n">
        <x:v>343</x:v>
      </x:c>
      <x:c r="C345" s="35" t="str">
        <x:v>P06</x:v>
      </x:c>
      <x:c r="D345" s="35" t="n">
        <x:v>34</x:v>
      </x:c>
      <x:c r="E345" s="35" t="str">
        <x:v>Primary VLA</x:v>
      </x:c>
      <x:c r="F345" s="35" t="str">
        <x:v>VLA-0</x:v>
      </x:c>
      <x:c r="G345" s="35" t="n">
        <x:v>1</x:v>
      </x:c>
      <x:c r="H345" s="35" t="str">
        <x:v>State Recognition</x:v>
      </x:c>
      <x:c r="I345" s="35" t="str">
        <x:v>Main held-out transfer</x:v>
      </x:c>
      <x:c r="J345" s="35" t="str">
        <x:v>PVLA-ST-TR-07</x:v>
      </x:c>
      <x:c r="K345" s="35" t="str">
        <x:v>S-CF13</x:v>
      </x:c>
      <x:c r="L345" s="31" t="str">
        <x:v>Place the closed brown cup in the bowl.</x:v>
      </x:c>
      <x:c r="M345" s="31" t="str">
        <x:v>Place the closed brown cup in the bowl.</x:v>
      </x:c>
      <x:c r="N345" s="31" t="str">
        <x:v>S-CF13-HELD: P1 brown cup A=C/UR [TARGET]; P2 brown cup B=O/UR [COMPETITOR]; P3 glass spice container A=C/UD; P4 white cup B=O/UD.</x:v>
      </x:c>
      <x:c r="O345" s="31" t="str">
        <x:v>brown cup A</x:v>
      </x:c>
      <x:c r="P345" s="31" t="str"/>
      <x:c r="Q345" s="31" t="str"/>
      <x:c r="R345" s="31" t="str"/>
      <x:c r="S345" s="31" t="str">
        <x:f>IF('Blind Scoring'!I345="","",'Blind Scoring'!I345)</x:f>
      </x:c>
      <x:c r="T345" s="31" t="str">
        <x:f>'Blind Scoring'!J345</x:f>
        <x:v>No</x:v>
      </x:c>
      <x:c r="U345" s="31" t="str">
        <x:f>IF('Blind Scoring'!L345="","",'Blind Scoring'!L345)</x:f>
      </x:c>
    </x:row>
    <x:row r="346" ht="44" customHeight="1">
      <x:c r="A346" s="35" t="str">
        <x:v>Not Started</x:v>
      </x:c>
      <x:c r="B346" s="35" t="n">
        <x:v>344</x:v>
      </x:c>
      <x:c r="C346" s="35" t="str">
        <x:v>P06</x:v>
      </x:c>
      <x:c r="D346" s="35" t="n">
        <x:v>35</x:v>
      </x:c>
      <x:c r="E346" s="35" t="str">
        <x:v>Primary VLA</x:v>
      </x:c>
      <x:c r="F346" s="35" t="str">
        <x:v>VLA-0</x:v>
      </x:c>
      <x:c r="G346" s="35" t="n">
        <x:v>1</x:v>
      </x:c>
      <x:c r="H346" s="35" t="str">
        <x:v>State Recognition</x:v>
      </x:c>
      <x:c r="I346" s="35" t="str">
        <x:v>Language ablation — blank</x:v>
      </x:c>
      <x:c r="J346" s="35" t="str">
        <x:v>PVLA-ST-ABL-BLK-01</x:v>
      </x:c>
      <x:c r="K346" s="35" t="str">
        <x:v>S-CF01</x:v>
      </x:c>
      <x:c r="L346" s="31" t="str">
        <x:v>[EMPTY STRING — provide no instruction tokens]</x:v>
      </x:c>
      <x:c r="M346" s="31" t="str">
        <x:v>Place the closed white cup in the bowl.</x:v>
      </x:c>
      <x:c r="N346" s="31" t="str">
        <x:v>S-CF01-HELD: P1 white cup A=C/UR [TARGET]; P2 white cup B=O/UR [COMPETITOR]; P3 yellow-white striped cup A=C/UD; P4 brown cup B=O/UD.</x:v>
      </x:c>
      <x:c r="O346" s="31" t="str">
        <x:v>No prespecified task success under blank language; record any action/selected target.</x:v>
      </x:c>
      <x:c r="P346" s="31" t="str"/>
      <x:c r="Q346" s="31" t="str"/>
      <x:c r="R346" s="31" t="str"/>
      <x:c r="S346" s="31" t="str">
        <x:f>IF('Blind Scoring'!I346="","",'Blind Scoring'!I346)</x:f>
      </x:c>
      <x:c r="T346" s="31" t="str">
        <x:f>'Blind Scoring'!J346</x:f>
        <x:v>No</x:v>
      </x:c>
      <x:c r="U346" s="31" t="str">
        <x:f>IF('Blind Scoring'!L346="","",'Blind Scoring'!L346)</x:f>
      </x:c>
    </x:row>
    <x:row r="347" ht="44" customHeight="1">
      <x:c r="A347" s="35" t="str">
        <x:v>Not Started</x:v>
      </x:c>
      <x:c r="B347" s="35" t="n">
        <x:v>345</x:v>
      </x:c>
      <x:c r="C347" s="35" t="str">
        <x:v>P06</x:v>
      </x:c>
      <x:c r="D347" s="35" t="n">
        <x:v>36</x:v>
      </x:c>
      <x:c r="E347" s="35" t="str">
        <x:v>Primary VLA</x:v>
      </x:c>
      <x:c r="F347" s="35" t="str">
        <x:v>VLA-0</x:v>
      </x:c>
      <x:c r="G347" s="35" t="n">
        <x:v>1</x:v>
      </x:c>
      <x:c r="H347" s="35" t="str">
        <x:v>State Recognition</x:v>
      </x:c>
      <x:c r="I347" s="35" t="str">
        <x:v>Main matched control</x:v>
      </x:c>
      <x:c r="J347" s="35" t="str">
        <x:v>PVLA-ST-CTL-07</x:v>
      </x:c>
      <x:c r="K347" s="35" t="str">
        <x:v>S-CF13</x:v>
      </x:c>
      <x:c r="L347" s="31" t="str">
        <x:v>Place a brown cup in the bowl.</x:v>
      </x:c>
      <x:c r="M347" s="31" t="str">
        <x:v>Place a brown cup in the bowl.</x:v>
      </x:c>
      <x:c r="N347" s="31" t="str">
        <x:v>S-CF13-CTRL: P1 brown cup A=C/UR [TARGET]; P3 glass spice container A=C/UD; P4 white cup B=O/UD.</x:v>
      </x:c>
      <x:c r="O347" s="31" t="str">
        <x:v>brown cup A</x:v>
      </x:c>
      <x:c r="P347" s="31" t="str"/>
      <x:c r="Q347" s="31" t="str"/>
      <x:c r="R347" s="31" t="str"/>
      <x:c r="S347" s="31" t="str">
        <x:f>IF('Blind Scoring'!I347="","",'Blind Scoring'!I347)</x:f>
      </x:c>
      <x:c r="T347" s="31" t="str">
        <x:f>'Blind Scoring'!J347</x:f>
        <x:v>No</x:v>
      </x:c>
      <x:c r="U347" s="31" t="str">
        <x:f>IF('Blind Scoring'!L347="","",'Blind Scoring'!L347)</x:f>
      </x:c>
    </x:row>
    <x:row r="348" ht="44" customHeight="1">
      <x:c r="A348" s="35" t="str">
        <x:v>Not Started</x:v>
      </x:c>
      <x:c r="B348" s="35" t="n">
        <x:v>346</x:v>
      </x:c>
      <x:c r="C348" s="35" t="str">
        <x:v>P06</x:v>
      </x:c>
      <x:c r="D348" s="35" t="n">
        <x:v>37</x:v>
      </x:c>
      <x:c r="E348" s="35" t="str">
        <x:v>Primary VLA</x:v>
      </x:c>
      <x:c r="F348" s="35" t="str">
        <x:v>VLA-0</x:v>
      </x:c>
      <x:c r="G348" s="35" t="n">
        <x:v>1</x:v>
      </x:c>
      <x:c r="H348" s="35" t="str">
        <x:v>State Recognition</x:v>
      </x:c>
      <x:c r="I348" s="35" t="str">
        <x:v>Exact-scene paraphrase</x:v>
      </x:c>
      <x:c r="J348" s="35" t="str">
        <x:v>PVLA-ST-PAR-04</x:v>
      </x:c>
      <x:c r="K348" s="35" t="str">
        <x:v>S-CF09</x:v>
      </x:c>
      <x:c r="L348" s="31" t="str">
        <x:v>Move the white cup that is open into the bowl.</x:v>
      </x:c>
      <x:c r="M348" s="31" t="str">
        <x:v>Move the white cup that is open into the bowl.</x:v>
      </x:c>
      <x:c r="N348" s="31" t="str">
        <x:v>S-CF09-PARA: P1 white cup A=C/UR [TARGET]; P2 white cup B=O/UR [COMPETITOR]; P3 yellow-white striped cup A=C/UD; P4 brown cup B=O/UD.</x:v>
      </x:c>
      <x:c r="O348" s="31" t="str">
        <x:v>white cup B</x:v>
      </x:c>
      <x:c r="P348" s="31" t="str"/>
      <x:c r="Q348" s="31" t="str"/>
      <x:c r="R348" s="31" t="str"/>
      <x:c r="S348" s="31" t="str">
        <x:f>IF('Blind Scoring'!I348="","",'Blind Scoring'!I348)</x:f>
      </x:c>
      <x:c r="T348" s="31" t="str">
        <x:f>'Blind Scoring'!J348</x:f>
        <x:v>No</x:v>
      </x:c>
      <x:c r="U348" s="31" t="str">
        <x:f>IF('Blind Scoring'!L348="","",'Blind Scoring'!L348)</x:f>
      </x:c>
    </x:row>
    <x:row r="349" ht="44" customHeight="1">
      <x:c r="A349" s="35" t="str">
        <x:v>Not Started</x:v>
      </x:c>
      <x:c r="B349" s="35" t="n">
        <x:v>347</x:v>
      </x:c>
      <x:c r="C349" s="35" t="str">
        <x:v>P06</x:v>
      </x:c>
      <x:c r="D349" s="35" t="n">
        <x:v>38</x:v>
      </x:c>
      <x:c r="E349" s="35" t="str">
        <x:v>Primary VLA</x:v>
      </x:c>
      <x:c r="F349" s="35" t="str">
        <x:v>VLA-0</x:v>
      </x:c>
      <x:c r="G349" s="35" t="n">
        <x:v>1</x:v>
      </x:c>
      <x:c r="H349" s="35" t="str">
        <x:v>State Recognition</x:v>
      </x:c>
      <x:c r="I349" s="35" t="str">
        <x:v>Main held-out transfer</x:v>
      </x:c>
      <x:c r="J349" s="35" t="str">
        <x:v>PVLA-ST-TR-04</x:v>
      </x:c>
      <x:c r="K349" s="35" t="str">
        <x:v>S-CF07</x:v>
      </x:c>
      <x:c r="L349" s="31" t="str">
        <x:v>Place the closed yellow-white striped cup in the bowl.</x:v>
      </x:c>
      <x:c r="M349" s="31" t="str">
        <x:v>Place the closed yellow-white striped cup in the bowl.</x:v>
      </x:c>
      <x:c r="N349" s="31" t="str">
        <x:v>S-CF07-HELD: P1 brown cup A=C/UR; P2 glass spice container A=O/UR; P3 yellow-white striped cup A=C/UD [TARGET]; P4 yellow-white striped cup B=O/UD [COMPETITOR].</x:v>
      </x:c>
      <x:c r="O349" s="31" t="str">
        <x:v>yellow-white striped cup A</x:v>
      </x:c>
      <x:c r="P349" s="31" t="str"/>
      <x:c r="Q349" s="31" t="str"/>
      <x:c r="R349" s="31" t="str"/>
      <x:c r="S349" s="31" t="str">
        <x:f>IF('Blind Scoring'!I349="","",'Blind Scoring'!I349)</x:f>
      </x:c>
      <x:c r="T349" s="31" t="str">
        <x:f>'Blind Scoring'!J349</x:f>
        <x:v>No</x:v>
      </x:c>
      <x:c r="U349" s="31" t="str">
        <x:f>IF('Blind Scoring'!L349="","",'Blind Scoring'!L349)</x:f>
      </x:c>
    </x:row>
    <x:row r="350" ht="44" customHeight="1">
      <x:c r="A350" s="35" t="str">
        <x:v>Not Started</x:v>
      </x:c>
      <x:c r="B350" s="35" t="n">
        <x:v>348</x:v>
      </x:c>
      <x:c r="C350" s="35" t="str">
        <x:v>P06</x:v>
      </x:c>
      <x:c r="D350" s="35" t="n">
        <x:v>39</x:v>
      </x:c>
      <x:c r="E350" s="35" t="str">
        <x:v>Primary VLA</x:v>
      </x:c>
      <x:c r="F350" s="35" t="str">
        <x:v>VLA-0</x:v>
      </x:c>
      <x:c r="G350" s="35" t="n">
        <x:v>1</x:v>
      </x:c>
      <x:c r="H350" s="35" t="str">
        <x:v>State Recognition</x:v>
      </x:c>
      <x:c r="I350" s="35" t="str">
        <x:v>Exact-scene paraphrase</x:v>
      </x:c>
      <x:c r="J350" s="35" t="str">
        <x:v>PVLA-ST-PAR-01</x:v>
      </x:c>
      <x:c r="K350" s="35" t="str">
        <x:v>S-CF01</x:v>
      </x:c>
      <x:c r="L350" s="31" t="str">
        <x:v>Put the open white cup in the bowl.</x:v>
      </x:c>
      <x:c r="M350" s="31" t="str">
        <x:v>Put the open white cup in the bowl.</x:v>
      </x:c>
      <x:c r="N350" s="31" t="str">
        <x:v>S-CF01-PARA: P1 white cup A=C/UR [TARGET]; P2 white cup B=O/UR [COMPETITOR]; P3 yellow-white striped cup A=C/UD; P4 brown cup B=O/UD.</x:v>
      </x:c>
      <x:c r="O350" s="31" t="str">
        <x:v>white cup B</x:v>
      </x:c>
      <x:c r="P350" s="31" t="str"/>
      <x:c r="Q350" s="31" t="str"/>
      <x:c r="R350" s="31" t="str"/>
      <x:c r="S350" s="31" t="str">
        <x:f>IF('Blind Scoring'!I350="","",'Blind Scoring'!I350)</x:f>
      </x:c>
      <x:c r="T350" s="31" t="str">
        <x:f>'Blind Scoring'!J350</x:f>
        <x:v>No</x:v>
      </x:c>
      <x:c r="U350" s="31" t="str">
        <x:f>IF('Blind Scoring'!L350="","",'Blind Scoring'!L350)</x:f>
      </x:c>
    </x:row>
    <x:row r="351" ht="44" customHeight="1">
      <x:c r="A351" s="35" t="str">
        <x:v>Not Started</x:v>
      </x:c>
      <x:c r="B351" s="35" t="n">
        <x:v>349</x:v>
      </x:c>
      <x:c r="C351" s="35" t="str">
        <x:v>P06</x:v>
      </x:c>
      <x:c r="D351" s="35" t="n">
        <x:v>40</x:v>
      </x:c>
      <x:c r="E351" s="35" t="str">
        <x:v>Primary VLA</x:v>
      </x:c>
      <x:c r="F351" s="35" t="str">
        <x:v>VLA-0</x:v>
      </x:c>
      <x:c r="G351" s="35" t="n">
        <x:v>1</x:v>
      </x:c>
      <x:c r="H351" s="35" t="str">
        <x:v>State Recognition</x:v>
      </x:c>
      <x:c r="I351" s="35" t="str">
        <x:v>Main held-out transfer</x:v>
      </x:c>
      <x:c r="J351" s="35" t="str">
        <x:v>PVLA-ST-TR-14</x:v>
      </x:c>
      <x:c r="K351" s="35" t="str">
        <x:v>S-CF26</x:v>
      </x:c>
      <x:c r="L351" s="31" t="str">
        <x:v>Place the upright yellow-white striped cup in the bowl.</x:v>
      </x:c>
      <x:c r="M351" s="31" t="str">
        <x:v>Place the upright yellow-white striped cup in the bowl.</x:v>
      </x:c>
      <x:c r="N351" s="31" t="str">
        <x:v>S-CF26-HELD: P1 brown cup B=C/UR; P2 yellow-white striped cup B=O/UR [TARGET]; P3 yellow-white striped cup A=O/UD [COMPETITOR]; P4 glass spice container B=C/UD.</x:v>
      </x:c>
      <x:c r="O351" s="31" t="str">
        <x:v>yellow-white striped cup B</x:v>
      </x:c>
      <x:c r="P351" s="31" t="str"/>
      <x:c r="Q351" s="31" t="str"/>
      <x:c r="R351" s="31" t="str"/>
      <x:c r="S351" s="31" t="str">
        <x:f>IF('Blind Scoring'!I351="","",'Blind Scoring'!I351)</x:f>
      </x:c>
      <x:c r="T351" s="31" t="str">
        <x:f>'Blind Scoring'!J351</x:f>
        <x:v>No</x:v>
      </x:c>
      <x:c r="U351" s="31" t="str">
        <x:f>IF('Blind Scoring'!L351="","",'Blind Scoring'!L351)</x:f>
      </x:c>
    </x:row>
    <x:row r="352" ht="44" customHeight="1">
      <x:c r="A352" s="35" t="str">
        <x:v>Not Started</x:v>
      </x:c>
      <x:c r="B352" s="35" t="n">
        <x:v>350</x:v>
      </x:c>
      <x:c r="C352" s="35" t="str">
        <x:v>P06</x:v>
      </x:c>
      <x:c r="D352" s="35" t="n">
        <x:v>41</x:v>
      </x:c>
      <x:c r="E352" s="35" t="str">
        <x:v>Primary VLA</x:v>
      </x:c>
      <x:c r="F352" s="35" t="str">
        <x:v>VLA-0</x:v>
      </x:c>
      <x:c r="G352" s="35" t="n">
        <x:v>1</x:v>
      </x:c>
      <x:c r="H352" s="35" t="str">
        <x:v>State Recognition</x:v>
      </x:c>
      <x:c r="I352" s="35" t="str">
        <x:v>Language ablation — counterfactual</x:v>
      </x:c>
      <x:c r="J352" s="35" t="str">
        <x:v>PVLA-ST-ABL-CF-03</x:v>
      </x:c>
      <x:c r="K352" s="35" t="str">
        <x:v>S-CF13</x:v>
      </x:c>
      <x:c r="L352" s="31" t="str">
        <x:v>Place the open brown cup in the bowl.</x:v>
      </x:c>
      <x:c r="M352" s="31" t="str">
        <x:v>Place the open brown cup in the bowl.</x:v>
      </x:c>
      <x:c r="N352" s="31" t="str">
        <x:v>S-CF13-HELD: P1 brown cup A=C/UR [TARGET]; P2 brown cup B=O/UR [COMPETITOR]; P3 glass spice container A=C/UD; P4 white cup B=O/UD.</x:v>
      </x:c>
      <x:c r="O352" s="31" t="str">
        <x:v>brown cup B</x:v>
      </x:c>
      <x:c r="P352" s="31" t="str"/>
      <x:c r="Q352" s="31" t="str"/>
      <x:c r="R352" s="31" t="str"/>
      <x:c r="S352" s="31" t="str">
        <x:f>IF('Blind Scoring'!I352="","",'Blind Scoring'!I352)</x:f>
      </x:c>
      <x:c r="T352" s="31" t="str">
        <x:f>'Blind Scoring'!J352</x:f>
        <x:v>No</x:v>
      </x:c>
      <x:c r="U352" s="31" t="str">
        <x:f>IF('Blind Scoring'!L352="","",'Blind Scoring'!L352)</x:f>
      </x:c>
    </x:row>
    <x:row r="353" ht="44" customHeight="1">
      <x:c r="A353" s="35" t="str">
        <x:v>Not Started</x:v>
      </x:c>
      <x:c r="B353" s="35" t="n">
        <x:v>351</x:v>
      </x:c>
      <x:c r="C353" s="35" t="str">
        <x:v>P06</x:v>
      </x:c>
      <x:c r="D353" s="35" t="n">
        <x:v>42</x:v>
      </x:c>
      <x:c r="E353" s="35" t="str">
        <x:v>Primary VLA</x:v>
      </x:c>
      <x:c r="F353" s="35" t="str">
        <x:v>VLA-0</x:v>
      </x:c>
      <x:c r="G353" s="35" t="n">
        <x:v>1</x:v>
      </x:c>
      <x:c r="H353" s="35" t="str">
        <x:v>State Recognition</x:v>
      </x:c>
      <x:c r="I353" s="35" t="str">
        <x:v>Training reconstruction</x:v>
      </x:c>
      <x:c r="J353" s="35" t="str">
        <x:v>PVLA-ST-REC-05</x:v>
      </x:c>
      <x:c r="K353" s="35" t="str"/>
      <x:c r="L353" s="31" t="str">
        <x:v>Put the open glass spice container in the bowl.</x:v>
      </x:c>
      <x:c r="M353" s="31" t="str">
        <x:v>Put the open glass spice container in the bowl.</x:v>
      </x:c>
      <x:c r="N353" s="31" t="str">
        <x:v>Reconstruct planned final training episode 160: glass spice container B, glass spice container A, yellow-white striped cup B; start=Home. Match camera, calibration, bowl pose, and object geometry exactly.</x:v>
      </x:c>
      <x:c r="O353" s="31" t="str">
        <x:v>glass spice container B</x:v>
      </x:c>
      <x:c r="P353" s="31" t="str"/>
      <x:c r="Q353" s="31" t="str"/>
      <x:c r="R353" s="31" t="str"/>
      <x:c r="S353" s="31" t="str">
        <x:f>IF('Blind Scoring'!I353="","",'Blind Scoring'!I353)</x:f>
      </x:c>
      <x:c r="T353" s="31" t="str">
        <x:f>'Blind Scoring'!J353</x:f>
        <x:v>No</x:v>
      </x:c>
      <x:c r="U353" s="31" t="str">
        <x:f>IF('Blind Scoring'!L353="","",'Blind Scoring'!L353)</x:f>
      </x:c>
    </x:row>
    <x:row r="354" ht="44" customHeight="1">
      <x:c r="A354" s="35" t="str">
        <x:v>Not Started</x:v>
      </x:c>
      <x:c r="B354" s="35" t="n">
        <x:v>352</x:v>
      </x:c>
      <x:c r="C354" s="35" t="str">
        <x:v>P06</x:v>
      </x:c>
      <x:c r="D354" s="35" t="n">
        <x:v>43</x:v>
      </x:c>
      <x:c r="E354" s="35" t="str">
        <x:v>Primary VLA</x:v>
      </x:c>
      <x:c r="F354" s="35" t="str">
        <x:v>VLA-0</x:v>
      </x:c>
      <x:c r="G354" s="35" t="n">
        <x:v>1</x:v>
      </x:c>
      <x:c r="H354" s="35" t="str">
        <x:v>State Recognition</x:v>
      </x:c>
      <x:c r="I354" s="35" t="str">
        <x:v>Training reconstruction</x:v>
      </x:c>
      <x:c r="J354" s="35" t="str">
        <x:v>PVLA-ST-REC-01</x:v>
      </x:c>
      <x:c r="K354" s="35" t="str"/>
      <x:c r="L354" s="31" t="str">
        <x:v>Move the open white cup into the bowl.</x:v>
      </x:c>
      <x:c r="M354" s="31" t="str">
        <x:v>Move the open white cup into the bowl.</x:v>
      </x:c>
      <x:c r="N354" s="31" t="str">
        <x:v>Reconstruct planned final training episode 2: white cup A, white cup B, glass spice container A, yellow-white striped cup B; start=Home. Match camera, calibration, bowl pose, and object geometry exactly.</x:v>
      </x:c>
      <x:c r="O354" s="31" t="str">
        <x:v>white cup A</x:v>
      </x:c>
      <x:c r="P354" s="31" t="str"/>
      <x:c r="Q354" s="31" t="str"/>
      <x:c r="R354" s="31" t="str"/>
      <x:c r="S354" s="31" t="str">
        <x:f>IF('Blind Scoring'!I354="","",'Blind Scoring'!I354)</x:f>
      </x:c>
      <x:c r="T354" s="31" t="str">
        <x:f>'Blind Scoring'!J354</x:f>
        <x:v>No</x:v>
      </x:c>
      <x:c r="U354" s="31" t="str">
        <x:f>IF('Blind Scoring'!L354="","",'Blind Scoring'!L354)</x:f>
      </x:c>
    </x:row>
    <x:row r="355" ht="44" customHeight="1">
      <x:c r="A355" s="35" t="str">
        <x:v>Not Started</x:v>
      </x:c>
      <x:c r="B355" s="35" t="n">
        <x:v>353</x:v>
      </x:c>
      <x:c r="C355" s="35" t="str">
        <x:v>P06</x:v>
      </x:c>
      <x:c r="D355" s="35" t="n">
        <x:v>44</x:v>
      </x:c>
      <x:c r="E355" s="35" t="str">
        <x:v>Primary VLA</x:v>
      </x:c>
      <x:c r="F355" s="35" t="str">
        <x:v>VLA-0</x:v>
      </x:c>
      <x:c r="G355" s="35" t="n">
        <x:v>1</x:v>
      </x:c>
      <x:c r="H355" s="35" t="str">
        <x:v>State Recognition</x:v>
      </x:c>
      <x:c r="I355" s="35" t="str">
        <x:v>Main held-out transfer</x:v>
      </x:c>
      <x:c r="J355" s="35" t="str">
        <x:v>PVLA-ST-TR-10</x:v>
      </x:c>
      <x:c r="K355" s="35" t="str">
        <x:v>S-CF18</x:v>
      </x:c>
      <x:c r="L355" s="31" t="str">
        <x:v>Place the upright yellow-white striped cup in the bowl.</x:v>
      </x:c>
      <x:c r="M355" s="31" t="str">
        <x:v>Place the upright yellow-white striped cup in the bowl.</x:v>
      </x:c>
      <x:c r="N355" s="31" t="str">
        <x:v>S-CF18-HELD: P1 brown cup B=C/UR; P2 yellow-white striped cup B=O/UR [TARGET]; P3 yellow-white striped cup A=O/UD [COMPETITOR]; P4 glass spice container B=C/UD.</x:v>
      </x:c>
      <x:c r="O355" s="31" t="str">
        <x:v>yellow-white striped cup B</x:v>
      </x:c>
      <x:c r="P355" s="31" t="str"/>
      <x:c r="Q355" s="31" t="str"/>
      <x:c r="R355" s="31" t="str"/>
      <x:c r="S355" s="31" t="str">
        <x:f>IF('Blind Scoring'!I355="","",'Blind Scoring'!I355)</x:f>
      </x:c>
      <x:c r="T355" s="31" t="str">
        <x:f>'Blind Scoring'!J355</x:f>
        <x:v>No</x:v>
      </x:c>
      <x:c r="U355" s="31" t="str">
        <x:f>IF('Blind Scoring'!L355="","",'Blind Scoring'!L355)</x:f>
      </x:c>
    </x:row>
    <x:row r="356" ht="44" customHeight="1">
      <x:c r="A356" s="35" t="str">
        <x:v>Not Started</x:v>
      </x:c>
      <x:c r="B356" s="35" t="n">
        <x:v>354</x:v>
      </x:c>
      <x:c r="C356" s="35" t="str">
        <x:v>P06</x:v>
      </x:c>
      <x:c r="D356" s="35" t="n">
        <x:v>45</x:v>
      </x:c>
      <x:c r="E356" s="35" t="str">
        <x:v>Primary VLA</x:v>
      </x:c>
      <x:c r="F356" s="35" t="str">
        <x:v>VLA-0</x:v>
      </x:c>
      <x:c r="G356" s="35" t="n">
        <x:v>1</x:v>
      </x:c>
      <x:c r="H356" s="35" t="str">
        <x:v>State Recognition</x:v>
      </x:c>
      <x:c r="I356" s="35" t="str">
        <x:v>Main held-out transfer</x:v>
      </x:c>
      <x:c r="J356" s="35" t="str">
        <x:v>PVLA-ST-TR-02</x:v>
      </x:c>
      <x:c r="K356" s="35" t="str">
        <x:v>S-CF03</x:v>
      </x:c>
      <x:c r="L356" s="31" t="str">
        <x:v>Place the closed glass spice container in the bowl.</x:v>
      </x:c>
      <x:c r="M356" s="31" t="str">
        <x:v>Place the closed glass spice container in the bowl.</x:v>
      </x:c>
      <x:c r="N356" s="31" t="str">
        <x:v>S-CF03-HELD: P1 white cup A=C/UR; P2 yellow-white striped cup A=O/UR; P3 glass spice container B=C/UD [TARGET]; P4 glass spice container A=O/UD [COMPETITOR].</x:v>
      </x:c>
      <x:c r="O356" s="31" t="str">
        <x:v>glass spice container B</x:v>
      </x:c>
      <x:c r="P356" s="31" t="str"/>
      <x:c r="Q356" s="31" t="str"/>
      <x:c r="R356" s="31" t="str"/>
      <x:c r="S356" s="31" t="str">
        <x:f>IF('Blind Scoring'!I356="","",'Blind Scoring'!I356)</x:f>
      </x:c>
      <x:c r="T356" s="31" t="str">
        <x:f>'Blind Scoring'!J356</x:f>
        <x:v>No</x:v>
      </x:c>
      <x:c r="U356" s="31" t="str">
        <x:f>IF('Blind Scoring'!L356="","",'Blind Scoring'!L356)</x:f>
      </x:c>
    </x:row>
    <x:row r="357" ht="44" customHeight="1">
      <x:c r="A357" s="35" t="str">
        <x:v>Not Started</x:v>
      </x:c>
      <x:c r="B357" s="35" t="n">
        <x:v>355</x:v>
      </x:c>
      <x:c r="C357" s="35" t="str">
        <x:v>P06</x:v>
      </x:c>
      <x:c r="D357" s="35" t="n">
        <x:v>46</x:v>
      </x:c>
      <x:c r="E357" s="35" t="str">
        <x:v>Primary VLA</x:v>
      </x:c>
      <x:c r="F357" s="35" t="str">
        <x:v>VLA-0</x:v>
      </x:c>
      <x:c r="G357" s="35" t="n">
        <x:v>1</x:v>
      </x:c>
      <x:c r="H357" s="35" t="str">
        <x:v>State Recognition</x:v>
      </x:c>
      <x:c r="I357" s="35" t="str">
        <x:v>Main matched control</x:v>
      </x:c>
      <x:c r="J357" s="35" t="str">
        <x:v>PVLA-ST-CTL-03</x:v>
      </x:c>
      <x:c r="K357" s="35" t="str">
        <x:v>S-CF05</x:v>
      </x:c>
      <x:c r="L357" s="31" t="str">
        <x:v>Place a brown cup in the bowl.</x:v>
      </x:c>
      <x:c r="M357" s="31" t="str">
        <x:v>Place a brown cup in the bowl.</x:v>
      </x:c>
      <x:c r="N357" s="31" t="str">
        <x:v>S-CF05-CTRL: P1 brown cup A=C/UR [TARGET]; P3 glass spice container A=C/UD; P4 white cup B=O/UD.</x:v>
      </x:c>
      <x:c r="O357" s="31" t="str">
        <x:v>brown cup A</x:v>
      </x:c>
      <x:c r="P357" s="31" t="str"/>
      <x:c r="Q357" s="31" t="str"/>
      <x:c r="R357" s="31" t="str"/>
      <x:c r="S357" s="31" t="str">
        <x:f>IF('Blind Scoring'!I357="","",'Blind Scoring'!I357)</x:f>
      </x:c>
      <x:c r="T357" s="31" t="str">
        <x:f>'Blind Scoring'!J357</x:f>
        <x:v>No</x:v>
      </x:c>
      <x:c r="U357" s="31" t="str">
        <x:f>IF('Blind Scoring'!L357="","",'Blind Scoring'!L357)</x:f>
      </x:c>
    </x:row>
    <x:row r="358" ht="44" customHeight="1">
      <x:c r="A358" s="35" t="str">
        <x:v>Not Started</x:v>
      </x:c>
      <x:c r="B358" s="35" t="n">
        <x:v>356</x:v>
      </x:c>
      <x:c r="C358" s="35" t="str">
        <x:v>P06</x:v>
      </x:c>
      <x:c r="D358" s="35" t="n">
        <x:v>47</x:v>
      </x:c>
      <x:c r="E358" s="35" t="str">
        <x:v>Primary VLA</x:v>
      </x:c>
      <x:c r="F358" s="35" t="str">
        <x:v>VLA-0</x:v>
      </x:c>
      <x:c r="G358" s="35" t="n">
        <x:v>1</x:v>
      </x:c>
      <x:c r="H358" s="35" t="str">
        <x:v>State Recognition</x:v>
      </x:c>
      <x:c r="I358" s="35" t="str">
        <x:v>Main matched control</x:v>
      </x:c>
      <x:c r="J358" s="35" t="str">
        <x:v>PVLA-ST-CTL-13</x:v>
      </x:c>
      <x:c r="K358" s="35" t="str">
        <x:v>S-CF24</x:v>
      </x:c>
      <x:c r="L358" s="31" t="str">
        <x:v>Place a brown cup in the bowl.</x:v>
      </x:c>
      <x:c r="M358" s="31" t="str">
        <x:v>Place a brown cup in the bowl.</x:v>
      </x:c>
      <x:c r="N358" s="31" t="str">
        <x:v>S-CF24-CTRL: P2 glass spice container B=O/UR; P3 white cup A=O/UD; P4 brown cup B=C/UR [TARGET].</x:v>
      </x:c>
      <x:c r="O358" s="31" t="str">
        <x:v>brown cup B</x:v>
      </x:c>
      <x:c r="P358" s="31" t="str"/>
      <x:c r="Q358" s="31" t="str"/>
      <x:c r="R358" s="31" t="str"/>
      <x:c r="S358" s="31" t="str">
        <x:f>IF('Blind Scoring'!I358="","",'Blind Scoring'!I358)</x:f>
      </x:c>
      <x:c r="T358" s="31" t="str">
        <x:f>'Blind Scoring'!J358</x:f>
        <x:v>No</x:v>
      </x:c>
      <x:c r="U358" s="31" t="str">
        <x:f>IF('Blind Scoring'!L358="","",'Blind Scoring'!L358)</x:f>
      </x:c>
    </x:row>
    <x:row r="359" ht="44" customHeight="1">
      <x:c r="A359" s="35" t="str">
        <x:v>Not Started</x:v>
      </x:c>
      <x:c r="B359" s="35" t="n">
        <x:v>357</x:v>
      </x:c>
      <x:c r="C359" s="35" t="str">
        <x:v>P06</x:v>
      </x:c>
      <x:c r="D359" s="35" t="n">
        <x:v>48</x:v>
      </x:c>
      <x:c r="E359" s="35" t="str">
        <x:v>Primary VLA</x:v>
      </x:c>
      <x:c r="F359" s="35" t="str">
        <x:v>VLA-0</x:v>
      </x:c>
      <x:c r="G359" s="35" t="n">
        <x:v>1</x:v>
      </x:c>
      <x:c r="H359" s="35" t="str">
        <x:v>State Recognition</x:v>
      </x:c>
      <x:c r="I359" s="35" t="str">
        <x:v>Language ablation — counterfactual</x:v>
      </x:c>
      <x:c r="J359" s="35" t="str">
        <x:v>PVLA-ST-ABL-CF-04</x:v>
      </x:c>
      <x:c r="K359" s="35" t="str">
        <x:v>S-CF15</x:v>
      </x:c>
      <x:c r="L359" s="31" t="str">
        <x:v>Place the open yellow-white striped cup in the bowl.</x:v>
      </x:c>
      <x:c r="M359" s="31" t="str">
        <x:v>Place the open yellow-white striped cup in the bowl.</x:v>
      </x:c>
      <x:c r="N359" s="31" t="str">
        <x:v>S-CF15-HELD: P1 brown cup A=C/UR; P2 glass spice container A=O/UR; P3 yellow-white striped cup A=C/UD [TARGET]; P4 yellow-white striped cup B=O/UD [COMPETITOR].</x:v>
      </x:c>
      <x:c r="O359" s="31" t="str">
        <x:v>yellow-white striped cup B</x:v>
      </x:c>
      <x:c r="P359" s="31" t="str"/>
      <x:c r="Q359" s="31" t="str"/>
      <x:c r="R359" s="31" t="str"/>
      <x:c r="S359" s="31" t="str">
        <x:f>IF('Blind Scoring'!I359="","",'Blind Scoring'!I359)</x:f>
      </x:c>
      <x:c r="T359" s="31" t="str">
        <x:f>'Blind Scoring'!J359</x:f>
        <x:v>No</x:v>
      </x:c>
      <x:c r="U359" s="31" t="str">
        <x:f>IF('Blind Scoring'!L359="","",'Blind Scoring'!L359)</x:f>
      </x:c>
    </x:row>
    <x:row r="360" ht="44" customHeight="1">
      <x:c r="A360" s="35" t="str">
        <x:v>Not Started</x:v>
      </x:c>
      <x:c r="B360" s="35" t="n">
        <x:v>358</x:v>
      </x:c>
      <x:c r="C360" s="35" t="str">
        <x:v>P06</x:v>
      </x:c>
      <x:c r="D360" s="35" t="n">
        <x:v>49</x:v>
      </x:c>
      <x:c r="E360" s="35" t="str">
        <x:v>Primary VLA</x:v>
      </x:c>
      <x:c r="F360" s="35" t="str">
        <x:v>VLA-0</x:v>
      </x:c>
      <x:c r="G360" s="35" t="n">
        <x:v>1</x:v>
      </x:c>
      <x:c r="H360" s="35" t="str">
        <x:v>State Recognition</x:v>
      </x:c>
      <x:c r="I360" s="35" t="str">
        <x:v>Main matched control</x:v>
      </x:c>
      <x:c r="J360" s="35" t="str">
        <x:v>PVLA-ST-CTL-04</x:v>
      </x:c>
      <x:c r="K360" s="35" t="str">
        <x:v>S-CF07</x:v>
      </x:c>
      <x:c r="L360" s="31" t="str">
        <x:v>Place a yellow-white striped cup in the bowl.</x:v>
      </x:c>
      <x:c r="M360" s="31" t="str">
        <x:v>Place a yellow-white striped cup in the bowl.</x:v>
      </x:c>
      <x:c r="N360" s="31" t="str">
        <x:v>S-CF07-CTRL: P1 brown cup A=C/UR; P2 glass spice container A=O/UR; P3 yellow-white striped cup A=C/UD [TARGET].</x:v>
      </x:c>
      <x:c r="O360" s="31" t="str">
        <x:v>yellow-white striped cup A</x:v>
      </x:c>
      <x:c r="P360" s="31" t="str"/>
      <x:c r="Q360" s="31" t="str"/>
      <x:c r="R360" s="31" t="str"/>
      <x:c r="S360" s="31" t="str">
        <x:f>IF('Blind Scoring'!I360="","",'Blind Scoring'!I360)</x:f>
      </x:c>
      <x:c r="T360" s="31" t="str">
        <x:f>'Blind Scoring'!J360</x:f>
        <x:v>No</x:v>
      </x:c>
      <x:c r="U360" s="31" t="str">
        <x:f>IF('Blind Scoring'!L360="","",'Blind Scoring'!L360)</x:f>
      </x:c>
    </x:row>
    <x:row r="361" ht="44" customHeight="1">
      <x:c r="A361" s="35" t="str">
        <x:v>Not Started</x:v>
      </x:c>
      <x:c r="B361" s="35" t="n">
        <x:v>359</x:v>
      </x:c>
      <x:c r="C361" s="35" t="str">
        <x:v>P06</x:v>
      </x:c>
      <x:c r="D361" s="35" t="n">
        <x:v>50</x:v>
      </x:c>
      <x:c r="E361" s="35" t="str">
        <x:v>Primary VLA</x:v>
      </x:c>
      <x:c r="F361" s="35" t="str">
        <x:v>VLA-0</x:v>
      </x:c>
      <x:c r="G361" s="35" t="n">
        <x:v>1</x:v>
      </x:c>
      <x:c r="H361" s="35" t="str">
        <x:v>State Recognition</x:v>
      </x:c>
      <x:c r="I361" s="35" t="str">
        <x:v>Training reconstruction</x:v>
      </x:c>
      <x:c r="J361" s="35" t="str">
        <x:v>PVLA-ST-REC-02</x:v>
      </x:c>
      <x:c r="K361" s="35" t="str"/>
      <x:c r="L361" s="31" t="str">
        <x:v>Put a yellow-white striped cup in the bowl.</x:v>
      </x:c>
      <x:c r="M361" s="31" t="str">
        <x:v>Put a yellow-white striped cup in the bowl.</x:v>
      </x:c>
      <x:c r="N361" s="31" t="str">
        <x:v>Reconstruct planned final training episode 52: yellow-white striped cup A, white cup A, brown cup B; start=Home. Match camera, calibration, bowl pose, and object geometry exactly.</x:v>
      </x:c>
      <x:c r="O361" s="31" t="str">
        <x:v>yellow-white striped cup A</x:v>
      </x:c>
      <x:c r="P361" s="31" t="str"/>
      <x:c r="Q361" s="31" t="str"/>
      <x:c r="R361" s="31" t="str"/>
      <x:c r="S361" s="31" t="str">
        <x:f>IF('Blind Scoring'!I361="","",'Blind Scoring'!I361)</x:f>
      </x:c>
      <x:c r="T361" s="31" t="str">
        <x:f>'Blind Scoring'!J361</x:f>
        <x:v>No</x:v>
      </x:c>
      <x:c r="U361" s="31" t="str">
        <x:f>IF('Blind Scoring'!L361="","",'Blind Scoring'!L361)</x:f>
      </x:c>
    </x:row>
    <x:row r="362" ht="44" customHeight="1">
      <x:c r="A362" s="35" t="str">
        <x:v>Not Started</x:v>
      </x:c>
      <x:c r="B362" s="35" t="n">
        <x:v>360</x:v>
      </x:c>
      <x:c r="C362" s="35" t="str">
        <x:v>P06</x:v>
      </x:c>
      <x:c r="D362" s="35" t="n">
        <x:v>51</x:v>
      </x:c>
      <x:c r="E362" s="35" t="str">
        <x:v>Primary VLA</x:v>
      </x:c>
      <x:c r="F362" s="35" t="str">
        <x:v>VLA-0</x:v>
      </x:c>
      <x:c r="G362" s="35" t="n">
        <x:v>1</x:v>
      </x:c>
      <x:c r="H362" s="35" t="str">
        <x:v>State Recognition</x:v>
      </x:c>
      <x:c r="I362" s="35" t="str">
        <x:v>Training reconstruction</x:v>
      </x:c>
      <x:c r="J362" s="35" t="str">
        <x:v>PVLA-ST-REC-04</x:v>
      </x:c>
      <x:c r="K362" s="35" t="str"/>
      <x:c r="L362" s="31" t="str">
        <x:v>Move the open brown cup into the bowl.</x:v>
      </x:c>
      <x:c r="M362" s="31" t="str">
        <x:v>Move the open brown cup into the bowl.</x:v>
      </x:c>
      <x:c r="N362" s="31" t="str">
        <x:v>Reconstruct planned final training episode 104: brown cup B, brown cup A, glass spice container A; start=Recovery. Match camera, calibration, bowl pose, and object geometry exactly.</x:v>
      </x:c>
      <x:c r="O362" s="31" t="str">
        <x:v>brown cup B</x:v>
      </x:c>
      <x:c r="P362" s="31" t="str"/>
      <x:c r="Q362" s="31" t="str"/>
      <x:c r="R362" s="31" t="str"/>
      <x:c r="S362" s="31" t="str">
        <x:f>IF('Blind Scoring'!I362="","",'Blind Scoring'!I362)</x:f>
      </x:c>
      <x:c r="T362" s="31" t="str">
        <x:f>'Blind Scoring'!J362</x:f>
        <x:v>No</x:v>
      </x:c>
      <x:c r="U362" s="31" t="str">
        <x:f>IF('Blind Scoring'!L362="","",'Blind Scoring'!L362)</x:f>
      </x:c>
    </x:row>
    <x:row r="363" ht="44" customHeight="1">
      <x:c r="A363" s="35" t="str">
        <x:v>Not Started</x:v>
      </x:c>
      <x:c r="B363" s="35" t="n">
        <x:v>361</x:v>
      </x:c>
      <x:c r="C363" s="35" t="str">
        <x:v>P06</x:v>
      </x:c>
      <x:c r="D363" s="35" t="n">
        <x:v>52</x:v>
      </x:c>
      <x:c r="E363" s="35" t="str">
        <x:v>Primary VLA</x:v>
      </x:c>
      <x:c r="F363" s="35" t="str">
        <x:v>VLA-0</x:v>
      </x:c>
      <x:c r="G363" s="35" t="n">
        <x:v>1</x:v>
      </x:c>
      <x:c r="H363" s="35" t="str">
        <x:v>State Recognition</x:v>
      </x:c>
      <x:c r="I363" s="35" t="str">
        <x:v>Main matched control</x:v>
      </x:c>
      <x:c r="J363" s="35" t="str">
        <x:v>PVLA-ST-CTL-01</x:v>
      </x:c>
      <x:c r="K363" s="35" t="str">
        <x:v>S-CF01</x:v>
      </x:c>
      <x:c r="L363" s="31" t="str">
        <x:v>Place a white cup in the bowl.</x:v>
      </x:c>
      <x:c r="M363" s="31" t="str">
        <x:v>Place a white cup in the bowl.</x:v>
      </x:c>
      <x:c r="N363" s="31" t="str">
        <x:v>S-CF01-CTRL: P1 white cup A=C/UR [TARGET]; P3 yellow-white striped cup A=C/UD; P4 brown cup B=O/UD.</x:v>
      </x:c>
      <x:c r="O363" s="31" t="str">
        <x:v>white cup A</x:v>
      </x:c>
      <x:c r="P363" s="31" t="str"/>
      <x:c r="Q363" s="31" t="str"/>
      <x:c r="R363" s="31" t="str"/>
      <x:c r="S363" s="31" t="str">
        <x:f>IF('Blind Scoring'!I363="","",'Blind Scoring'!I363)</x:f>
      </x:c>
      <x:c r="T363" s="31" t="str">
        <x:f>'Blind Scoring'!J363</x:f>
        <x:v>No</x:v>
      </x:c>
      <x:c r="U363" s="31" t="str">
        <x:f>IF('Blind Scoring'!L363="","",'Blind Scoring'!L363)</x:f>
      </x:c>
    </x:row>
    <x:row r="364" ht="44" customHeight="1">
      <x:c r="A364" s="35" t="str">
        <x:v>Not Started</x:v>
      </x:c>
      <x:c r="B364" s="35" t="n">
        <x:v>362</x:v>
      </x:c>
      <x:c r="C364" s="35" t="str">
        <x:v>P06</x:v>
      </x:c>
      <x:c r="D364" s="35" t="n">
        <x:v>53</x:v>
      </x:c>
      <x:c r="E364" s="35" t="str">
        <x:v>Primary VLA</x:v>
      </x:c>
      <x:c r="F364" s="35" t="str">
        <x:v>VLA-0</x:v>
      </x:c>
      <x:c r="G364" s="35" t="n">
        <x:v>1</x:v>
      </x:c>
      <x:c r="H364" s="35" t="str">
        <x:v>State Recognition</x:v>
      </x:c>
      <x:c r="I364" s="35" t="str">
        <x:v>Main held-out transfer</x:v>
      </x:c>
      <x:c r="J364" s="35" t="str">
        <x:v>PVLA-ST-TR-03</x:v>
      </x:c>
      <x:c r="K364" s="35" t="str">
        <x:v>S-CF05</x:v>
      </x:c>
      <x:c r="L364" s="31" t="str">
        <x:v>Place the closed brown cup in the bowl.</x:v>
      </x:c>
      <x:c r="M364" s="31" t="str">
        <x:v>Place the closed brown cup in the bowl.</x:v>
      </x:c>
      <x:c r="N364" s="31" t="str">
        <x:v>S-CF05-HELD: P1 brown cup A=C/UR [TARGET]; P2 brown cup B=O/UR [COMPETITOR]; P3 glass spice container A=C/UD; P4 white cup B=O/UD.</x:v>
      </x:c>
      <x:c r="O364" s="31" t="str">
        <x:v>brown cup A</x:v>
      </x:c>
      <x:c r="P364" s="31" t="str"/>
      <x:c r="Q364" s="31" t="str"/>
      <x:c r="R364" s="31" t="str"/>
      <x:c r="S364" s="31" t="str">
        <x:f>IF('Blind Scoring'!I364="","",'Blind Scoring'!I364)</x:f>
      </x:c>
      <x:c r="T364" s="31" t="str">
        <x:f>'Blind Scoring'!J364</x:f>
        <x:v>No</x:v>
      </x:c>
      <x:c r="U364" s="31" t="str">
        <x:f>IF('Blind Scoring'!L364="","",'Blind Scoring'!L364)</x:f>
      </x:c>
    </x:row>
    <x:row r="365" ht="44" customHeight="1">
      <x:c r="A365" s="35" t="str">
        <x:v>Not Started</x:v>
      </x:c>
      <x:c r="B365" s="35" t="n">
        <x:v>363</x:v>
      </x:c>
      <x:c r="C365" s="35" t="str">
        <x:v>P06</x:v>
      </x:c>
      <x:c r="D365" s="35" t="n">
        <x:v>54</x:v>
      </x:c>
      <x:c r="E365" s="35" t="str">
        <x:v>Primary VLA</x:v>
      </x:c>
      <x:c r="F365" s="35" t="str">
        <x:v>VLA-0</x:v>
      </x:c>
      <x:c r="G365" s="35" t="n">
        <x:v>1</x:v>
      </x:c>
      <x:c r="H365" s="35" t="str">
        <x:v>State Recognition</x:v>
      </x:c>
      <x:c r="I365" s="35" t="str">
        <x:v>Main matched control</x:v>
      </x:c>
      <x:c r="J365" s="35" t="str">
        <x:v>PVLA-ST-CTL-11</x:v>
      </x:c>
      <x:c r="K365" s="35" t="str">
        <x:v>S-CF20</x:v>
      </x:c>
      <x:c r="L365" s="31" t="str">
        <x:v>Place a white cup in the bowl.</x:v>
      </x:c>
      <x:c r="M365" s="31" t="str">
        <x:v>Place a white cup in the bowl.</x:v>
      </x:c>
      <x:c r="N365" s="31" t="str">
        <x:v>S-CF20-CTRL: P2 yellow-white striped cup B=O/UR; P3 brown cup A=O/UD; P4 white cup B=C/UR [TARGET].</x:v>
      </x:c>
      <x:c r="O365" s="31" t="str">
        <x:v>white cup B</x:v>
      </x:c>
      <x:c r="P365" s="31" t="str"/>
      <x:c r="Q365" s="31" t="str"/>
      <x:c r="R365" s="31" t="str"/>
      <x:c r="S365" s="31" t="str">
        <x:f>IF('Blind Scoring'!I365="","",'Blind Scoring'!I365)</x:f>
      </x:c>
      <x:c r="T365" s="31" t="str">
        <x:f>'Blind Scoring'!J365</x:f>
        <x:v>No</x:v>
      </x:c>
      <x:c r="U365" s="31" t="str">
        <x:f>IF('Blind Scoring'!L365="","",'Blind Scoring'!L365)</x:f>
      </x:c>
    </x:row>
    <x:row r="366" ht="44" customHeight="1">
      <x:c r="A366" s="35" t="str">
        <x:v>Not Started</x:v>
      </x:c>
      <x:c r="B366" s="35" t="n">
        <x:v>364</x:v>
      </x:c>
      <x:c r="C366" s="35" t="str">
        <x:v>P06</x:v>
      </x:c>
      <x:c r="D366" s="35" t="n">
        <x:v>55</x:v>
      </x:c>
      <x:c r="E366" s="35" t="str">
        <x:v>Primary VLA</x:v>
      </x:c>
      <x:c r="F366" s="35" t="str">
        <x:v>VLA-0</x:v>
      </x:c>
      <x:c r="G366" s="35" t="n">
        <x:v>1</x:v>
      </x:c>
      <x:c r="H366" s="35" t="str">
        <x:v>State Recognition</x:v>
      </x:c>
      <x:c r="I366" s="35" t="str">
        <x:v>Main held-out transfer</x:v>
      </x:c>
      <x:c r="J366" s="35" t="str">
        <x:v>PVLA-ST-TR-15</x:v>
      </x:c>
      <x:c r="K366" s="35" t="str">
        <x:v>S-CF28</x:v>
      </x:c>
      <x:c r="L366" s="31" t="str">
        <x:v>Place the upright white cup in the bowl.</x:v>
      </x:c>
      <x:c r="M366" s="31" t="str">
        <x:v>Place the upright white cup in the bowl.</x:v>
      </x:c>
      <x:c r="N366" s="31" t="str">
        <x:v>S-CF28-HELD: P1 white cup A=C/UD [COMPETITOR]; P2 yellow-white striped cup B=O/UR; P3 brown cup A=O/UD; P4 white cup B=C/UR [TARGET].</x:v>
      </x:c>
      <x:c r="O366" s="31" t="str">
        <x:v>white cup B</x:v>
      </x:c>
      <x:c r="P366" s="31" t="str"/>
      <x:c r="Q366" s="31" t="str"/>
      <x:c r="R366" s="31" t="str"/>
      <x:c r="S366" s="31" t="str">
        <x:f>IF('Blind Scoring'!I366="","",'Blind Scoring'!I366)</x:f>
      </x:c>
      <x:c r="T366" s="31" t="str">
        <x:f>'Blind Scoring'!J366</x:f>
        <x:v>No</x:v>
      </x:c>
      <x:c r="U366" s="31" t="str">
        <x:f>IF('Blind Scoring'!L366="","",'Blind Scoring'!L366)</x:f>
      </x:c>
    </x:row>
    <x:row r="367" ht="44" customHeight="1">
      <x:c r="A367" s="35" t="str">
        <x:v>Not Started</x:v>
      </x:c>
      <x:c r="B367" s="35" t="n">
        <x:v>365</x:v>
      </x:c>
      <x:c r="C367" s="35" t="str">
        <x:v>P06</x:v>
      </x:c>
      <x:c r="D367" s="35" t="n">
        <x:v>56</x:v>
      </x:c>
      <x:c r="E367" s="35" t="str">
        <x:v>Primary VLA</x:v>
      </x:c>
      <x:c r="F367" s="35" t="str">
        <x:v>VLA-0</x:v>
      </x:c>
      <x:c r="G367" s="35" t="n">
        <x:v>1</x:v>
      </x:c>
      <x:c r="H367" s="35" t="str">
        <x:v>State Recognition</x:v>
      </x:c>
      <x:c r="I367" s="35" t="str">
        <x:v>Main held-out transfer</x:v>
      </x:c>
      <x:c r="J367" s="35" t="str">
        <x:v>PVLA-ST-TR-11</x:v>
      </x:c>
      <x:c r="K367" s="35" t="str">
        <x:v>S-CF20</x:v>
      </x:c>
      <x:c r="L367" s="31" t="str">
        <x:v>Place the upright white cup in the bowl.</x:v>
      </x:c>
      <x:c r="M367" s="31" t="str">
        <x:v>Place the upright white cup in the bowl.</x:v>
      </x:c>
      <x:c r="N367" s="31" t="str">
        <x:v>S-CF20-HELD: P1 white cup A=C/UD [COMPETITOR]; P2 yellow-white striped cup B=O/UR; P3 brown cup A=O/UD; P4 white cup B=C/UR [TARGET].</x:v>
      </x:c>
      <x:c r="O367" s="31" t="str">
        <x:v>white cup B</x:v>
      </x:c>
      <x:c r="P367" s="31" t="str"/>
      <x:c r="Q367" s="31" t="str"/>
      <x:c r="R367" s="31" t="str"/>
      <x:c r="S367" s="31" t="str">
        <x:f>IF('Blind Scoring'!I367="","",'Blind Scoring'!I367)</x:f>
      </x:c>
      <x:c r="T367" s="31" t="str">
        <x:f>'Blind Scoring'!J367</x:f>
        <x:v>No</x:v>
      </x:c>
      <x:c r="U367" s="31" t="str">
        <x:f>IF('Blind Scoring'!L367="","",'Blind Scoring'!L367)</x:f>
      </x:c>
    </x:row>
    <x:row r="368" ht="44" customHeight="1">
      <x:c r="A368" s="35" t="str">
        <x:v>Not Started</x:v>
      </x:c>
      <x:c r="B368" s="35" t="n">
        <x:v>366</x:v>
      </x:c>
      <x:c r="C368" s="35" t="str">
        <x:v>P06</x:v>
      </x:c>
      <x:c r="D368" s="35" t="n">
        <x:v>57</x:v>
      </x:c>
      <x:c r="E368" s="35" t="str">
        <x:v>Primary VLA</x:v>
      </x:c>
      <x:c r="F368" s="35" t="str">
        <x:v>VLA-0</x:v>
      </x:c>
      <x:c r="G368" s="35" t="n">
        <x:v>1</x:v>
      </x:c>
      <x:c r="H368" s="35" t="str">
        <x:v>State Recognition</x:v>
      </x:c>
      <x:c r="I368" s="35" t="str">
        <x:v>Novel layout + seen language</x:v>
      </x:c>
      <x:c r="J368" s="35" t="str">
        <x:v>PVLA-ST-NOV-02</x:v>
      </x:c>
      <x:c r="K368" s="35" t="str">
        <x:v>S-CF04</x:v>
      </x:c>
      <x:c r="L368" s="31" t="str">
        <x:v>Place the upside-down white cup in the bowl.</x:v>
      </x:c>
      <x:c r="M368" s="31" t="str">
        <x:v>Place the upside-down white cup in the bowl.</x:v>
      </x:c>
      <x:c r="N368" s="31" t="str">
        <x:v>S-CF04-SEEN: P1 white cup A=C/UD [COMPETITOR]; P2 yellow-white striped cup B=O/UR; P3 brown cup A=O/UD; P4 white cup B=C/UR [TARGET].</x:v>
      </x:c>
      <x:c r="O368" s="31" t="str">
        <x:v>white cup A</x:v>
      </x:c>
      <x:c r="P368" s="31" t="str"/>
      <x:c r="Q368" s="31" t="str"/>
      <x:c r="R368" s="31" t="str"/>
      <x:c r="S368" s="31" t="str">
        <x:f>IF('Blind Scoring'!I368="","",'Blind Scoring'!I368)</x:f>
      </x:c>
      <x:c r="T368" s="31" t="str">
        <x:f>'Blind Scoring'!J368</x:f>
        <x:v>No</x:v>
      </x:c>
      <x:c r="U368" s="31" t="str">
        <x:f>IF('Blind Scoring'!L368="","",'Blind Scoring'!L368)</x:f>
      </x:c>
    </x:row>
    <x:row r="369" ht="44" customHeight="1">
      <x:c r="A369" s="35" t="str">
        <x:v>Not Started</x:v>
      </x:c>
      <x:c r="B369" s="35" t="n">
        <x:v>367</x:v>
      </x:c>
      <x:c r="C369" s="35" t="str">
        <x:v>P06</x:v>
      </x:c>
      <x:c r="D369" s="35" t="n">
        <x:v>58</x:v>
      </x:c>
      <x:c r="E369" s="35" t="str">
        <x:v>Primary VLA</x:v>
      </x:c>
      <x:c r="F369" s="35" t="str">
        <x:v>VLA-0</x:v>
      </x:c>
      <x:c r="G369" s="35" t="n">
        <x:v>1</x:v>
      </x:c>
      <x:c r="H369" s="35" t="str">
        <x:v>State Recognition</x:v>
      </x:c>
      <x:c r="I369" s="35" t="str">
        <x:v>Training reconstruction</x:v>
      </x:c>
      <x:c r="J369" s="35" t="str">
        <x:v>PVLA-ST-REC-03</x:v>
      </x:c>
      <x:c r="K369" s="35" t="str"/>
      <x:c r="L369" s="31" t="str">
        <x:v>Put a brown cup in the bowl.</x:v>
      </x:c>
      <x:c r="M369" s="31" t="str">
        <x:v>Put a brown cup in the bowl.</x:v>
      </x:c>
      <x:c r="N369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369" s="31" t="str">
        <x:v>brown cup B</x:v>
      </x:c>
      <x:c r="P369" s="31" t="str"/>
      <x:c r="Q369" s="31" t="str"/>
      <x:c r="R369" s="31" t="str"/>
      <x:c r="S369" s="31" t="str">
        <x:f>IF('Blind Scoring'!I369="","",'Blind Scoring'!I369)</x:f>
      </x:c>
      <x:c r="T369" s="31" t="str">
        <x:f>'Blind Scoring'!J369</x:f>
        <x:v>No</x:v>
      </x:c>
      <x:c r="U369" s="31" t="str">
        <x:f>IF('Blind Scoring'!L369="","",'Blind Scoring'!L369)</x:f>
      </x:c>
    </x:row>
    <x:row r="370" ht="44" customHeight="1">
      <x:c r="A370" s="35" t="str">
        <x:v>Not Started</x:v>
      </x:c>
      <x:c r="B370" s="35" t="n">
        <x:v>368</x:v>
      </x:c>
      <x:c r="C370" s="35" t="str">
        <x:v>P06</x:v>
      </x:c>
      <x:c r="D370" s="35" t="n">
        <x:v>59</x:v>
      </x:c>
      <x:c r="E370" s="35" t="str">
        <x:v>Primary VLA</x:v>
      </x:c>
      <x:c r="F370" s="35" t="str">
        <x:v>VLA-0</x:v>
      </x:c>
      <x:c r="G370" s="35" t="n">
        <x:v>1</x:v>
      </x:c>
      <x:c r="H370" s="35" t="str">
        <x:v>State Recognition</x:v>
      </x:c>
      <x:c r="I370" s="35" t="str">
        <x:v>Exact-scene paraphrase</x:v>
      </x:c>
      <x:c r="J370" s="35" t="str">
        <x:v>PVLA-ST-PAR-07</x:v>
      </x:c>
      <x:c r="K370" s="35" t="str">
        <x:v>S-CF17</x:v>
      </x:c>
      <x:c r="L370" s="31" t="str">
        <x:v>Find the white cup with its opening uncovered and move it into the bowl.</x:v>
      </x:c>
      <x:c r="M370" s="31" t="str">
        <x:v>Find the white cup with its opening uncovered and move it into the bowl.</x:v>
      </x:c>
      <x:c r="N370" s="31" t="str">
        <x:v>S-CF17-PARA: P1 white cup A=C/UR [TARGET]; P2 white cup B=O/UR [COMPETITOR]; P3 yellow-white striped cup A=C/UD; P4 brown cup B=O/UD.</x:v>
      </x:c>
      <x:c r="O370" s="31" t="str">
        <x:v>white cup B</x:v>
      </x:c>
      <x:c r="P370" s="31" t="str"/>
      <x:c r="Q370" s="31" t="str"/>
      <x:c r="R370" s="31" t="str"/>
      <x:c r="S370" s="31" t="str">
        <x:f>IF('Blind Scoring'!I370="","",'Blind Scoring'!I370)</x:f>
      </x:c>
      <x:c r="T370" s="31" t="str">
        <x:f>'Blind Scoring'!J370</x:f>
        <x:v>No</x:v>
      </x:c>
      <x:c r="U370" s="31" t="str">
        <x:f>IF('Blind Scoring'!L370="","",'Blind Scoring'!L370)</x:f>
      </x:c>
    </x:row>
    <x:row r="371" ht="44" customHeight="1">
      <x:c r="A371" s="35" t="str">
        <x:v>Not Started</x:v>
      </x:c>
      <x:c r="B371" s="35" t="n">
        <x:v>369</x:v>
      </x:c>
      <x:c r="C371" s="35" t="str">
        <x:v>P06</x:v>
      </x:c>
      <x:c r="D371" s="35" t="n">
        <x:v>60</x:v>
      </x:c>
      <x:c r="E371" s="35" t="str">
        <x:v>Primary VLA</x:v>
      </x:c>
      <x:c r="F371" s="35" t="str">
        <x:v>VLA-0</x:v>
      </x:c>
      <x:c r="G371" s="35" t="n">
        <x:v>1</x:v>
      </x:c>
      <x:c r="H371" s="35" t="str">
        <x:v>State Recognition</x:v>
      </x:c>
      <x:c r="I371" s="35" t="str">
        <x:v>Main matched control</x:v>
      </x:c>
      <x:c r="J371" s="35" t="str">
        <x:v>PVLA-ST-CTL-09</x:v>
      </x:c>
      <x:c r="K371" s="35" t="str">
        <x:v>S-CF16</x:v>
      </x:c>
      <x:c r="L371" s="31" t="str">
        <x:v>Place a brown cup in the bowl.</x:v>
      </x:c>
      <x:c r="M371" s="31" t="str">
        <x:v>Place a brown cup in the bowl.</x:v>
      </x:c>
      <x:c r="N371" s="31" t="str">
        <x:v>S-CF16-CTRL: P2 glass spice container B=O/UR; P3 white cup A=O/UD; P4 brown cup B=C/UR [TARGET].</x:v>
      </x:c>
      <x:c r="O371" s="31" t="str">
        <x:v>brown cup B</x:v>
      </x:c>
      <x:c r="P371" s="31" t="str"/>
      <x:c r="Q371" s="31" t="str"/>
      <x:c r="R371" s="31" t="str"/>
      <x:c r="S371" s="31" t="str">
        <x:f>IF('Blind Scoring'!I371="","",'Blind Scoring'!I371)</x:f>
      </x:c>
      <x:c r="T371" s="31" t="str">
        <x:f>'Blind Scoring'!J371</x:f>
        <x:v>No</x:v>
      </x:c>
      <x:c r="U371" s="31" t="str">
        <x:f>IF('Blind Scoring'!L371="","",'Blind Scoring'!L371)</x:f>
      </x:c>
    </x:row>
    <x:row r="372" ht="44" customHeight="1">
      <x:c r="A372" s="35" t="str">
        <x:v>Not Started</x:v>
      </x:c>
      <x:c r="B372" s="35" t="n">
        <x:v>370</x:v>
      </x:c>
      <x:c r="C372" s="35" t="str">
        <x:v>P06</x:v>
      </x:c>
      <x:c r="D372" s="35" t="n">
        <x:v>61</x:v>
      </x:c>
      <x:c r="E372" s="35" t="str">
        <x:v>Primary VLA</x:v>
      </x:c>
      <x:c r="F372" s="35" t="str">
        <x:v>VLA-0</x:v>
      </x:c>
      <x:c r="G372" s="35" t="n">
        <x:v>1</x:v>
      </x:c>
      <x:c r="H372" s="35" t="str">
        <x:v>State Recognition</x:v>
      </x:c>
      <x:c r="I372" s="35" t="str">
        <x:v>Novel layout + seen language</x:v>
      </x:c>
      <x:c r="J372" s="35" t="str">
        <x:v>PVLA-ST-NOV-07</x:v>
      </x:c>
      <x:c r="K372" s="35" t="str">
        <x:v>S-CF17</x:v>
      </x:c>
      <x:c r="L372" s="31" t="str">
        <x:v>Place the open white cup in the bowl.</x:v>
      </x:c>
      <x:c r="M372" s="31" t="str">
        <x:v>Place the open white cup in the bowl.</x:v>
      </x:c>
      <x:c r="N372" s="31" t="str">
        <x:v>S-CF17-SEEN: P1 white cup A=C/UR [TARGET]; P2 white cup B=O/UR [COMPETITOR]; P3 yellow-white striped cup A=C/UD; P4 brown cup B=O/UD.</x:v>
      </x:c>
      <x:c r="O372" s="31" t="str">
        <x:v>white cup B</x:v>
      </x:c>
      <x:c r="P372" s="31" t="str"/>
      <x:c r="Q372" s="31" t="str"/>
      <x:c r="R372" s="31" t="str"/>
      <x:c r="S372" s="31" t="str">
        <x:f>IF('Blind Scoring'!I372="","",'Blind Scoring'!I372)</x:f>
      </x:c>
      <x:c r="T372" s="31" t="str">
        <x:f>'Blind Scoring'!J372</x:f>
        <x:v>No</x:v>
      </x:c>
      <x:c r="U372" s="31" t="str">
        <x:f>IF('Blind Scoring'!L372="","",'Blind Scoring'!L372)</x:f>
      </x:c>
    </x:row>
    <x:row r="373" ht="44" customHeight="1">
      <x:c r="A373" s="35" t="str">
        <x:v>Not Started</x:v>
      </x:c>
      <x:c r="B373" s="35" t="n">
        <x:v>371</x:v>
      </x:c>
      <x:c r="C373" s="35" t="str">
        <x:v>P06</x:v>
      </x:c>
      <x:c r="D373" s="35" t="n">
        <x:v>62</x:v>
      </x:c>
      <x:c r="E373" s="35" t="str">
        <x:v>Primary VLA</x:v>
      </x:c>
      <x:c r="F373" s="35" t="str">
        <x:v>VLA-0</x:v>
      </x:c>
      <x:c r="G373" s="35" t="n">
        <x:v>1</x:v>
      </x:c>
      <x:c r="H373" s="35" t="str">
        <x:v>State Recognition</x:v>
      </x:c>
      <x:c r="I373" s="35" t="str">
        <x:v>Main held-out transfer</x:v>
      </x:c>
      <x:c r="J373" s="35" t="str">
        <x:v>PVLA-ST-TR-09</x:v>
      </x:c>
      <x:c r="K373" s="35" t="str">
        <x:v>S-CF16</x:v>
      </x:c>
      <x:c r="L373" s="31" t="str">
        <x:v>Place the upright brown cup in the bowl.</x:v>
      </x:c>
      <x:c r="M373" s="31" t="str">
        <x:v>Place the upright brown cup in the bowl.</x:v>
      </x:c>
      <x:c r="N373" s="31" t="str">
        <x:v>S-CF16-HELD: P1 brown cup A=C/UD [COMPETITOR]; P2 glass spice container B=O/UR; P3 white cup A=O/UD; P4 brown cup B=C/UR [TARGET].</x:v>
      </x:c>
      <x:c r="O373" s="31" t="str">
        <x:v>brown cup B</x:v>
      </x:c>
      <x:c r="P373" s="31" t="str"/>
      <x:c r="Q373" s="31" t="str"/>
      <x:c r="R373" s="31" t="str"/>
      <x:c r="S373" s="31" t="str">
        <x:f>IF('Blind Scoring'!I373="","",'Blind Scoring'!I373)</x:f>
      </x:c>
      <x:c r="T373" s="31" t="str">
        <x:f>'Blind Scoring'!J373</x:f>
        <x:v>No</x:v>
      </x:c>
      <x:c r="U373" s="31" t="str">
        <x:f>IF('Blind Scoring'!L373="","",'Blind Scoring'!L373)</x:f>
      </x:c>
    </x:row>
    <x:row r="374" ht="44" customHeight="1">
      <x:c r="A374" s="35" t="str">
        <x:v>Not Started</x:v>
      </x:c>
      <x:c r="B374" s="35" t="n">
        <x:v>372</x:v>
      </x:c>
      <x:c r="C374" s="35" t="str">
        <x:v>P07</x:v>
      </x:c>
      <x:c r="D374" s="35" t="n">
        <x:v>1</x:v>
      </x:c>
      <x:c r="E374" s="35" t="str">
        <x:v>Primary VLA</x:v>
      </x:c>
      <x:c r="F374" s="35" t="str">
        <x:v>MolmoAct2</x:v>
      </x:c>
      <x:c r="G374" s="35" t="n">
        <x:v>1</x:v>
      </x:c>
      <x:c r="H374" s="35" t="str">
        <x:v>Counting</x:v>
      </x:c>
      <x:c r="I374" s="35" t="str">
        <x:v>Exact-scene paraphrase</x:v>
      </x:c>
      <x:c r="J374" s="35" t="str">
        <x:v>PVLA-CT-PAR-06</x:v>
      </x:c>
      <x:c r="K374" s="35" t="str"/>
      <x:c r="L374" s="31" t="str">
        <x:v>Finish with two objects in the bowl.</x:v>
      </x:c>
      <x:c r="M374" s="31" t="str">
        <x:v>Finish with two objects in the bowl.</x:v>
      </x:c>
      <x:c r="N374" s="31" t="str">
        <x:v>C-N01: bowl=[blue pen] (1); table left→right=[yellow block, green pencil sharpener, airplane toy without propellers]; robot home.</x:v>
      </x:c>
      <x:c r="O374" s="31" t="str"/>
      <x:c r="P374" s="31" t="str"/>
      <x:c r="Q374" s="31" t="str"/>
      <x:c r="R374" s="31" t="str"/>
      <x:c r="S374" s="31" t="str">
        <x:f>IF('Blind Scoring'!I374="","",'Blind Scoring'!I374)</x:f>
      </x:c>
      <x:c r="T374" s="31" t="str">
        <x:f>'Blind Scoring'!J374</x:f>
        <x:v>No</x:v>
      </x:c>
      <x:c r="U374" s="31" t="str">
        <x:f>IF('Blind Scoring'!L374="","",'Blind Scoring'!L374)</x:f>
      </x:c>
    </x:row>
    <x:row r="375" ht="44" customHeight="1">
      <x:c r="A375" s="35" t="str">
        <x:v>Not Started</x:v>
      </x:c>
      <x:c r="B375" s="35" t="n">
        <x:v>373</x:v>
      </x:c>
      <x:c r="C375" s="35" t="str">
        <x:v>P07</x:v>
      </x:c>
      <x:c r="D375" s="35" t="n">
        <x:v>2</x:v>
      </x:c>
      <x:c r="E375" s="35" t="str">
        <x:v>Primary VLA</x:v>
      </x:c>
      <x:c r="F375" s="35" t="str">
        <x:v>MolmoAct2</x:v>
      </x:c>
      <x:c r="G375" s="35" t="n">
        <x:v>1</x:v>
      </x:c>
      <x:c r="H375" s="35" t="str">
        <x:v>Counting</x:v>
      </x:c>
      <x:c r="I375" s="35" t="str">
        <x:v>Novel layout + seen language</x:v>
      </x:c>
      <x:c r="J375" s="35" t="str">
        <x:v>PVLA-CT-NOV-03</x:v>
      </x:c>
      <x:c r="K375" s="35" t="str"/>
      <x:c r="L375" s="31" t="str">
        <x:v>Adjust the bowl so that it contains two objects.</x:v>
      </x:c>
      <x:c r="M375" s="31" t="str">
        <x:v>Adjust the bowl so that it contains two objects.</x:v>
      </x:c>
      <x:c r="N375" s="31" t="str">
        <x:v>C-N06: bowl=[yellow block, green pencil sharpener, airplane toy without propellers] (3); table left→right=[blue pen]; robot home.</x:v>
      </x:c>
      <x:c r="O375" s="31" t="str"/>
      <x:c r="P375" s="31" t="str"/>
      <x:c r="Q375" s="31" t="str"/>
      <x:c r="R375" s="31" t="str"/>
      <x:c r="S375" s="31" t="str">
        <x:f>IF('Blind Scoring'!I375="","",'Blind Scoring'!I375)</x:f>
      </x:c>
      <x:c r="T375" s="31" t="str">
        <x:f>'Blind Scoring'!J375</x:f>
        <x:v>No</x:v>
      </x:c>
      <x:c r="U375" s="31" t="str">
        <x:f>IF('Blind Scoring'!L375="","",'Blind Scoring'!L375)</x:f>
      </x:c>
    </x:row>
    <x:row r="376" ht="44" customHeight="1">
      <x:c r="A376" s="35" t="str">
        <x:v>Not Started</x:v>
      </x:c>
      <x:c r="B376" s="35" t="n">
        <x:v>374</x:v>
      </x:c>
      <x:c r="C376" s="35" t="str">
        <x:v>P07</x:v>
      </x:c>
      <x:c r="D376" s="35" t="n">
        <x:v>3</x:v>
      </x:c>
      <x:c r="E376" s="35" t="str">
        <x:v>Primary VLA</x:v>
      </x:c>
      <x:c r="F376" s="35" t="str">
        <x:v>MolmoAct2</x:v>
      </x:c>
      <x:c r="G376" s="35" t="n">
        <x:v>1</x:v>
      </x:c>
      <x:c r="H376" s="35" t="str">
        <x:v>Counting</x:v>
      </x:c>
      <x:c r="I376" s="35" t="str">
        <x:v>Main matched control</x:v>
      </x:c>
      <x:c r="J376" s="35" t="str">
        <x:v>PVLA-CT-CTL-02</x:v>
      </x:c>
      <x:c r="K376" s="35" t="str">
        <x:v>C-CF01-B</x:v>
      </x:c>
      <x:c r="L376" s="31" t="str">
        <x:v>Put the green pencil sharpener in the bowl.</x:v>
      </x:c>
      <x:c r="M376" s="31" t="str">
        <x:v>Put the green pencil sharpener in the bowl.</x:v>
      </x:c>
      <x:c r="N376" s="31" t="str">
        <x:v>C-CF01-CB: bowl=[blue pen, yellow block] (2); table=[green pencil sharpener, airplane toy without propellers]; robot home; acceptable action=add either table object.</x:v>
      </x:c>
      <x:c r="O376" s="31" t="str">
        <x:v>ADD green pencil sharpener</x:v>
      </x:c>
      <x:c r="P376" s="31" t="str"/>
      <x:c r="Q376" s="31" t="str"/>
      <x:c r="R376" s="31" t="str"/>
      <x:c r="S376" s="31" t="str">
        <x:f>IF('Blind Scoring'!I376="","",'Blind Scoring'!I376)</x:f>
      </x:c>
      <x:c r="T376" s="31" t="str">
        <x:f>'Blind Scoring'!J376</x:f>
        <x:v>No</x:v>
      </x:c>
      <x:c r="U376" s="31" t="str">
        <x:f>IF('Blind Scoring'!L376="","",'Blind Scoring'!L376)</x:f>
      </x:c>
    </x:row>
    <x:row r="377" ht="44" customHeight="1">
      <x:c r="A377" s="35" t="str">
        <x:v>Not Started</x:v>
      </x:c>
      <x:c r="B377" s="35" t="n">
        <x:v>375</x:v>
      </x:c>
      <x:c r="C377" s="35" t="str">
        <x:v>P07</x:v>
      </x:c>
      <x:c r="D377" s="35" t="n">
        <x:v>4</x:v>
      </x:c>
      <x:c r="E377" s="35" t="str">
        <x:v>Primary VLA</x:v>
      </x:c>
      <x:c r="F377" s="35" t="str">
        <x:v>MolmoAct2</x:v>
      </x:c>
      <x:c r="G377" s="35" t="n">
        <x:v>1</x:v>
      </x:c>
      <x:c r="H377" s="35" t="str">
        <x:v>Counting</x:v>
      </x:c>
      <x:c r="I377" s="35" t="str">
        <x:v>Main matched control</x:v>
      </x:c>
      <x:c r="J377" s="35" t="str">
        <x:v>PVLA-CT-CTL-13</x:v>
      </x:c>
      <x:c r="K377" s="35" t="str">
        <x:v>C-CF10-A</x:v>
      </x:c>
      <x:c r="L377" s="31" t="str">
        <x:v>Remove the yellow block from the bowl.</x:v>
      </x:c>
      <x:c r="M377" s="31" t="str">
        <x:v>Remove the yellow block from the bowl.</x:v>
      </x:c>
      <x:c r="N377" s="31" t="str">
        <x:v>C-CF10-CA: bowl=[yellow block, green pencil sharpener] (2); table=[airplane toy without propellers, blue pen]; robot home; acceptable action=remove either bowl object.</x:v>
      </x:c>
      <x:c r="O377" s="31" t="str">
        <x:v>REMOVE yellow block</x:v>
      </x:c>
      <x:c r="P377" s="31" t="str"/>
      <x:c r="Q377" s="31" t="str"/>
      <x:c r="R377" s="31" t="str"/>
      <x:c r="S377" s="31" t="str">
        <x:f>IF('Blind Scoring'!I377="","",'Blind Scoring'!I377)</x:f>
      </x:c>
      <x:c r="T377" s="31" t="str">
        <x:f>'Blind Scoring'!J377</x:f>
        <x:v>No</x:v>
      </x:c>
      <x:c r="U377" s="31" t="str">
        <x:f>IF('Blind Scoring'!L377="","",'Blind Scoring'!L377)</x:f>
      </x:c>
    </x:row>
    <x:row r="378" ht="44" customHeight="1">
      <x:c r="A378" s="35" t="str">
        <x:v>Not Started</x:v>
      </x:c>
      <x:c r="B378" s="35" t="n">
        <x:v>376</x:v>
      </x:c>
      <x:c r="C378" s="35" t="str">
        <x:v>P07</x:v>
      </x:c>
      <x:c r="D378" s="35" t="n">
        <x:v>5</x:v>
      </x:c>
      <x:c r="E378" s="35" t="str">
        <x:v>Primary VLA</x:v>
      </x:c>
      <x:c r="F378" s="35" t="str">
        <x:v>MolmoAct2</x:v>
      </x:c>
      <x:c r="G378" s="35" t="n">
        <x:v>1</x:v>
      </x:c>
      <x:c r="H378" s="35" t="str">
        <x:v>Counting</x:v>
      </x:c>
      <x:c r="I378" s="35" t="str">
        <x:v>Main held-out transfer</x:v>
      </x:c>
      <x:c r="J378" s="35" t="str">
        <x:v>PVLA-CT-TR-16</x:v>
      </x:c>
      <x:c r="K378" s="35" t="str">
        <x:v>C-CF12-B</x:v>
      </x:c>
      <x:c r="L378" s="31" t="str">
        <x:v>Leave exactly three objects in the bowl.</x:v>
      </x:c>
      <x:c r="M378" s="31" t="str">
        <x:v>Leave exactly three objects in the bowl.</x:v>
      </x:c>
      <x:c r="N378" s="31" t="str">
        <x:v>C-CF12B: bowl=[airplane toy without propellers, blue pen] (2); table=[yellow block, green pencil sharpener]; robot home; acceptable action=add either table object.</x:v>
      </x:c>
      <x:c r="O378" s="31" t="str">
        <x:v>ADD one table object</x:v>
      </x:c>
      <x:c r="P378" s="31" t="str"/>
      <x:c r="Q378" s="31" t="str"/>
      <x:c r="R378" s="31" t="str"/>
      <x:c r="S378" s="31" t="str">
        <x:f>IF('Blind Scoring'!I378="","",'Blind Scoring'!I378)</x:f>
      </x:c>
      <x:c r="T378" s="31" t="str">
        <x:f>'Blind Scoring'!J378</x:f>
        <x:v>No</x:v>
      </x:c>
      <x:c r="U378" s="31" t="str">
        <x:f>IF('Blind Scoring'!L378="","",'Blind Scoring'!L378)</x:f>
      </x:c>
    </x:row>
    <x:row r="379" ht="44" customHeight="1">
      <x:c r="A379" s="35" t="str">
        <x:v>Not Started</x:v>
      </x:c>
      <x:c r="B379" s="35" t="n">
        <x:v>377</x:v>
      </x:c>
      <x:c r="C379" s="35" t="str">
        <x:v>P07</x:v>
      </x:c>
      <x:c r="D379" s="35" t="n">
        <x:v>6</x:v>
      </x:c>
      <x:c r="E379" s="35" t="str">
        <x:v>Primary VLA</x:v>
      </x:c>
      <x:c r="F379" s="35" t="str">
        <x:v>MolmoAct2</x:v>
      </x:c>
      <x:c r="G379" s="35" t="n">
        <x:v>1</x:v>
      </x:c>
      <x:c r="H379" s="35" t="str">
        <x:v>Counting</x:v>
      </x:c>
      <x:c r="I379" s="35" t="str">
        <x:v>Training reconstruction</x:v>
      </x:c>
      <x:c r="J379" s="35" t="str">
        <x:v>PVLA-CT-REC-06</x:v>
      </x:c>
      <x:c r="K379" s="35" t="str"/>
      <x:c r="L379" s="31" t="str">
        <x:v>Move the airplane toy without propellers into the bowl.</x:v>
      </x:c>
      <x:c r="M379" s="31" t="str">
        <x:v>Move the airplane toy without propellers into the bowl.</x:v>
      </x:c>
      <x:c r="N379" s="31" t="str">
        <x:v>Reconstruct planned final training episode 950: airplane toy without propellers, blue pen, yellow block, green pencil sharpener; start=Home. Match camera, calibration, bowl pose, and object geometry exactly.</x:v>
      </x:c>
      <x:c r="O379" s="31" t="str">
        <x:v>airplane toy without propellers</x:v>
      </x:c>
      <x:c r="P379" s="31" t="str"/>
      <x:c r="Q379" s="31" t="str"/>
      <x:c r="R379" s="31" t="str"/>
      <x:c r="S379" s="31" t="str">
        <x:f>IF('Blind Scoring'!I379="","",'Blind Scoring'!I379)</x:f>
      </x:c>
      <x:c r="T379" s="31" t="str">
        <x:f>'Blind Scoring'!J379</x:f>
        <x:v>No</x:v>
      </x:c>
      <x:c r="U379" s="31" t="str">
        <x:f>IF('Blind Scoring'!L379="","",'Blind Scoring'!L379)</x:f>
      </x:c>
    </x:row>
    <x:row r="380" ht="44" customHeight="1">
      <x:c r="A380" s="35" t="str">
        <x:v>Not Started</x:v>
      </x:c>
      <x:c r="B380" s="35" t="n">
        <x:v>378</x:v>
      </x:c>
      <x:c r="C380" s="35" t="str">
        <x:v>P07</x:v>
      </x:c>
      <x:c r="D380" s="35" t="n">
        <x:v>7</x:v>
      </x:c>
      <x:c r="E380" s="35" t="str">
        <x:v>Primary VLA</x:v>
      </x:c>
      <x:c r="F380" s="35" t="str">
        <x:v>MolmoAct2</x:v>
      </x:c>
      <x:c r="G380" s="35" t="n">
        <x:v>1</x:v>
      </x:c>
      <x:c r="H380" s="35" t="str">
        <x:v>Counting</x:v>
      </x:c>
      <x:c r="I380" s="35" t="str">
        <x:v>Main matched control</x:v>
      </x:c>
      <x:c r="J380" s="35" t="str">
        <x:v>PVLA-CT-CTL-11</x:v>
      </x:c>
      <x:c r="K380" s="35" t="str">
        <x:v>C-CF09-A</x:v>
      </x:c>
      <x:c r="L380" s="31" t="str">
        <x:v>Remove the blue pen from the bowl.</x:v>
      </x:c>
      <x:c r="M380" s="31" t="str">
        <x:v>Remove the blue pen from the bowl.</x:v>
      </x:c>
      <x:c r="N380" s="31" t="str">
        <x:v>C-CF09-CA: bowl=[blue pen, yellow block] (2); table=[green pencil sharpener, airplane toy without propellers]; robot home; acceptable action=remove either bowl object.</x:v>
      </x:c>
      <x:c r="O380" s="31" t="str">
        <x:v>REMOVE blue pen</x:v>
      </x:c>
      <x:c r="P380" s="31" t="str"/>
      <x:c r="Q380" s="31" t="str"/>
      <x:c r="R380" s="31" t="str"/>
      <x:c r="S380" s="31" t="str">
        <x:f>IF('Blind Scoring'!I380="","",'Blind Scoring'!I380)</x:f>
      </x:c>
      <x:c r="T380" s="31" t="str">
        <x:f>'Blind Scoring'!J380</x:f>
        <x:v>No</x:v>
      </x:c>
      <x:c r="U380" s="31" t="str">
        <x:f>IF('Blind Scoring'!L380="","",'Blind Scoring'!L380)</x:f>
      </x:c>
    </x:row>
    <x:row r="381" ht="44" customHeight="1">
      <x:c r="A381" s="35" t="str">
        <x:v>Not Started</x:v>
      </x:c>
      <x:c r="B381" s="35" t="n">
        <x:v>379</x:v>
      </x:c>
      <x:c r="C381" s="35" t="str">
        <x:v>P07</x:v>
      </x:c>
      <x:c r="D381" s="35" t="n">
        <x:v>8</x:v>
      </x:c>
      <x:c r="E381" s="35" t="str">
        <x:v>Primary VLA</x:v>
      </x:c>
      <x:c r="F381" s="35" t="str">
        <x:v>MolmoAct2</x:v>
      </x:c>
      <x:c r="G381" s="35" t="n">
        <x:v>1</x:v>
      </x:c>
      <x:c r="H381" s="35" t="str">
        <x:v>Counting</x:v>
      </x:c>
      <x:c r="I381" s="35" t="str">
        <x:v>Main held-out transfer</x:v>
      </x:c>
      <x:c r="J381" s="35" t="str">
        <x:v>PVLA-CT-TR-01</x:v>
      </x:c>
      <x:c r="K381" s="35" t="str">
        <x:v>C-CF01-A</x:v>
      </x:c>
      <x:c r="L381" s="31" t="str">
        <x:v>Leave exactly one object in the bowl.</x:v>
      </x:c>
      <x:c r="M381" s="31" t="str">
        <x:v>Leave exactly one object in the bowl.</x:v>
      </x:c>
      <x:c r="N381" s="31" t="str">
        <x:v>C-CF01A: bowl=[blue pen, yellow block] (2); table=[green pencil sharpener, airplane toy without propellers]; robot home; acceptable action=remove either bowl object.</x:v>
      </x:c>
      <x:c r="O381" s="31" t="str">
        <x:v>REMOVE one bowl object</x:v>
      </x:c>
      <x:c r="P381" s="31" t="str"/>
      <x:c r="Q381" s="31" t="str"/>
      <x:c r="R381" s="31" t="str"/>
      <x:c r="S381" s="31" t="str">
        <x:f>IF('Blind Scoring'!I381="","",'Blind Scoring'!I381)</x:f>
      </x:c>
      <x:c r="T381" s="31" t="str">
        <x:f>'Blind Scoring'!J381</x:f>
        <x:v>No</x:v>
      </x:c>
      <x:c r="U381" s="31" t="str">
        <x:f>IF('Blind Scoring'!L381="","",'Blind Scoring'!L381)</x:f>
      </x:c>
    </x:row>
    <x:row r="382" ht="44" customHeight="1">
      <x:c r="A382" s="35" t="str">
        <x:v>Not Started</x:v>
      </x:c>
      <x:c r="B382" s="35" t="n">
        <x:v>380</x:v>
      </x:c>
      <x:c r="C382" s="35" t="str">
        <x:v>P07</x:v>
      </x:c>
      <x:c r="D382" s="35" t="n">
        <x:v>9</x:v>
      </x:c>
      <x:c r="E382" s="35" t="str">
        <x:v>Primary VLA</x:v>
      </x:c>
      <x:c r="F382" s="35" t="str">
        <x:v>MolmoAct2</x:v>
      </x:c>
      <x:c r="G382" s="35" t="n">
        <x:v>1</x:v>
      </x:c>
      <x:c r="H382" s="35" t="str">
        <x:v>Counting</x:v>
      </x:c>
      <x:c r="I382" s="35" t="str">
        <x:v>Language ablation — blank</x:v>
      </x:c>
      <x:c r="J382" s="35" t="str">
        <x:v>PVLA-CT-ABL-BLK-04</x:v>
      </x:c>
      <x:c r="K382" s="35" t="str">
        <x:v>C-CF03-B</x:v>
      </x:c>
      <x:c r="L382" s="31" t="str">
        <x:v>[EMPTY STRING — provide no instruction tokens]</x:v>
      </x:c>
      <x:c r="M382" s="31" t="str">
        <x:v>Leave exactly three objects in the bowl.</x:v>
      </x:c>
      <x:c r="N382" s="31" t="str">
        <x:v>C-CF03B: bowl=[green pencil sharpener, airplane toy without propellers] (2); table=[blue pen, yellow block]; robot home; acceptable action=add either table object.</x:v>
      </x:c>
      <x:c r="O382" s="31" t="str">
        <x:v>No prespecified task success under blank language; record any action/selected target.</x:v>
      </x:c>
      <x:c r="P382" s="31" t="str"/>
      <x:c r="Q382" s="31" t="str"/>
      <x:c r="R382" s="31" t="str"/>
      <x:c r="S382" s="31" t="str">
        <x:f>IF('Blind Scoring'!I382="","",'Blind Scoring'!I382)</x:f>
      </x:c>
      <x:c r="T382" s="31" t="str">
        <x:f>'Blind Scoring'!J382</x:f>
        <x:v>No</x:v>
      </x:c>
      <x:c r="U382" s="31" t="str">
        <x:f>IF('Blind Scoring'!L382="","",'Blind Scoring'!L382)</x:f>
      </x:c>
    </x:row>
    <x:row r="383" ht="44" customHeight="1">
      <x:c r="A383" s="35" t="str">
        <x:v>Not Started</x:v>
      </x:c>
      <x:c r="B383" s="35" t="n">
        <x:v>381</x:v>
      </x:c>
      <x:c r="C383" s="35" t="str">
        <x:v>P07</x:v>
      </x:c>
      <x:c r="D383" s="35" t="n">
        <x:v>10</x:v>
      </x:c>
      <x:c r="E383" s="35" t="str">
        <x:v>Primary VLA</x:v>
      </x:c>
      <x:c r="F383" s="35" t="str">
        <x:v>MolmoAct2</x:v>
      </x:c>
      <x:c r="G383" s="35" t="n">
        <x:v>1</x:v>
      </x:c>
      <x:c r="H383" s="35" t="str">
        <x:v>Counting</x:v>
      </x:c>
      <x:c r="I383" s="35" t="str">
        <x:v>Main matched control</x:v>
      </x:c>
      <x:c r="J383" s="35" t="str">
        <x:v>PVLA-CT-CTL-03</x:v>
      </x:c>
      <x:c r="K383" s="35" t="str">
        <x:v>C-CF03-A</x:v>
      </x:c>
      <x:c r="L383" s="31" t="str">
        <x:v>Remove the green pencil sharpener from the bowl.</x:v>
      </x:c>
      <x:c r="M383" s="31" t="str">
        <x:v>Remove the green pencil sharpener from the bowl.</x:v>
      </x:c>
      <x:c r="N383" s="31" t="str">
        <x:v>C-CF03-CA: bowl=[green pencil sharpener, airplane toy without propellers] (2); table=[blue pen, yellow block]; robot home; acceptable action=remove either bowl object.</x:v>
      </x:c>
      <x:c r="O383" s="31" t="str">
        <x:v>REMOVE green pencil sharpener</x:v>
      </x:c>
      <x:c r="P383" s="31" t="str"/>
      <x:c r="Q383" s="31" t="str"/>
      <x:c r="R383" s="31" t="str"/>
      <x:c r="S383" s="31" t="str">
        <x:f>IF('Blind Scoring'!I383="","",'Blind Scoring'!I383)</x:f>
      </x:c>
      <x:c r="T383" s="31" t="str">
        <x:f>'Blind Scoring'!J383</x:f>
        <x:v>No</x:v>
      </x:c>
      <x:c r="U383" s="31" t="str">
        <x:f>IF('Blind Scoring'!L383="","",'Blind Scoring'!L383)</x:f>
      </x:c>
    </x:row>
    <x:row r="384" ht="44" customHeight="1">
      <x:c r="A384" s="35" t="str">
        <x:v>Not Started</x:v>
      </x:c>
      <x:c r="B384" s="35" t="n">
        <x:v>382</x:v>
      </x:c>
      <x:c r="C384" s="35" t="str">
        <x:v>P07</x:v>
      </x:c>
      <x:c r="D384" s="35" t="n">
        <x:v>11</x:v>
      </x:c>
      <x:c r="E384" s="35" t="str">
        <x:v>Primary VLA</x:v>
      </x:c>
      <x:c r="F384" s="35" t="str">
        <x:v>MolmoAct2</x:v>
      </x:c>
      <x:c r="G384" s="35" t="n">
        <x:v>1</x:v>
      </x:c>
      <x:c r="H384" s="35" t="str">
        <x:v>Counting</x:v>
      </x:c>
      <x:c r="I384" s="35" t="str">
        <x:v>Main held-out transfer</x:v>
      </x:c>
      <x:c r="J384" s="35" t="str">
        <x:v>PVLA-CT-TR-05</x:v>
      </x:c>
      <x:c r="K384" s="35" t="str">
        <x:v>C-CF04-A</x:v>
      </x:c>
      <x:c r="L384" s="31" t="str">
        <x:v>Leave exactly one object in the bowl.</x:v>
      </x:c>
      <x:c r="M384" s="31" t="str">
        <x:v>Leave exactly one object in the bowl.</x:v>
      </x:c>
      <x:c r="N384" s="31" t="str">
        <x:v>C-CF04A: bowl=[airplane toy without propellers, blue pen] (2); table=[yellow block, green pencil sharpener]; robot home; acceptable action=remove either bowl object.</x:v>
      </x:c>
      <x:c r="O384" s="31" t="str">
        <x:v>REMOVE one bowl object</x:v>
      </x:c>
      <x:c r="P384" s="31" t="str"/>
      <x:c r="Q384" s="31" t="str"/>
      <x:c r="R384" s="31" t="str"/>
      <x:c r="S384" s="31" t="str">
        <x:f>IF('Blind Scoring'!I384="","",'Blind Scoring'!I384)</x:f>
      </x:c>
      <x:c r="T384" s="31" t="str">
        <x:f>'Blind Scoring'!J384</x:f>
        <x:v>No</x:v>
      </x:c>
      <x:c r="U384" s="31" t="str">
        <x:f>IF('Blind Scoring'!L384="","",'Blind Scoring'!L384)</x:f>
      </x:c>
    </x:row>
    <x:row r="385" ht="44" customHeight="1">
      <x:c r="A385" s="35" t="str">
        <x:v>Not Started</x:v>
      </x:c>
      <x:c r="B385" s="35" t="n">
        <x:v>383</x:v>
      </x:c>
      <x:c r="C385" s="35" t="str">
        <x:v>P07</x:v>
      </x:c>
      <x:c r="D385" s="35" t="n">
        <x:v>12</x:v>
      </x:c>
      <x:c r="E385" s="35" t="str">
        <x:v>Primary VLA</x:v>
      </x:c>
      <x:c r="F385" s="35" t="str">
        <x:v>MolmoAct2</x:v>
      </x:c>
      <x:c r="G385" s="35" t="n">
        <x:v>1</x:v>
      </x:c>
      <x:c r="H385" s="35" t="str">
        <x:v>Counting</x:v>
      </x:c>
      <x:c r="I385" s="35" t="str">
        <x:v>Language ablation — blank</x:v>
      </x:c>
      <x:c r="J385" s="35" t="str">
        <x:v>PVLA-CT-ABL-BLK-02</x:v>
      </x:c>
      <x:c r="K385" s="35" t="str">
        <x:v>C-CF01-B</x:v>
      </x:c>
      <x:c r="L385" s="31" t="str">
        <x:v>[EMPTY STRING — provide no instruction tokens]</x:v>
      </x:c>
      <x:c r="M385" s="31" t="str">
        <x:v>Leave exactly three objects in the bowl.</x:v>
      </x:c>
      <x:c r="N385" s="31" t="str">
        <x:v>C-CF01B: bowl=[blue pen, yellow block] (2); table=[green pencil sharpener, airplane toy without propellers]; robot home; acceptable action=add either table object.</x:v>
      </x:c>
      <x:c r="O385" s="31" t="str">
        <x:v>No prespecified task success under blank language; record any action/selected target.</x:v>
      </x:c>
      <x:c r="P385" s="31" t="str"/>
      <x:c r="Q385" s="31" t="str"/>
      <x:c r="R385" s="31" t="str"/>
      <x:c r="S385" s="31" t="str">
        <x:f>IF('Blind Scoring'!I385="","",'Blind Scoring'!I385)</x:f>
      </x:c>
      <x:c r="T385" s="31" t="str">
        <x:f>'Blind Scoring'!J385</x:f>
        <x:v>No</x:v>
      </x:c>
      <x:c r="U385" s="31" t="str">
        <x:f>IF('Blind Scoring'!L385="","",'Blind Scoring'!L385)</x:f>
      </x:c>
    </x:row>
    <x:row r="386" ht="44" customHeight="1">
      <x:c r="A386" s="35" t="str">
        <x:v>Not Started</x:v>
      </x:c>
      <x:c r="B386" s="35" t="n">
        <x:v>384</x:v>
      </x:c>
      <x:c r="C386" s="35" t="str">
        <x:v>P07</x:v>
      </x:c>
      <x:c r="D386" s="35" t="n">
        <x:v>13</x:v>
      </x:c>
      <x:c r="E386" s="35" t="str">
        <x:v>Primary VLA</x:v>
      </x:c>
      <x:c r="F386" s="35" t="str">
        <x:v>MolmoAct2</x:v>
      </x:c>
      <x:c r="G386" s="35" t="n">
        <x:v>1</x:v>
      </x:c>
      <x:c r="H386" s="35" t="str">
        <x:v>Counting</x:v>
      </x:c>
      <x:c r="I386" s="35" t="str">
        <x:v>Main matched control</x:v>
      </x:c>
      <x:c r="J386" s="35" t="str">
        <x:v>PVLA-CT-CTL-04</x:v>
      </x:c>
      <x:c r="K386" s="35" t="str">
        <x:v>C-CF03-B</x:v>
      </x:c>
      <x:c r="L386" s="31" t="str">
        <x:v>Put the blue pen in the bowl.</x:v>
      </x:c>
      <x:c r="M386" s="31" t="str">
        <x:v>Put the blue pen in the bowl.</x:v>
      </x:c>
      <x:c r="N386" s="31" t="str">
        <x:v>C-CF03-CB: bowl=[green pencil sharpener, airplane toy without propellers] (2); table=[blue pen, yellow block]; robot home; acceptable action=add either table object.</x:v>
      </x:c>
      <x:c r="O386" s="31" t="str">
        <x:v>ADD blue pen</x:v>
      </x:c>
      <x:c r="P386" s="31" t="str"/>
      <x:c r="Q386" s="31" t="str"/>
      <x:c r="R386" s="31" t="str"/>
      <x:c r="S386" s="31" t="str">
        <x:f>IF('Blind Scoring'!I386="","",'Blind Scoring'!I386)</x:f>
      </x:c>
      <x:c r="T386" s="31" t="str">
        <x:f>'Blind Scoring'!J386</x:f>
        <x:v>No</x:v>
      </x:c>
      <x:c r="U386" s="31" t="str">
        <x:f>IF('Blind Scoring'!L386="","",'Blind Scoring'!L386)</x:f>
      </x:c>
    </x:row>
    <x:row r="387" ht="44" customHeight="1">
      <x:c r="A387" s="35" t="str">
        <x:v>Not Started</x:v>
      </x:c>
      <x:c r="B387" s="35" t="n">
        <x:v>385</x:v>
      </x:c>
      <x:c r="C387" s="35" t="str">
        <x:v>P07</x:v>
      </x:c>
      <x:c r="D387" s="35" t="n">
        <x:v>14</x:v>
      </x:c>
      <x:c r="E387" s="35" t="str">
        <x:v>Primary VLA</x:v>
      </x:c>
      <x:c r="F387" s="35" t="str">
        <x:v>MolmoAct2</x:v>
      </x:c>
      <x:c r="G387" s="35" t="n">
        <x:v>1</x:v>
      </x:c>
      <x:c r="H387" s="35" t="str">
        <x:v>Counting</x:v>
      </x:c>
      <x:c r="I387" s="35" t="str">
        <x:v>Exact-scene paraphrase</x:v>
      </x:c>
      <x:c r="J387" s="35" t="str">
        <x:v>PVLA-CT-PAR-02</x:v>
      </x:c>
      <x:c r="K387" s="35" t="str"/>
      <x:c r="L387" s="31" t="str">
        <x:v>Finish with two objects in the bowl.</x:v>
      </x:c>
      <x:c r="M387" s="31" t="str">
        <x:v>Finish with two objects in the bowl.</x:v>
      </x:c>
      <x:c r="N387" s="31" t="str">
        <x:v>C-N01: bowl=[blue pen] (1); table left→right=[yellow block, green pencil sharpener, airplane toy without propellers]; robot home.</x:v>
      </x:c>
      <x:c r="O387" s="31" t="str"/>
      <x:c r="P387" s="31" t="str"/>
      <x:c r="Q387" s="31" t="str"/>
      <x:c r="R387" s="31" t="str"/>
      <x:c r="S387" s="31" t="str">
        <x:f>IF('Blind Scoring'!I387="","",'Blind Scoring'!I387)</x:f>
      </x:c>
      <x:c r="T387" s="31" t="str">
        <x:f>'Blind Scoring'!J387</x:f>
        <x:v>No</x:v>
      </x:c>
      <x:c r="U387" s="31" t="str">
        <x:f>IF('Blind Scoring'!L387="","",'Blind Scoring'!L387)</x:f>
      </x:c>
    </x:row>
    <x:row r="388" ht="44" customHeight="1">
      <x:c r="A388" s="35" t="str">
        <x:v>Not Started</x:v>
      </x:c>
      <x:c r="B388" s="35" t="n">
        <x:v>386</x:v>
      </x:c>
      <x:c r="C388" s="35" t="str">
        <x:v>P07</x:v>
      </x:c>
      <x:c r="D388" s="35" t="n">
        <x:v>15</x:v>
      </x:c>
      <x:c r="E388" s="35" t="str">
        <x:v>Primary VLA</x:v>
      </x:c>
      <x:c r="F388" s="35" t="str">
        <x:v>MolmoAct2</x:v>
      </x:c>
      <x:c r="G388" s="35" t="n">
        <x:v>1</x:v>
      </x:c>
      <x:c r="H388" s="35" t="str">
        <x:v>Counting</x:v>
      </x:c>
      <x:c r="I388" s="35" t="str">
        <x:v>Exact-scene paraphrase</x:v>
      </x:c>
      <x:c r="J388" s="35" t="str">
        <x:v>PVLA-CT-PAR-04</x:v>
      </x:c>
      <x:c r="K388" s="35" t="str"/>
      <x:c r="L388" s="31" t="str">
        <x:v>Finish with two objects in the bowl.</x:v>
      </x:c>
      <x:c r="M388" s="31" t="str">
        <x:v>Finish with two objects in the bowl.</x:v>
      </x:c>
      <x:c r="N388" s="31" t="str">
        <x:v>C-N01: bowl=[blue pen] (1); table left→right=[yellow block, green pencil sharpener, airplane toy without propellers]; robot home.</x:v>
      </x:c>
      <x:c r="O388" s="31" t="str"/>
      <x:c r="P388" s="31" t="str"/>
      <x:c r="Q388" s="31" t="str"/>
      <x:c r="R388" s="31" t="str"/>
      <x:c r="S388" s="31" t="str">
        <x:f>IF('Blind Scoring'!I388="","",'Blind Scoring'!I388)</x:f>
      </x:c>
      <x:c r="T388" s="31" t="str">
        <x:f>'Blind Scoring'!J388</x:f>
        <x:v>No</x:v>
      </x:c>
      <x:c r="U388" s="31" t="str">
        <x:f>IF('Blind Scoring'!L388="","",'Blind Scoring'!L388)</x:f>
      </x:c>
    </x:row>
    <x:row r="389" ht="44" customHeight="1">
      <x:c r="A389" s="35" t="str">
        <x:v>Not Started</x:v>
      </x:c>
      <x:c r="B389" s="35" t="n">
        <x:v>387</x:v>
      </x:c>
      <x:c r="C389" s="35" t="str">
        <x:v>P07</x:v>
      </x:c>
      <x:c r="D389" s="35" t="n">
        <x:v>16</x:v>
      </x:c>
      <x:c r="E389" s="35" t="str">
        <x:v>Primary VLA</x:v>
      </x:c>
      <x:c r="F389" s="35" t="str">
        <x:v>MolmoAct2</x:v>
      </x:c>
      <x:c r="G389" s="35" t="n">
        <x:v>1</x:v>
      </x:c>
      <x:c r="H389" s="35" t="str">
        <x:v>Counting</x:v>
      </x:c>
      <x:c r="I389" s="35" t="str">
        <x:v>Main matched control</x:v>
      </x:c>
      <x:c r="J389" s="35" t="str">
        <x:v>PVLA-CT-CTL-10</x:v>
      </x:c>
      <x:c r="K389" s="35" t="str">
        <x:v>C-CF07-B</x:v>
      </x:c>
      <x:c r="L389" s="31" t="str">
        <x:v>Put the blue pen in the bowl.</x:v>
      </x:c>
      <x:c r="M389" s="31" t="str">
        <x:v>Put the blue pen in the bowl.</x:v>
      </x:c>
      <x:c r="N389" s="31" t="str">
        <x:v>C-CF07-CB: bowl=[green pencil sharpener, airplane toy without propellers] (2); table=[blue pen, yellow block]; robot home; acceptable action=add either table object.</x:v>
      </x:c>
      <x:c r="O389" s="31" t="str">
        <x:v>ADD blue pen</x:v>
      </x:c>
      <x:c r="P389" s="31" t="str"/>
      <x:c r="Q389" s="31" t="str"/>
      <x:c r="R389" s="31" t="str"/>
      <x:c r="S389" s="31" t="str">
        <x:f>IF('Blind Scoring'!I389="","",'Blind Scoring'!I389)</x:f>
      </x:c>
      <x:c r="T389" s="31" t="str">
        <x:f>'Blind Scoring'!J389</x:f>
        <x:v>No</x:v>
      </x:c>
      <x:c r="U389" s="31" t="str">
        <x:f>IF('Blind Scoring'!L389="","",'Blind Scoring'!L389)</x:f>
      </x:c>
    </x:row>
    <x:row r="390" ht="44" customHeight="1">
      <x:c r="A390" s="35" t="str">
        <x:v>Not Started</x:v>
      </x:c>
      <x:c r="B390" s="35" t="n">
        <x:v>388</x:v>
      </x:c>
      <x:c r="C390" s="35" t="str">
        <x:v>P07</x:v>
      </x:c>
      <x:c r="D390" s="35" t="n">
        <x:v>17</x:v>
      </x:c>
      <x:c r="E390" s="35" t="str">
        <x:v>Primary VLA</x:v>
      </x:c>
      <x:c r="F390" s="35" t="str">
        <x:v>MolmoAct2</x:v>
      </x:c>
      <x:c r="G390" s="35" t="n">
        <x:v>1</x:v>
      </x:c>
      <x:c r="H390" s="35" t="str">
        <x:v>Counting</x:v>
      </x:c>
      <x:c r="I390" s="35" t="str">
        <x:v>Exact-scene paraphrase</x:v>
      </x:c>
      <x:c r="J390" s="35" t="str">
        <x:v>PVLA-CT-PAR-05</x:v>
      </x:c>
      <x:c r="K390" s="35" t="str"/>
      <x:c r="L390" s="31" t="str">
        <x:v>Finish with two objects in the bowl.</x:v>
      </x:c>
      <x:c r="M390" s="31" t="str">
        <x:v>Finish with two objects in the bowl.</x:v>
      </x:c>
      <x:c r="N390" s="31" t="str">
        <x:v>C-N01: bowl=[blue pen] (1); table left→right=[yellow block, green pencil sharpener, airplane toy without propellers]; robot home.</x:v>
      </x:c>
      <x:c r="O390" s="31" t="str"/>
      <x:c r="P390" s="31" t="str"/>
      <x:c r="Q390" s="31" t="str"/>
      <x:c r="R390" s="31" t="str"/>
      <x:c r="S390" s="31" t="str">
        <x:f>IF('Blind Scoring'!I390="","",'Blind Scoring'!I390)</x:f>
      </x:c>
      <x:c r="T390" s="31" t="str">
        <x:f>'Blind Scoring'!J390</x:f>
        <x:v>No</x:v>
      </x:c>
      <x:c r="U390" s="31" t="str">
        <x:f>IF('Blind Scoring'!L390="","",'Blind Scoring'!L390)</x:f>
      </x:c>
    </x:row>
    <x:row r="391" ht="44" customHeight="1">
      <x:c r="A391" s="35" t="str">
        <x:v>Not Started</x:v>
      </x:c>
      <x:c r="B391" s="35" t="n">
        <x:v>389</x:v>
      </x:c>
      <x:c r="C391" s="35" t="str">
        <x:v>P07</x:v>
      </x:c>
      <x:c r="D391" s="35" t="n">
        <x:v>18</x:v>
      </x:c>
      <x:c r="E391" s="35" t="str">
        <x:v>Primary VLA</x:v>
      </x:c>
      <x:c r="F391" s="35" t="str">
        <x:v>MolmoAct2</x:v>
      </x:c>
      <x:c r="G391" s="35" t="n">
        <x:v>1</x:v>
      </x:c>
      <x:c r="H391" s="35" t="str">
        <x:v>Counting</x:v>
      </x:c>
      <x:c r="I391" s="35" t="str">
        <x:v>Language ablation — blank</x:v>
      </x:c>
      <x:c r="J391" s="35" t="str">
        <x:v>PVLA-CT-ABL-BLK-03</x:v>
      </x:c>
      <x:c r="K391" s="35" t="str">
        <x:v>C-CF03-A</x:v>
      </x:c>
      <x:c r="L391" s="31" t="str">
        <x:v>[EMPTY STRING — provide no instruction tokens]</x:v>
      </x:c>
      <x:c r="M391" s="31" t="str">
        <x:v>Leave exactly one object in the bowl.</x:v>
      </x:c>
      <x:c r="N391" s="31" t="str">
        <x:v>C-CF03A: bowl=[green pencil sharpener, airplane toy without propellers] (2); table=[blue pen, yellow block]; robot home; acceptable action=remove either bowl object.</x:v>
      </x:c>
      <x:c r="O391" s="31" t="str">
        <x:v>No prespecified task success under blank language; record any action/selected target.</x:v>
      </x:c>
      <x:c r="P391" s="31" t="str"/>
      <x:c r="Q391" s="31" t="str"/>
      <x:c r="R391" s="31" t="str"/>
      <x:c r="S391" s="31" t="str">
        <x:f>IF('Blind Scoring'!I391="","",'Blind Scoring'!I391)</x:f>
      </x:c>
      <x:c r="T391" s="31" t="str">
        <x:f>'Blind Scoring'!J391</x:f>
        <x:v>No</x:v>
      </x:c>
      <x:c r="U391" s="31" t="str">
        <x:f>IF('Blind Scoring'!L391="","",'Blind Scoring'!L391)</x:f>
      </x:c>
    </x:row>
    <x:row r="392" ht="44" customHeight="1">
      <x:c r="A392" s="35" t="str">
        <x:v>Not Started</x:v>
      </x:c>
      <x:c r="B392" s="35" t="n">
        <x:v>390</x:v>
      </x:c>
      <x:c r="C392" s="35" t="str">
        <x:v>P07</x:v>
      </x:c>
      <x:c r="D392" s="35" t="n">
        <x:v>19</x:v>
      </x:c>
      <x:c r="E392" s="35" t="str">
        <x:v>Primary VLA</x:v>
      </x:c>
      <x:c r="F392" s="35" t="str">
        <x:v>MolmoAct2</x:v>
      </x:c>
      <x:c r="G392" s="35" t="n">
        <x:v>1</x:v>
      </x:c>
      <x:c r="H392" s="35" t="str">
        <x:v>Counting</x:v>
      </x:c>
      <x:c r="I392" s="35" t="str">
        <x:v>Main held-out transfer</x:v>
      </x:c>
      <x:c r="J392" s="35" t="str">
        <x:v>PVLA-CT-TR-12</x:v>
      </x:c>
      <x:c r="K392" s="35" t="str">
        <x:v>C-CF09-B</x:v>
      </x:c>
      <x:c r="L392" s="31" t="str">
        <x:v>Leave exactly three objects in the bowl.</x:v>
      </x:c>
      <x:c r="M392" s="31" t="str">
        <x:v>Leave exactly three objects in the bowl.</x:v>
      </x:c>
      <x:c r="N392" s="31" t="str">
        <x:v>C-CF09B: bowl=[blue pen, yellow block] (2); table=[green pencil sharpener, airplane toy without propellers]; robot home; acceptable action=add either table object.</x:v>
      </x:c>
      <x:c r="O392" s="31" t="str">
        <x:v>ADD one table object</x:v>
      </x:c>
      <x:c r="P392" s="31" t="str"/>
      <x:c r="Q392" s="31" t="str"/>
      <x:c r="R392" s="31" t="str"/>
      <x:c r="S392" s="31" t="str">
        <x:f>IF('Blind Scoring'!I392="","",'Blind Scoring'!I392)</x:f>
      </x:c>
      <x:c r="T392" s="31" t="str">
        <x:f>'Blind Scoring'!J392</x:f>
        <x:v>No</x:v>
      </x:c>
      <x:c r="U392" s="31" t="str">
        <x:f>IF('Blind Scoring'!L392="","",'Blind Scoring'!L392)</x:f>
      </x:c>
    </x:row>
    <x:row r="393" ht="44" customHeight="1">
      <x:c r="A393" s="35" t="str">
        <x:v>Not Started</x:v>
      </x:c>
      <x:c r="B393" s="35" t="n">
        <x:v>391</x:v>
      </x:c>
      <x:c r="C393" s="35" t="str">
        <x:v>P07</x:v>
      </x:c>
      <x:c r="D393" s="35" t="n">
        <x:v>20</x:v>
      </x:c>
      <x:c r="E393" s="35" t="str">
        <x:v>Primary VLA</x:v>
      </x:c>
      <x:c r="F393" s="35" t="str">
        <x:v>MolmoAct2</x:v>
      </x:c>
      <x:c r="G393" s="35" t="n">
        <x:v>1</x:v>
      </x:c>
      <x:c r="H393" s="35" t="str">
        <x:v>Counting</x:v>
      </x:c>
      <x:c r="I393" s="35" t="str">
        <x:v>Main held-out transfer</x:v>
      </x:c>
      <x:c r="J393" s="35" t="str">
        <x:v>PVLA-CT-TR-02</x:v>
      </x:c>
      <x:c r="K393" s="35" t="str">
        <x:v>C-CF01-B</x:v>
      </x:c>
      <x:c r="L393" s="31" t="str">
        <x:v>Leave exactly three objects in the bowl.</x:v>
      </x:c>
      <x:c r="M393" s="31" t="str">
        <x:v>Leave exactly three objects in the bowl.</x:v>
      </x:c>
      <x:c r="N393" s="31" t="str">
        <x:v>C-CF01B: bowl=[blue pen, yellow block] (2); table=[green pencil sharpener, airplane toy without propellers]; robot home; acceptable action=add either table object.</x:v>
      </x:c>
      <x:c r="O393" s="31" t="str">
        <x:v>ADD one table object</x:v>
      </x:c>
      <x:c r="P393" s="31" t="str"/>
      <x:c r="Q393" s="31" t="str"/>
      <x:c r="R393" s="31" t="str"/>
      <x:c r="S393" s="31" t="str">
        <x:f>IF('Blind Scoring'!I393="","",'Blind Scoring'!I393)</x:f>
      </x:c>
      <x:c r="T393" s="31" t="str">
        <x:f>'Blind Scoring'!J393</x:f>
        <x:v>No</x:v>
      </x:c>
      <x:c r="U393" s="31" t="str">
        <x:f>IF('Blind Scoring'!L393="","",'Blind Scoring'!L393)</x:f>
      </x:c>
    </x:row>
    <x:row r="394" ht="44" customHeight="1">
      <x:c r="A394" s="35" t="str">
        <x:v>Not Started</x:v>
      </x:c>
      <x:c r="B394" s="35" t="n">
        <x:v>392</x:v>
      </x:c>
      <x:c r="C394" s="35" t="str">
        <x:v>P07</x:v>
      </x:c>
      <x:c r="D394" s="35" t="n">
        <x:v>21</x:v>
      </x:c>
      <x:c r="E394" s="35" t="str">
        <x:v>Primary VLA</x:v>
      </x:c>
      <x:c r="F394" s="35" t="str">
        <x:v>MolmoAct2</x:v>
      </x:c>
      <x:c r="G394" s="35" t="n">
        <x:v>1</x:v>
      </x:c>
      <x:c r="H394" s="35" t="str">
        <x:v>Counting</x:v>
      </x:c>
      <x:c r="I394" s="35" t="str">
        <x:v>Main held-out transfer</x:v>
      </x:c>
      <x:c r="J394" s="35" t="str">
        <x:v>PVLA-CT-TR-07</x:v>
      </x:c>
      <x:c r="K394" s="35" t="str">
        <x:v>C-CF06-A</x:v>
      </x:c>
      <x:c r="L394" s="31" t="str">
        <x:v>Leave exactly one object in the bowl.</x:v>
      </x:c>
      <x:c r="M394" s="31" t="str">
        <x:v>Leave exactly one object in the bowl.</x:v>
      </x:c>
      <x:c r="N394" s="31" t="str">
        <x:v>C-CF06A: bowl=[yellow block, green pencil sharpener] (2); table=[airplane toy without propellers, blue pen]; robot home; acceptable action=remove either bowl object.</x:v>
      </x:c>
      <x:c r="O394" s="31" t="str">
        <x:v>REMOVE one bowl object</x:v>
      </x:c>
      <x:c r="P394" s="31" t="str"/>
      <x:c r="Q394" s="31" t="str"/>
      <x:c r="R394" s="31" t="str"/>
      <x:c r="S394" s="31" t="str">
        <x:f>IF('Blind Scoring'!I394="","",'Blind Scoring'!I394)</x:f>
      </x:c>
      <x:c r="T394" s="31" t="str">
        <x:f>'Blind Scoring'!J394</x:f>
        <x:v>No</x:v>
      </x:c>
      <x:c r="U394" s="31" t="str">
        <x:f>IF('Blind Scoring'!L394="","",'Blind Scoring'!L394)</x:f>
      </x:c>
    </x:row>
    <x:row r="395" ht="44" customHeight="1">
      <x:c r="A395" s="35" t="str">
        <x:v>Not Started</x:v>
      </x:c>
      <x:c r="B395" s="35" t="n">
        <x:v>393</x:v>
      </x:c>
      <x:c r="C395" s="35" t="str">
        <x:v>P07</x:v>
      </x:c>
      <x:c r="D395" s="35" t="n">
        <x:v>22</x:v>
      </x:c>
      <x:c r="E395" s="35" t="str">
        <x:v>Primary VLA</x:v>
      </x:c>
      <x:c r="F395" s="35" t="str">
        <x:v>MolmoAct2</x:v>
      </x:c>
      <x:c r="G395" s="35" t="n">
        <x:v>1</x:v>
      </x:c>
      <x:c r="H395" s="35" t="str">
        <x:v>Counting</x:v>
      </x:c>
      <x:c r="I395" s="35" t="str">
        <x:v>Main matched control</x:v>
      </x:c>
      <x:c r="J395" s="35" t="str">
        <x:v>PVLA-CT-CTL-08</x:v>
      </x:c>
      <x:c r="K395" s="35" t="str">
        <x:v>C-CF06-B</x:v>
      </x:c>
      <x:c r="L395" s="31" t="str">
        <x:v>Put the airplane toy without propellers in the bowl.</x:v>
      </x:c>
      <x:c r="M395" s="31" t="str">
        <x:v>Put the airplane toy without propellers in the bowl.</x:v>
      </x:c>
      <x:c r="N395" s="31" t="str">
        <x:v>C-CF06-CB: bowl=[yellow block, green pencil sharpener] (2); table=[airplane toy without propellers, blue pen]; robot home; acceptable action=add either table object.</x:v>
      </x:c>
      <x:c r="O395" s="31" t="str">
        <x:v>ADD airplane toy without propellers</x:v>
      </x:c>
      <x:c r="P395" s="31" t="str"/>
      <x:c r="Q395" s="31" t="str"/>
      <x:c r="R395" s="31" t="str"/>
      <x:c r="S395" s="31" t="str">
        <x:f>IF('Blind Scoring'!I395="","",'Blind Scoring'!I395)</x:f>
      </x:c>
      <x:c r="T395" s="31" t="str">
        <x:f>'Blind Scoring'!J395</x:f>
        <x:v>No</x:v>
      </x:c>
      <x:c r="U395" s="31" t="str">
        <x:f>IF('Blind Scoring'!L395="","",'Blind Scoring'!L395)</x:f>
      </x:c>
    </x:row>
    <x:row r="396" ht="44" customHeight="1">
      <x:c r="A396" s="35" t="str">
        <x:v>Not Started</x:v>
      </x:c>
      <x:c r="B396" s="35" t="n">
        <x:v>394</x:v>
      </x:c>
      <x:c r="C396" s="35" t="str">
        <x:v>P07</x:v>
      </x:c>
      <x:c r="D396" s="35" t="n">
        <x:v>23</x:v>
      </x:c>
      <x:c r="E396" s="35" t="str">
        <x:v>Primary VLA</x:v>
      </x:c>
      <x:c r="F396" s="35" t="str">
        <x:v>MolmoAct2</x:v>
      </x:c>
      <x:c r="G396" s="35" t="n">
        <x:v>1</x:v>
      </x:c>
      <x:c r="H396" s="35" t="str">
        <x:v>Counting</x:v>
      </x:c>
      <x:c r="I396" s="35" t="str">
        <x:v>Main matched control</x:v>
      </x:c>
      <x:c r="J396" s="35" t="str">
        <x:v>PVLA-CT-CTL-05</x:v>
      </x:c>
      <x:c r="K396" s="35" t="str">
        <x:v>C-CF04-A</x:v>
      </x:c>
      <x:c r="L396" s="31" t="str">
        <x:v>Remove the airplane toy without propellers from the bowl.</x:v>
      </x:c>
      <x:c r="M396" s="31" t="str">
        <x:v>Remove the airplane toy without propellers from the bowl.</x:v>
      </x:c>
      <x:c r="N396" s="31" t="str">
        <x:v>C-CF04-CA: bowl=[airplane toy without propellers, blue pen] (2); table=[yellow block, green pencil sharpener]; robot home; acceptable action=remove either bowl object.</x:v>
      </x:c>
      <x:c r="O396" s="31" t="str">
        <x:v>REMOVE airplane toy without propellers</x:v>
      </x:c>
      <x:c r="P396" s="31" t="str"/>
      <x:c r="Q396" s="31" t="str"/>
      <x:c r="R396" s="31" t="str"/>
      <x:c r="S396" s="31" t="str">
        <x:f>IF('Blind Scoring'!I396="","",'Blind Scoring'!I396)</x:f>
      </x:c>
      <x:c r="T396" s="31" t="str">
        <x:f>'Blind Scoring'!J396</x:f>
        <x:v>No</x:v>
      </x:c>
      <x:c r="U396" s="31" t="str">
        <x:f>IF('Blind Scoring'!L396="","",'Blind Scoring'!L396)</x:f>
      </x:c>
    </x:row>
    <x:row r="397" ht="44" customHeight="1">
      <x:c r="A397" s="35" t="str">
        <x:v>Not Started</x:v>
      </x:c>
      <x:c r="B397" s="35" t="n">
        <x:v>395</x:v>
      </x:c>
      <x:c r="C397" s="35" t="str">
        <x:v>P07</x:v>
      </x:c>
      <x:c r="D397" s="35" t="n">
        <x:v>24</x:v>
      </x:c>
      <x:c r="E397" s="35" t="str">
        <x:v>Primary VLA</x:v>
      </x:c>
      <x:c r="F397" s="35" t="str">
        <x:v>MolmoAct2</x:v>
      </x:c>
      <x:c r="G397" s="35" t="n">
        <x:v>1</x:v>
      </x:c>
      <x:c r="H397" s="35" t="str">
        <x:v>Counting</x:v>
      </x:c>
      <x:c r="I397" s="35" t="str">
        <x:v>Novel layout + seen language</x:v>
      </x:c>
      <x:c r="J397" s="35" t="str">
        <x:v>PVLA-CT-NOV-02</x:v>
      </x:c>
      <x:c r="K397" s="35" t="str"/>
      <x:c r="L397" s="31" t="str">
        <x:v>Make the bowl contain exactly two objects.</x:v>
      </x:c>
      <x:c r="M397" s="31" t="str">
        <x:v>Make the bowl contain exactly two objects.</x:v>
      </x:c>
      <x:c r="N397" s="31" t="str">
        <x:v>C-N04: bowl=[airplane toy without propellers, blue pen, yellow block] (3); table left→right=[green pencil sharpener]; robot home.</x:v>
      </x:c>
      <x:c r="O397" s="31" t="str"/>
      <x:c r="P397" s="31" t="str"/>
      <x:c r="Q397" s="31" t="str"/>
      <x:c r="R397" s="31" t="str"/>
      <x:c r="S397" s="31" t="str">
        <x:f>IF('Blind Scoring'!I397="","",'Blind Scoring'!I397)</x:f>
      </x:c>
      <x:c r="T397" s="31" t="str">
        <x:f>'Blind Scoring'!J397</x:f>
        <x:v>No</x:v>
      </x:c>
      <x:c r="U397" s="31" t="str">
        <x:f>IF('Blind Scoring'!L397="","",'Blind Scoring'!L397)</x:f>
      </x:c>
    </x:row>
    <x:row r="398" ht="44" customHeight="1">
      <x:c r="A398" s="35" t="str">
        <x:v>Not Started</x:v>
      </x:c>
      <x:c r="B398" s="35" t="n">
        <x:v>396</x:v>
      </x:c>
      <x:c r="C398" s="35" t="str">
        <x:v>P07</x:v>
      </x:c>
      <x:c r="D398" s="35" t="n">
        <x:v>25</x:v>
      </x:c>
      <x:c r="E398" s="35" t="str">
        <x:v>Primary VLA</x:v>
      </x:c>
      <x:c r="F398" s="35" t="str">
        <x:v>MolmoAct2</x:v>
      </x:c>
      <x:c r="G398" s="35" t="n">
        <x:v>1</x:v>
      </x:c>
      <x:c r="H398" s="35" t="str">
        <x:v>Counting</x:v>
      </x:c>
      <x:c r="I398" s="35" t="str">
        <x:v>Training reconstruction</x:v>
      </x:c>
      <x:c r="J398" s="35" t="str">
        <x:v>PVLA-CT-REC-04</x:v>
      </x:c>
      <x:c r="K398" s="35" t="str"/>
      <x:c r="L398" s="31" t="str">
        <x:v>Leave exactly two objects in the bowl.</x:v>
      </x:c>
      <x:c r="M398" s="31" t="str">
        <x:v>Leave exactly two objects in the bowl.</x:v>
      </x:c>
      <x:c r="N398" s="31" t="str">
        <x:v>Reconstruct planned final training episode 861: green pencil sharpener, yellow block, airplane toy without propellers, blue pen; start=Post-Drop. Match camera, calibration, bowl pose, and object geometry exactly.</x:v>
      </x:c>
      <x:c r="O398" s="31" t="str">
        <x:v>yellow block</x:v>
      </x:c>
      <x:c r="P398" s="31" t="str"/>
      <x:c r="Q398" s="31" t="str"/>
      <x:c r="R398" s="31" t="str"/>
      <x:c r="S398" s="31" t="str">
        <x:f>IF('Blind Scoring'!I398="","",'Blind Scoring'!I398)</x:f>
      </x:c>
      <x:c r="T398" s="31" t="str">
        <x:f>'Blind Scoring'!J398</x:f>
        <x:v>No</x:v>
      </x:c>
      <x:c r="U398" s="31" t="str">
        <x:f>IF('Blind Scoring'!L398="","",'Blind Scoring'!L398)</x:f>
      </x:c>
    </x:row>
    <x:row r="399" ht="44" customHeight="1">
      <x:c r="A399" s="35" t="str">
        <x:v>Not Started</x:v>
      </x:c>
      <x:c r="B399" s="35" t="n">
        <x:v>397</x:v>
      </x:c>
      <x:c r="C399" s="35" t="str">
        <x:v>P07</x:v>
      </x:c>
      <x:c r="D399" s="35" t="n">
        <x:v>26</x:v>
      </x:c>
      <x:c r="E399" s="35" t="str">
        <x:v>Primary VLA</x:v>
      </x:c>
      <x:c r="F399" s="35" t="str">
        <x:v>MolmoAct2</x:v>
      </x:c>
      <x:c r="G399" s="35" t="n">
        <x:v>1</x:v>
      </x:c>
      <x:c r="H399" s="35" t="str">
        <x:v>Counting</x:v>
      </x:c>
      <x:c r="I399" s="35" t="str">
        <x:v>Training reconstruction</x:v>
      </x:c>
      <x:c r="J399" s="35" t="str">
        <x:v>PVLA-CT-REC-03</x:v>
      </x:c>
      <x:c r="K399" s="35" t="str"/>
      <x:c r="L399" s="31" t="str">
        <x:v>Move the yellow block into the bowl.</x:v>
      </x:c>
      <x:c r="M399" s="31" t="str">
        <x:v>Move the yellow block into the bowl.</x:v>
      </x:c>
      <x:c r="N399" s="31" t="str">
        <x:v>Reconstruct planned final training episode 850: yellow block, green pencil sharpener, airplane toy without propellers, blue pen; start=Home. Match camera, calibration, bowl pose, and object geometry exactly.</x:v>
      </x:c>
      <x:c r="O399" s="31" t="str">
        <x:v>yellow block</x:v>
      </x:c>
      <x:c r="P399" s="31" t="str"/>
      <x:c r="Q399" s="31" t="str"/>
      <x:c r="R399" s="31" t="str"/>
      <x:c r="S399" s="31" t="str">
        <x:f>IF('Blind Scoring'!I399="","",'Blind Scoring'!I399)</x:f>
      </x:c>
      <x:c r="T399" s="31" t="str">
        <x:f>'Blind Scoring'!J399</x:f>
        <x:v>No</x:v>
      </x:c>
      <x:c r="U399" s="31" t="str">
        <x:f>IF('Blind Scoring'!L399="","",'Blind Scoring'!L399)</x:f>
      </x:c>
    </x:row>
    <x:row r="400" ht="44" customHeight="1">
      <x:c r="A400" s="35" t="str">
        <x:v>Not Started</x:v>
      </x:c>
      <x:c r="B400" s="35" t="n">
        <x:v>398</x:v>
      </x:c>
      <x:c r="C400" s="35" t="str">
        <x:v>P07</x:v>
      </x:c>
      <x:c r="D400" s="35" t="n">
        <x:v>27</x:v>
      </x:c>
      <x:c r="E400" s="35" t="str">
        <x:v>Primary VLA</x:v>
      </x:c>
      <x:c r="F400" s="35" t="str">
        <x:v>MolmoAct2</x:v>
      </x:c>
      <x:c r="G400" s="35" t="n">
        <x:v>1</x:v>
      </x:c>
      <x:c r="H400" s="35" t="str">
        <x:v>Counting</x:v>
      </x:c>
      <x:c r="I400" s="35" t="str">
        <x:v>Main matched control</x:v>
      </x:c>
      <x:c r="J400" s="35" t="str">
        <x:v>PVLA-CT-CTL-15</x:v>
      </x:c>
      <x:c r="K400" s="35" t="str">
        <x:v>C-CF12-A</x:v>
      </x:c>
      <x:c r="L400" s="31" t="str">
        <x:v>Remove the airplane toy without propellers from the bowl.</x:v>
      </x:c>
      <x:c r="M400" s="31" t="str">
        <x:v>Remove the airplane toy without propellers from the bowl.</x:v>
      </x:c>
      <x:c r="N400" s="31" t="str">
        <x:v>C-CF12-CA: bowl=[airplane toy without propellers, blue pen] (2); table=[yellow block, green pencil sharpener]; robot home; acceptable action=remove either bowl object.</x:v>
      </x:c>
      <x:c r="O400" s="31" t="str">
        <x:v>REMOVE airplane toy without propellers</x:v>
      </x:c>
      <x:c r="P400" s="31" t="str"/>
      <x:c r="Q400" s="31" t="str"/>
      <x:c r="R400" s="31" t="str"/>
      <x:c r="S400" s="31" t="str">
        <x:f>IF('Blind Scoring'!I400="","",'Blind Scoring'!I400)</x:f>
      </x:c>
      <x:c r="T400" s="31" t="str">
        <x:f>'Blind Scoring'!J400</x:f>
        <x:v>No</x:v>
      </x:c>
      <x:c r="U400" s="31" t="str">
        <x:f>IF('Blind Scoring'!L400="","",'Blind Scoring'!L400)</x:f>
      </x:c>
    </x:row>
    <x:row r="401" ht="44" customHeight="1">
      <x:c r="A401" s="35" t="str">
        <x:v>Not Started</x:v>
      </x:c>
      <x:c r="B401" s="35" t="n">
        <x:v>399</x:v>
      </x:c>
      <x:c r="C401" s="35" t="str">
        <x:v>P07</x:v>
      </x:c>
      <x:c r="D401" s="35" t="n">
        <x:v>28</x:v>
      </x:c>
      <x:c r="E401" s="35" t="str">
        <x:v>Primary VLA</x:v>
      </x:c>
      <x:c r="F401" s="35" t="str">
        <x:v>MolmoAct2</x:v>
      </x:c>
      <x:c r="G401" s="35" t="n">
        <x:v>1</x:v>
      </x:c>
      <x:c r="H401" s="35" t="str">
        <x:v>Counting</x:v>
      </x:c>
      <x:c r="I401" s="35" t="str">
        <x:v>Training reconstruction</x:v>
      </x:c>
      <x:c r="J401" s="35" t="str">
        <x:v>PVLA-CT-REC-01</x:v>
      </x:c>
      <x:c r="K401" s="35" t="str"/>
      <x:c r="L401" s="31" t="str">
        <x:v>Move the blue pen into the bowl.</x:v>
      </x:c>
      <x:c r="M401" s="31" t="str">
        <x:v>Move the blue pen into the bowl.</x:v>
      </x:c>
      <x:c r="N401" s="31" t="str">
        <x:v>Reconstruct planned final training episode 800: blue pen, yellow block, green pencil sharpener, airplane toy without propellers; start=Home. Match camera, calibration, bowl pose, and object geometry exactly.</x:v>
      </x:c>
      <x:c r="O401" s="31" t="str">
        <x:v>blue pen</x:v>
      </x:c>
      <x:c r="P401" s="31" t="str"/>
      <x:c r="Q401" s="31" t="str"/>
      <x:c r="R401" s="31" t="str"/>
      <x:c r="S401" s="31" t="str">
        <x:f>IF('Blind Scoring'!I401="","",'Blind Scoring'!I401)</x:f>
      </x:c>
      <x:c r="T401" s="31" t="str">
        <x:f>'Blind Scoring'!J401</x:f>
        <x:v>No</x:v>
      </x:c>
      <x:c r="U401" s="31" t="str">
        <x:f>IF('Blind Scoring'!L401="","",'Blind Scoring'!L401)</x:f>
      </x:c>
    </x:row>
    <x:row r="402" ht="44" customHeight="1">
      <x:c r="A402" s="35" t="str">
        <x:v>Not Started</x:v>
      </x:c>
      <x:c r="B402" s="35" t="n">
        <x:v>400</x:v>
      </x:c>
      <x:c r="C402" s="35" t="str">
        <x:v>P07</x:v>
      </x:c>
      <x:c r="D402" s="35" t="n">
        <x:v>29</x:v>
      </x:c>
      <x:c r="E402" s="35" t="str">
        <x:v>Primary VLA</x:v>
      </x:c>
      <x:c r="F402" s="35" t="str">
        <x:v>MolmoAct2</x:v>
      </x:c>
      <x:c r="G402" s="35" t="n">
        <x:v>1</x:v>
      </x:c>
      <x:c r="H402" s="35" t="str">
        <x:v>Counting</x:v>
      </x:c>
      <x:c r="I402" s="35" t="str">
        <x:v>Main held-out transfer</x:v>
      </x:c>
      <x:c r="J402" s="35" t="str">
        <x:v>PVLA-CT-TR-03</x:v>
      </x:c>
      <x:c r="K402" s="35" t="str">
        <x:v>C-CF03-A</x:v>
      </x:c>
      <x:c r="L402" s="31" t="str">
        <x:v>Leave exactly one object in the bowl.</x:v>
      </x:c>
      <x:c r="M402" s="31" t="str">
        <x:v>Leave exactly one object in the bowl.</x:v>
      </x:c>
      <x:c r="N402" s="31" t="str">
        <x:v>C-CF03A: bowl=[green pencil sharpener, airplane toy without propellers] (2); table=[blue pen, yellow block]; robot home; acceptable action=remove either bowl object.</x:v>
      </x:c>
      <x:c r="O402" s="31" t="str">
        <x:v>REMOVE one bowl object</x:v>
      </x:c>
      <x:c r="P402" s="31" t="str"/>
      <x:c r="Q402" s="31" t="str"/>
      <x:c r="R402" s="31" t="str"/>
      <x:c r="S402" s="31" t="str">
        <x:f>IF('Blind Scoring'!I402="","",'Blind Scoring'!I402)</x:f>
      </x:c>
      <x:c r="T402" s="31" t="str">
        <x:f>'Blind Scoring'!J402</x:f>
        <x:v>No</x:v>
      </x:c>
      <x:c r="U402" s="31" t="str">
        <x:f>IF('Blind Scoring'!L402="","",'Blind Scoring'!L402)</x:f>
      </x:c>
    </x:row>
    <x:row r="403" ht="44" customHeight="1">
      <x:c r="A403" s="35" t="str">
        <x:v>Not Started</x:v>
      </x:c>
      <x:c r="B403" s="35" t="n">
        <x:v>401</x:v>
      </x:c>
      <x:c r="C403" s="35" t="str">
        <x:v>P07</x:v>
      </x:c>
      <x:c r="D403" s="35" t="n">
        <x:v>30</x:v>
      </x:c>
      <x:c r="E403" s="35" t="str">
        <x:v>Primary VLA</x:v>
      </x:c>
      <x:c r="F403" s="35" t="str">
        <x:v>MolmoAct2</x:v>
      </x:c>
      <x:c r="G403" s="35" t="n">
        <x:v>1</x:v>
      </x:c>
      <x:c r="H403" s="35" t="str">
        <x:v>Counting</x:v>
      </x:c>
      <x:c r="I403" s="35" t="str">
        <x:v>Main held-out transfer</x:v>
      </x:c>
      <x:c r="J403" s="35" t="str">
        <x:v>PVLA-CT-TR-14</x:v>
      </x:c>
      <x:c r="K403" s="35" t="str">
        <x:v>C-CF10-B</x:v>
      </x:c>
      <x:c r="L403" s="31" t="str">
        <x:v>Leave exactly three objects in the bowl.</x:v>
      </x:c>
      <x:c r="M403" s="31" t="str">
        <x:v>Leave exactly three objects in the bowl.</x:v>
      </x:c>
      <x:c r="N403" s="31" t="str">
        <x:v>C-CF10B: bowl=[yellow block, green pencil sharpener] (2); table=[airplane toy without propellers, blue pen]; robot home; acceptable action=add either table object.</x:v>
      </x:c>
      <x:c r="O403" s="31" t="str">
        <x:v>ADD one table object</x:v>
      </x:c>
      <x:c r="P403" s="31" t="str"/>
      <x:c r="Q403" s="31" t="str"/>
      <x:c r="R403" s="31" t="str"/>
      <x:c r="S403" s="31" t="str">
        <x:f>IF('Blind Scoring'!I403="","",'Blind Scoring'!I403)</x:f>
      </x:c>
      <x:c r="T403" s="31" t="str">
        <x:f>'Blind Scoring'!J403</x:f>
        <x:v>No</x:v>
      </x:c>
      <x:c r="U403" s="31" t="str">
        <x:f>IF('Blind Scoring'!L403="","",'Blind Scoring'!L403)</x:f>
      </x:c>
    </x:row>
    <x:row r="404" ht="44" customHeight="1">
      <x:c r="A404" s="35" t="str">
        <x:v>Not Started</x:v>
      </x:c>
      <x:c r="B404" s="35" t="n">
        <x:v>402</x:v>
      </x:c>
      <x:c r="C404" s="35" t="str">
        <x:v>P07</x:v>
      </x:c>
      <x:c r="D404" s="35" t="n">
        <x:v>31</x:v>
      </x:c>
      <x:c r="E404" s="35" t="str">
        <x:v>Primary VLA</x:v>
      </x:c>
      <x:c r="F404" s="35" t="str">
        <x:v>MolmoAct2</x:v>
      </x:c>
      <x:c r="G404" s="35" t="n">
        <x:v>1</x:v>
      </x:c>
      <x:c r="H404" s="35" t="str">
        <x:v>Counting</x:v>
      </x:c>
      <x:c r="I404" s="35" t="str">
        <x:v>Exact-scene paraphrase</x:v>
      </x:c>
      <x:c r="J404" s="35" t="str">
        <x:v>PVLA-CT-PAR-03</x:v>
      </x:c>
      <x:c r="K404" s="35" t="str"/>
      <x:c r="L404" s="31" t="str">
        <x:v>Finish with two objects in the bowl.</x:v>
      </x:c>
      <x:c r="M404" s="31" t="str">
        <x:v>Finish with two objects in the bowl.</x:v>
      </x:c>
      <x:c r="N404" s="31" t="str">
        <x:v>C-N01: bowl=[blue pen] (1); table left→right=[yellow block, green pencil sharpener, airplane toy without propellers]; robot home.</x:v>
      </x:c>
      <x:c r="O404" s="31" t="str"/>
      <x:c r="P404" s="31" t="str"/>
      <x:c r="Q404" s="31" t="str"/>
      <x:c r="R404" s="31" t="str"/>
      <x:c r="S404" s="31" t="str">
        <x:f>IF('Blind Scoring'!I404="","",'Blind Scoring'!I404)</x:f>
      </x:c>
      <x:c r="T404" s="31" t="str">
        <x:f>'Blind Scoring'!J404</x:f>
        <x:v>No</x:v>
      </x:c>
      <x:c r="U404" s="31" t="str">
        <x:f>IF('Blind Scoring'!L404="","",'Blind Scoring'!L404)</x:f>
      </x:c>
    </x:row>
    <x:row r="405" ht="44" customHeight="1">
      <x:c r="A405" s="35" t="str">
        <x:v>Not Started</x:v>
      </x:c>
      <x:c r="B405" s="35" t="n">
        <x:v>403</x:v>
      </x:c>
      <x:c r="C405" s="35" t="str">
        <x:v>P07</x:v>
      </x:c>
      <x:c r="D405" s="35" t="n">
        <x:v>32</x:v>
      </x:c>
      <x:c r="E405" s="35" t="str">
        <x:v>Primary VLA</x:v>
      </x:c>
      <x:c r="F405" s="35" t="str">
        <x:v>MolmoAct2</x:v>
      </x:c>
      <x:c r="G405" s="35" t="n">
        <x:v>1</x:v>
      </x:c>
      <x:c r="H405" s="35" t="str">
        <x:v>Counting</x:v>
      </x:c>
      <x:c r="I405" s="35" t="str">
        <x:v>Novel layout + seen language</x:v>
      </x:c>
      <x:c r="J405" s="35" t="str">
        <x:v>PVLA-CT-NOV-01</x:v>
      </x:c>
      <x:c r="K405" s="35" t="str"/>
      <x:c r="L405" s="31" t="str">
        <x:v>Make the bowl contain exactly two objects.</x:v>
      </x:c>
      <x:c r="M405" s="31" t="str">
        <x:v>Make the bowl contain exactly two objects.</x:v>
      </x:c>
      <x:c r="N405" s="31" t="str">
        <x:v>C-N01: bowl=[blue pen] (1); table left→right=[yellow block, green pencil sharpener, airplane toy without propellers]; robot home.</x:v>
      </x:c>
      <x:c r="O405" s="31" t="str"/>
      <x:c r="P405" s="31" t="str"/>
      <x:c r="Q405" s="31" t="str"/>
      <x:c r="R405" s="31" t="str"/>
      <x:c r="S405" s="31" t="str">
        <x:f>IF('Blind Scoring'!I405="","",'Blind Scoring'!I405)</x:f>
      </x:c>
      <x:c r="T405" s="31" t="str">
        <x:f>'Blind Scoring'!J405</x:f>
        <x:v>No</x:v>
      </x:c>
      <x:c r="U405" s="31" t="str">
        <x:f>IF('Blind Scoring'!L405="","",'Blind Scoring'!L405)</x:f>
      </x:c>
    </x:row>
    <x:row r="406" ht="44" customHeight="1">
      <x:c r="A406" s="35" t="str">
        <x:v>Not Started</x:v>
      </x:c>
      <x:c r="B406" s="35" t="n">
        <x:v>404</x:v>
      </x:c>
      <x:c r="C406" s="35" t="str">
        <x:v>P07</x:v>
      </x:c>
      <x:c r="D406" s="35" t="n">
        <x:v>33</x:v>
      </x:c>
      <x:c r="E406" s="35" t="str">
        <x:v>Primary VLA</x:v>
      </x:c>
      <x:c r="F406" s="35" t="str">
        <x:v>MolmoAct2</x:v>
      </x:c>
      <x:c r="G406" s="35" t="n">
        <x:v>1</x:v>
      </x:c>
      <x:c r="H406" s="35" t="str">
        <x:v>Counting</x:v>
      </x:c>
      <x:c r="I406" s="35" t="str">
        <x:v>Main held-out transfer</x:v>
      </x:c>
      <x:c r="J406" s="35" t="str">
        <x:v>PVLA-CT-TR-08</x:v>
      </x:c>
      <x:c r="K406" s="35" t="str">
        <x:v>C-CF06-B</x:v>
      </x:c>
      <x:c r="L406" s="31" t="str">
        <x:v>Leave exactly three objects in the bowl.</x:v>
      </x:c>
      <x:c r="M406" s="31" t="str">
        <x:v>Leave exactly three objects in the bowl.</x:v>
      </x:c>
      <x:c r="N406" s="31" t="str">
        <x:v>C-CF06B: bowl=[yellow block, green pencil sharpener] (2); table=[airplane toy without propellers, blue pen]; robot home; acceptable action=add either table object.</x:v>
      </x:c>
      <x:c r="O406" s="31" t="str">
        <x:v>ADD one table object</x:v>
      </x:c>
      <x:c r="P406" s="31" t="str"/>
      <x:c r="Q406" s="31" t="str"/>
      <x:c r="R406" s="31" t="str"/>
      <x:c r="S406" s="31" t="str">
        <x:f>IF('Blind Scoring'!I406="","",'Blind Scoring'!I406)</x:f>
      </x:c>
      <x:c r="T406" s="31" t="str">
        <x:f>'Blind Scoring'!J406</x:f>
        <x:v>No</x:v>
      </x:c>
      <x:c r="U406" s="31" t="str">
        <x:f>IF('Blind Scoring'!L406="","",'Blind Scoring'!L406)</x:f>
      </x:c>
    </x:row>
    <x:row r="407" ht="44" customHeight="1">
      <x:c r="A407" s="35" t="str">
        <x:v>Not Started</x:v>
      </x:c>
      <x:c r="B407" s="35" t="n">
        <x:v>405</x:v>
      </x:c>
      <x:c r="C407" s="35" t="str">
        <x:v>P07</x:v>
      </x:c>
      <x:c r="D407" s="35" t="n">
        <x:v>34</x:v>
      </x:c>
      <x:c r="E407" s="35" t="str">
        <x:v>Primary VLA</x:v>
      </x:c>
      <x:c r="F407" s="35" t="str">
        <x:v>MolmoAct2</x:v>
      </x:c>
      <x:c r="G407" s="35" t="n">
        <x:v>1</x:v>
      </x:c>
      <x:c r="H407" s="35" t="str">
        <x:v>Counting</x:v>
      </x:c>
      <x:c r="I407" s="35" t="str">
        <x:v>Exact-scene paraphrase</x:v>
      </x:c>
      <x:c r="J407" s="35" t="str">
        <x:v>PVLA-CT-PAR-01</x:v>
      </x:c>
      <x:c r="K407" s="35" t="str"/>
      <x:c r="L407" s="31" t="str">
        <x:v>Finish with two objects in the bowl.</x:v>
      </x:c>
      <x:c r="M407" s="31" t="str">
        <x:v>Finish with two objects in the bowl.</x:v>
      </x:c>
      <x:c r="N407" s="31" t="str">
        <x:v>C-N01: bowl=[blue pen] (1); table left→right=[yellow block, green pencil sharpener, airplane toy without propellers]; robot home.</x:v>
      </x:c>
      <x:c r="O407" s="31" t="str"/>
      <x:c r="P407" s="31" t="str"/>
      <x:c r="Q407" s="31" t="str"/>
      <x:c r="R407" s="31" t="str"/>
      <x:c r="S407" s="31" t="str">
        <x:f>IF('Blind Scoring'!I407="","",'Blind Scoring'!I407)</x:f>
      </x:c>
      <x:c r="T407" s="31" t="str">
        <x:f>'Blind Scoring'!J407</x:f>
        <x:v>No</x:v>
      </x:c>
      <x:c r="U407" s="31" t="str">
        <x:f>IF('Blind Scoring'!L407="","",'Blind Scoring'!L407)</x:f>
      </x:c>
    </x:row>
    <x:row r="408" ht="44" customHeight="1">
      <x:c r="A408" s="35" t="str">
        <x:v>Not Started</x:v>
      </x:c>
      <x:c r="B408" s="35" t="n">
        <x:v>406</x:v>
      </x:c>
      <x:c r="C408" s="35" t="str">
        <x:v>P07</x:v>
      </x:c>
      <x:c r="D408" s="35" t="n">
        <x:v>35</x:v>
      </x:c>
      <x:c r="E408" s="35" t="str">
        <x:v>Primary VLA</x:v>
      </x:c>
      <x:c r="F408" s="35" t="str">
        <x:v>MolmoAct2</x:v>
      </x:c>
      <x:c r="G408" s="35" t="n">
        <x:v>1</x:v>
      </x:c>
      <x:c r="H408" s="35" t="str">
        <x:v>Counting</x:v>
      </x:c>
      <x:c r="I408" s="35" t="str">
        <x:v>Main held-out transfer</x:v>
      </x:c>
      <x:c r="J408" s="35" t="str">
        <x:v>PVLA-CT-TR-10</x:v>
      </x:c>
      <x:c r="K408" s="35" t="str">
        <x:v>C-CF07-B</x:v>
      </x:c>
      <x:c r="L408" s="31" t="str">
        <x:v>Leave exactly three objects in the bowl.</x:v>
      </x:c>
      <x:c r="M408" s="31" t="str">
        <x:v>Leave exactly three objects in the bowl.</x:v>
      </x:c>
      <x:c r="N408" s="31" t="str">
        <x:v>C-CF07B: bowl=[green pencil sharpener, airplane toy without propellers] (2); table=[blue pen, yellow block]; robot home; acceptable action=add either table object.</x:v>
      </x:c>
      <x:c r="O408" s="31" t="str">
        <x:v>ADD one table object</x:v>
      </x:c>
      <x:c r="P408" s="31" t="str"/>
      <x:c r="Q408" s="31" t="str"/>
      <x:c r="R408" s="31" t="str"/>
      <x:c r="S408" s="31" t="str">
        <x:f>IF('Blind Scoring'!I408="","",'Blind Scoring'!I408)</x:f>
      </x:c>
      <x:c r="T408" s="31" t="str">
        <x:f>'Blind Scoring'!J408</x:f>
        <x:v>No</x:v>
      </x:c>
      <x:c r="U408" s="31" t="str">
        <x:f>IF('Blind Scoring'!L408="","",'Blind Scoring'!L408)</x:f>
      </x:c>
    </x:row>
    <x:row r="409" ht="44" customHeight="1">
      <x:c r="A409" s="35" t="str">
        <x:v>Not Started</x:v>
      </x:c>
      <x:c r="B409" s="35" t="n">
        <x:v>407</x:v>
      </x:c>
      <x:c r="C409" s="35" t="str">
        <x:v>P07</x:v>
      </x:c>
      <x:c r="D409" s="35" t="n">
        <x:v>36</x:v>
      </x:c>
      <x:c r="E409" s="35" t="str">
        <x:v>Primary VLA</x:v>
      </x:c>
      <x:c r="F409" s="35" t="str">
        <x:v>MolmoAct2</x:v>
      </x:c>
      <x:c r="G409" s="35" t="n">
        <x:v>1</x:v>
      </x:c>
      <x:c r="H409" s="35" t="str">
        <x:v>Counting</x:v>
      </x:c>
      <x:c r="I409" s="35" t="str">
        <x:v>Main matched control</x:v>
      </x:c>
      <x:c r="J409" s="35" t="str">
        <x:v>PVLA-CT-CTL-06</x:v>
      </x:c>
      <x:c r="K409" s="35" t="str">
        <x:v>C-CF04-B</x:v>
      </x:c>
      <x:c r="L409" s="31" t="str">
        <x:v>Put the yellow block in the bowl.</x:v>
      </x:c>
      <x:c r="M409" s="31" t="str">
        <x:v>Put the yellow block in the bowl.</x:v>
      </x:c>
      <x:c r="N409" s="31" t="str">
        <x:v>C-CF04-CB: bowl=[airplane toy without propellers, blue pen] (2); table=[yellow block, green pencil sharpener]; robot home; acceptable action=add either table object.</x:v>
      </x:c>
      <x:c r="O409" s="31" t="str">
        <x:v>ADD yellow block</x:v>
      </x:c>
      <x:c r="P409" s="31" t="str"/>
      <x:c r="Q409" s="31" t="str"/>
      <x:c r="R409" s="31" t="str"/>
      <x:c r="S409" s="31" t="str">
        <x:f>IF('Blind Scoring'!I409="","",'Blind Scoring'!I409)</x:f>
      </x:c>
      <x:c r="T409" s="31" t="str">
        <x:f>'Blind Scoring'!J409</x:f>
        <x:v>No</x:v>
      </x:c>
      <x:c r="U409" s="31" t="str">
        <x:f>IF('Blind Scoring'!L409="","",'Blind Scoring'!L409)</x:f>
      </x:c>
    </x:row>
    <x:row r="410" ht="44" customHeight="1">
      <x:c r="A410" s="35" t="str">
        <x:v>Not Started</x:v>
      </x:c>
      <x:c r="B410" s="35" t="n">
        <x:v>408</x:v>
      </x:c>
      <x:c r="C410" s="35" t="str">
        <x:v>P07</x:v>
      </x:c>
      <x:c r="D410" s="35" t="n">
        <x:v>37</x:v>
      </x:c>
      <x:c r="E410" s="35" t="str">
        <x:v>Primary VLA</x:v>
      </x:c>
      <x:c r="F410" s="35" t="str">
        <x:v>MolmoAct2</x:v>
      </x:c>
      <x:c r="G410" s="35" t="n">
        <x:v>1</x:v>
      </x:c>
      <x:c r="H410" s="35" t="str">
        <x:v>Counting</x:v>
      </x:c>
      <x:c r="I410" s="35" t="str">
        <x:v>Main matched control</x:v>
      </x:c>
      <x:c r="J410" s="35" t="str">
        <x:v>PVLA-CT-CTL-01</x:v>
      </x:c>
      <x:c r="K410" s="35" t="str">
        <x:v>C-CF01-A</x:v>
      </x:c>
      <x:c r="L410" s="31" t="str">
        <x:v>Remove the blue pen from the bowl.</x:v>
      </x:c>
      <x:c r="M410" s="31" t="str">
        <x:v>Remove the blue pen from the bowl.</x:v>
      </x:c>
      <x:c r="N410" s="31" t="str">
        <x:v>C-CF01-CA: bowl=[blue pen, yellow block] (2); table=[green pencil sharpener, airplane toy without propellers]; robot home; acceptable action=remove either bowl object.</x:v>
      </x:c>
      <x:c r="O410" s="31" t="str">
        <x:v>REMOVE blue pen</x:v>
      </x:c>
      <x:c r="P410" s="31" t="str"/>
      <x:c r="Q410" s="31" t="str"/>
      <x:c r="R410" s="31" t="str"/>
      <x:c r="S410" s="31" t="str">
        <x:f>IF('Blind Scoring'!I410="","",'Blind Scoring'!I410)</x:f>
      </x:c>
      <x:c r="T410" s="31" t="str">
        <x:f>'Blind Scoring'!J410</x:f>
        <x:v>No</x:v>
      </x:c>
      <x:c r="U410" s="31" t="str">
        <x:f>IF('Blind Scoring'!L410="","",'Blind Scoring'!L410)</x:f>
      </x:c>
    </x:row>
    <x:row r="411" ht="44" customHeight="1">
      <x:c r="A411" s="35" t="str">
        <x:v>Not Started</x:v>
      </x:c>
      <x:c r="B411" s="35" t="n">
        <x:v>409</x:v>
      </x:c>
      <x:c r="C411" s="35" t="str">
        <x:v>P07</x:v>
      </x:c>
      <x:c r="D411" s="35" t="n">
        <x:v>38</x:v>
      </x:c>
      <x:c r="E411" s="35" t="str">
        <x:v>Primary VLA</x:v>
      </x:c>
      <x:c r="F411" s="35" t="str">
        <x:v>MolmoAct2</x:v>
      </x:c>
      <x:c r="G411" s="35" t="n">
        <x:v>1</x:v>
      </x:c>
      <x:c r="H411" s="35" t="str">
        <x:v>Counting</x:v>
      </x:c>
      <x:c r="I411" s="35" t="str">
        <x:v>Main held-out transfer</x:v>
      </x:c>
      <x:c r="J411" s="35" t="str">
        <x:v>PVLA-CT-TR-04</x:v>
      </x:c>
      <x:c r="K411" s="35" t="str">
        <x:v>C-CF03-B</x:v>
      </x:c>
      <x:c r="L411" s="31" t="str">
        <x:v>Leave exactly three objects in the bowl.</x:v>
      </x:c>
      <x:c r="M411" s="31" t="str">
        <x:v>Leave exactly three objects in the bowl.</x:v>
      </x:c>
      <x:c r="N411" s="31" t="str">
        <x:v>C-CF03B: bowl=[green pencil sharpener, airplane toy without propellers] (2); table=[blue pen, yellow block]; robot home; acceptable action=add either table object.</x:v>
      </x:c>
      <x:c r="O411" s="31" t="str">
        <x:v>ADD one table object</x:v>
      </x:c>
      <x:c r="P411" s="31" t="str"/>
      <x:c r="Q411" s="31" t="str"/>
      <x:c r="R411" s="31" t="str"/>
      <x:c r="S411" s="31" t="str">
        <x:f>IF('Blind Scoring'!I411="","",'Blind Scoring'!I411)</x:f>
      </x:c>
      <x:c r="T411" s="31" t="str">
        <x:f>'Blind Scoring'!J411</x:f>
        <x:v>No</x:v>
      </x:c>
      <x:c r="U411" s="31" t="str">
        <x:f>IF('Blind Scoring'!L411="","",'Blind Scoring'!L411)</x:f>
      </x:c>
    </x:row>
    <x:row r="412" ht="44" customHeight="1">
      <x:c r="A412" s="35" t="str">
        <x:v>Not Started</x:v>
      </x:c>
      <x:c r="B412" s="35" t="n">
        <x:v>410</x:v>
      </x:c>
      <x:c r="C412" s="35" t="str">
        <x:v>P07</x:v>
      </x:c>
      <x:c r="D412" s="35" t="n">
        <x:v>39</x:v>
      </x:c>
      <x:c r="E412" s="35" t="str">
        <x:v>Primary VLA</x:v>
      </x:c>
      <x:c r="F412" s="35" t="str">
        <x:v>MolmoAct2</x:v>
      </x:c>
      <x:c r="G412" s="35" t="n">
        <x:v>1</x:v>
      </x:c>
      <x:c r="H412" s="35" t="str">
        <x:v>Counting</x:v>
      </x:c>
      <x:c r="I412" s="35" t="str">
        <x:v>Main held-out transfer</x:v>
      </x:c>
      <x:c r="J412" s="35" t="str">
        <x:v>PVLA-CT-TR-11</x:v>
      </x:c>
      <x:c r="K412" s="35" t="str">
        <x:v>C-CF09-A</x:v>
      </x:c>
      <x:c r="L412" s="31" t="str">
        <x:v>Leave exactly one object in the bowl.</x:v>
      </x:c>
      <x:c r="M412" s="31" t="str">
        <x:v>Leave exactly one object in the bowl.</x:v>
      </x:c>
      <x:c r="N412" s="31" t="str">
        <x:v>C-CF09A: bowl=[blue pen, yellow block] (2); table=[green pencil sharpener, airplane toy without propellers]; robot home; acceptable action=remove either bowl object.</x:v>
      </x:c>
      <x:c r="O412" s="31" t="str">
        <x:v>REMOVE one bowl object</x:v>
      </x:c>
      <x:c r="P412" s="31" t="str"/>
      <x:c r="Q412" s="31" t="str"/>
      <x:c r="R412" s="31" t="str"/>
      <x:c r="S412" s="31" t="str">
        <x:f>IF('Blind Scoring'!I412="","",'Blind Scoring'!I412)</x:f>
      </x:c>
      <x:c r="T412" s="31" t="str">
        <x:f>'Blind Scoring'!J412</x:f>
        <x:v>No</x:v>
      </x:c>
      <x:c r="U412" s="31" t="str">
        <x:f>IF('Blind Scoring'!L412="","",'Blind Scoring'!L412)</x:f>
      </x:c>
    </x:row>
    <x:row r="413" ht="44" customHeight="1">
      <x:c r="A413" s="35" t="str">
        <x:v>Not Started</x:v>
      </x:c>
      <x:c r="B413" s="35" t="n">
        <x:v>411</x:v>
      </x:c>
      <x:c r="C413" s="35" t="str">
        <x:v>P07</x:v>
      </x:c>
      <x:c r="D413" s="35" t="n">
        <x:v>40</x:v>
      </x:c>
      <x:c r="E413" s="35" t="str">
        <x:v>Primary VLA</x:v>
      </x:c>
      <x:c r="F413" s="35" t="str">
        <x:v>MolmoAct2</x:v>
      </x:c>
      <x:c r="G413" s="35" t="n">
        <x:v>1</x:v>
      </x:c>
      <x:c r="H413" s="35" t="str">
        <x:v>Counting</x:v>
      </x:c>
      <x:c r="I413" s="35" t="str">
        <x:v>Main held-out transfer</x:v>
      </x:c>
      <x:c r="J413" s="35" t="str">
        <x:v>PVLA-CT-TR-13</x:v>
      </x:c>
      <x:c r="K413" s="35" t="str">
        <x:v>C-CF10-A</x:v>
      </x:c>
      <x:c r="L413" s="31" t="str">
        <x:v>Leave exactly one object in the bowl.</x:v>
      </x:c>
      <x:c r="M413" s="31" t="str">
        <x:v>Leave exactly one object in the bowl.</x:v>
      </x:c>
      <x:c r="N413" s="31" t="str">
        <x:v>C-CF10A: bowl=[yellow block, green pencil sharpener] (2); table=[airplane toy without propellers, blue pen]; robot home; acceptable action=remove either bowl object.</x:v>
      </x:c>
      <x:c r="O413" s="31" t="str">
        <x:v>REMOVE one bowl object</x:v>
      </x:c>
      <x:c r="P413" s="31" t="str"/>
      <x:c r="Q413" s="31" t="str"/>
      <x:c r="R413" s="31" t="str"/>
      <x:c r="S413" s="31" t="str">
        <x:f>IF('Blind Scoring'!I413="","",'Blind Scoring'!I413)</x:f>
      </x:c>
      <x:c r="T413" s="31" t="str">
        <x:f>'Blind Scoring'!J413</x:f>
        <x:v>No</x:v>
      </x:c>
      <x:c r="U413" s="31" t="str">
        <x:f>IF('Blind Scoring'!L413="","",'Blind Scoring'!L413)</x:f>
      </x:c>
    </x:row>
    <x:row r="414" ht="44" customHeight="1">
      <x:c r="A414" s="35" t="str">
        <x:v>Not Started</x:v>
      </x:c>
      <x:c r="B414" s="35" t="n">
        <x:v>412</x:v>
      </x:c>
      <x:c r="C414" s="35" t="str">
        <x:v>P07</x:v>
      </x:c>
      <x:c r="D414" s="35" t="n">
        <x:v>41</x:v>
      </x:c>
      <x:c r="E414" s="35" t="str">
        <x:v>Primary VLA</x:v>
      </x:c>
      <x:c r="F414" s="35" t="str">
        <x:v>MolmoAct2</x:v>
      </x:c>
      <x:c r="G414" s="35" t="n">
        <x:v>1</x:v>
      </x:c>
      <x:c r="H414" s="35" t="str">
        <x:v>Counting</x:v>
      </x:c>
      <x:c r="I414" s="35" t="str">
        <x:v>Main held-out transfer</x:v>
      </x:c>
      <x:c r="J414" s="35" t="str">
        <x:v>PVLA-CT-TR-15</x:v>
      </x:c>
      <x:c r="K414" s="35" t="str">
        <x:v>C-CF12-A</x:v>
      </x:c>
      <x:c r="L414" s="31" t="str">
        <x:v>Leave exactly one object in the bowl.</x:v>
      </x:c>
      <x:c r="M414" s="31" t="str">
        <x:v>Leave exactly one object in the bowl.</x:v>
      </x:c>
      <x:c r="N414" s="31" t="str">
        <x:v>C-CF12A: bowl=[airplane toy without propellers, blue pen] (2); table=[yellow block, green pencil sharpener]; robot home; acceptable action=remove either bowl object.</x:v>
      </x:c>
      <x:c r="O414" s="31" t="str">
        <x:v>REMOVE one bowl object</x:v>
      </x:c>
      <x:c r="P414" s="31" t="str"/>
      <x:c r="Q414" s="31" t="str"/>
      <x:c r="R414" s="31" t="str"/>
      <x:c r="S414" s="31" t="str">
        <x:f>IF('Blind Scoring'!I414="","",'Blind Scoring'!I414)</x:f>
      </x:c>
      <x:c r="T414" s="31" t="str">
        <x:f>'Blind Scoring'!J414</x:f>
        <x:v>No</x:v>
      </x:c>
      <x:c r="U414" s="31" t="str">
        <x:f>IF('Blind Scoring'!L414="","",'Blind Scoring'!L414)</x:f>
      </x:c>
    </x:row>
    <x:row r="415" ht="44" customHeight="1">
      <x:c r="A415" s="35" t="str">
        <x:v>Not Started</x:v>
      </x:c>
      <x:c r="B415" s="35" t="n">
        <x:v>413</x:v>
      </x:c>
      <x:c r="C415" s="35" t="str">
        <x:v>P07</x:v>
      </x:c>
      <x:c r="D415" s="35" t="n">
        <x:v>42</x:v>
      </x:c>
      <x:c r="E415" s="35" t="str">
        <x:v>Primary VLA</x:v>
      </x:c>
      <x:c r="F415" s="35" t="str">
        <x:v>MolmoAct2</x:v>
      </x:c>
      <x:c r="G415" s="35" t="n">
        <x:v>1</x:v>
      </x:c>
      <x:c r="H415" s="35" t="str">
        <x:v>Counting</x:v>
      </x:c>
      <x:c r="I415" s="35" t="str">
        <x:v>Novel layout + seen language</x:v>
      </x:c>
      <x:c r="J415" s="35" t="str">
        <x:v>PVLA-CT-NOV-05</x:v>
      </x:c>
      <x:c r="K415" s="35" t="str"/>
      <x:c r="L415" s="31" t="str">
        <x:v>Adjust the bowl so that it contains zero objects.</x:v>
      </x:c>
      <x:c r="M415" s="31" t="str">
        <x:v>Adjust the bowl so that it contains zero objects.</x:v>
      </x:c>
      <x:c r="N415" s="31" t="str">
        <x:v>C-N12: bowl=[yellow block] (1); table left→right=[green pencil sharpener, airplane toy without propellers, blue pen]; robot home.</x:v>
      </x:c>
      <x:c r="O415" s="31" t="str"/>
      <x:c r="P415" s="31" t="str"/>
      <x:c r="Q415" s="31" t="str"/>
      <x:c r="R415" s="31" t="str"/>
      <x:c r="S415" s="31" t="str">
        <x:f>IF('Blind Scoring'!I415="","",'Blind Scoring'!I415)</x:f>
      </x:c>
      <x:c r="T415" s="31" t="str">
        <x:f>'Blind Scoring'!J415</x:f>
        <x:v>No</x:v>
      </x:c>
      <x:c r="U415" s="31" t="str">
        <x:f>IF('Blind Scoring'!L415="","",'Blind Scoring'!L415)</x:f>
      </x:c>
    </x:row>
    <x:row r="416" ht="44" customHeight="1">
      <x:c r="A416" s="35" t="str">
        <x:v>Not Started</x:v>
      </x:c>
      <x:c r="B416" s="35" t="n">
        <x:v>414</x:v>
      </x:c>
      <x:c r="C416" s="35" t="str">
        <x:v>P07</x:v>
      </x:c>
      <x:c r="D416" s="35" t="n">
        <x:v>43</x:v>
      </x:c>
      <x:c r="E416" s="35" t="str">
        <x:v>Primary VLA</x:v>
      </x:c>
      <x:c r="F416" s="35" t="str">
        <x:v>MolmoAct2</x:v>
      </x:c>
      <x:c r="G416" s="35" t="n">
        <x:v>1</x:v>
      </x:c>
      <x:c r="H416" s="35" t="str">
        <x:v>Counting</x:v>
      </x:c>
      <x:c r="I416" s="35" t="str">
        <x:v>Language ablation — counterfactual</x:v>
      </x:c>
      <x:c r="J416" s="35" t="str">
        <x:v>PVLA-CT-ABL-CF-04</x:v>
      </x:c>
      <x:c r="K416" s="35" t="str">
        <x:v>C-CF06-B</x:v>
      </x:c>
      <x:c r="L416" s="31" t="str">
        <x:v>Leave exactly one object in the bowl.</x:v>
      </x:c>
      <x:c r="M416" s="31" t="str">
        <x:v>Leave exactly one object in the bowl.</x:v>
      </x:c>
      <x:c r="N416" s="31" t="str">
        <x:v>C-CF06B: bowl=[yellow block, green pencil sharpener] (2); table=[airplane toy without propellers, blue pen]; robot home; acceptable action=add either table object.</x:v>
      </x:c>
      <x:c r="O416" s="31" t="str">
        <x:v>REMOVE one bowl object</x:v>
      </x:c>
      <x:c r="P416" s="31" t="str"/>
      <x:c r="Q416" s="31" t="str"/>
      <x:c r="R416" s="31" t="str"/>
      <x:c r="S416" s="31" t="str">
        <x:f>IF('Blind Scoring'!I416="","",'Blind Scoring'!I416)</x:f>
      </x:c>
      <x:c r="T416" s="31" t="str">
        <x:f>'Blind Scoring'!J416</x:f>
        <x:v>No</x:v>
      </x:c>
      <x:c r="U416" s="31" t="str">
        <x:f>IF('Blind Scoring'!L416="","",'Blind Scoring'!L416)</x:f>
      </x:c>
    </x:row>
    <x:row r="417" ht="44" customHeight="1">
      <x:c r="A417" s="35" t="str">
        <x:v>Not Started</x:v>
      </x:c>
      <x:c r="B417" s="35" t="n">
        <x:v>415</x:v>
      </x:c>
      <x:c r="C417" s="35" t="str">
        <x:v>P07</x:v>
      </x:c>
      <x:c r="D417" s="35" t="n">
        <x:v>44</x:v>
      </x:c>
      <x:c r="E417" s="35" t="str">
        <x:v>Primary VLA</x:v>
      </x:c>
      <x:c r="F417" s="35" t="str">
        <x:v>MolmoAct2</x:v>
      </x:c>
      <x:c r="G417" s="35" t="n">
        <x:v>1</x:v>
      </x:c>
      <x:c r="H417" s="35" t="str">
        <x:v>Counting</x:v>
      </x:c>
      <x:c r="I417" s="35" t="str">
        <x:v>Novel layout + seen language</x:v>
      </x:c>
      <x:c r="J417" s="35" t="str">
        <x:v>PVLA-CT-NOV-04</x:v>
      </x:c>
      <x:c r="K417" s="35" t="str"/>
      <x:c r="L417" s="31" t="str">
        <x:v>Adjust the bowl so that it contains two objects.</x:v>
      </x:c>
      <x:c r="M417" s="31" t="str">
        <x:v>Adjust the bowl so that it contains two objects.</x:v>
      </x:c>
      <x:c r="N417" s="31" t="str">
        <x:v>C-N09: bowl=[blue pen] (1); table left→right=[yellow block, green pencil sharpener, airplane toy without propellers]; robot home.</x:v>
      </x:c>
      <x:c r="O417" s="31" t="str"/>
      <x:c r="P417" s="31" t="str"/>
      <x:c r="Q417" s="31" t="str"/>
      <x:c r="R417" s="31" t="str"/>
      <x:c r="S417" s="31" t="str">
        <x:f>IF('Blind Scoring'!I417="","",'Blind Scoring'!I417)</x:f>
      </x:c>
      <x:c r="T417" s="31" t="str">
        <x:f>'Blind Scoring'!J417</x:f>
        <x:v>No</x:v>
      </x:c>
      <x:c r="U417" s="31" t="str">
        <x:f>IF('Blind Scoring'!L417="","",'Blind Scoring'!L417)</x:f>
      </x:c>
    </x:row>
    <x:row r="418" ht="44" customHeight="1">
      <x:c r="A418" s="35" t="str">
        <x:v>Not Started</x:v>
      </x:c>
      <x:c r="B418" s="35" t="n">
        <x:v>416</x:v>
      </x:c>
      <x:c r="C418" s="35" t="str">
        <x:v>P07</x:v>
      </x:c>
      <x:c r="D418" s="35" t="n">
        <x:v>45</x:v>
      </x:c>
      <x:c r="E418" s="35" t="str">
        <x:v>Primary VLA</x:v>
      </x:c>
      <x:c r="F418" s="35" t="str">
        <x:v>MolmoAct2</x:v>
      </x:c>
      <x:c r="G418" s="35" t="n">
        <x:v>1</x:v>
      </x:c>
      <x:c r="H418" s="35" t="str">
        <x:v>Counting</x:v>
      </x:c>
      <x:c r="I418" s="35" t="str">
        <x:v>Exact-scene paraphrase</x:v>
      </x:c>
      <x:c r="J418" s="35" t="str">
        <x:v>PVLA-CT-PAR-07</x:v>
      </x:c>
      <x:c r="K418" s="35" t="str"/>
      <x:c r="L418" s="31" t="str">
        <x:v>Finish with two objects in the bowl.</x:v>
      </x:c>
      <x:c r="M418" s="31" t="str">
        <x:v>Finish with two objects in the bowl.</x:v>
      </x:c>
      <x:c r="N418" s="31" t="str">
        <x:v>C-N01: bowl=[blue pen] (1); table left→right=[yellow block, green pencil sharpener, airplane toy without propellers]; robot home.</x:v>
      </x:c>
      <x:c r="O418" s="31" t="str"/>
      <x:c r="P418" s="31" t="str"/>
      <x:c r="Q418" s="31" t="str"/>
      <x:c r="R418" s="31" t="str"/>
      <x:c r="S418" s="31" t="str">
        <x:f>IF('Blind Scoring'!I418="","",'Blind Scoring'!I418)</x:f>
      </x:c>
      <x:c r="T418" s="31" t="str">
        <x:f>'Blind Scoring'!J418</x:f>
        <x:v>No</x:v>
      </x:c>
      <x:c r="U418" s="31" t="str">
        <x:f>IF('Blind Scoring'!L418="","",'Blind Scoring'!L418)</x:f>
      </x:c>
    </x:row>
    <x:row r="419" ht="44" customHeight="1">
      <x:c r="A419" s="35" t="str">
        <x:v>Not Started</x:v>
      </x:c>
      <x:c r="B419" s="35" t="n">
        <x:v>417</x:v>
      </x:c>
      <x:c r="C419" s="35" t="str">
        <x:v>P07</x:v>
      </x:c>
      <x:c r="D419" s="35" t="n">
        <x:v>46</x:v>
      </x:c>
      <x:c r="E419" s="35" t="str">
        <x:v>Primary VLA</x:v>
      </x:c>
      <x:c r="F419" s="35" t="str">
        <x:v>MolmoAct2</x:v>
      </x:c>
      <x:c r="G419" s="35" t="n">
        <x:v>1</x:v>
      </x:c>
      <x:c r="H419" s="35" t="str">
        <x:v>Counting</x:v>
      </x:c>
      <x:c r="I419" s="35" t="str">
        <x:v>Novel layout + seen language</x:v>
      </x:c>
      <x:c r="J419" s="35" t="str">
        <x:v>PVLA-CT-NOV-07</x:v>
      </x:c>
      <x:c r="K419" s="35" t="str"/>
      <x:c r="L419" s="31" t="str">
        <x:v>Make the bowl contain exactly zero objects.</x:v>
      </x:c>
      <x:c r="M419" s="31" t="str">
        <x:v>Make the bowl contain exactly zero objects.</x:v>
      </x:c>
      <x:c r="N419" s="31" t="str">
        <x:v>C-N17: bowl=[green pencil sharpener] (1); table left→right=[airplane toy without propellers, blue pen, yellow block]; robot home.</x:v>
      </x:c>
      <x:c r="O419" s="31" t="str"/>
      <x:c r="P419" s="31" t="str"/>
      <x:c r="Q419" s="31" t="str"/>
      <x:c r="R419" s="31" t="str"/>
      <x:c r="S419" s="31" t="str">
        <x:f>IF('Blind Scoring'!I419="","",'Blind Scoring'!I419)</x:f>
      </x:c>
      <x:c r="T419" s="31" t="str">
        <x:f>'Blind Scoring'!J419</x:f>
        <x:v>No</x:v>
      </x:c>
      <x:c r="U419" s="31" t="str">
        <x:f>IF('Blind Scoring'!L419="","",'Blind Scoring'!L419)</x:f>
      </x:c>
    </x:row>
    <x:row r="420" ht="44" customHeight="1">
      <x:c r="A420" s="35" t="str">
        <x:v>Not Started</x:v>
      </x:c>
      <x:c r="B420" s="35" t="n">
        <x:v>418</x:v>
      </x:c>
      <x:c r="C420" s="35" t="str">
        <x:v>P07</x:v>
      </x:c>
      <x:c r="D420" s="35" t="n">
        <x:v>47</x:v>
      </x:c>
      <x:c r="E420" s="35" t="str">
        <x:v>Primary VLA</x:v>
      </x:c>
      <x:c r="F420" s="35" t="str">
        <x:v>MolmoAct2</x:v>
      </x:c>
      <x:c r="G420" s="35" t="n">
        <x:v>1</x:v>
      </x:c>
      <x:c r="H420" s="35" t="str">
        <x:v>Counting</x:v>
      </x:c>
      <x:c r="I420" s="35" t="str">
        <x:v>Language ablation — counterfactual</x:v>
      </x:c>
      <x:c r="J420" s="35" t="str">
        <x:v>PVLA-CT-ABL-CF-02</x:v>
      </x:c>
      <x:c r="K420" s="35" t="str">
        <x:v>C-CF04-B</x:v>
      </x:c>
      <x:c r="L420" s="31" t="str">
        <x:v>Leave exactly one object in the bowl.</x:v>
      </x:c>
      <x:c r="M420" s="31" t="str">
        <x:v>Leave exactly one object in the bowl.</x:v>
      </x:c>
      <x:c r="N420" s="31" t="str">
        <x:v>C-CF04B: bowl=[airplane toy without propellers, blue pen] (2); table=[yellow block, green pencil sharpener]; robot home; acceptable action=add either table object.</x:v>
      </x:c>
      <x:c r="O420" s="31" t="str">
        <x:v>REMOVE one bowl object</x:v>
      </x:c>
      <x:c r="P420" s="31" t="str"/>
      <x:c r="Q420" s="31" t="str"/>
      <x:c r="R420" s="31" t="str"/>
      <x:c r="S420" s="31" t="str">
        <x:f>IF('Blind Scoring'!I420="","",'Blind Scoring'!I420)</x:f>
      </x:c>
      <x:c r="T420" s="31" t="str">
        <x:f>'Blind Scoring'!J420</x:f>
        <x:v>No</x:v>
      </x:c>
      <x:c r="U420" s="31" t="str">
        <x:f>IF('Blind Scoring'!L420="","",'Blind Scoring'!L420)</x:f>
      </x:c>
    </x:row>
    <x:row r="421" ht="44" customHeight="1">
      <x:c r="A421" s="35" t="str">
        <x:v>Not Started</x:v>
      </x:c>
      <x:c r="B421" s="35" t="n">
        <x:v>419</x:v>
      </x:c>
      <x:c r="C421" s="35" t="str">
        <x:v>P07</x:v>
      </x:c>
      <x:c r="D421" s="35" t="n">
        <x:v>48</x:v>
      </x:c>
      <x:c r="E421" s="35" t="str">
        <x:v>Primary VLA</x:v>
      </x:c>
      <x:c r="F421" s="35" t="str">
        <x:v>MolmoAct2</x:v>
      </x:c>
      <x:c r="G421" s="35" t="n">
        <x:v>1</x:v>
      </x:c>
      <x:c r="H421" s="35" t="str">
        <x:v>Counting</x:v>
      </x:c>
      <x:c r="I421" s="35" t="str">
        <x:v>Main held-out transfer</x:v>
      </x:c>
      <x:c r="J421" s="35" t="str">
        <x:v>PVLA-CT-TR-06</x:v>
      </x:c>
      <x:c r="K421" s="35" t="str">
        <x:v>C-CF04-B</x:v>
      </x:c>
      <x:c r="L421" s="31" t="str">
        <x:v>Leave exactly three objects in the bowl.</x:v>
      </x:c>
      <x:c r="M421" s="31" t="str">
        <x:v>Leave exactly three objects in the bowl.</x:v>
      </x:c>
      <x:c r="N421" s="31" t="str">
        <x:v>C-CF04B: bowl=[airplane toy without propellers, blue pen] (2); table=[yellow block, green pencil sharpener]; robot home; acceptable action=add either table object.</x:v>
      </x:c>
      <x:c r="O421" s="31" t="str">
        <x:v>ADD one table object</x:v>
      </x:c>
      <x:c r="P421" s="31" t="str"/>
      <x:c r="Q421" s="31" t="str"/>
      <x:c r="R421" s="31" t="str"/>
      <x:c r="S421" s="31" t="str">
        <x:f>IF('Blind Scoring'!I421="","",'Blind Scoring'!I421)</x:f>
      </x:c>
      <x:c r="T421" s="31" t="str">
        <x:f>'Blind Scoring'!J421</x:f>
        <x:v>No</x:v>
      </x:c>
      <x:c r="U421" s="31" t="str">
        <x:f>IF('Blind Scoring'!L421="","",'Blind Scoring'!L421)</x:f>
      </x:c>
    </x:row>
    <x:row r="422" ht="44" customHeight="1">
      <x:c r="A422" s="35" t="str">
        <x:v>Not Started</x:v>
      </x:c>
      <x:c r="B422" s="35" t="n">
        <x:v>420</x:v>
      </x:c>
      <x:c r="C422" s="35" t="str">
        <x:v>P07</x:v>
      </x:c>
      <x:c r="D422" s="35" t="n">
        <x:v>49</x:v>
      </x:c>
      <x:c r="E422" s="35" t="str">
        <x:v>Primary VLA</x:v>
      </x:c>
      <x:c r="F422" s="35" t="str">
        <x:v>MolmoAct2</x:v>
      </x:c>
      <x:c r="G422" s="35" t="n">
        <x:v>1</x:v>
      </x:c>
      <x:c r="H422" s="35" t="str">
        <x:v>Counting</x:v>
      </x:c>
      <x:c r="I422" s="35" t="str">
        <x:v>Main matched control</x:v>
      </x:c>
      <x:c r="J422" s="35" t="str">
        <x:v>PVLA-CT-CTL-12</x:v>
      </x:c>
      <x:c r="K422" s="35" t="str">
        <x:v>C-CF09-B</x:v>
      </x:c>
      <x:c r="L422" s="31" t="str">
        <x:v>Put the green pencil sharpener in the bowl.</x:v>
      </x:c>
      <x:c r="M422" s="31" t="str">
        <x:v>Put the green pencil sharpener in the bowl.</x:v>
      </x:c>
      <x:c r="N422" s="31" t="str">
        <x:v>C-CF09-CB: bowl=[blue pen, yellow block] (2); table=[green pencil sharpener, airplane toy without propellers]; robot home; acceptable action=add either table object.</x:v>
      </x:c>
      <x:c r="O422" s="31" t="str">
        <x:v>ADD green pencil sharpener</x:v>
      </x:c>
      <x:c r="P422" s="31" t="str"/>
      <x:c r="Q422" s="31" t="str"/>
      <x:c r="R422" s="31" t="str"/>
      <x:c r="S422" s="31" t="str">
        <x:f>IF('Blind Scoring'!I422="","",'Blind Scoring'!I422)</x:f>
      </x:c>
      <x:c r="T422" s="31" t="str">
        <x:f>'Blind Scoring'!J422</x:f>
        <x:v>No</x:v>
      </x:c>
      <x:c r="U422" s="31" t="str">
        <x:f>IF('Blind Scoring'!L422="","",'Blind Scoring'!L422)</x:f>
      </x:c>
    </x:row>
    <x:row r="423" ht="44" customHeight="1">
      <x:c r="A423" s="35" t="str">
        <x:v>Not Started</x:v>
      </x:c>
      <x:c r="B423" s="35" t="n">
        <x:v>421</x:v>
      </x:c>
      <x:c r="C423" s="35" t="str">
        <x:v>P07</x:v>
      </x:c>
      <x:c r="D423" s="35" t="n">
        <x:v>50</x:v>
      </x:c>
      <x:c r="E423" s="35" t="str">
        <x:v>Primary VLA</x:v>
      </x:c>
      <x:c r="F423" s="35" t="str">
        <x:v>MolmoAct2</x:v>
      </x:c>
      <x:c r="G423" s="35" t="n">
        <x:v>1</x:v>
      </x:c>
      <x:c r="H423" s="35" t="str">
        <x:v>Counting</x:v>
      </x:c>
      <x:c r="I423" s="35" t="str">
        <x:v>Language ablation — blank</x:v>
      </x:c>
      <x:c r="J423" s="35" t="str">
        <x:v>PVLA-CT-ABL-BLK-01</x:v>
      </x:c>
      <x:c r="K423" s="35" t="str">
        <x:v>C-CF01-A</x:v>
      </x:c>
      <x:c r="L423" s="31" t="str">
        <x:v>[EMPTY STRING — provide no instruction tokens]</x:v>
      </x:c>
      <x:c r="M423" s="31" t="str">
        <x:v>Leave exactly one object in the bowl.</x:v>
      </x:c>
      <x:c r="N423" s="31" t="str">
        <x:v>C-CF01A: bowl=[blue pen, yellow block] (2); table=[green pencil sharpener, airplane toy without propellers]; robot home; acceptable action=remove either bowl object.</x:v>
      </x:c>
      <x:c r="O423" s="31" t="str">
        <x:v>No prespecified task success under blank language; record any action/selected target.</x:v>
      </x:c>
      <x:c r="P423" s="31" t="str"/>
      <x:c r="Q423" s="31" t="str"/>
      <x:c r="R423" s="31" t="str"/>
      <x:c r="S423" s="31" t="str">
        <x:f>IF('Blind Scoring'!I423="","",'Blind Scoring'!I423)</x:f>
      </x:c>
      <x:c r="T423" s="31" t="str">
        <x:f>'Blind Scoring'!J423</x:f>
        <x:v>No</x:v>
      </x:c>
      <x:c r="U423" s="31" t="str">
        <x:f>IF('Blind Scoring'!L423="","",'Blind Scoring'!L423)</x:f>
      </x:c>
    </x:row>
    <x:row r="424" ht="44" customHeight="1">
      <x:c r="A424" s="35" t="str">
        <x:v>Not Started</x:v>
      </x:c>
      <x:c r="B424" s="35" t="n">
        <x:v>422</x:v>
      </x:c>
      <x:c r="C424" s="35" t="str">
        <x:v>P07</x:v>
      </x:c>
      <x:c r="D424" s="35" t="n">
        <x:v>51</x:v>
      </x:c>
      <x:c r="E424" s="35" t="str">
        <x:v>Primary VLA</x:v>
      </x:c>
      <x:c r="F424" s="35" t="str">
        <x:v>MolmoAct2</x:v>
      </x:c>
      <x:c r="G424" s="35" t="n">
        <x:v>1</x:v>
      </x:c>
      <x:c r="H424" s="35" t="str">
        <x:v>Counting</x:v>
      </x:c>
      <x:c r="I424" s="35" t="str">
        <x:v>Novel layout + seen language</x:v>
      </x:c>
      <x:c r="J424" s="35" t="str">
        <x:v>PVLA-CT-NOV-08</x:v>
      </x:c>
      <x:c r="K424" s="35" t="str"/>
      <x:c r="L424" s="31" t="str">
        <x:v>Make the bowl contain exactly zero objects.</x:v>
      </x:c>
      <x:c r="M424" s="31" t="str">
        <x:v>Make the bowl contain exactly zero objects.</x:v>
      </x:c>
      <x:c r="N424" s="31" t="str">
        <x:v>C-N20: bowl=[yellow block] (1); table left→right=[green pencil sharpener, airplane toy without propellers, blue pen]; robot home.</x:v>
      </x:c>
      <x:c r="O424" s="31" t="str"/>
      <x:c r="P424" s="31" t="str"/>
      <x:c r="Q424" s="31" t="str"/>
      <x:c r="R424" s="31" t="str"/>
      <x:c r="S424" s="31" t="str">
        <x:f>IF('Blind Scoring'!I424="","",'Blind Scoring'!I424)</x:f>
      </x:c>
      <x:c r="T424" s="31" t="str">
        <x:f>'Blind Scoring'!J424</x:f>
        <x:v>No</x:v>
      </x:c>
      <x:c r="U424" s="31" t="str">
        <x:f>IF('Blind Scoring'!L424="","",'Blind Scoring'!L424)</x:f>
      </x:c>
    </x:row>
    <x:row r="425" ht="44" customHeight="1">
      <x:c r="A425" s="35" t="str">
        <x:v>Not Started</x:v>
      </x:c>
      <x:c r="B425" s="35" t="n">
        <x:v>423</x:v>
      </x:c>
      <x:c r="C425" s="35" t="str">
        <x:v>P07</x:v>
      </x:c>
      <x:c r="D425" s="35" t="n">
        <x:v>52</x:v>
      </x:c>
      <x:c r="E425" s="35" t="str">
        <x:v>Primary VLA</x:v>
      </x:c>
      <x:c r="F425" s="35" t="str">
        <x:v>MolmoAct2</x:v>
      </x:c>
      <x:c r="G425" s="35" t="n">
        <x:v>1</x:v>
      </x:c>
      <x:c r="H425" s="35" t="str">
        <x:v>Counting</x:v>
      </x:c>
      <x:c r="I425" s="35" t="str">
        <x:v>Main matched control</x:v>
      </x:c>
      <x:c r="J425" s="35" t="str">
        <x:v>PVLA-CT-CTL-16</x:v>
      </x:c>
      <x:c r="K425" s="35" t="str">
        <x:v>C-CF12-B</x:v>
      </x:c>
      <x:c r="L425" s="31" t="str">
        <x:v>Put the yellow block in the bowl.</x:v>
      </x:c>
      <x:c r="M425" s="31" t="str">
        <x:v>Put the yellow block in the bowl.</x:v>
      </x:c>
      <x:c r="N425" s="31" t="str">
        <x:v>C-CF12-CB: bowl=[airplane toy without propellers, blue pen] (2); table=[yellow block, green pencil sharpener]; robot home; acceptable action=add either table object.</x:v>
      </x:c>
      <x:c r="O425" s="31" t="str">
        <x:v>ADD yellow block</x:v>
      </x:c>
      <x:c r="P425" s="31" t="str"/>
      <x:c r="Q425" s="31" t="str"/>
      <x:c r="R425" s="31" t="str"/>
      <x:c r="S425" s="31" t="str">
        <x:f>IF('Blind Scoring'!I425="","",'Blind Scoring'!I425)</x:f>
      </x:c>
      <x:c r="T425" s="31" t="str">
        <x:f>'Blind Scoring'!J425</x:f>
        <x:v>No</x:v>
      </x:c>
      <x:c r="U425" s="31" t="str">
        <x:f>IF('Blind Scoring'!L425="","",'Blind Scoring'!L425)</x:f>
      </x:c>
    </x:row>
    <x:row r="426" ht="44" customHeight="1">
      <x:c r="A426" s="35" t="str">
        <x:v>Not Started</x:v>
      </x:c>
      <x:c r="B426" s="35" t="n">
        <x:v>424</x:v>
      </x:c>
      <x:c r="C426" s="35" t="str">
        <x:v>P07</x:v>
      </x:c>
      <x:c r="D426" s="35" t="n">
        <x:v>53</x:v>
      </x:c>
      <x:c r="E426" s="35" t="str">
        <x:v>Primary VLA</x:v>
      </x:c>
      <x:c r="F426" s="35" t="str">
        <x:v>MolmoAct2</x:v>
      </x:c>
      <x:c r="G426" s="35" t="n">
        <x:v>1</x:v>
      </x:c>
      <x:c r="H426" s="35" t="str">
        <x:v>Counting</x:v>
      </x:c>
      <x:c r="I426" s="35" t="str">
        <x:v>Language ablation — counterfactual</x:v>
      </x:c>
      <x:c r="J426" s="35" t="str">
        <x:v>PVLA-CT-ABL-CF-01</x:v>
      </x:c>
      <x:c r="K426" s="35" t="str">
        <x:v>C-CF04-A</x:v>
      </x:c>
      <x:c r="L426" s="31" t="str">
        <x:v>Leave exactly three objects in the bowl.</x:v>
      </x:c>
      <x:c r="M426" s="31" t="str">
        <x:v>Leave exactly three objects in the bowl.</x:v>
      </x:c>
      <x:c r="N426" s="31" t="str">
        <x:v>C-CF04A: bowl=[airplane toy without propellers, blue pen] (2); table=[yellow block, green pencil sharpener]; robot home; acceptable action=remove either bowl object.</x:v>
      </x:c>
      <x:c r="O426" s="31" t="str">
        <x:v>ADD one table object</x:v>
      </x:c>
      <x:c r="P426" s="31" t="str"/>
      <x:c r="Q426" s="31" t="str"/>
      <x:c r="R426" s="31" t="str"/>
      <x:c r="S426" s="31" t="str">
        <x:f>IF('Blind Scoring'!I426="","",'Blind Scoring'!I426)</x:f>
      </x:c>
      <x:c r="T426" s="31" t="str">
        <x:f>'Blind Scoring'!J426</x:f>
        <x:v>No</x:v>
      </x:c>
      <x:c r="U426" s="31" t="str">
        <x:f>IF('Blind Scoring'!L426="","",'Blind Scoring'!L426)</x:f>
      </x:c>
    </x:row>
    <x:row r="427" ht="44" customHeight="1">
      <x:c r="A427" s="35" t="str">
        <x:v>Not Started</x:v>
      </x:c>
      <x:c r="B427" s="35" t="n">
        <x:v>425</x:v>
      </x:c>
      <x:c r="C427" s="35" t="str">
        <x:v>P07</x:v>
      </x:c>
      <x:c r="D427" s="35" t="n">
        <x:v>54</x:v>
      </x:c>
      <x:c r="E427" s="35" t="str">
        <x:v>Primary VLA</x:v>
      </x:c>
      <x:c r="F427" s="35" t="str">
        <x:v>MolmoAct2</x:v>
      </x:c>
      <x:c r="G427" s="35" t="n">
        <x:v>1</x:v>
      </x:c>
      <x:c r="H427" s="35" t="str">
        <x:v>Counting</x:v>
      </x:c>
      <x:c r="I427" s="35" t="str">
        <x:v>Novel layout + seen language</x:v>
      </x:c>
      <x:c r="J427" s="35" t="str">
        <x:v>PVLA-CT-NOV-06</x:v>
      </x:c>
      <x:c r="K427" s="35" t="str"/>
      <x:c r="L427" s="31" t="str">
        <x:v>Adjust the bowl so that it contains zero objects.</x:v>
      </x:c>
      <x:c r="M427" s="31" t="str">
        <x:v>Adjust the bowl so that it contains zero objects.</x:v>
      </x:c>
      <x:c r="N427" s="31" t="str">
        <x:v>C-N15: bowl=[blue pen] (1); table left→right=[yellow block, green pencil sharpener, airplane toy without propellers]; robot home.</x:v>
      </x:c>
      <x:c r="O427" s="31" t="str"/>
      <x:c r="P427" s="31" t="str"/>
      <x:c r="Q427" s="31" t="str"/>
      <x:c r="R427" s="31" t="str"/>
      <x:c r="S427" s="31" t="str">
        <x:f>IF('Blind Scoring'!I427="","",'Blind Scoring'!I427)</x:f>
      </x:c>
      <x:c r="T427" s="31" t="str">
        <x:f>'Blind Scoring'!J427</x:f>
        <x:v>No</x:v>
      </x:c>
      <x:c r="U427" s="31" t="str">
        <x:f>IF('Blind Scoring'!L427="","",'Blind Scoring'!L427)</x:f>
      </x:c>
    </x:row>
    <x:row r="428" ht="44" customHeight="1">
      <x:c r="A428" s="35" t="str">
        <x:v>Not Started</x:v>
      </x:c>
      <x:c r="B428" s="35" t="n">
        <x:v>426</x:v>
      </x:c>
      <x:c r="C428" s="35" t="str">
        <x:v>P07</x:v>
      </x:c>
      <x:c r="D428" s="35" t="n">
        <x:v>55</x:v>
      </x:c>
      <x:c r="E428" s="35" t="str">
        <x:v>Primary VLA</x:v>
      </x:c>
      <x:c r="F428" s="35" t="str">
        <x:v>MolmoAct2</x:v>
      </x:c>
      <x:c r="G428" s="35" t="n">
        <x:v>1</x:v>
      </x:c>
      <x:c r="H428" s="35" t="str">
        <x:v>Counting</x:v>
      </x:c>
      <x:c r="I428" s="35" t="str">
        <x:v>Exact-scene paraphrase</x:v>
      </x:c>
      <x:c r="J428" s="35" t="str">
        <x:v>PVLA-CT-PAR-08</x:v>
      </x:c>
      <x:c r="K428" s="35" t="str"/>
      <x:c r="L428" s="31" t="str">
        <x:v>Finish with two objects in the bowl.</x:v>
      </x:c>
      <x:c r="M428" s="31" t="str">
        <x:v>Finish with two objects in the bowl.</x:v>
      </x:c>
      <x:c r="N428" s="31" t="str">
        <x:v>C-N01: bowl=[blue pen] (1); table left→right=[yellow block, green pencil sharpener, airplane toy without propellers]; robot home.</x:v>
      </x:c>
      <x:c r="O428" s="31" t="str"/>
      <x:c r="P428" s="31" t="str"/>
      <x:c r="Q428" s="31" t="str"/>
      <x:c r="R428" s="31" t="str"/>
      <x:c r="S428" s="31" t="str">
        <x:f>IF('Blind Scoring'!I428="","",'Blind Scoring'!I428)</x:f>
      </x:c>
      <x:c r="T428" s="31" t="str">
        <x:f>'Blind Scoring'!J428</x:f>
        <x:v>No</x:v>
      </x:c>
      <x:c r="U428" s="31" t="str">
        <x:f>IF('Blind Scoring'!L428="","",'Blind Scoring'!L428)</x:f>
      </x:c>
    </x:row>
    <x:row r="429" ht="44" customHeight="1">
      <x:c r="A429" s="35" t="str">
        <x:v>Not Started</x:v>
      </x:c>
      <x:c r="B429" s="35" t="n">
        <x:v>427</x:v>
      </x:c>
      <x:c r="C429" s="35" t="str">
        <x:v>P07</x:v>
      </x:c>
      <x:c r="D429" s="35" t="n">
        <x:v>56</x:v>
      </x:c>
      <x:c r="E429" s="35" t="str">
        <x:v>Primary VLA</x:v>
      </x:c>
      <x:c r="F429" s="35" t="str">
        <x:v>MolmoAct2</x:v>
      </x:c>
      <x:c r="G429" s="35" t="n">
        <x:v>1</x:v>
      </x:c>
      <x:c r="H429" s="35" t="str">
        <x:v>Counting</x:v>
      </x:c>
      <x:c r="I429" s="35" t="str">
        <x:v>Language ablation — counterfactual</x:v>
      </x:c>
      <x:c r="J429" s="35" t="str">
        <x:v>PVLA-CT-ABL-CF-03</x:v>
      </x:c>
      <x:c r="K429" s="35" t="str">
        <x:v>C-CF06-A</x:v>
      </x:c>
      <x:c r="L429" s="31" t="str">
        <x:v>Leave exactly three objects in the bowl.</x:v>
      </x:c>
      <x:c r="M429" s="31" t="str">
        <x:v>Leave exactly three objects in the bowl.</x:v>
      </x:c>
      <x:c r="N429" s="31" t="str">
        <x:v>C-CF06A: bowl=[yellow block, green pencil sharpener] (2); table=[airplane toy without propellers, blue pen]; robot home; acceptable action=remove either bowl object.</x:v>
      </x:c>
      <x:c r="O429" s="31" t="str">
        <x:v>ADD one table object</x:v>
      </x:c>
      <x:c r="P429" s="31" t="str"/>
      <x:c r="Q429" s="31" t="str"/>
      <x:c r="R429" s="31" t="str"/>
      <x:c r="S429" s="31" t="str">
        <x:f>IF('Blind Scoring'!I429="","",'Blind Scoring'!I429)</x:f>
      </x:c>
      <x:c r="T429" s="31" t="str">
        <x:f>'Blind Scoring'!J429</x:f>
        <x:v>No</x:v>
      </x:c>
      <x:c r="U429" s="31" t="str">
        <x:f>IF('Blind Scoring'!L429="","",'Blind Scoring'!L429)</x:f>
      </x:c>
    </x:row>
    <x:row r="430" ht="44" customHeight="1">
      <x:c r="A430" s="35" t="str">
        <x:v>Not Started</x:v>
      </x:c>
      <x:c r="B430" s="35" t="n">
        <x:v>428</x:v>
      </x:c>
      <x:c r="C430" s="35" t="str">
        <x:v>P07</x:v>
      </x:c>
      <x:c r="D430" s="35" t="n">
        <x:v>57</x:v>
      </x:c>
      <x:c r="E430" s="35" t="str">
        <x:v>Primary VLA</x:v>
      </x:c>
      <x:c r="F430" s="35" t="str">
        <x:v>MolmoAct2</x:v>
      </x:c>
      <x:c r="G430" s="35" t="n">
        <x:v>1</x:v>
      </x:c>
      <x:c r="H430" s="35" t="str">
        <x:v>Counting</x:v>
      </x:c>
      <x:c r="I430" s="35" t="str">
        <x:v>Main matched control</x:v>
      </x:c>
      <x:c r="J430" s="35" t="str">
        <x:v>PVLA-CT-CTL-14</x:v>
      </x:c>
      <x:c r="K430" s="35" t="str">
        <x:v>C-CF10-B</x:v>
      </x:c>
      <x:c r="L430" s="31" t="str">
        <x:v>Put the airplane toy without propellers in the bowl.</x:v>
      </x:c>
      <x:c r="M430" s="31" t="str">
        <x:v>Put the airplane toy without propellers in the bowl.</x:v>
      </x:c>
      <x:c r="N430" s="31" t="str">
        <x:v>C-CF10-CB: bowl=[yellow block, green pencil sharpener] (2); table=[airplane toy without propellers, blue pen]; robot home; acceptable action=add either table object.</x:v>
      </x:c>
      <x:c r="O430" s="31" t="str">
        <x:v>ADD airplane toy without propellers</x:v>
      </x:c>
      <x:c r="P430" s="31" t="str"/>
      <x:c r="Q430" s="31" t="str"/>
      <x:c r="R430" s="31" t="str"/>
      <x:c r="S430" s="31" t="str">
        <x:f>IF('Blind Scoring'!I430="","",'Blind Scoring'!I430)</x:f>
      </x:c>
      <x:c r="T430" s="31" t="str">
        <x:f>'Blind Scoring'!J430</x:f>
        <x:v>No</x:v>
      </x:c>
      <x:c r="U430" s="31" t="str">
        <x:f>IF('Blind Scoring'!L430="","",'Blind Scoring'!L430)</x:f>
      </x:c>
    </x:row>
    <x:row r="431" ht="44" customHeight="1">
      <x:c r="A431" s="35" t="str">
        <x:v>Not Started</x:v>
      </x:c>
      <x:c r="B431" s="35" t="n">
        <x:v>429</x:v>
      </x:c>
      <x:c r="C431" s="35" t="str">
        <x:v>P07</x:v>
      </x:c>
      <x:c r="D431" s="35" t="n">
        <x:v>58</x:v>
      </x:c>
      <x:c r="E431" s="35" t="str">
        <x:v>Primary VLA</x:v>
      </x:c>
      <x:c r="F431" s="35" t="str">
        <x:v>MolmoAct2</x:v>
      </x:c>
      <x:c r="G431" s="35" t="n">
        <x:v>1</x:v>
      </x:c>
      <x:c r="H431" s="35" t="str">
        <x:v>Counting</x:v>
      </x:c>
      <x:c r="I431" s="35" t="str">
        <x:v>Main matched control</x:v>
      </x:c>
      <x:c r="J431" s="35" t="str">
        <x:v>PVLA-CT-CTL-07</x:v>
      </x:c>
      <x:c r="K431" s="35" t="str">
        <x:v>C-CF06-A</x:v>
      </x:c>
      <x:c r="L431" s="31" t="str">
        <x:v>Remove the yellow block from the bowl.</x:v>
      </x:c>
      <x:c r="M431" s="31" t="str">
        <x:v>Remove the yellow block from the bowl.</x:v>
      </x:c>
      <x:c r="N431" s="31" t="str">
        <x:v>C-CF06-CA: bowl=[yellow block, green pencil sharpener] (2); table=[airplane toy without propellers, blue pen]; robot home; acceptable action=remove either bowl object.</x:v>
      </x:c>
      <x:c r="O431" s="31" t="str">
        <x:v>REMOVE yellow block</x:v>
      </x:c>
      <x:c r="P431" s="31" t="str"/>
      <x:c r="Q431" s="31" t="str"/>
      <x:c r="R431" s="31" t="str"/>
      <x:c r="S431" s="31" t="str">
        <x:f>IF('Blind Scoring'!I431="","",'Blind Scoring'!I431)</x:f>
      </x:c>
      <x:c r="T431" s="31" t="str">
        <x:f>'Blind Scoring'!J431</x:f>
        <x:v>No</x:v>
      </x:c>
      <x:c r="U431" s="31" t="str">
        <x:f>IF('Blind Scoring'!L431="","",'Blind Scoring'!L431)</x:f>
      </x:c>
    </x:row>
    <x:row r="432" ht="44" customHeight="1">
      <x:c r="A432" s="35" t="str">
        <x:v>Not Started</x:v>
      </x:c>
      <x:c r="B432" s="35" t="n">
        <x:v>430</x:v>
      </x:c>
      <x:c r="C432" s="35" t="str">
        <x:v>P07</x:v>
      </x:c>
      <x:c r="D432" s="35" t="n">
        <x:v>59</x:v>
      </x:c>
      <x:c r="E432" s="35" t="str">
        <x:v>Primary VLA</x:v>
      </x:c>
      <x:c r="F432" s="35" t="str">
        <x:v>MolmoAct2</x:v>
      </x:c>
      <x:c r="G432" s="35" t="n">
        <x:v>1</x:v>
      </x:c>
      <x:c r="H432" s="35" t="str">
        <x:v>Counting</x:v>
      </x:c>
      <x:c r="I432" s="35" t="str">
        <x:v>Main matched control</x:v>
      </x:c>
      <x:c r="J432" s="35" t="str">
        <x:v>PVLA-CT-CTL-09</x:v>
      </x:c>
      <x:c r="K432" s="35" t="str">
        <x:v>C-CF07-A</x:v>
      </x:c>
      <x:c r="L432" s="31" t="str">
        <x:v>Remove the green pencil sharpener from the bowl.</x:v>
      </x:c>
      <x:c r="M432" s="31" t="str">
        <x:v>Remove the green pencil sharpener from the bowl.</x:v>
      </x:c>
      <x:c r="N432" s="31" t="str">
        <x:v>C-CF07-CA: bowl=[green pencil sharpener, airplane toy without propellers] (2); table=[blue pen, yellow block]; robot home; acceptable action=remove either bowl object.</x:v>
      </x:c>
      <x:c r="O432" s="31" t="str">
        <x:v>REMOVE green pencil sharpener</x:v>
      </x:c>
      <x:c r="P432" s="31" t="str"/>
      <x:c r="Q432" s="31" t="str"/>
      <x:c r="R432" s="31" t="str"/>
      <x:c r="S432" s="31" t="str">
        <x:f>IF('Blind Scoring'!I432="","",'Blind Scoring'!I432)</x:f>
      </x:c>
      <x:c r="T432" s="31" t="str">
        <x:f>'Blind Scoring'!J432</x:f>
        <x:v>No</x:v>
      </x:c>
      <x:c r="U432" s="31" t="str">
        <x:f>IF('Blind Scoring'!L432="","",'Blind Scoring'!L432)</x:f>
      </x:c>
    </x:row>
    <x:row r="433" ht="44" customHeight="1">
      <x:c r="A433" s="35" t="str">
        <x:v>Not Started</x:v>
      </x:c>
      <x:c r="B433" s="35" t="n">
        <x:v>431</x:v>
      </x:c>
      <x:c r="C433" s="35" t="str">
        <x:v>P07</x:v>
      </x:c>
      <x:c r="D433" s="35" t="n">
        <x:v>60</x:v>
      </x:c>
      <x:c r="E433" s="35" t="str">
        <x:v>Primary VLA</x:v>
      </x:c>
      <x:c r="F433" s="35" t="str">
        <x:v>MolmoAct2</x:v>
      </x:c>
      <x:c r="G433" s="35" t="n">
        <x:v>1</x:v>
      </x:c>
      <x:c r="H433" s="35" t="str">
        <x:v>Counting</x:v>
      </x:c>
      <x:c r="I433" s="35" t="str">
        <x:v>Training reconstruction</x:v>
      </x:c>
      <x:c r="J433" s="35" t="str">
        <x:v>PVLA-CT-REC-02</x:v>
      </x:c>
      <x:c r="K433" s="35" t="str"/>
      <x:c r="L433" s="31" t="str">
        <x:v>Leave no objects in the bowl.</x:v>
      </x:c>
      <x:c r="M433" s="31" t="str">
        <x:v>Leave no objects in the bowl.</x:v>
      </x:c>
      <x:c r="N433" s="31" t="str">
        <x:v>Reconstruct planned final training episode 829: blue pen, yellow block, airplane toy without propellers; start=Recovery. Match camera, calibration, bowl pose, and object geometry exactly.</x:v>
      </x:c>
      <x:c r="O433" s="31" t="str">
        <x:v>blue pen</x:v>
      </x:c>
      <x:c r="P433" s="31" t="str"/>
      <x:c r="Q433" s="31" t="str"/>
      <x:c r="R433" s="31" t="str"/>
      <x:c r="S433" s="31" t="str">
        <x:f>IF('Blind Scoring'!I433="","",'Blind Scoring'!I433)</x:f>
      </x:c>
      <x:c r="T433" s="31" t="str">
        <x:f>'Blind Scoring'!J433</x:f>
        <x:v>No</x:v>
      </x:c>
      <x:c r="U433" s="31" t="str">
        <x:f>IF('Blind Scoring'!L433="","",'Blind Scoring'!L433)</x:f>
      </x:c>
    </x:row>
    <x:row r="434" ht="44" customHeight="1">
      <x:c r="A434" s="35" t="str">
        <x:v>Not Started</x:v>
      </x:c>
      <x:c r="B434" s="35" t="n">
        <x:v>432</x:v>
      </x:c>
      <x:c r="C434" s="35" t="str">
        <x:v>P07</x:v>
      </x:c>
      <x:c r="D434" s="35" t="n">
        <x:v>61</x:v>
      </x:c>
      <x:c r="E434" s="35" t="str">
        <x:v>Primary VLA</x:v>
      </x:c>
      <x:c r="F434" s="35" t="str">
        <x:v>MolmoAct2</x:v>
      </x:c>
      <x:c r="G434" s="35" t="n">
        <x:v>1</x:v>
      </x:c>
      <x:c r="H434" s="35" t="str">
        <x:v>Counting</x:v>
      </x:c>
      <x:c r="I434" s="35" t="str">
        <x:v>Training reconstruction</x:v>
      </x:c>
      <x:c r="J434" s="35" t="str">
        <x:v>PVLA-CT-REC-05</x:v>
      </x:c>
      <x:c r="K434" s="35" t="str"/>
      <x:c r="L434" s="31" t="str">
        <x:v>Remove the yellow block from the bowl.</x:v>
      </x:c>
      <x:c r="M434" s="31" t="str">
        <x:v>Remove the yellow block from the bowl.</x:v>
      </x:c>
      <x:c r="N434" s="31" t="str">
        <x:v>Reconstruct planned final training episode 896: yellow block, green pencil sharpener, airplane toy without propellers, blue pen; start=Post-Drop. Match camera, calibration, bowl pose, and object geometry exactly.</x:v>
      </x:c>
      <x:c r="O434" s="31" t="str">
        <x:v>yellow block</x:v>
      </x:c>
      <x:c r="P434" s="31" t="str"/>
      <x:c r="Q434" s="31" t="str"/>
      <x:c r="R434" s="31" t="str"/>
      <x:c r="S434" s="31" t="str">
        <x:f>IF('Blind Scoring'!I434="","",'Blind Scoring'!I434)</x:f>
      </x:c>
      <x:c r="T434" s="31" t="str">
        <x:f>'Blind Scoring'!J434</x:f>
        <x:v>No</x:v>
      </x:c>
      <x:c r="U434" s="31" t="str">
        <x:f>IF('Blind Scoring'!L434="","",'Blind Scoring'!L434)</x:f>
      </x:c>
    </x:row>
    <x:row r="435" ht="44" customHeight="1">
      <x:c r="A435" s="35" t="str">
        <x:v>Not Started</x:v>
      </x:c>
      <x:c r="B435" s="35" t="n">
        <x:v>433</x:v>
      </x:c>
      <x:c r="C435" s="35" t="str">
        <x:v>P07</x:v>
      </x:c>
      <x:c r="D435" s="35" t="n">
        <x:v>62</x:v>
      </x:c>
      <x:c r="E435" s="35" t="str">
        <x:v>Primary VLA</x:v>
      </x:c>
      <x:c r="F435" s="35" t="str">
        <x:v>MolmoAct2</x:v>
      </x:c>
      <x:c r="G435" s="35" t="n">
        <x:v>1</x:v>
      </x:c>
      <x:c r="H435" s="35" t="str">
        <x:v>Counting</x:v>
      </x:c>
      <x:c r="I435" s="35" t="str">
        <x:v>Main held-out transfer</x:v>
      </x:c>
      <x:c r="J435" s="35" t="str">
        <x:v>PVLA-CT-TR-09</x:v>
      </x:c>
      <x:c r="K435" s="35" t="str">
        <x:v>C-CF07-A</x:v>
      </x:c>
      <x:c r="L435" s="31" t="str">
        <x:v>Leave exactly one object in the bowl.</x:v>
      </x:c>
      <x:c r="M435" s="31" t="str">
        <x:v>Leave exactly one object in the bowl.</x:v>
      </x:c>
      <x:c r="N435" s="31" t="str">
        <x:v>C-CF07A: bowl=[green pencil sharpener, airplane toy without propellers] (2); table=[blue pen, yellow block]; robot home; acceptable action=remove either bowl object.</x:v>
      </x:c>
      <x:c r="O435" s="31" t="str">
        <x:v>REMOVE one bowl object</x:v>
      </x:c>
      <x:c r="P435" s="31" t="str"/>
      <x:c r="Q435" s="31" t="str"/>
      <x:c r="R435" s="31" t="str"/>
      <x:c r="S435" s="31" t="str">
        <x:f>IF('Blind Scoring'!I435="","",'Blind Scoring'!I435)</x:f>
      </x:c>
      <x:c r="T435" s="31" t="str">
        <x:f>'Blind Scoring'!J435</x:f>
        <x:v>No</x:v>
      </x:c>
      <x:c r="U435" s="31" t="str">
        <x:f>IF('Blind Scoring'!L435="","",'Blind Scoring'!L435)</x:f>
      </x:c>
    </x:row>
    <x:row r="436" ht="44" customHeight="1">
      <x:c r="A436" s="35" t="str">
        <x:v>Not Started</x:v>
      </x:c>
      <x:c r="B436" s="35" t="n">
        <x:v>434</x:v>
      </x:c>
      <x:c r="C436" s="35" t="str">
        <x:v>P08</x:v>
      </x:c>
      <x:c r="D436" s="35" t="n">
        <x:v>1</x:v>
      </x:c>
      <x:c r="E436" s="35" t="str">
        <x:v>Primary VLA</x:v>
      </x:c>
      <x:c r="F436" s="35" t="str">
        <x:v>MolmoAct2</x:v>
      </x:c>
      <x:c r="G436" s="35" t="n">
        <x:v>1</x:v>
      </x:c>
      <x:c r="H436" s="35" t="str">
        <x:v>State Recognition</x:v>
      </x:c>
      <x:c r="I436" s="35" t="str">
        <x:v>Exact-scene paraphrase</x:v>
      </x:c>
      <x:c r="J436" s="35" t="str">
        <x:v>PVLA-ST-PAR-06</x:v>
      </x:c>
      <x:c r="K436" s="35" t="str">
        <x:v>S-CF15</x:v>
      </x:c>
      <x:c r="L436" s="31" t="str">
        <x:v>Move the yellow-white striped cup that is open into the bowl.</x:v>
      </x:c>
      <x:c r="M436" s="31" t="str">
        <x:v>Move the yellow-white striped cup that is open into the bowl.</x:v>
      </x:c>
      <x:c r="N436" s="31" t="str">
        <x:v>S-CF15-PARA: P1 brown cup A=C/UR; P2 glass spice container A=O/UR; P3 yellow-white striped cup A=C/UD [TARGET]; P4 yellow-white striped cup B=O/UD [COMPETITOR].</x:v>
      </x:c>
      <x:c r="O436" s="31" t="str">
        <x:v>yellow-white striped cup B</x:v>
      </x:c>
      <x:c r="P436" s="31" t="str"/>
      <x:c r="Q436" s="31" t="str"/>
      <x:c r="R436" s="31" t="str"/>
      <x:c r="S436" s="31" t="str">
        <x:f>IF('Blind Scoring'!I436="","",'Blind Scoring'!I436)</x:f>
      </x:c>
      <x:c r="T436" s="31" t="str">
        <x:f>'Blind Scoring'!J436</x:f>
        <x:v>No</x:v>
      </x:c>
      <x:c r="U436" s="31" t="str">
        <x:f>IF('Blind Scoring'!L436="","",'Blind Scoring'!L436)</x:f>
      </x:c>
    </x:row>
    <x:row r="437" ht="44" customHeight="1">
      <x:c r="A437" s="35" t="str">
        <x:v>Not Started</x:v>
      </x:c>
      <x:c r="B437" s="35" t="n">
        <x:v>435</x:v>
      </x:c>
      <x:c r="C437" s="35" t="str">
        <x:v>P08</x:v>
      </x:c>
      <x:c r="D437" s="35" t="n">
        <x:v>2</x:v>
      </x:c>
      <x:c r="E437" s="35" t="str">
        <x:v>Primary VLA</x:v>
      </x:c>
      <x:c r="F437" s="35" t="str">
        <x:v>MolmoAct2</x:v>
      </x:c>
      <x:c r="G437" s="35" t="n">
        <x:v>1</x:v>
      </x:c>
      <x:c r="H437" s="35" t="str">
        <x:v>State Recognition</x:v>
      </x:c>
      <x:c r="I437" s="35" t="str">
        <x:v>Exact-scene paraphrase</x:v>
      </x:c>
      <x:c r="J437" s="35" t="str">
        <x:v>PVLA-ST-PAR-08</x:v>
      </x:c>
      <x:c r="K437" s="35" t="str">
        <x:v>S-CF20</x:v>
      </x:c>
      <x:c r="L437" s="31" t="str">
        <x:v>Find the white cup that is turned upside down and move it into the bowl.</x:v>
      </x:c>
      <x:c r="M437" s="31" t="str">
        <x:v>Find the white cup that is turned upside down and move it into the bowl.</x:v>
      </x:c>
      <x:c r="N437" s="31" t="str">
        <x:v>S-CF20-PARA: P1 white cup A=C/UD [COMPETITOR]; P2 yellow-white striped cup B=O/UR; P3 brown cup A=O/UD; P4 white cup B=C/UR [TARGET].</x:v>
      </x:c>
      <x:c r="O437" s="31" t="str">
        <x:v>white cup A</x:v>
      </x:c>
      <x:c r="P437" s="31" t="str"/>
      <x:c r="Q437" s="31" t="str"/>
      <x:c r="R437" s="31" t="str"/>
      <x:c r="S437" s="31" t="str">
        <x:f>IF('Blind Scoring'!I437="","",'Blind Scoring'!I437)</x:f>
      </x:c>
      <x:c r="T437" s="31" t="str">
        <x:f>'Blind Scoring'!J437</x:f>
        <x:v>No</x:v>
      </x:c>
      <x:c r="U437" s="31" t="str">
        <x:f>IF('Blind Scoring'!L437="","",'Blind Scoring'!L437)</x:f>
      </x:c>
    </x:row>
    <x:row r="438" ht="44" customHeight="1">
      <x:c r="A438" s="35" t="str">
        <x:v>Not Started</x:v>
      </x:c>
      <x:c r="B438" s="35" t="n">
        <x:v>436</x:v>
      </x:c>
      <x:c r="C438" s="35" t="str">
        <x:v>P08</x:v>
      </x:c>
      <x:c r="D438" s="35" t="n">
        <x:v>3</x:v>
      </x:c>
      <x:c r="E438" s="35" t="str">
        <x:v>Primary VLA</x:v>
      </x:c>
      <x:c r="F438" s="35" t="str">
        <x:v>MolmoAct2</x:v>
      </x:c>
      <x:c r="G438" s="35" t="n">
        <x:v>1</x:v>
      </x:c>
      <x:c r="H438" s="35" t="str">
        <x:v>State Recognition</x:v>
      </x:c>
      <x:c r="I438" s="35" t="str">
        <x:v>Language ablation — counterfactual</x:v>
      </x:c>
      <x:c r="J438" s="35" t="str">
        <x:v>PVLA-ST-ABL-CF-04</x:v>
      </x:c>
      <x:c r="K438" s="35" t="str">
        <x:v>S-CF15</x:v>
      </x:c>
      <x:c r="L438" s="31" t="str">
        <x:v>Place the open yellow-white striped cup in the bowl.</x:v>
      </x:c>
      <x:c r="M438" s="31" t="str">
        <x:v>Place the open yellow-white striped cup in the bowl.</x:v>
      </x:c>
      <x:c r="N438" s="31" t="str">
        <x:v>S-CF15-HELD: P1 brown cup A=C/UR; P2 glass spice container A=O/UR; P3 yellow-white striped cup A=C/UD [TARGET]; P4 yellow-white striped cup B=O/UD [COMPETITOR].</x:v>
      </x:c>
      <x:c r="O438" s="31" t="str">
        <x:v>yellow-white striped cup B</x:v>
      </x:c>
      <x:c r="P438" s="31" t="str"/>
      <x:c r="Q438" s="31" t="str"/>
      <x:c r="R438" s="31" t="str"/>
      <x:c r="S438" s="31" t="str">
        <x:f>IF('Blind Scoring'!I438="","",'Blind Scoring'!I438)</x:f>
      </x:c>
      <x:c r="T438" s="31" t="str">
        <x:f>'Blind Scoring'!J438</x:f>
        <x:v>No</x:v>
      </x:c>
      <x:c r="U438" s="31" t="str">
        <x:f>IF('Blind Scoring'!L438="","",'Blind Scoring'!L438)</x:f>
      </x:c>
    </x:row>
    <x:row r="439" ht="44" customHeight="1">
      <x:c r="A439" s="35" t="str">
        <x:v>Not Started</x:v>
      </x:c>
      <x:c r="B439" s="35" t="n">
        <x:v>437</x:v>
      </x:c>
      <x:c r="C439" s="35" t="str">
        <x:v>P08</x:v>
      </x:c>
      <x:c r="D439" s="35" t="n">
        <x:v>4</x:v>
      </x:c>
      <x:c r="E439" s="35" t="str">
        <x:v>Primary VLA</x:v>
      </x:c>
      <x:c r="F439" s="35" t="str">
        <x:v>MolmoAct2</x:v>
      </x:c>
      <x:c r="G439" s="35" t="n">
        <x:v>1</x:v>
      </x:c>
      <x:c r="H439" s="35" t="str">
        <x:v>State Recognition</x:v>
      </x:c>
      <x:c r="I439" s="35" t="str">
        <x:v>Main matched control</x:v>
      </x:c>
      <x:c r="J439" s="35" t="str">
        <x:v>PVLA-ST-CTL-09</x:v>
      </x:c>
      <x:c r="K439" s="35" t="str">
        <x:v>S-CF16</x:v>
      </x:c>
      <x:c r="L439" s="31" t="str">
        <x:v>Place a brown cup in the bowl.</x:v>
      </x:c>
      <x:c r="M439" s="31" t="str">
        <x:v>Place a brown cup in the bowl.</x:v>
      </x:c>
      <x:c r="N439" s="31" t="str">
        <x:v>S-CF16-CTRL: P2 glass spice container B=O/UR; P3 white cup A=O/UD; P4 brown cup B=C/UR [TARGET].</x:v>
      </x:c>
      <x:c r="O439" s="31" t="str">
        <x:v>brown cup B</x:v>
      </x:c>
      <x:c r="P439" s="31" t="str"/>
      <x:c r="Q439" s="31" t="str"/>
      <x:c r="R439" s="31" t="str"/>
      <x:c r="S439" s="31" t="str">
        <x:f>IF('Blind Scoring'!I439="","",'Blind Scoring'!I439)</x:f>
      </x:c>
      <x:c r="T439" s="31" t="str">
        <x:f>'Blind Scoring'!J439</x:f>
        <x:v>No</x:v>
      </x:c>
      <x:c r="U439" s="31" t="str">
        <x:f>IF('Blind Scoring'!L439="","",'Blind Scoring'!L439)</x:f>
      </x:c>
    </x:row>
    <x:row r="440" ht="44" customHeight="1">
      <x:c r="A440" s="35" t="str">
        <x:v>Not Started</x:v>
      </x:c>
      <x:c r="B440" s="35" t="n">
        <x:v>438</x:v>
      </x:c>
      <x:c r="C440" s="35" t="str">
        <x:v>P08</x:v>
      </x:c>
      <x:c r="D440" s="35" t="n">
        <x:v>5</x:v>
      </x:c>
      <x:c r="E440" s="35" t="str">
        <x:v>Primary VLA</x:v>
      </x:c>
      <x:c r="F440" s="35" t="str">
        <x:v>MolmoAct2</x:v>
      </x:c>
      <x:c r="G440" s="35" t="n">
        <x:v>1</x:v>
      </x:c>
      <x:c r="H440" s="35" t="str">
        <x:v>State Recognition</x:v>
      </x:c>
      <x:c r="I440" s="35" t="str">
        <x:v>Exact-scene paraphrase</x:v>
      </x:c>
      <x:c r="J440" s="35" t="str">
        <x:v>PVLA-ST-PAR-05</x:v>
      </x:c>
      <x:c r="K440" s="35" t="str">
        <x:v>S-CF12</x:v>
      </x:c>
      <x:c r="L440" s="31" t="str">
        <x:v>Move the overturned white cup into the bowl.</x:v>
      </x:c>
      <x:c r="M440" s="31" t="str">
        <x:v>Move the overturned white cup into the bowl.</x:v>
      </x:c>
      <x:c r="N440" s="31" t="str">
        <x:v>S-CF12-PARA: P1 white cup A=C/UD [COMPETITOR]; P2 yellow-white striped cup B=O/UR; P3 brown cup A=O/UD; P4 white cup B=C/UR [TARGET].</x:v>
      </x:c>
      <x:c r="O440" s="31" t="str">
        <x:v>white cup A</x:v>
      </x:c>
      <x:c r="P440" s="31" t="str"/>
      <x:c r="Q440" s="31" t="str"/>
      <x:c r="R440" s="31" t="str"/>
      <x:c r="S440" s="31" t="str">
        <x:f>IF('Blind Scoring'!I440="","",'Blind Scoring'!I440)</x:f>
      </x:c>
      <x:c r="T440" s="31" t="str">
        <x:f>'Blind Scoring'!J440</x:f>
        <x:v>No</x:v>
      </x:c>
      <x:c r="U440" s="31" t="str">
        <x:f>IF('Blind Scoring'!L440="","",'Blind Scoring'!L440)</x:f>
      </x:c>
    </x:row>
    <x:row r="441" ht="44" customHeight="1">
      <x:c r="A441" s="35" t="str">
        <x:v>Not Started</x:v>
      </x:c>
      <x:c r="B441" s="35" t="n">
        <x:v>439</x:v>
      </x:c>
      <x:c r="C441" s="35" t="str">
        <x:v>P08</x:v>
      </x:c>
      <x:c r="D441" s="35" t="n">
        <x:v>6</x:v>
      </x:c>
      <x:c r="E441" s="35" t="str">
        <x:v>Primary VLA</x:v>
      </x:c>
      <x:c r="F441" s="35" t="str">
        <x:v>MolmoAct2</x:v>
      </x:c>
      <x:c r="G441" s="35" t="n">
        <x:v>1</x:v>
      </x:c>
      <x:c r="H441" s="35" t="str">
        <x:v>State Recognition</x:v>
      </x:c>
      <x:c r="I441" s="35" t="str">
        <x:v>Training reconstruction</x:v>
      </x:c>
      <x:c r="J441" s="35" t="str">
        <x:v>PVLA-ST-REC-06</x:v>
      </x:c>
      <x:c r="K441" s="35" t="str"/>
      <x:c r="L441" s="31" t="str">
        <x:v>Move a glass spice container into the bowl.</x:v>
      </x:c>
      <x:c r="M441" s="31" t="str">
        <x:v>Move a glass spice container into the bowl.</x:v>
      </x:c>
      <x:c r="N441" s="31" t="str">
        <x:v>Reconstruct planned final training episode 191: glass spice container A, brown cup A, white cup B; start=Home. Match camera, calibration, bowl pose, and object geometry exactly.</x:v>
      </x:c>
      <x:c r="O441" s="31" t="str">
        <x:v>glass spice container A</x:v>
      </x:c>
      <x:c r="P441" s="31" t="str"/>
      <x:c r="Q441" s="31" t="str"/>
      <x:c r="R441" s="31" t="str"/>
      <x:c r="S441" s="31" t="str">
        <x:f>IF('Blind Scoring'!I441="","",'Blind Scoring'!I441)</x:f>
      </x:c>
      <x:c r="T441" s="31" t="str">
        <x:f>'Blind Scoring'!J441</x:f>
        <x:v>No</x:v>
      </x:c>
      <x:c r="U441" s="31" t="str">
        <x:f>IF('Blind Scoring'!L441="","",'Blind Scoring'!L441)</x:f>
      </x:c>
    </x:row>
    <x:row r="442" ht="44" customHeight="1">
      <x:c r="A442" s="35" t="str">
        <x:v>Not Started</x:v>
      </x:c>
      <x:c r="B442" s="35" t="n">
        <x:v>440</x:v>
      </x:c>
      <x:c r="C442" s="35" t="str">
        <x:v>P08</x:v>
      </x:c>
      <x:c r="D442" s="35" t="n">
        <x:v>7</x:v>
      </x:c>
      <x:c r="E442" s="35" t="str">
        <x:v>Primary VLA</x:v>
      </x:c>
      <x:c r="F442" s="35" t="str">
        <x:v>MolmoAct2</x:v>
      </x:c>
      <x:c r="G442" s="35" t="n">
        <x:v>1</x:v>
      </x:c>
      <x:c r="H442" s="35" t="str">
        <x:v>State Recognition</x:v>
      </x:c>
      <x:c r="I442" s="35" t="str">
        <x:v>Language ablation — counterfactual</x:v>
      </x:c>
      <x:c r="J442" s="35" t="str">
        <x:v>PVLA-ST-ABL-CF-01</x:v>
      </x:c>
      <x:c r="K442" s="35" t="str">
        <x:v>S-CF09</x:v>
      </x:c>
      <x:c r="L442" s="31" t="str">
        <x:v>Place the open white cup in the bowl.</x:v>
      </x:c>
      <x:c r="M442" s="31" t="str">
        <x:v>Place the open white cup in the bowl.</x:v>
      </x:c>
      <x:c r="N442" s="31" t="str">
        <x:v>S-CF09-HELD: P1 white cup A=C/UR [TARGET]; P2 white cup B=O/UR [COMPETITOR]; P3 yellow-white striped cup A=C/UD; P4 brown cup B=O/UD.</x:v>
      </x:c>
      <x:c r="O442" s="31" t="str">
        <x:v>white cup B</x:v>
      </x:c>
      <x:c r="P442" s="31" t="str"/>
      <x:c r="Q442" s="31" t="str"/>
      <x:c r="R442" s="31" t="str"/>
      <x:c r="S442" s="31" t="str">
        <x:f>IF('Blind Scoring'!I442="","",'Blind Scoring'!I442)</x:f>
      </x:c>
      <x:c r="T442" s="31" t="str">
        <x:f>'Blind Scoring'!J442</x:f>
        <x:v>No</x:v>
      </x:c>
      <x:c r="U442" s="31" t="str">
        <x:f>IF('Blind Scoring'!L442="","",'Blind Scoring'!L442)</x:f>
      </x:c>
    </x:row>
    <x:row r="443" ht="44" customHeight="1">
      <x:c r="A443" s="35" t="str">
        <x:v>Not Started</x:v>
      </x:c>
      <x:c r="B443" s="35" t="n">
        <x:v>441</x:v>
      </x:c>
      <x:c r="C443" s="35" t="str">
        <x:v>P08</x:v>
      </x:c>
      <x:c r="D443" s="35" t="n">
        <x:v>8</x:v>
      </x:c>
      <x:c r="E443" s="35" t="str">
        <x:v>Primary VLA</x:v>
      </x:c>
      <x:c r="F443" s="35" t="str">
        <x:v>MolmoAct2</x:v>
      </x:c>
      <x:c r="G443" s="35" t="n">
        <x:v>1</x:v>
      </x:c>
      <x:c r="H443" s="35" t="str">
        <x:v>State Recognition</x:v>
      </x:c>
      <x:c r="I443" s="35" t="str">
        <x:v>Main held-out transfer</x:v>
      </x:c>
      <x:c r="J443" s="35" t="str">
        <x:v>PVLA-ST-TR-09</x:v>
      </x:c>
      <x:c r="K443" s="35" t="str">
        <x:v>S-CF16</x:v>
      </x:c>
      <x:c r="L443" s="31" t="str">
        <x:v>Place the upright brown cup in the bowl.</x:v>
      </x:c>
      <x:c r="M443" s="31" t="str">
        <x:v>Place the upright brown cup in the bowl.</x:v>
      </x:c>
      <x:c r="N443" s="31" t="str">
        <x:v>S-CF16-HELD: P1 brown cup A=C/UD [COMPETITOR]; P2 glass spice container B=O/UR; P3 white cup A=O/UD; P4 brown cup B=C/UR [TARGET].</x:v>
      </x:c>
      <x:c r="O443" s="31" t="str">
        <x:v>brown cup B</x:v>
      </x:c>
      <x:c r="P443" s="31" t="str"/>
      <x:c r="Q443" s="31" t="str"/>
      <x:c r="R443" s="31" t="str"/>
      <x:c r="S443" s="31" t="str">
        <x:f>IF('Blind Scoring'!I443="","",'Blind Scoring'!I443)</x:f>
      </x:c>
      <x:c r="T443" s="31" t="str">
        <x:f>'Blind Scoring'!J443</x:f>
        <x:v>No</x:v>
      </x:c>
      <x:c r="U443" s="31" t="str">
        <x:f>IF('Blind Scoring'!L443="","",'Blind Scoring'!L443)</x:f>
      </x:c>
    </x:row>
    <x:row r="444" ht="44" customHeight="1">
      <x:c r="A444" s="35" t="str">
        <x:v>Not Started</x:v>
      </x:c>
      <x:c r="B444" s="35" t="n">
        <x:v>442</x:v>
      </x:c>
      <x:c r="C444" s="35" t="str">
        <x:v>P08</x:v>
      </x:c>
      <x:c r="D444" s="35" t="n">
        <x:v>9</x:v>
      </x:c>
      <x:c r="E444" s="35" t="str">
        <x:v>Primary VLA</x:v>
      </x:c>
      <x:c r="F444" s="35" t="str">
        <x:v>MolmoAct2</x:v>
      </x:c>
      <x:c r="G444" s="35" t="n">
        <x:v>1</x:v>
      </x:c>
      <x:c r="H444" s="35" t="str">
        <x:v>State Recognition</x:v>
      </x:c>
      <x:c r="I444" s="35" t="str">
        <x:v>Novel layout + seen language</x:v>
      </x:c>
      <x:c r="J444" s="35" t="str">
        <x:v>PVLA-ST-NOV-07</x:v>
      </x:c>
      <x:c r="K444" s="35" t="str">
        <x:v>S-CF17</x:v>
      </x:c>
      <x:c r="L444" s="31" t="str">
        <x:v>Place the open white cup in the bowl.</x:v>
      </x:c>
      <x:c r="M444" s="31" t="str">
        <x:v>Place the open white cup in the bowl.</x:v>
      </x:c>
      <x:c r="N444" s="31" t="str">
        <x:v>S-CF17-SEEN: P1 white cup A=C/UR [TARGET]; P2 white cup B=O/UR [COMPETITOR]; P3 yellow-white striped cup A=C/UD; P4 brown cup B=O/UD.</x:v>
      </x:c>
      <x:c r="O444" s="31" t="str">
        <x:v>white cup B</x:v>
      </x:c>
      <x:c r="P444" s="31" t="str"/>
      <x:c r="Q444" s="31" t="str"/>
      <x:c r="R444" s="31" t="str"/>
      <x:c r="S444" s="31" t="str">
        <x:f>IF('Blind Scoring'!I444="","",'Blind Scoring'!I444)</x:f>
      </x:c>
      <x:c r="T444" s="31" t="str">
        <x:f>'Blind Scoring'!J444</x:f>
        <x:v>No</x:v>
      </x:c>
      <x:c r="U444" s="31" t="str">
        <x:f>IF('Blind Scoring'!L444="","",'Blind Scoring'!L444)</x:f>
      </x:c>
    </x:row>
    <x:row r="445" ht="44" customHeight="1">
      <x:c r="A445" s="35" t="str">
        <x:v>Not Started</x:v>
      </x:c>
      <x:c r="B445" s="35" t="n">
        <x:v>443</x:v>
      </x:c>
      <x:c r="C445" s="35" t="str">
        <x:v>P08</x:v>
      </x:c>
      <x:c r="D445" s="35" t="n">
        <x:v>10</x:v>
      </x:c>
      <x:c r="E445" s="35" t="str">
        <x:v>Primary VLA</x:v>
      </x:c>
      <x:c r="F445" s="35" t="str">
        <x:v>MolmoAct2</x:v>
      </x:c>
      <x:c r="G445" s="35" t="n">
        <x:v>1</x:v>
      </x:c>
      <x:c r="H445" s="35" t="str">
        <x:v>State Recognition</x:v>
      </x:c>
      <x:c r="I445" s="35" t="str">
        <x:v>Language ablation — blank</x:v>
      </x:c>
      <x:c r="J445" s="35" t="str">
        <x:v>PVLA-ST-ABL-BLK-01</x:v>
      </x:c>
      <x:c r="K445" s="35" t="str">
        <x:v>S-CF01</x:v>
      </x:c>
      <x:c r="L445" s="31" t="str">
        <x:v>[EMPTY STRING — provide no instruction tokens]</x:v>
      </x:c>
      <x:c r="M445" s="31" t="str">
        <x:v>Place the closed white cup in the bowl.</x:v>
      </x:c>
      <x:c r="N445" s="31" t="str">
        <x:v>S-CF01-HELD: P1 white cup A=C/UR [TARGET]; P2 white cup B=O/UR [COMPETITOR]; P3 yellow-white striped cup A=C/UD; P4 brown cup B=O/UD.</x:v>
      </x:c>
      <x:c r="O445" s="31" t="str">
        <x:v>No prespecified task success under blank language; record any action/selected target.</x:v>
      </x:c>
      <x:c r="P445" s="31" t="str"/>
      <x:c r="Q445" s="31" t="str"/>
      <x:c r="R445" s="31" t="str"/>
      <x:c r="S445" s="31" t="str">
        <x:f>IF('Blind Scoring'!I445="","",'Blind Scoring'!I445)</x:f>
      </x:c>
      <x:c r="T445" s="31" t="str">
        <x:f>'Blind Scoring'!J445</x:f>
        <x:v>No</x:v>
      </x:c>
      <x:c r="U445" s="31" t="str">
        <x:f>IF('Blind Scoring'!L445="","",'Blind Scoring'!L445)</x:f>
      </x:c>
    </x:row>
    <x:row r="446" ht="44" customHeight="1">
      <x:c r="A446" s="35" t="str">
        <x:v>Not Started</x:v>
      </x:c>
      <x:c r="B446" s="35" t="n">
        <x:v>444</x:v>
      </x:c>
      <x:c r="C446" s="35" t="str">
        <x:v>P08</x:v>
      </x:c>
      <x:c r="D446" s="35" t="n">
        <x:v>11</x:v>
      </x:c>
      <x:c r="E446" s="35" t="str">
        <x:v>Primary VLA</x:v>
      </x:c>
      <x:c r="F446" s="35" t="str">
        <x:v>MolmoAct2</x:v>
      </x:c>
      <x:c r="G446" s="35" t="n">
        <x:v>1</x:v>
      </x:c>
      <x:c r="H446" s="35" t="str">
        <x:v>State Recognition</x:v>
      </x:c>
      <x:c r="I446" s="35" t="str">
        <x:v>Language ablation — blank</x:v>
      </x:c>
      <x:c r="J446" s="35" t="str">
        <x:v>PVLA-ST-ABL-BLK-03</x:v>
      </x:c>
      <x:c r="K446" s="35" t="str">
        <x:v>S-CF05</x:v>
      </x:c>
      <x:c r="L446" s="31" t="str">
        <x:v>[EMPTY STRING — provide no instruction tokens]</x:v>
      </x:c>
      <x:c r="M446" s="31" t="str">
        <x:v>Place the closed brown cup in the bowl.</x:v>
      </x:c>
      <x:c r="N446" s="31" t="str">
        <x:v>S-CF05-HELD: P1 brown cup A=C/UR [TARGET]; P2 brown cup B=O/UR [COMPETITOR]; P3 glass spice container A=C/UD; P4 white cup B=O/UD.</x:v>
      </x:c>
      <x:c r="O446" s="31" t="str">
        <x:v>No prespecified task success under blank language; record any action/selected target.</x:v>
      </x:c>
      <x:c r="P446" s="31" t="str"/>
      <x:c r="Q446" s="31" t="str"/>
      <x:c r="R446" s="31" t="str"/>
      <x:c r="S446" s="31" t="str">
        <x:f>IF('Blind Scoring'!I446="","",'Blind Scoring'!I446)</x:f>
      </x:c>
      <x:c r="T446" s="31" t="str">
        <x:f>'Blind Scoring'!J446</x:f>
        <x:v>No</x:v>
      </x:c>
      <x:c r="U446" s="31" t="str">
        <x:f>IF('Blind Scoring'!L446="","",'Blind Scoring'!L446)</x:f>
      </x:c>
    </x:row>
    <x:row r="447" ht="44" customHeight="1">
      <x:c r="A447" s="35" t="str">
        <x:v>Not Started</x:v>
      </x:c>
      <x:c r="B447" s="35" t="n">
        <x:v>445</x:v>
      </x:c>
      <x:c r="C447" s="35" t="str">
        <x:v>P08</x:v>
      </x:c>
      <x:c r="D447" s="35" t="n">
        <x:v>12</x:v>
      </x:c>
      <x:c r="E447" s="35" t="str">
        <x:v>Primary VLA</x:v>
      </x:c>
      <x:c r="F447" s="35" t="str">
        <x:v>MolmoAct2</x:v>
      </x:c>
      <x:c r="G447" s="35" t="n">
        <x:v>1</x:v>
      </x:c>
      <x:c r="H447" s="35" t="str">
        <x:v>State Recognition</x:v>
      </x:c>
      <x:c r="I447" s="35" t="str">
        <x:v>Main held-out transfer</x:v>
      </x:c>
      <x:c r="J447" s="35" t="str">
        <x:v>PVLA-ST-TR-04</x:v>
      </x:c>
      <x:c r="K447" s="35" t="str">
        <x:v>S-CF07</x:v>
      </x:c>
      <x:c r="L447" s="31" t="str">
        <x:v>Place the closed yellow-white striped cup in the bowl.</x:v>
      </x:c>
      <x:c r="M447" s="31" t="str">
        <x:v>Place the closed yellow-white striped cup in the bowl.</x:v>
      </x:c>
      <x:c r="N447" s="31" t="str">
        <x:v>S-CF07-HELD: P1 brown cup A=C/UR; P2 glass spice container A=O/UR; P3 yellow-white striped cup A=C/UD [TARGET]; P4 yellow-white striped cup B=O/UD [COMPETITOR].</x:v>
      </x:c>
      <x:c r="O447" s="31" t="str">
        <x:v>yellow-white striped cup A</x:v>
      </x:c>
      <x:c r="P447" s="31" t="str"/>
      <x:c r="Q447" s="31" t="str"/>
      <x:c r="R447" s="31" t="str"/>
      <x:c r="S447" s="31" t="str">
        <x:f>IF('Blind Scoring'!I447="","",'Blind Scoring'!I447)</x:f>
      </x:c>
      <x:c r="T447" s="31" t="str">
        <x:f>'Blind Scoring'!J447</x:f>
        <x:v>No</x:v>
      </x:c>
      <x:c r="U447" s="31" t="str">
        <x:f>IF('Blind Scoring'!L447="","",'Blind Scoring'!L447)</x:f>
      </x:c>
    </x:row>
    <x:row r="448" ht="44" customHeight="1">
      <x:c r="A448" s="35" t="str">
        <x:v>Not Started</x:v>
      </x:c>
      <x:c r="B448" s="35" t="n">
        <x:v>446</x:v>
      </x:c>
      <x:c r="C448" s="35" t="str">
        <x:v>P08</x:v>
      </x:c>
      <x:c r="D448" s="35" t="n">
        <x:v>13</x:v>
      </x:c>
      <x:c r="E448" s="35" t="str">
        <x:v>Primary VLA</x:v>
      </x:c>
      <x:c r="F448" s="35" t="str">
        <x:v>MolmoAct2</x:v>
      </x:c>
      <x:c r="G448" s="35" t="n">
        <x:v>1</x:v>
      </x:c>
      <x:c r="H448" s="35" t="str">
        <x:v>State Recognition</x:v>
      </x:c>
      <x:c r="I448" s="35" t="str">
        <x:v>Training reconstruction</x:v>
      </x:c>
      <x:c r="J448" s="35" t="str">
        <x:v>PVLA-ST-REC-04</x:v>
      </x:c>
      <x:c r="K448" s="35" t="str"/>
      <x:c r="L448" s="31" t="str">
        <x:v>Move the open brown cup into the bowl.</x:v>
      </x:c>
      <x:c r="M448" s="31" t="str">
        <x:v>Move the open brown cup into the bowl.</x:v>
      </x:c>
      <x:c r="N448" s="31" t="str">
        <x:v>Reconstruct planned final training episode 104: brown cup B, brown cup A, glass spice container A; start=Recovery. Match camera, calibration, bowl pose, and object geometry exactly.</x:v>
      </x:c>
      <x:c r="O448" s="31" t="str">
        <x:v>brown cup B</x:v>
      </x:c>
      <x:c r="P448" s="31" t="str"/>
      <x:c r="Q448" s="31" t="str"/>
      <x:c r="R448" s="31" t="str"/>
      <x:c r="S448" s="31" t="str">
        <x:f>IF('Blind Scoring'!I448="","",'Blind Scoring'!I448)</x:f>
      </x:c>
      <x:c r="T448" s="31" t="str">
        <x:f>'Blind Scoring'!J448</x:f>
        <x:v>No</x:v>
      </x:c>
      <x:c r="U448" s="31" t="str">
        <x:f>IF('Blind Scoring'!L448="","",'Blind Scoring'!L448)</x:f>
      </x:c>
    </x:row>
    <x:row r="449" ht="44" customHeight="1">
      <x:c r="A449" s="35" t="str">
        <x:v>Not Started</x:v>
      </x:c>
      <x:c r="B449" s="35" t="n">
        <x:v>447</x:v>
      </x:c>
      <x:c r="C449" s="35" t="str">
        <x:v>P08</x:v>
      </x:c>
      <x:c r="D449" s="35" t="n">
        <x:v>14</x:v>
      </x:c>
      <x:c r="E449" s="35" t="str">
        <x:v>Primary VLA</x:v>
      </x:c>
      <x:c r="F449" s="35" t="str">
        <x:v>MolmoAct2</x:v>
      </x:c>
      <x:c r="G449" s="35" t="n">
        <x:v>1</x:v>
      </x:c>
      <x:c r="H449" s="35" t="str">
        <x:v>State Recognition</x:v>
      </x:c>
      <x:c r="I449" s="35" t="str">
        <x:v>Language ablation — blank</x:v>
      </x:c>
      <x:c r="J449" s="35" t="str">
        <x:v>PVLA-ST-ABL-BLK-02</x:v>
      </x:c>
      <x:c r="K449" s="35" t="str">
        <x:v>S-CF03</x:v>
      </x:c>
      <x:c r="L449" s="31" t="str">
        <x:v>[EMPTY STRING — provide no instruction tokens]</x:v>
      </x:c>
      <x:c r="M449" s="31" t="str">
        <x:v>Place the closed glass spice container in the bowl.</x:v>
      </x:c>
      <x:c r="N449" s="31" t="str">
        <x:v>S-CF03-HELD: P1 white cup A=C/UR; P2 yellow-white striped cup A=O/UR; P3 glass spice container B=C/UD [TARGET]; P4 glass spice container A=O/UD [COMPETITOR].</x:v>
      </x:c>
      <x:c r="O449" s="31" t="str">
        <x:v>No prespecified task success under blank language; record any action/selected target.</x:v>
      </x:c>
      <x:c r="P449" s="31" t="str"/>
      <x:c r="Q449" s="31" t="str"/>
      <x:c r="R449" s="31" t="str"/>
      <x:c r="S449" s="31" t="str">
        <x:f>IF('Blind Scoring'!I449="","",'Blind Scoring'!I449)</x:f>
      </x:c>
      <x:c r="T449" s="31" t="str">
        <x:f>'Blind Scoring'!J449</x:f>
        <x:v>No</x:v>
      </x:c>
      <x:c r="U449" s="31" t="str">
        <x:f>IF('Blind Scoring'!L449="","",'Blind Scoring'!L449)</x:f>
      </x:c>
    </x:row>
    <x:row r="450" ht="44" customHeight="1">
      <x:c r="A450" s="35" t="str">
        <x:v>Not Started</x:v>
      </x:c>
      <x:c r="B450" s="35" t="n">
        <x:v>448</x:v>
      </x:c>
      <x:c r="C450" s="35" t="str">
        <x:v>P08</x:v>
      </x:c>
      <x:c r="D450" s="35" t="n">
        <x:v>15</x:v>
      </x:c>
      <x:c r="E450" s="35" t="str">
        <x:v>Primary VLA</x:v>
      </x:c>
      <x:c r="F450" s="35" t="str">
        <x:v>MolmoAct2</x:v>
      </x:c>
      <x:c r="G450" s="35" t="n">
        <x:v>1</x:v>
      </x:c>
      <x:c r="H450" s="35" t="str">
        <x:v>State Recognition</x:v>
      </x:c>
      <x:c r="I450" s="35" t="str">
        <x:v>Novel layout + seen language</x:v>
      </x:c>
      <x:c r="J450" s="35" t="str">
        <x:v>PVLA-ST-NOV-05</x:v>
      </x:c>
      <x:c r="K450" s="35" t="str">
        <x:v>S-CF12</x:v>
      </x:c>
      <x:c r="L450" s="31" t="str">
        <x:v>Place the upside-down white cup in the bowl.</x:v>
      </x:c>
      <x:c r="M450" s="31" t="str">
        <x:v>Place the upside-down white cup in the bowl.</x:v>
      </x:c>
      <x:c r="N450" s="31" t="str">
        <x:v>S-CF12-SEEN: P1 white cup A=C/UD [COMPETITOR]; P2 yellow-white striped cup B=O/UR; P3 brown cup A=O/UD; P4 white cup B=C/UR [TARGET].</x:v>
      </x:c>
      <x:c r="O450" s="31" t="str">
        <x:v>white cup A</x:v>
      </x:c>
      <x:c r="P450" s="31" t="str"/>
      <x:c r="Q450" s="31" t="str"/>
      <x:c r="R450" s="31" t="str"/>
      <x:c r="S450" s="31" t="str">
        <x:f>IF('Blind Scoring'!I450="","",'Blind Scoring'!I450)</x:f>
      </x:c>
      <x:c r="T450" s="31" t="str">
        <x:f>'Blind Scoring'!J450</x:f>
        <x:v>No</x:v>
      </x:c>
      <x:c r="U450" s="31" t="str">
        <x:f>IF('Blind Scoring'!L450="","",'Blind Scoring'!L450)</x:f>
      </x:c>
    </x:row>
    <x:row r="451" ht="44" customHeight="1">
      <x:c r="A451" s="35" t="str">
        <x:v>Not Started</x:v>
      </x:c>
      <x:c r="B451" s="35" t="n">
        <x:v>449</x:v>
      </x:c>
      <x:c r="C451" s="35" t="str">
        <x:v>P08</x:v>
      </x:c>
      <x:c r="D451" s="35" t="n">
        <x:v>16</x:v>
      </x:c>
      <x:c r="E451" s="35" t="str">
        <x:v>Primary VLA</x:v>
      </x:c>
      <x:c r="F451" s="35" t="str">
        <x:v>MolmoAct2</x:v>
      </x:c>
      <x:c r="G451" s="35" t="n">
        <x:v>1</x:v>
      </x:c>
      <x:c r="H451" s="35" t="str">
        <x:v>State Recognition</x:v>
      </x:c>
      <x:c r="I451" s="35" t="str">
        <x:v>Main matched control</x:v>
      </x:c>
      <x:c r="J451" s="35" t="str">
        <x:v>PVLA-ST-CTL-03</x:v>
      </x:c>
      <x:c r="K451" s="35" t="str">
        <x:v>S-CF05</x:v>
      </x:c>
      <x:c r="L451" s="31" t="str">
        <x:v>Place a brown cup in the bowl.</x:v>
      </x:c>
      <x:c r="M451" s="31" t="str">
        <x:v>Place a brown cup in the bowl.</x:v>
      </x:c>
      <x:c r="N451" s="31" t="str">
        <x:v>S-CF05-CTRL: P1 brown cup A=C/UR [TARGET]; P3 glass spice container A=C/UD; P4 white cup B=O/UD.</x:v>
      </x:c>
      <x:c r="O451" s="31" t="str">
        <x:v>brown cup A</x:v>
      </x:c>
      <x:c r="P451" s="31" t="str"/>
      <x:c r="Q451" s="31" t="str"/>
      <x:c r="R451" s="31" t="str"/>
      <x:c r="S451" s="31" t="str">
        <x:f>IF('Blind Scoring'!I451="","",'Blind Scoring'!I451)</x:f>
      </x:c>
      <x:c r="T451" s="31" t="str">
        <x:f>'Blind Scoring'!J451</x:f>
        <x:v>No</x:v>
      </x:c>
      <x:c r="U451" s="31" t="str">
        <x:f>IF('Blind Scoring'!L451="","",'Blind Scoring'!L451)</x:f>
      </x:c>
    </x:row>
    <x:row r="452" ht="44" customHeight="1">
      <x:c r="A452" s="35" t="str">
        <x:v>Not Started</x:v>
      </x:c>
      <x:c r="B452" s="35" t="n">
        <x:v>450</x:v>
      </x:c>
      <x:c r="C452" s="35" t="str">
        <x:v>P08</x:v>
      </x:c>
      <x:c r="D452" s="35" t="n">
        <x:v>17</x:v>
      </x:c>
      <x:c r="E452" s="35" t="str">
        <x:v>Primary VLA</x:v>
      </x:c>
      <x:c r="F452" s="35" t="str">
        <x:v>MolmoAct2</x:v>
      </x:c>
      <x:c r="G452" s="35" t="n">
        <x:v>1</x:v>
      </x:c>
      <x:c r="H452" s="35" t="str">
        <x:v>State Recognition</x:v>
      </x:c>
      <x:c r="I452" s="35" t="str">
        <x:v>Main matched control</x:v>
      </x:c>
      <x:c r="J452" s="35" t="str">
        <x:v>PVLA-ST-CTL-05</x:v>
      </x:c>
      <x:c r="K452" s="35" t="str">
        <x:v>S-CF09</x:v>
      </x:c>
      <x:c r="L452" s="31" t="str">
        <x:v>Place a white cup in the bowl.</x:v>
      </x:c>
      <x:c r="M452" s="31" t="str">
        <x:v>Place a white cup in the bowl.</x:v>
      </x:c>
      <x:c r="N452" s="31" t="str">
        <x:v>S-CF09-CTRL: P1 white cup A=C/UR [TARGET]; P3 yellow-white striped cup A=C/UD; P4 brown cup B=O/UD.</x:v>
      </x:c>
      <x:c r="O452" s="31" t="str">
        <x:v>white cup A</x:v>
      </x:c>
      <x:c r="P452" s="31" t="str"/>
      <x:c r="Q452" s="31" t="str"/>
      <x:c r="R452" s="31" t="str"/>
      <x:c r="S452" s="31" t="str">
        <x:f>IF('Blind Scoring'!I452="","",'Blind Scoring'!I452)</x:f>
      </x:c>
      <x:c r="T452" s="31" t="str">
        <x:f>'Blind Scoring'!J452</x:f>
        <x:v>No</x:v>
      </x:c>
      <x:c r="U452" s="31" t="str">
        <x:f>IF('Blind Scoring'!L452="","",'Blind Scoring'!L452)</x:f>
      </x:c>
    </x:row>
    <x:row r="453" ht="44" customHeight="1">
      <x:c r="A453" s="35" t="str">
        <x:v>Not Started</x:v>
      </x:c>
      <x:c r="B453" s="35" t="n">
        <x:v>451</x:v>
      </x:c>
      <x:c r="C453" s="35" t="str">
        <x:v>P08</x:v>
      </x:c>
      <x:c r="D453" s="35" t="n">
        <x:v>18</x:v>
      </x:c>
      <x:c r="E453" s="35" t="str">
        <x:v>Primary VLA</x:v>
      </x:c>
      <x:c r="F453" s="35" t="str">
        <x:v>MolmoAct2</x:v>
      </x:c>
      <x:c r="G453" s="35" t="n">
        <x:v>1</x:v>
      </x:c>
      <x:c r="H453" s="35" t="str">
        <x:v>State Recognition</x:v>
      </x:c>
      <x:c r="I453" s="35" t="str">
        <x:v>Main held-out transfer</x:v>
      </x:c>
      <x:c r="J453" s="35" t="str">
        <x:v>PVLA-ST-TR-11</x:v>
      </x:c>
      <x:c r="K453" s="35" t="str">
        <x:v>S-CF20</x:v>
      </x:c>
      <x:c r="L453" s="31" t="str">
        <x:v>Place the upright white cup in the bowl.</x:v>
      </x:c>
      <x:c r="M453" s="31" t="str">
        <x:v>Place the upright white cup in the bowl.</x:v>
      </x:c>
      <x:c r="N453" s="31" t="str">
        <x:v>S-CF20-HELD: P1 white cup A=C/UD [COMPETITOR]; P2 yellow-white striped cup B=O/UR; P3 brown cup A=O/UD; P4 white cup B=C/UR [TARGET].</x:v>
      </x:c>
      <x:c r="O453" s="31" t="str">
        <x:v>white cup B</x:v>
      </x:c>
      <x:c r="P453" s="31" t="str"/>
      <x:c r="Q453" s="31" t="str"/>
      <x:c r="R453" s="31" t="str"/>
      <x:c r="S453" s="31" t="str">
        <x:f>IF('Blind Scoring'!I453="","",'Blind Scoring'!I453)</x:f>
      </x:c>
      <x:c r="T453" s="31" t="str">
        <x:f>'Blind Scoring'!J453</x:f>
        <x:v>No</x:v>
      </x:c>
      <x:c r="U453" s="31" t="str">
        <x:f>IF('Blind Scoring'!L453="","",'Blind Scoring'!L453)</x:f>
      </x:c>
    </x:row>
    <x:row r="454" ht="44" customHeight="1">
      <x:c r="A454" s="35" t="str">
        <x:v>Not Started</x:v>
      </x:c>
      <x:c r="B454" s="35" t="n">
        <x:v>452</x:v>
      </x:c>
      <x:c r="C454" s="35" t="str">
        <x:v>P08</x:v>
      </x:c>
      <x:c r="D454" s="35" t="n">
        <x:v>19</x:v>
      </x:c>
      <x:c r="E454" s="35" t="str">
        <x:v>Primary VLA</x:v>
      </x:c>
      <x:c r="F454" s="35" t="str">
        <x:v>MolmoAct2</x:v>
      </x:c>
      <x:c r="G454" s="35" t="n">
        <x:v>1</x:v>
      </x:c>
      <x:c r="H454" s="35" t="str">
        <x:v>State Recognition</x:v>
      </x:c>
      <x:c r="I454" s="35" t="str">
        <x:v>Language ablation — counterfactual</x:v>
      </x:c>
      <x:c r="J454" s="35" t="str">
        <x:v>PVLA-ST-ABL-CF-02</x:v>
      </x:c>
      <x:c r="K454" s="35" t="str">
        <x:v>S-CF11</x:v>
      </x:c>
      <x:c r="L454" s="31" t="str">
        <x:v>Place the open glass spice container in the bowl.</x:v>
      </x:c>
      <x:c r="M454" s="31" t="str">
        <x:v>Place the open glass spice container in the bowl.</x:v>
      </x:c>
      <x:c r="N454" s="31" t="str">
        <x:v>S-CF11-HELD: P1 white cup A=C/UR; P2 yellow-white striped cup A=O/UR; P3 glass spice container B=C/UD [TARGET]; P4 glass spice container A=O/UD [COMPETITOR].</x:v>
      </x:c>
      <x:c r="O454" s="31" t="str">
        <x:v>glass spice container A</x:v>
      </x:c>
      <x:c r="P454" s="31" t="str"/>
      <x:c r="Q454" s="31" t="str"/>
      <x:c r="R454" s="31" t="str"/>
      <x:c r="S454" s="31" t="str">
        <x:f>IF('Blind Scoring'!I454="","",'Blind Scoring'!I454)</x:f>
      </x:c>
      <x:c r="T454" s="31" t="str">
        <x:f>'Blind Scoring'!J454</x:f>
        <x:v>No</x:v>
      </x:c>
      <x:c r="U454" s="31" t="str">
        <x:f>IF('Blind Scoring'!L454="","",'Blind Scoring'!L454)</x:f>
      </x:c>
    </x:row>
    <x:row r="455" ht="44" customHeight="1">
      <x:c r="A455" s="35" t="str">
        <x:v>Not Started</x:v>
      </x:c>
      <x:c r="B455" s="35" t="n">
        <x:v>453</x:v>
      </x:c>
      <x:c r="C455" s="35" t="str">
        <x:v>P08</x:v>
      </x:c>
      <x:c r="D455" s="35" t="n">
        <x:v>20</x:v>
      </x:c>
      <x:c r="E455" s="35" t="str">
        <x:v>Primary VLA</x:v>
      </x:c>
      <x:c r="F455" s="35" t="str">
        <x:v>MolmoAct2</x:v>
      </x:c>
      <x:c r="G455" s="35" t="n">
        <x:v>1</x:v>
      </x:c>
      <x:c r="H455" s="35" t="str">
        <x:v>State Recognition</x:v>
      </x:c>
      <x:c r="I455" s="35" t="str">
        <x:v>Main held-out transfer</x:v>
      </x:c>
      <x:c r="J455" s="35" t="str">
        <x:v>PVLA-ST-TR-14</x:v>
      </x:c>
      <x:c r="K455" s="35" t="str">
        <x:v>S-CF26</x:v>
      </x:c>
      <x:c r="L455" s="31" t="str">
        <x:v>Place the upright yellow-white striped cup in the bowl.</x:v>
      </x:c>
      <x:c r="M455" s="31" t="str">
        <x:v>Place the upright yellow-white striped cup in the bowl.</x:v>
      </x:c>
      <x:c r="N455" s="31" t="str">
        <x:v>S-CF26-HELD: P1 brown cup B=C/UR; P2 yellow-white striped cup B=O/UR [TARGET]; P3 yellow-white striped cup A=O/UD [COMPETITOR]; P4 glass spice container B=C/UD.</x:v>
      </x:c>
      <x:c r="O455" s="31" t="str">
        <x:v>yellow-white striped cup B</x:v>
      </x:c>
      <x:c r="P455" s="31" t="str"/>
      <x:c r="Q455" s="31" t="str"/>
      <x:c r="R455" s="31" t="str"/>
      <x:c r="S455" s="31" t="str">
        <x:f>IF('Blind Scoring'!I455="","",'Blind Scoring'!I455)</x:f>
      </x:c>
      <x:c r="T455" s="31" t="str">
        <x:f>'Blind Scoring'!J455</x:f>
        <x:v>No</x:v>
      </x:c>
      <x:c r="U455" s="31" t="str">
        <x:f>IF('Blind Scoring'!L455="","",'Blind Scoring'!L455)</x:f>
      </x:c>
    </x:row>
    <x:row r="456" ht="44" customHeight="1">
      <x:c r="A456" s="35" t="str">
        <x:v>Not Started</x:v>
      </x:c>
      <x:c r="B456" s="35" t="n">
        <x:v>454</x:v>
      </x:c>
      <x:c r="C456" s="35" t="str">
        <x:v>P08</x:v>
      </x:c>
      <x:c r="D456" s="35" t="n">
        <x:v>21</x:v>
      </x:c>
      <x:c r="E456" s="35" t="str">
        <x:v>Primary VLA</x:v>
      </x:c>
      <x:c r="F456" s="35" t="str">
        <x:v>MolmoAct2</x:v>
      </x:c>
      <x:c r="G456" s="35" t="n">
        <x:v>1</x:v>
      </x:c>
      <x:c r="H456" s="35" t="str">
        <x:v>State Recognition</x:v>
      </x:c>
      <x:c r="I456" s="35" t="str">
        <x:v>Main held-out transfer</x:v>
      </x:c>
      <x:c r="J456" s="35" t="str">
        <x:v>PVLA-ST-TR-16</x:v>
      </x:c>
      <x:c r="K456" s="35" t="str">
        <x:v>S-CF30</x:v>
      </x:c>
      <x:c r="L456" s="31" t="str">
        <x:v>Place the upright glass spice container in the bowl.</x:v>
      </x:c>
      <x:c r="M456" s="31" t="str">
        <x:v>Place the upright glass spice container in the bowl.</x:v>
      </x:c>
      <x:c r="N456" s="31" t="str">
        <x:v>S-CF30-HELD: P1 white cup B=C/UR; P2 glass spice container A=O/UR [TARGET]; P3 glass spice container B=O/UD [COMPETITOR]; P4 yellow-white striped cup B=C/UD.</x:v>
      </x:c>
      <x:c r="O456" s="31" t="str">
        <x:v>glass spice container A</x:v>
      </x:c>
      <x:c r="P456" s="31" t="str"/>
      <x:c r="Q456" s="31" t="str"/>
      <x:c r="R456" s="31" t="str"/>
      <x:c r="S456" s="31" t="str">
        <x:f>IF('Blind Scoring'!I456="","",'Blind Scoring'!I456)</x:f>
      </x:c>
      <x:c r="T456" s="31" t="str">
        <x:f>'Blind Scoring'!J456</x:f>
        <x:v>No</x:v>
      </x:c>
      <x:c r="U456" s="31" t="str">
        <x:f>IF('Blind Scoring'!L456="","",'Blind Scoring'!L456)</x:f>
      </x:c>
    </x:row>
    <x:row r="457" ht="44" customHeight="1">
      <x:c r="A457" s="35" t="str">
        <x:v>Not Started</x:v>
      </x:c>
      <x:c r="B457" s="35" t="n">
        <x:v>455</x:v>
      </x:c>
      <x:c r="C457" s="35" t="str">
        <x:v>P08</x:v>
      </x:c>
      <x:c r="D457" s="35" t="n">
        <x:v>22</x:v>
      </x:c>
      <x:c r="E457" s="35" t="str">
        <x:v>Primary VLA</x:v>
      </x:c>
      <x:c r="F457" s="35" t="str">
        <x:v>MolmoAct2</x:v>
      </x:c>
      <x:c r="G457" s="35" t="n">
        <x:v>1</x:v>
      </x:c>
      <x:c r="H457" s="35" t="str">
        <x:v>State Recognition</x:v>
      </x:c>
      <x:c r="I457" s="35" t="str">
        <x:v>Exact-scene paraphrase</x:v>
      </x:c>
      <x:c r="J457" s="35" t="str">
        <x:v>PVLA-ST-PAR-07</x:v>
      </x:c>
      <x:c r="K457" s="35" t="str">
        <x:v>S-CF17</x:v>
      </x:c>
      <x:c r="L457" s="31" t="str">
        <x:v>Find the white cup with its opening uncovered and move it into the bowl.</x:v>
      </x:c>
      <x:c r="M457" s="31" t="str">
        <x:v>Find the white cup with its opening uncovered and move it into the bowl.</x:v>
      </x:c>
      <x:c r="N457" s="31" t="str">
        <x:v>S-CF17-PARA: P1 white cup A=C/UR [TARGET]; P2 white cup B=O/UR [COMPETITOR]; P3 yellow-white striped cup A=C/UD; P4 brown cup B=O/UD.</x:v>
      </x:c>
      <x:c r="O457" s="31" t="str">
        <x:v>white cup B</x:v>
      </x:c>
      <x:c r="P457" s="31" t="str"/>
      <x:c r="Q457" s="31" t="str"/>
      <x:c r="R457" s="31" t="str"/>
      <x:c r="S457" s="31" t="str">
        <x:f>IF('Blind Scoring'!I457="","",'Blind Scoring'!I457)</x:f>
      </x:c>
      <x:c r="T457" s="31" t="str">
        <x:f>'Blind Scoring'!J457</x:f>
        <x:v>No</x:v>
      </x:c>
      <x:c r="U457" s="31" t="str">
        <x:f>IF('Blind Scoring'!L457="","",'Blind Scoring'!L457)</x:f>
      </x:c>
    </x:row>
    <x:row r="458" ht="44" customHeight="1">
      <x:c r="A458" s="35" t="str">
        <x:v>Not Started</x:v>
      </x:c>
      <x:c r="B458" s="35" t="n">
        <x:v>456</x:v>
      </x:c>
      <x:c r="C458" s="35" t="str">
        <x:v>P08</x:v>
      </x:c>
      <x:c r="D458" s="35" t="n">
        <x:v>23</x:v>
      </x:c>
      <x:c r="E458" s="35" t="str">
        <x:v>Primary VLA</x:v>
      </x:c>
      <x:c r="F458" s="35" t="str">
        <x:v>MolmoAct2</x:v>
      </x:c>
      <x:c r="G458" s="35" t="n">
        <x:v>1</x:v>
      </x:c>
      <x:c r="H458" s="35" t="str">
        <x:v>State Recognition</x:v>
      </x:c>
      <x:c r="I458" s="35" t="str">
        <x:v>Main held-out transfer</x:v>
      </x:c>
      <x:c r="J458" s="35" t="str">
        <x:v>PVLA-ST-TR-12</x:v>
      </x:c>
      <x:c r="K458" s="35" t="str">
        <x:v>S-CF22</x:v>
      </x:c>
      <x:c r="L458" s="31" t="str">
        <x:v>Place the upright glass spice container in the bowl.</x:v>
      </x:c>
      <x:c r="M458" s="31" t="str">
        <x:v>Place the upright glass spice container in the bowl.</x:v>
      </x:c>
      <x:c r="N458" s="31" t="str">
        <x:v>S-CF22-HELD: P1 white cup B=C/UR; P2 glass spice container A=O/UR [TARGET]; P3 glass spice container B=O/UD [COMPETITOR]; P4 yellow-white striped cup B=C/UD.</x:v>
      </x:c>
      <x:c r="O458" s="31" t="str">
        <x:v>glass spice container A</x:v>
      </x:c>
      <x:c r="P458" s="31" t="str"/>
      <x:c r="Q458" s="31" t="str"/>
      <x:c r="R458" s="31" t="str"/>
      <x:c r="S458" s="31" t="str">
        <x:f>IF('Blind Scoring'!I458="","",'Blind Scoring'!I458)</x:f>
      </x:c>
      <x:c r="T458" s="31" t="str">
        <x:f>'Blind Scoring'!J458</x:f>
        <x:v>No</x:v>
      </x:c>
      <x:c r="U458" s="31" t="str">
        <x:f>IF('Blind Scoring'!L458="","",'Blind Scoring'!L458)</x:f>
      </x:c>
    </x:row>
    <x:row r="459" ht="44" customHeight="1">
      <x:c r="A459" s="35" t="str">
        <x:v>Not Started</x:v>
      </x:c>
      <x:c r="B459" s="35" t="n">
        <x:v>457</x:v>
      </x:c>
      <x:c r="C459" s="35" t="str">
        <x:v>P08</x:v>
      </x:c>
      <x:c r="D459" s="35" t="n">
        <x:v>24</x:v>
      </x:c>
      <x:c r="E459" s="35" t="str">
        <x:v>Primary VLA</x:v>
      </x:c>
      <x:c r="F459" s="35" t="str">
        <x:v>MolmoAct2</x:v>
      </x:c>
      <x:c r="G459" s="35" t="n">
        <x:v>1</x:v>
      </x:c>
      <x:c r="H459" s="35" t="str">
        <x:v>State Recognition</x:v>
      </x:c>
      <x:c r="I459" s="35" t="str">
        <x:v>Main matched control</x:v>
      </x:c>
      <x:c r="J459" s="35" t="str">
        <x:v>PVLA-ST-CTL-14</x:v>
      </x:c>
      <x:c r="K459" s="35" t="str">
        <x:v>S-CF26</x:v>
      </x:c>
      <x:c r="L459" s="31" t="str">
        <x:v>Place a yellow-white striped cup in the bowl.</x:v>
      </x:c>
      <x:c r="M459" s="31" t="str">
        <x:v>Place a yellow-white striped cup in the bowl.</x:v>
      </x:c>
      <x:c r="N459" s="31" t="str">
        <x:v>S-CF26-CTRL: P1 brown cup B=C/UR; P2 yellow-white striped cup B=O/UR [TARGET]; P4 glass spice container B=C/UD.</x:v>
      </x:c>
      <x:c r="O459" s="31" t="str">
        <x:v>yellow-white striped cup B</x:v>
      </x:c>
      <x:c r="P459" s="31" t="str"/>
      <x:c r="Q459" s="31" t="str"/>
      <x:c r="R459" s="31" t="str"/>
      <x:c r="S459" s="31" t="str">
        <x:f>IF('Blind Scoring'!I459="","",'Blind Scoring'!I459)</x:f>
      </x:c>
      <x:c r="T459" s="31" t="str">
        <x:f>'Blind Scoring'!J459</x:f>
        <x:v>No</x:v>
      </x:c>
      <x:c r="U459" s="31" t="str">
        <x:f>IF('Blind Scoring'!L459="","",'Blind Scoring'!L459)</x:f>
      </x:c>
    </x:row>
    <x:row r="460" ht="44" customHeight="1">
      <x:c r="A460" s="35" t="str">
        <x:v>Not Started</x:v>
      </x:c>
      <x:c r="B460" s="35" t="n">
        <x:v>458</x:v>
      </x:c>
      <x:c r="C460" s="35" t="str">
        <x:v>P08</x:v>
      </x:c>
      <x:c r="D460" s="35" t="n">
        <x:v>25</x:v>
      </x:c>
      <x:c r="E460" s="35" t="str">
        <x:v>Primary VLA</x:v>
      </x:c>
      <x:c r="F460" s="35" t="str">
        <x:v>MolmoAct2</x:v>
      </x:c>
      <x:c r="G460" s="35" t="n">
        <x:v>1</x:v>
      </x:c>
      <x:c r="H460" s="35" t="str">
        <x:v>State Recognition</x:v>
      </x:c>
      <x:c r="I460" s="35" t="str">
        <x:v>Main matched control</x:v>
      </x:c>
      <x:c r="J460" s="35" t="str">
        <x:v>PVLA-ST-CTL-04</x:v>
      </x:c>
      <x:c r="K460" s="35" t="str">
        <x:v>S-CF07</x:v>
      </x:c>
      <x:c r="L460" s="31" t="str">
        <x:v>Place a yellow-white striped cup in the bowl.</x:v>
      </x:c>
      <x:c r="M460" s="31" t="str">
        <x:v>Place a yellow-white striped cup in the bowl.</x:v>
      </x:c>
      <x:c r="N460" s="31" t="str">
        <x:v>S-CF07-CTRL: P1 brown cup A=C/UR; P2 glass spice container A=O/UR; P3 yellow-white striped cup A=C/UD [TARGET].</x:v>
      </x:c>
      <x:c r="O460" s="31" t="str">
        <x:v>yellow-white striped cup A</x:v>
      </x:c>
      <x:c r="P460" s="31" t="str"/>
      <x:c r="Q460" s="31" t="str"/>
      <x:c r="R460" s="31" t="str"/>
      <x:c r="S460" s="31" t="str">
        <x:f>IF('Blind Scoring'!I460="","",'Blind Scoring'!I460)</x:f>
      </x:c>
      <x:c r="T460" s="31" t="str">
        <x:f>'Blind Scoring'!J460</x:f>
        <x:v>No</x:v>
      </x:c>
      <x:c r="U460" s="31" t="str">
        <x:f>IF('Blind Scoring'!L460="","",'Blind Scoring'!L460)</x:f>
      </x:c>
    </x:row>
    <x:row r="461" ht="44" customHeight="1">
      <x:c r="A461" s="35" t="str">
        <x:v>Not Started</x:v>
      </x:c>
      <x:c r="B461" s="35" t="n">
        <x:v>459</x:v>
      </x:c>
      <x:c r="C461" s="35" t="str">
        <x:v>P08</x:v>
      </x:c>
      <x:c r="D461" s="35" t="n">
        <x:v>26</x:v>
      </x:c>
      <x:c r="E461" s="35" t="str">
        <x:v>Primary VLA</x:v>
      </x:c>
      <x:c r="F461" s="35" t="str">
        <x:v>MolmoAct2</x:v>
      </x:c>
      <x:c r="G461" s="35" t="n">
        <x:v>1</x:v>
      </x:c>
      <x:c r="H461" s="35" t="str">
        <x:v>State Recognition</x:v>
      </x:c>
      <x:c r="I461" s="35" t="str">
        <x:v>Main matched control</x:v>
      </x:c>
      <x:c r="J461" s="35" t="str">
        <x:v>PVLA-ST-CTL-02</x:v>
      </x:c>
      <x:c r="K461" s="35" t="str">
        <x:v>S-CF03</x:v>
      </x:c>
      <x:c r="L461" s="31" t="str">
        <x:v>Place a glass spice container in the bowl.</x:v>
      </x:c>
      <x:c r="M461" s="31" t="str">
        <x:v>Place a glass spice container in the bowl.</x:v>
      </x:c>
      <x:c r="N461" s="31" t="str">
        <x:v>S-CF03-CTRL: P1 white cup A=C/UR; P2 yellow-white striped cup A=O/UR; P3 glass spice container B=C/UD [TARGET].</x:v>
      </x:c>
      <x:c r="O461" s="31" t="str">
        <x:v>glass spice container B</x:v>
      </x:c>
      <x:c r="P461" s="31" t="str"/>
      <x:c r="Q461" s="31" t="str"/>
      <x:c r="R461" s="31" t="str"/>
      <x:c r="S461" s="31" t="str">
        <x:f>IF('Blind Scoring'!I461="","",'Blind Scoring'!I461)</x:f>
      </x:c>
      <x:c r="T461" s="31" t="str">
        <x:f>'Blind Scoring'!J461</x:f>
        <x:v>No</x:v>
      </x:c>
      <x:c r="U461" s="31" t="str">
        <x:f>IF('Blind Scoring'!L461="","",'Blind Scoring'!L461)</x:f>
      </x:c>
    </x:row>
    <x:row r="462" ht="44" customHeight="1">
      <x:c r="A462" s="35" t="str">
        <x:v>Not Started</x:v>
      </x:c>
      <x:c r="B462" s="35" t="n">
        <x:v>460</x:v>
      </x:c>
      <x:c r="C462" s="35" t="str">
        <x:v>P08</x:v>
      </x:c>
      <x:c r="D462" s="35" t="n">
        <x:v>27</x:v>
      </x:c>
      <x:c r="E462" s="35" t="str">
        <x:v>Primary VLA</x:v>
      </x:c>
      <x:c r="F462" s="35" t="str">
        <x:v>MolmoAct2</x:v>
      </x:c>
      <x:c r="G462" s="35" t="n">
        <x:v>1</x:v>
      </x:c>
      <x:c r="H462" s="35" t="str">
        <x:v>State Recognition</x:v>
      </x:c>
      <x:c r="I462" s="35" t="str">
        <x:v>Training reconstruction</x:v>
      </x:c>
      <x:c r="J462" s="35" t="str">
        <x:v>PVLA-ST-REC-05</x:v>
      </x:c>
      <x:c r="K462" s="35" t="str"/>
      <x:c r="L462" s="31" t="str">
        <x:v>Put the open glass spice container in the bowl.</x:v>
      </x:c>
      <x:c r="M462" s="31" t="str">
        <x:v>Put the open glass spice container in the bowl.</x:v>
      </x:c>
      <x:c r="N462" s="31" t="str">
        <x:v>Reconstruct planned final training episode 160: glass spice container B, glass spice container A, yellow-white striped cup B; start=Home. Match camera, calibration, bowl pose, and object geometry exactly.</x:v>
      </x:c>
      <x:c r="O462" s="31" t="str">
        <x:v>glass spice container B</x:v>
      </x:c>
      <x:c r="P462" s="31" t="str"/>
      <x:c r="Q462" s="31" t="str"/>
      <x:c r="R462" s="31" t="str"/>
      <x:c r="S462" s="31" t="str">
        <x:f>IF('Blind Scoring'!I462="","",'Blind Scoring'!I462)</x:f>
      </x:c>
      <x:c r="T462" s="31" t="str">
        <x:f>'Blind Scoring'!J462</x:f>
        <x:v>No</x:v>
      </x:c>
      <x:c r="U462" s="31" t="str">
        <x:f>IF('Blind Scoring'!L462="","",'Blind Scoring'!L462)</x:f>
      </x:c>
    </x:row>
    <x:row r="463" ht="44" customHeight="1">
      <x:c r="A463" s="35" t="str">
        <x:v>Not Started</x:v>
      </x:c>
      <x:c r="B463" s="35" t="n">
        <x:v>461</x:v>
      </x:c>
      <x:c r="C463" s="35" t="str">
        <x:v>P08</x:v>
      </x:c>
      <x:c r="D463" s="35" t="n">
        <x:v>28</x:v>
      </x:c>
      <x:c r="E463" s="35" t="str">
        <x:v>Primary VLA</x:v>
      </x:c>
      <x:c r="F463" s="35" t="str">
        <x:v>MolmoAct2</x:v>
      </x:c>
      <x:c r="G463" s="35" t="n">
        <x:v>1</x:v>
      </x:c>
      <x:c r="H463" s="35" t="str">
        <x:v>State Recognition</x:v>
      </x:c>
      <x:c r="I463" s="35" t="str">
        <x:v>Language ablation — blank</x:v>
      </x:c>
      <x:c r="J463" s="35" t="str">
        <x:v>PVLA-ST-ABL-BLK-04</x:v>
      </x:c>
      <x:c r="K463" s="35" t="str">
        <x:v>S-CF07</x:v>
      </x:c>
      <x:c r="L463" s="31" t="str">
        <x:v>[EMPTY STRING — provide no instruction tokens]</x:v>
      </x:c>
      <x:c r="M463" s="31" t="str">
        <x:v>Place the closed yellow-white striped cup in the bowl.</x:v>
      </x:c>
      <x:c r="N463" s="31" t="str">
        <x:v>S-CF07-HELD: P1 brown cup A=C/UR; P2 glass spice container A=O/UR; P3 yellow-white striped cup A=C/UD [TARGET]; P4 yellow-white striped cup B=O/UD [COMPETITOR].</x:v>
      </x:c>
      <x:c r="O463" s="31" t="str">
        <x:v>No prespecified task success under blank language; record any action/selected target.</x:v>
      </x:c>
      <x:c r="P463" s="31" t="str"/>
      <x:c r="Q463" s="31" t="str"/>
      <x:c r="R463" s="31" t="str"/>
      <x:c r="S463" s="31" t="str">
        <x:f>IF('Blind Scoring'!I463="","",'Blind Scoring'!I463)</x:f>
      </x:c>
      <x:c r="T463" s="31" t="str">
        <x:f>'Blind Scoring'!J463</x:f>
        <x:v>No</x:v>
      </x:c>
      <x:c r="U463" s="31" t="str">
        <x:f>IF('Blind Scoring'!L463="","",'Blind Scoring'!L463)</x:f>
      </x:c>
    </x:row>
    <x:row r="464" ht="44" customHeight="1">
      <x:c r="A464" s="35" t="str">
        <x:v>Not Started</x:v>
      </x:c>
      <x:c r="B464" s="35" t="n">
        <x:v>462</x:v>
      </x:c>
      <x:c r="C464" s="35" t="str">
        <x:v>P08</x:v>
      </x:c>
      <x:c r="D464" s="35" t="n">
        <x:v>29</x:v>
      </x:c>
      <x:c r="E464" s="35" t="str">
        <x:v>Primary VLA</x:v>
      </x:c>
      <x:c r="F464" s="35" t="str">
        <x:v>MolmoAct2</x:v>
      </x:c>
      <x:c r="G464" s="35" t="n">
        <x:v>1</x:v>
      </x:c>
      <x:c r="H464" s="35" t="str">
        <x:v>State Recognition</x:v>
      </x:c>
      <x:c r="I464" s="35" t="str">
        <x:v>Novel layout + seen language</x:v>
      </x:c>
      <x:c r="J464" s="35" t="str">
        <x:v>PVLA-ST-NOV-06</x:v>
      </x:c>
      <x:c r="K464" s="35" t="str">
        <x:v>S-CF15</x:v>
      </x:c>
      <x:c r="L464" s="31" t="str">
        <x:v>Place the open yellow-white striped cup in the bowl.</x:v>
      </x:c>
      <x:c r="M464" s="31" t="str">
        <x:v>Place the open yellow-white striped cup in the bowl.</x:v>
      </x:c>
      <x:c r="N464" s="31" t="str">
        <x:v>S-CF15-SEEN: P1 brown cup A=C/UR; P2 glass spice container A=O/UR; P3 yellow-white striped cup A=C/UD [TARGET]; P4 yellow-white striped cup B=O/UD [COMPETITOR].</x:v>
      </x:c>
      <x:c r="O464" s="31" t="str">
        <x:v>yellow-white striped cup B</x:v>
      </x:c>
      <x:c r="P464" s="31" t="str"/>
      <x:c r="Q464" s="31" t="str"/>
      <x:c r="R464" s="31" t="str"/>
      <x:c r="S464" s="31" t="str">
        <x:f>IF('Blind Scoring'!I464="","",'Blind Scoring'!I464)</x:f>
      </x:c>
      <x:c r="T464" s="31" t="str">
        <x:f>'Blind Scoring'!J464</x:f>
        <x:v>No</x:v>
      </x:c>
      <x:c r="U464" s="31" t="str">
        <x:f>IF('Blind Scoring'!L464="","",'Blind Scoring'!L464)</x:f>
      </x:c>
    </x:row>
    <x:row r="465" ht="44" customHeight="1">
      <x:c r="A465" s="35" t="str">
        <x:v>Not Started</x:v>
      </x:c>
      <x:c r="B465" s="35" t="n">
        <x:v>463</x:v>
      </x:c>
      <x:c r="C465" s="35" t="str">
        <x:v>P08</x:v>
      </x:c>
      <x:c r="D465" s="35" t="n">
        <x:v>30</x:v>
      </x:c>
      <x:c r="E465" s="35" t="str">
        <x:v>Primary VLA</x:v>
      </x:c>
      <x:c r="F465" s="35" t="str">
        <x:v>MolmoAct2</x:v>
      </x:c>
      <x:c r="G465" s="35" t="n">
        <x:v>1</x:v>
      </x:c>
      <x:c r="H465" s="35" t="str">
        <x:v>State Recognition</x:v>
      </x:c>
      <x:c r="I465" s="35" t="str">
        <x:v>Training reconstruction</x:v>
      </x:c>
      <x:c r="J465" s="35" t="str">
        <x:v>PVLA-ST-REC-02</x:v>
      </x:c>
      <x:c r="K465" s="35" t="str"/>
      <x:c r="L465" s="31" t="str">
        <x:v>Put a yellow-white striped cup in the bowl.</x:v>
      </x:c>
      <x:c r="M465" s="31" t="str">
        <x:v>Put a yellow-white striped cup in the bowl.</x:v>
      </x:c>
      <x:c r="N465" s="31" t="str">
        <x:v>Reconstruct planned final training episode 52: yellow-white striped cup A, white cup A, brown cup B; start=Home. Match camera, calibration, bowl pose, and object geometry exactly.</x:v>
      </x:c>
      <x:c r="O465" s="31" t="str">
        <x:v>yellow-white striped cup A</x:v>
      </x:c>
      <x:c r="P465" s="31" t="str"/>
      <x:c r="Q465" s="31" t="str"/>
      <x:c r="R465" s="31" t="str"/>
      <x:c r="S465" s="31" t="str">
        <x:f>IF('Blind Scoring'!I465="","",'Blind Scoring'!I465)</x:f>
      </x:c>
      <x:c r="T465" s="31" t="str">
        <x:f>'Blind Scoring'!J465</x:f>
        <x:v>No</x:v>
      </x:c>
      <x:c r="U465" s="31" t="str">
        <x:f>IF('Blind Scoring'!L465="","",'Blind Scoring'!L465)</x:f>
      </x:c>
    </x:row>
    <x:row r="466" ht="44" customHeight="1">
      <x:c r="A466" s="35" t="str">
        <x:v>Not Started</x:v>
      </x:c>
      <x:c r="B466" s="35" t="n">
        <x:v>464</x:v>
      </x:c>
      <x:c r="C466" s="35" t="str">
        <x:v>P08</x:v>
      </x:c>
      <x:c r="D466" s="35" t="n">
        <x:v>31</x:v>
      </x:c>
      <x:c r="E466" s="35" t="str">
        <x:v>Primary VLA</x:v>
      </x:c>
      <x:c r="F466" s="35" t="str">
        <x:v>MolmoAct2</x:v>
      </x:c>
      <x:c r="G466" s="35" t="n">
        <x:v>1</x:v>
      </x:c>
      <x:c r="H466" s="35" t="str">
        <x:v>State Recognition</x:v>
      </x:c>
      <x:c r="I466" s="35" t="str">
        <x:v>Main matched control</x:v>
      </x:c>
      <x:c r="J466" s="35" t="str">
        <x:v>PVLA-ST-CTL-07</x:v>
      </x:c>
      <x:c r="K466" s="35" t="str">
        <x:v>S-CF13</x:v>
      </x:c>
      <x:c r="L466" s="31" t="str">
        <x:v>Place a brown cup in the bowl.</x:v>
      </x:c>
      <x:c r="M466" s="31" t="str">
        <x:v>Place a brown cup in the bowl.</x:v>
      </x:c>
      <x:c r="N466" s="31" t="str">
        <x:v>S-CF13-CTRL: P1 brown cup A=C/UR [TARGET]; P3 glass spice container A=C/UD; P4 white cup B=O/UD.</x:v>
      </x:c>
      <x:c r="O466" s="31" t="str">
        <x:v>brown cup A</x:v>
      </x:c>
      <x:c r="P466" s="31" t="str"/>
      <x:c r="Q466" s="31" t="str"/>
      <x:c r="R466" s="31" t="str"/>
      <x:c r="S466" s="31" t="str">
        <x:f>IF('Blind Scoring'!I466="","",'Blind Scoring'!I466)</x:f>
      </x:c>
      <x:c r="T466" s="31" t="str">
        <x:f>'Blind Scoring'!J466</x:f>
        <x:v>No</x:v>
      </x:c>
      <x:c r="U466" s="31" t="str">
        <x:f>IF('Blind Scoring'!L466="","",'Blind Scoring'!L466)</x:f>
      </x:c>
    </x:row>
    <x:row r="467" ht="44" customHeight="1">
      <x:c r="A467" s="35" t="str">
        <x:v>Not Started</x:v>
      </x:c>
      <x:c r="B467" s="35" t="n">
        <x:v>465</x:v>
      </x:c>
      <x:c r="C467" s="35" t="str">
        <x:v>P08</x:v>
      </x:c>
      <x:c r="D467" s="35" t="n">
        <x:v>32</x:v>
      </x:c>
      <x:c r="E467" s="35" t="str">
        <x:v>Primary VLA</x:v>
      </x:c>
      <x:c r="F467" s="35" t="str">
        <x:v>MolmoAct2</x:v>
      </x:c>
      <x:c r="G467" s="35" t="n">
        <x:v>1</x:v>
      </x:c>
      <x:c r="H467" s="35" t="str">
        <x:v>State Recognition</x:v>
      </x:c>
      <x:c r="I467" s="35" t="str">
        <x:v>Exact-scene paraphrase</x:v>
      </x:c>
      <x:c r="J467" s="35" t="str">
        <x:v>PVLA-ST-PAR-01</x:v>
      </x:c>
      <x:c r="K467" s="35" t="str">
        <x:v>S-CF01</x:v>
      </x:c>
      <x:c r="L467" s="31" t="str">
        <x:v>Put the open white cup in the bowl.</x:v>
      </x:c>
      <x:c r="M467" s="31" t="str">
        <x:v>Put the open white cup in the bowl.</x:v>
      </x:c>
      <x:c r="N467" s="31" t="str">
        <x:v>S-CF01-PARA: P1 white cup A=C/UR [TARGET]; P2 white cup B=O/UR [COMPETITOR]; P3 yellow-white striped cup A=C/UD; P4 brown cup B=O/UD.</x:v>
      </x:c>
      <x:c r="O467" s="31" t="str">
        <x:v>white cup B</x:v>
      </x:c>
      <x:c r="P467" s="31" t="str"/>
      <x:c r="Q467" s="31" t="str"/>
      <x:c r="R467" s="31" t="str"/>
      <x:c r="S467" s="31" t="str">
        <x:f>IF('Blind Scoring'!I467="","",'Blind Scoring'!I467)</x:f>
      </x:c>
      <x:c r="T467" s="31" t="str">
        <x:f>'Blind Scoring'!J467</x:f>
        <x:v>No</x:v>
      </x:c>
      <x:c r="U467" s="31" t="str">
        <x:f>IF('Blind Scoring'!L467="","",'Blind Scoring'!L467)</x:f>
      </x:c>
    </x:row>
    <x:row r="468" ht="44" customHeight="1">
      <x:c r="A468" s="35" t="str">
        <x:v>Not Started</x:v>
      </x:c>
      <x:c r="B468" s="35" t="n">
        <x:v>466</x:v>
      </x:c>
      <x:c r="C468" s="35" t="str">
        <x:v>P08</x:v>
      </x:c>
      <x:c r="D468" s="35" t="n">
        <x:v>33</x:v>
      </x:c>
      <x:c r="E468" s="35" t="str">
        <x:v>Primary VLA</x:v>
      </x:c>
      <x:c r="F468" s="35" t="str">
        <x:v>MolmoAct2</x:v>
      </x:c>
      <x:c r="G468" s="35" t="n">
        <x:v>1</x:v>
      </x:c>
      <x:c r="H468" s="35" t="str">
        <x:v>State Recognition</x:v>
      </x:c>
      <x:c r="I468" s="35" t="str">
        <x:v>Exact-scene paraphrase</x:v>
      </x:c>
      <x:c r="J468" s="35" t="str">
        <x:v>PVLA-ST-PAR-04</x:v>
      </x:c>
      <x:c r="K468" s="35" t="str">
        <x:v>S-CF09</x:v>
      </x:c>
      <x:c r="L468" s="31" t="str">
        <x:v>Move the white cup that is open into the bowl.</x:v>
      </x:c>
      <x:c r="M468" s="31" t="str">
        <x:v>Move the white cup that is open into the bowl.</x:v>
      </x:c>
      <x:c r="N468" s="31" t="str">
        <x:v>S-CF09-PARA: P1 white cup A=C/UR [TARGET]; P2 white cup B=O/UR [COMPETITOR]; P3 yellow-white striped cup A=C/UD; P4 brown cup B=O/UD.</x:v>
      </x:c>
      <x:c r="O468" s="31" t="str">
        <x:v>white cup B</x:v>
      </x:c>
      <x:c r="P468" s="31" t="str"/>
      <x:c r="Q468" s="31" t="str"/>
      <x:c r="R468" s="31" t="str"/>
      <x:c r="S468" s="31" t="str">
        <x:f>IF('Blind Scoring'!I468="","",'Blind Scoring'!I468)</x:f>
      </x:c>
      <x:c r="T468" s="31" t="str">
        <x:f>'Blind Scoring'!J468</x:f>
        <x:v>No</x:v>
      </x:c>
      <x:c r="U468" s="31" t="str">
        <x:f>IF('Blind Scoring'!L468="","",'Blind Scoring'!L468)</x:f>
      </x:c>
    </x:row>
    <x:row r="469" ht="44" customHeight="1">
      <x:c r="A469" s="35" t="str">
        <x:v>Not Started</x:v>
      </x:c>
      <x:c r="B469" s="35" t="n">
        <x:v>467</x:v>
      </x:c>
      <x:c r="C469" s="35" t="str">
        <x:v>P08</x:v>
      </x:c>
      <x:c r="D469" s="35" t="n">
        <x:v>34</x:v>
      </x:c>
      <x:c r="E469" s="35" t="str">
        <x:v>Primary VLA</x:v>
      </x:c>
      <x:c r="F469" s="35" t="str">
        <x:v>MolmoAct2</x:v>
      </x:c>
      <x:c r="G469" s="35" t="n">
        <x:v>1</x:v>
      </x:c>
      <x:c r="H469" s="35" t="str">
        <x:v>State Recognition</x:v>
      </x:c>
      <x:c r="I469" s="35" t="str">
        <x:v>Main matched control</x:v>
      </x:c>
      <x:c r="J469" s="35" t="str">
        <x:v>PVLA-ST-CTL-16</x:v>
      </x:c>
      <x:c r="K469" s="35" t="str">
        <x:v>S-CF30</x:v>
      </x:c>
      <x:c r="L469" s="31" t="str">
        <x:v>Place a glass spice container in the bowl.</x:v>
      </x:c>
      <x:c r="M469" s="31" t="str">
        <x:v>Place a glass spice container in the bowl.</x:v>
      </x:c>
      <x:c r="N469" s="31" t="str">
        <x:v>S-CF30-CTRL: P1 white cup B=C/UR; P2 glass spice container A=O/UR [TARGET]; P4 yellow-white striped cup B=C/UD.</x:v>
      </x:c>
      <x:c r="O469" s="31" t="str">
        <x:v>glass spice container A</x:v>
      </x:c>
      <x:c r="P469" s="31" t="str"/>
      <x:c r="Q469" s="31" t="str"/>
      <x:c r="R469" s="31" t="str"/>
      <x:c r="S469" s="31" t="str">
        <x:f>IF('Blind Scoring'!I469="","",'Blind Scoring'!I469)</x:f>
      </x:c>
      <x:c r="T469" s="31" t="str">
        <x:f>'Blind Scoring'!J469</x:f>
        <x:v>No</x:v>
      </x:c>
      <x:c r="U469" s="31" t="str">
        <x:f>IF('Blind Scoring'!L469="","",'Blind Scoring'!L469)</x:f>
      </x:c>
    </x:row>
    <x:row r="470" ht="44" customHeight="1">
      <x:c r="A470" s="35" t="str">
        <x:v>Not Started</x:v>
      </x:c>
      <x:c r="B470" s="35" t="n">
        <x:v>468</x:v>
      </x:c>
      <x:c r="C470" s="35" t="str">
        <x:v>P08</x:v>
      </x:c>
      <x:c r="D470" s="35" t="n">
        <x:v>35</x:v>
      </x:c>
      <x:c r="E470" s="35" t="str">
        <x:v>Primary VLA</x:v>
      </x:c>
      <x:c r="F470" s="35" t="str">
        <x:v>MolmoAct2</x:v>
      </x:c>
      <x:c r="G470" s="35" t="n">
        <x:v>1</x:v>
      </x:c>
      <x:c r="H470" s="35" t="str">
        <x:v>State Recognition</x:v>
      </x:c>
      <x:c r="I470" s="35" t="str">
        <x:v>Main matched control</x:v>
      </x:c>
      <x:c r="J470" s="35" t="str">
        <x:v>PVLA-ST-CTL-12</x:v>
      </x:c>
      <x:c r="K470" s="35" t="str">
        <x:v>S-CF22</x:v>
      </x:c>
      <x:c r="L470" s="31" t="str">
        <x:v>Place a glass spice container in the bowl.</x:v>
      </x:c>
      <x:c r="M470" s="31" t="str">
        <x:v>Place a glass spice container in the bowl.</x:v>
      </x:c>
      <x:c r="N470" s="31" t="str">
        <x:v>S-CF22-CTRL: P1 white cup B=C/UR; P2 glass spice container A=O/UR [TARGET]; P4 yellow-white striped cup B=C/UD.</x:v>
      </x:c>
      <x:c r="O470" s="31" t="str">
        <x:v>glass spice container A</x:v>
      </x:c>
      <x:c r="P470" s="31" t="str"/>
      <x:c r="Q470" s="31" t="str"/>
      <x:c r="R470" s="31" t="str"/>
      <x:c r="S470" s="31" t="str">
        <x:f>IF('Blind Scoring'!I470="","",'Blind Scoring'!I470)</x:f>
      </x:c>
      <x:c r="T470" s="31" t="str">
        <x:f>'Blind Scoring'!J470</x:f>
        <x:v>No</x:v>
      </x:c>
      <x:c r="U470" s="31" t="str">
        <x:f>IF('Blind Scoring'!L470="","",'Blind Scoring'!L470)</x:f>
      </x:c>
    </x:row>
    <x:row r="471" ht="44" customHeight="1">
      <x:c r="A471" s="35" t="str">
        <x:v>Not Started</x:v>
      </x:c>
      <x:c r="B471" s="35" t="n">
        <x:v>469</x:v>
      </x:c>
      <x:c r="C471" s="35" t="str">
        <x:v>P08</x:v>
      </x:c>
      <x:c r="D471" s="35" t="n">
        <x:v>36</x:v>
      </x:c>
      <x:c r="E471" s="35" t="str">
        <x:v>Primary VLA</x:v>
      </x:c>
      <x:c r="F471" s="35" t="str">
        <x:v>MolmoAct2</x:v>
      </x:c>
      <x:c r="G471" s="35" t="n">
        <x:v>1</x:v>
      </x:c>
      <x:c r="H471" s="35" t="str">
        <x:v>State Recognition</x:v>
      </x:c>
      <x:c r="I471" s="35" t="str">
        <x:v>Novel layout + seen language</x:v>
      </x:c>
      <x:c r="J471" s="35" t="str">
        <x:v>PVLA-ST-NOV-04</x:v>
      </x:c>
      <x:c r="K471" s="35" t="str">
        <x:v>S-CF09</x:v>
      </x:c>
      <x:c r="L471" s="31" t="str">
        <x:v>Place the open white cup in the bowl.</x:v>
      </x:c>
      <x:c r="M471" s="31" t="str">
        <x:v>Place the open white cup in the bowl.</x:v>
      </x:c>
      <x:c r="N471" s="31" t="str">
        <x:v>S-CF09-SEEN: P1 white cup A=C/UR [TARGET]; P2 white cup B=O/UR [COMPETITOR]; P3 yellow-white striped cup A=C/UD; P4 brown cup B=O/UD.</x:v>
      </x:c>
      <x:c r="O471" s="31" t="str">
        <x:v>white cup B</x:v>
      </x:c>
      <x:c r="P471" s="31" t="str"/>
      <x:c r="Q471" s="31" t="str"/>
      <x:c r="R471" s="31" t="str"/>
      <x:c r="S471" s="31" t="str">
        <x:f>IF('Blind Scoring'!I471="","",'Blind Scoring'!I471)</x:f>
      </x:c>
      <x:c r="T471" s="31" t="str">
        <x:f>'Blind Scoring'!J471</x:f>
        <x:v>No</x:v>
      </x:c>
      <x:c r="U471" s="31" t="str">
        <x:f>IF('Blind Scoring'!L471="","",'Blind Scoring'!L471)</x:f>
      </x:c>
    </x:row>
    <x:row r="472" ht="44" customHeight="1">
      <x:c r="A472" s="35" t="str">
        <x:v>Not Started</x:v>
      </x:c>
      <x:c r="B472" s="35" t="n">
        <x:v>470</x:v>
      </x:c>
      <x:c r="C472" s="35" t="str">
        <x:v>P08</x:v>
      </x:c>
      <x:c r="D472" s="35" t="n">
        <x:v>37</x:v>
      </x:c>
      <x:c r="E472" s="35" t="str">
        <x:v>Primary VLA</x:v>
      </x:c>
      <x:c r="F472" s="35" t="str">
        <x:v>MolmoAct2</x:v>
      </x:c>
      <x:c r="G472" s="35" t="n">
        <x:v>1</x:v>
      </x:c>
      <x:c r="H472" s="35" t="str">
        <x:v>State Recognition</x:v>
      </x:c>
      <x:c r="I472" s="35" t="str">
        <x:v>Main matched control</x:v>
      </x:c>
      <x:c r="J472" s="35" t="str">
        <x:v>PVLA-ST-CTL-13</x:v>
      </x:c>
      <x:c r="K472" s="35" t="str">
        <x:v>S-CF24</x:v>
      </x:c>
      <x:c r="L472" s="31" t="str">
        <x:v>Place a brown cup in the bowl.</x:v>
      </x:c>
      <x:c r="M472" s="31" t="str">
        <x:v>Place a brown cup in the bowl.</x:v>
      </x:c>
      <x:c r="N472" s="31" t="str">
        <x:v>S-CF24-CTRL: P2 glass spice container B=O/UR; P3 white cup A=O/UD; P4 brown cup B=C/UR [TARGET].</x:v>
      </x:c>
      <x:c r="O472" s="31" t="str">
        <x:v>brown cup B</x:v>
      </x:c>
      <x:c r="P472" s="31" t="str"/>
      <x:c r="Q472" s="31" t="str"/>
      <x:c r="R472" s="31" t="str"/>
      <x:c r="S472" s="31" t="str">
        <x:f>IF('Blind Scoring'!I472="","",'Blind Scoring'!I472)</x:f>
      </x:c>
      <x:c r="T472" s="31" t="str">
        <x:f>'Blind Scoring'!J472</x:f>
        <x:v>No</x:v>
      </x:c>
      <x:c r="U472" s="31" t="str">
        <x:f>IF('Blind Scoring'!L472="","",'Blind Scoring'!L472)</x:f>
      </x:c>
    </x:row>
    <x:row r="473" ht="44" customHeight="1">
      <x:c r="A473" s="35" t="str">
        <x:v>Not Started</x:v>
      </x:c>
      <x:c r="B473" s="35" t="n">
        <x:v>471</x:v>
      </x:c>
      <x:c r="C473" s="35" t="str">
        <x:v>P08</x:v>
      </x:c>
      <x:c r="D473" s="35" t="n">
        <x:v>38</x:v>
      </x:c>
      <x:c r="E473" s="35" t="str">
        <x:v>Primary VLA</x:v>
      </x:c>
      <x:c r="F473" s="35" t="str">
        <x:v>MolmoAct2</x:v>
      </x:c>
      <x:c r="G473" s="35" t="n">
        <x:v>1</x:v>
      </x:c>
      <x:c r="H473" s="35" t="str">
        <x:v>State Recognition</x:v>
      </x:c>
      <x:c r="I473" s="35" t="str">
        <x:v>Main held-out transfer</x:v>
      </x:c>
      <x:c r="J473" s="35" t="str">
        <x:v>PVLA-ST-TR-10</x:v>
      </x:c>
      <x:c r="K473" s="35" t="str">
        <x:v>S-CF18</x:v>
      </x:c>
      <x:c r="L473" s="31" t="str">
        <x:v>Place the upright yellow-white striped cup in the bowl.</x:v>
      </x:c>
      <x:c r="M473" s="31" t="str">
        <x:v>Place the upright yellow-white striped cup in the bowl.</x:v>
      </x:c>
      <x:c r="N473" s="31" t="str">
        <x:v>S-CF18-HELD: P1 brown cup B=C/UR; P2 yellow-white striped cup B=O/UR [TARGET]; P3 yellow-white striped cup A=O/UD [COMPETITOR]; P4 glass spice container B=C/UD.</x:v>
      </x:c>
      <x:c r="O473" s="31" t="str">
        <x:v>yellow-white striped cup B</x:v>
      </x:c>
      <x:c r="P473" s="31" t="str"/>
      <x:c r="Q473" s="31" t="str"/>
      <x:c r="R473" s="31" t="str"/>
      <x:c r="S473" s="31" t="str">
        <x:f>IF('Blind Scoring'!I473="","",'Blind Scoring'!I473)</x:f>
      </x:c>
      <x:c r="T473" s="31" t="str">
        <x:f>'Blind Scoring'!J473</x:f>
        <x:v>No</x:v>
      </x:c>
      <x:c r="U473" s="31" t="str">
        <x:f>IF('Blind Scoring'!L473="","",'Blind Scoring'!L473)</x:f>
      </x:c>
    </x:row>
    <x:row r="474" ht="44" customHeight="1">
      <x:c r="A474" s="35" t="str">
        <x:v>Not Started</x:v>
      </x:c>
      <x:c r="B474" s="35" t="n">
        <x:v>472</x:v>
      </x:c>
      <x:c r="C474" s="35" t="str">
        <x:v>P08</x:v>
      </x:c>
      <x:c r="D474" s="35" t="n">
        <x:v>39</x:v>
      </x:c>
      <x:c r="E474" s="35" t="str">
        <x:v>Primary VLA</x:v>
      </x:c>
      <x:c r="F474" s="35" t="str">
        <x:v>MolmoAct2</x:v>
      </x:c>
      <x:c r="G474" s="35" t="n">
        <x:v>1</x:v>
      </x:c>
      <x:c r="H474" s="35" t="str">
        <x:v>State Recognition</x:v>
      </x:c>
      <x:c r="I474" s="35" t="str">
        <x:v>Novel layout + seen language</x:v>
      </x:c>
      <x:c r="J474" s="35" t="str">
        <x:v>PVLA-ST-NOV-03</x:v>
      </x:c>
      <x:c r="K474" s="35" t="str">
        <x:v>S-CF06</x:v>
      </x:c>
      <x:c r="L474" s="31" t="str">
        <x:v>Place the upside-down glass spice container in the bowl.</x:v>
      </x:c>
      <x:c r="M474" s="31" t="str">
        <x:v>Place the upside-down glass spice container in the bowl.</x:v>
      </x:c>
      <x:c r="N474" s="31" t="str">
        <x:v>S-CF06-SEEN: P1 white cup B=C/UR; P2 glass spice container A=O/UR [TARGET]; P3 glass spice container B=O/UD [COMPETITOR]; P4 yellow-white striped cup B=C/UD.</x:v>
      </x:c>
      <x:c r="O474" s="31" t="str">
        <x:v>glass spice container B</x:v>
      </x:c>
      <x:c r="P474" s="31" t="str"/>
      <x:c r="Q474" s="31" t="str"/>
      <x:c r="R474" s="31" t="str"/>
      <x:c r="S474" s="31" t="str">
        <x:f>IF('Blind Scoring'!I474="","",'Blind Scoring'!I474)</x:f>
      </x:c>
      <x:c r="T474" s="31" t="str">
        <x:f>'Blind Scoring'!J474</x:f>
        <x:v>No</x:v>
      </x:c>
      <x:c r="U474" s="31" t="str">
        <x:f>IF('Blind Scoring'!L474="","",'Blind Scoring'!L474)</x:f>
      </x:c>
    </x:row>
    <x:row r="475" ht="44" customHeight="1">
      <x:c r="A475" s="35" t="str">
        <x:v>Not Started</x:v>
      </x:c>
      <x:c r="B475" s="35" t="n">
        <x:v>473</x:v>
      </x:c>
      <x:c r="C475" s="35" t="str">
        <x:v>P08</x:v>
      </x:c>
      <x:c r="D475" s="35" t="n">
        <x:v>40</x:v>
      </x:c>
      <x:c r="E475" s="35" t="str">
        <x:v>Primary VLA</x:v>
      </x:c>
      <x:c r="F475" s="35" t="str">
        <x:v>MolmoAct2</x:v>
      </x:c>
      <x:c r="G475" s="35" t="n">
        <x:v>1</x:v>
      </x:c>
      <x:c r="H475" s="35" t="str">
        <x:v>State Recognition</x:v>
      </x:c>
      <x:c r="I475" s="35" t="str">
        <x:v>Main matched control</x:v>
      </x:c>
      <x:c r="J475" s="35" t="str">
        <x:v>PVLA-ST-CTL-06</x:v>
      </x:c>
      <x:c r="K475" s="35" t="str">
        <x:v>S-CF11</x:v>
      </x:c>
      <x:c r="L475" s="31" t="str">
        <x:v>Place a glass spice container in the bowl.</x:v>
      </x:c>
      <x:c r="M475" s="31" t="str">
        <x:v>Place a glass spice container in the bowl.</x:v>
      </x:c>
      <x:c r="N475" s="31" t="str">
        <x:v>S-CF11-CTRL: P1 white cup A=C/UR; P2 yellow-white striped cup A=O/UR; P3 glass spice container B=C/UD [TARGET].</x:v>
      </x:c>
      <x:c r="O475" s="31" t="str">
        <x:v>glass spice container B</x:v>
      </x:c>
      <x:c r="P475" s="31" t="str"/>
      <x:c r="Q475" s="31" t="str"/>
      <x:c r="R475" s="31" t="str"/>
      <x:c r="S475" s="31" t="str">
        <x:f>IF('Blind Scoring'!I475="","",'Blind Scoring'!I475)</x:f>
      </x:c>
      <x:c r="T475" s="31" t="str">
        <x:f>'Blind Scoring'!J475</x:f>
        <x:v>No</x:v>
      </x:c>
      <x:c r="U475" s="31" t="str">
        <x:f>IF('Blind Scoring'!L475="","",'Blind Scoring'!L475)</x:f>
      </x:c>
    </x:row>
    <x:row r="476" ht="44" customHeight="1">
      <x:c r="A476" s="35" t="str">
        <x:v>Not Started</x:v>
      </x:c>
      <x:c r="B476" s="35" t="n">
        <x:v>474</x:v>
      </x:c>
      <x:c r="C476" s="35" t="str">
        <x:v>P08</x:v>
      </x:c>
      <x:c r="D476" s="35" t="n">
        <x:v>41</x:v>
      </x:c>
      <x:c r="E476" s="35" t="str">
        <x:v>Primary VLA</x:v>
      </x:c>
      <x:c r="F476" s="35" t="str">
        <x:v>MolmoAct2</x:v>
      </x:c>
      <x:c r="G476" s="35" t="n">
        <x:v>1</x:v>
      </x:c>
      <x:c r="H476" s="35" t="str">
        <x:v>State Recognition</x:v>
      </x:c>
      <x:c r="I476" s="35" t="str">
        <x:v>Training reconstruction</x:v>
      </x:c>
      <x:c r="J476" s="35" t="str">
        <x:v>PVLA-ST-REC-01</x:v>
      </x:c>
      <x:c r="K476" s="35" t="str"/>
      <x:c r="L476" s="31" t="str">
        <x:v>Move the open white cup into the bowl.</x:v>
      </x:c>
      <x:c r="M476" s="31" t="str">
        <x:v>Move the open white cup into the bowl.</x:v>
      </x:c>
      <x:c r="N476" s="31" t="str">
        <x:v>Reconstruct planned final training episode 2: white cup A, white cup B, glass spice container A, yellow-white striped cup B; start=Home. Match camera, calibration, bowl pose, and object geometry exactly.</x:v>
      </x:c>
      <x:c r="O476" s="31" t="str">
        <x:v>white cup A</x:v>
      </x:c>
      <x:c r="P476" s="31" t="str"/>
      <x:c r="Q476" s="31" t="str"/>
      <x:c r="R476" s="31" t="str"/>
      <x:c r="S476" s="31" t="str">
        <x:f>IF('Blind Scoring'!I476="","",'Blind Scoring'!I476)</x:f>
      </x:c>
      <x:c r="T476" s="31" t="str">
        <x:f>'Blind Scoring'!J476</x:f>
        <x:v>No</x:v>
      </x:c>
      <x:c r="U476" s="31" t="str">
        <x:f>IF('Blind Scoring'!L476="","",'Blind Scoring'!L476)</x:f>
      </x:c>
    </x:row>
    <x:row r="477" ht="44" customHeight="1">
      <x:c r="A477" s="35" t="str">
        <x:v>Not Started</x:v>
      </x:c>
      <x:c r="B477" s="35" t="n">
        <x:v>475</x:v>
      </x:c>
      <x:c r="C477" s="35" t="str">
        <x:v>P08</x:v>
      </x:c>
      <x:c r="D477" s="35" t="n">
        <x:v>42</x:v>
      </x:c>
      <x:c r="E477" s="35" t="str">
        <x:v>Primary VLA</x:v>
      </x:c>
      <x:c r="F477" s="35" t="str">
        <x:v>MolmoAct2</x:v>
      </x:c>
      <x:c r="G477" s="35" t="n">
        <x:v>1</x:v>
      </x:c>
      <x:c r="H477" s="35" t="str">
        <x:v>State Recognition</x:v>
      </x:c>
      <x:c r="I477" s="35" t="str">
        <x:v>Main held-out transfer</x:v>
      </x:c>
      <x:c r="J477" s="35" t="str">
        <x:v>PVLA-ST-TR-07</x:v>
      </x:c>
      <x:c r="K477" s="35" t="str">
        <x:v>S-CF13</x:v>
      </x:c>
      <x:c r="L477" s="31" t="str">
        <x:v>Place the closed brown cup in the bowl.</x:v>
      </x:c>
      <x:c r="M477" s="31" t="str">
        <x:v>Place the closed brown cup in the bowl.</x:v>
      </x:c>
      <x:c r="N477" s="31" t="str">
        <x:v>S-CF13-HELD: P1 brown cup A=C/UR [TARGET]; P2 brown cup B=O/UR [COMPETITOR]; P3 glass spice container A=C/UD; P4 white cup B=O/UD.</x:v>
      </x:c>
      <x:c r="O477" s="31" t="str">
        <x:v>brown cup A</x:v>
      </x:c>
      <x:c r="P477" s="31" t="str"/>
      <x:c r="Q477" s="31" t="str"/>
      <x:c r="R477" s="31" t="str"/>
      <x:c r="S477" s="31" t="str">
        <x:f>IF('Blind Scoring'!I477="","",'Blind Scoring'!I477)</x:f>
      </x:c>
      <x:c r="T477" s="31" t="str">
        <x:f>'Blind Scoring'!J477</x:f>
        <x:v>No</x:v>
      </x:c>
      <x:c r="U477" s="31" t="str">
        <x:f>IF('Blind Scoring'!L477="","",'Blind Scoring'!L477)</x:f>
      </x:c>
    </x:row>
    <x:row r="478" ht="44" customHeight="1">
      <x:c r="A478" s="35" t="str">
        <x:v>Not Started</x:v>
      </x:c>
      <x:c r="B478" s="35" t="n">
        <x:v>476</x:v>
      </x:c>
      <x:c r="C478" s="35" t="str">
        <x:v>P08</x:v>
      </x:c>
      <x:c r="D478" s="35" t="n">
        <x:v>43</x:v>
      </x:c>
      <x:c r="E478" s="35" t="str">
        <x:v>Primary VLA</x:v>
      </x:c>
      <x:c r="F478" s="35" t="str">
        <x:v>MolmoAct2</x:v>
      </x:c>
      <x:c r="G478" s="35" t="n">
        <x:v>1</x:v>
      </x:c>
      <x:c r="H478" s="35" t="str">
        <x:v>State Recognition</x:v>
      </x:c>
      <x:c r="I478" s="35" t="str">
        <x:v>Novel layout + seen language</x:v>
      </x:c>
      <x:c r="J478" s="35" t="str">
        <x:v>PVLA-ST-NOV-08</x:v>
      </x:c>
      <x:c r="K478" s="35" t="str">
        <x:v>S-CF20</x:v>
      </x:c>
      <x:c r="L478" s="31" t="str">
        <x:v>Place the upside-down white cup in the bowl.</x:v>
      </x:c>
      <x:c r="M478" s="31" t="str">
        <x:v>Place the upside-down white cup in the bowl.</x:v>
      </x:c>
      <x:c r="N478" s="31" t="str">
        <x:v>S-CF20-SEEN: P1 white cup A=C/UD [COMPETITOR]; P2 yellow-white striped cup B=O/UR; P3 brown cup A=O/UD; P4 white cup B=C/UR [TARGET].</x:v>
      </x:c>
      <x:c r="O478" s="31" t="str">
        <x:v>white cup A</x:v>
      </x:c>
      <x:c r="P478" s="31" t="str"/>
      <x:c r="Q478" s="31" t="str"/>
      <x:c r="R478" s="31" t="str"/>
      <x:c r="S478" s="31" t="str">
        <x:f>IF('Blind Scoring'!I478="","",'Blind Scoring'!I478)</x:f>
      </x:c>
      <x:c r="T478" s="31" t="str">
        <x:f>'Blind Scoring'!J478</x:f>
        <x:v>No</x:v>
      </x:c>
      <x:c r="U478" s="31" t="str">
        <x:f>IF('Blind Scoring'!L478="","",'Blind Scoring'!L478)</x:f>
      </x:c>
    </x:row>
    <x:row r="479" ht="44" customHeight="1">
      <x:c r="A479" s="35" t="str">
        <x:v>Not Started</x:v>
      </x:c>
      <x:c r="B479" s="35" t="n">
        <x:v>477</x:v>
      </x:c>
      <x:c r="C479" s="35" t="str">
        <x:v>P08</x:v>
      </x:c>
      <x:c r="D479" s="35" t="n">
        <x:v>44</x:v>
      </x:c>
      <x:c r="E479" s="35" t="str">
        <x:v>Primary VLA</x:v>
      </x:c>
      <x:c r="F479" s="35" t="str">
        <x:v>MolmoAct2</x:v>
      </x:c>
      <x:c r="G479" s="35" t="n">
        <x:v>1</x:v>
      </x:c>
      <x:c r="H479" s="35" t="str">
        <x:v>State Recognition</x:v>
      </x:c>
      <x:c r="I479" s="35" t="str">
        <x:v>Main matched control</x:v>
      </x:c>
      <x:c r="J479" s="35" t="str">
        <x:v>PVLA-ST-CTL-11</x:v>
      </x:c>
      <x:c r="K479" s="35" t="str">
        <x:v>S-CF20</x:v>
      </x:c>
      <x:c r="L479" s="31" t="str">
        <x:v>Place a white cup in the bowl.</x:v>
      </x:c>
      <x:c r="M479" s="31" t="str">
        <x:v>Place a white cup in the bowl.</x:v>
      </x:c>
      <x:c r="N479" s="31" t="str">
        <x:v>S-CF20-CTRL: P2 yellow-white striped cup B=O/UR; P3 brown cup A=O/UD; P4 white cup B=C/UR [TARGET].</x:v>
      </x:c>
      <x:c r="O479" s="31" t="str">
        <x:v>white cup B</x:v>
      </x:c>
      <x:c r="P479" s="31" t="str"/>
      <x:c r="Q479" s="31" t="str"/>
      <x:c r="R479" s="31" t="str"/>
      <x:c r="S479" s="31" t="str">
        <x:f>IF('Blind Scoring'!I479="","",'Blind Scoring'!I479)</x:f>
      </x:c>
      <x:c r="T479" s="31" t="str">
        <x:f>'Blind Scoring'!J479</x:f>
        <x:v>No</x:v>
      </x:c>
      <x:c r="U479" s="31" t="str">
        <x:f>IF('Blind Scoring'!L479="","",'Blind Scoring'!L479)</x:f>
      </x:c>
    </x:row>
    <x:row r="480" ht="44" customHeight="1">
      <x:c r="A480" s="35" t="str">
        <x:v>Not Started</x:v>
      </x:c>
      <x:c r="B480" s="35" t="n">
        <x:v>478</x:v>
      </x:c>
      <x:c r="C480" s="35" t="str">
        <x:v>P08</x:v>
      </x:c>
      <x:c r="D480" s="35" t="n">
        <x:v>45</x:v>
      </x:c>
      <x:c r="E480" s="35" t="str">
        <x:v>Primary VLA</x:v>
      </x:c>
      <x:c r="F480" s="35" t="str">
        <x:v>MolmoAct2</x:v>
      </x:c>
      <x:c r="G480" s="35" t="n">
        <x:v>1</x:v>
      </x:c>
      <x:c r="H480" s="35" t="str">
        <x:v>State Recognition</x:v>
      </x:c>
      <x:c r="I480" s="35" t="str">
        <x:v>Main matched control</x:v>
      </x:c>
      <x:c r="J480" s="35" t="str">
        <x:v>PVLA-ST-CTL-01</x:v>
      </x:c>
      <x:c r="K480" s="35" t="str">
        <x:v>S-CF01</x:v>
      </x:c>
      <x:c r="L480" s="31" t="str">
        <x:v>Place a white cup in the bowl.</x:v>
      </x:c>
      <x:c r="M480" s="31" t="str">
        <x:v>Place a white cup in the bowl.</x:v>
      </x:c>
      <x:c r="N480" s="31" t="str">
        <x:v>S-CF01-CTRL: P1 white cup A=C/UR [TARGET]; P3 yellow-white striped cup A=C/UD; P4 brown cup B=O/UD.</x:v>
      </x:c>
      <x:c r="O480" s="31" t="str">
        <x:v>white cup A</x:v>
      </x:c>
      <x:c r="P480" s="31" t="str"/>
      <x:c r="Q480" s="31" t="str"/>
      <x:c r="R480" s="31" t="str"/>
      <x:c r="S480" s="31" t="str">
        <x:f>IF('Blind Scoring'!I480="","",'Blind Scoring'!I480)</x:f>
      </x:c>
      <x:c r="T480" s="31" t="str">
        <x:f>'Blind Scoring'!J480</x:f>
        <x:v>No</x:v>
      </x:c>
      <x:c r="U480" s="31" t="str">
        <x:f>IF('Blind Scoring'!L480="","",'Blind Scoring'!L480)</x:f>
      </x:c>
    </x:row>
    <x:row r="481" ht="44" customHeight="1">
      <x:c r="A481" s="35" t="str">
        <x:v>Not Started</x:v>
      </x:c>
      <x:c r="B481" s="35" t="n">
        <x:v>479</x:v>
      </x:c>
      <x:c r="C481" s="35" t="str">
        <x:v>P08</x:v>
      </x:c>
      <x:c r="D481" s="35" t="n">
        <x:v>46</x:v>
      </x:c>
      <x:c r="E481" s="35" t="str">
        <x:v>Primary VLA</x:v>
      </x:c>
      <x:c r="F481" s="35" t="str">
        <x:v>MolmoAct2</x:v>
      </x:c>
      <x:c r="G481" s="35" t="n">
        <x:v>1</x:v>
      </x:c>
      <x:c r="H481" s="35" t="str">
        <x:v>State Recognition</x:v>
      </x:c>
      <x:c r="I481" s="35" t="str">
        <x:v>Language ablation — counterfactual</x:v>
      </x:c>
      <x:c r="J481" s="35" t="str">
        <x:v>PVLA-ST-ABL-CF-03</x:v>
      </x:c>
      <x:c r="K481" s="35" t="str">
        <x:v>S-CF13</x:v>
      </x:c>
      <x:c r="L481" s="31" t="str">
        <x:v>Place the open brown cup in the bowl.</x:v>
      </x:c>
      <x:c r="M481" s="31" t="str">
        <x:v>Place the open brown cup in the bowl.</x:v>
      </x:c>
      <x:c r="N481" s="31" t="str">
        <x:v>S-CF13-HELD: P1 brown cup A=C/UR [TARGET]; P2 brown cup B=O/UR [COMPETITOR]; P3 glass spice container A=C/UD; P4 white cup B=O/UD.</x:v>
      </x:c>
      <x:c r="O481" s="31" t="str">
        <x:v>brown cup B</x:v>
      </x:c>
      <x:c r="P481" s="31" t="str"/>
      <x:c r="Q481" s="31" t="str"/>
      <x:c r="R481" s="31" t="str"/>
      <x:c r="S481" s="31" t="str">
        <x:f>IF('Blind Scoring'!I481="","",'Blind Scoring'!I481)</x:f>
      </x:c>
      <x:c r="T481" s="31" t="str">
        <x:f>'Blind Scoring'!J481</x:f>
        <x:v>No</x:v>
      </x:c>
      <x:c r="U481" s="31" t="str">
        <x:f>IF('Blind Scoring'!L481="","",'Blind Scoring'!L481)</x:f>
      </x:c>
    </x:row>
    <x:row r="482" ht="44" customHeight="1">
      <x:c r="A482" s="35" t="str">
        <x:v>Not Started</x:v>
      </x:c>
      <x:c r="B482" s="35" t="n">
        <x:v>480</x:v>
      </x:c>
      <x:c r="C482" s="35" t="str">
        <x:v>P08</x:v>
      </x:c>
      <x:c r="D482" s="35" t="n">
        <x:v>47</x:v>
      </x:c>
      <x:c r="E482" s="35" t="str">
        <x:v>Primary VLA</x:v>
      </x:c>
      <x:c r="F482" s="35" t="str">
        <x:v>MolmoAct2</x:v>
      </x:c>
      <x:c r="G482" s="35" t="n">
        <x:v>1</x:v>
      </x:c>
      <x:c r="H482" s="35" t="str">
        <x:v>State Recognition</x:v>
      </x:c>
      <x:c r="I482" s="35" t="str">
        <x:v>Main matched control</x:v>
      </x:c>
      <x:c r="J482" s="35" t="str">
        <x:v>PVLA-ST-CTL-10</x:v>
      </x:c>
      <x:c r="K482" s="35" t="str">
        <x:v>S-CF18</x:v>
      </x:c>
      <x:c r="L482" s="31" t="str">
        <x:v>Place a yellow-white striped cup in the bowl.</x:v>
      </x:c>
      <x:c r="M482" s="31" t="str">
        <x:v>Place a yellow-white striped cup in the bowl.</x:v>
      </x:c>
      <x:c r="N482" s="31" t="str">
        <x:v>S-CF18-CTRL: P1 brown cup B=C/UR; P2 yellow-white striped cup B=O/UR [TARGET]; P4 glass spice container B=C/UD.</x:v>
      </x:c>
      <x:c r="O482" s="31" t="str">
        <x:v>yellow-white striped cup B</x:v>
      </x:c>
      <x:c r="P482" s="31" t="str"/>
      <x:c r="Q482" s="31" t="str"/>
      <x:c r="R482" s="31" t="str"/>
      <x:c r="S482" s="31" t="str">
        <x:f>IF('Blind Scoring'!I482="","",'Blind Scoring'!I482)</x:f>
      </x:c>
      <x:c r="T482" s="31" t="str">
        <x:f>'Blind Scoring'!J482</x:f>
        <x:v>No</x:v>
      </x:c>
      <x:c r="U482" s="31" t="str">
        <x:f>IF('Blind Scoring'!L482="","",'Blind Scoring'!L482)</x:f>
      </x:c>
    </x:row>
    <x:row r="483" ht="44" customHeight="1">
      <x:c r="A483" s="35" t="str">
        <x:v>Not Started</x:v>
      </x:c>
      <x:c r="B483" s="35" t="n">
        <x:v>481</x:v>
      </x:c>
      <x:c r="C483" s="35" t="str">
        <x:v>P08</x:v>
      </x:c>
      <x:c r="D483" s="35" t="n">
        <x:v>48</x:v>
      </x:c>
      <x:c r="E483" s="35" t="str">
        <x:v>Primary VLA</x:v>
      </x:c>
      <x:c r="F483" s="35" t="str">
        <x:v>MolmoAct2</x:v>
      </x:c>
      <x:c r="G483" s="35" t="n">
        <x:v>1</x:v>
      </x:c>
      <x:c r="H483" s="35" t="str">
        <x:v>State Recognition</x:v>
      </x:c>
      <x:c r="I483" s="35" t="str">
        <x:v>Novel layout + seen language</x:v>
      </x:c>
      <x:c r="J483" s="35" t="str">
        <x:v>PVLA-ST-NOV-02</x:v>
      </x:c>
      <x:c r="K483" s="35" t="str">
        <x:v>S-CF04</x:v>
      </x:c>
      <x:c r="L483" s="31" t="str">
        <x:v>Place the upside-down white cup in the bowl.</x:v>
      </x:c>
      <x:c r="M483" s="31" t="str">
        <x:v>Place the upside-down white cup in the bowl.</x:v>
      </x:c>
      <x:c r="N483" s="31" t="str">
        <x:v>S-CF04-SEEN: P1 white cup A=C/UD [COMPETITOR]; P2 yellow-white striped cup B=O/UR; P3 brown cup A=O/UD; P4 white cup B=C/UR [TARGET].</x:v>
      </x:c>
      <x:c r="O483" s="31" t="str">
        <x:v>white cup A</x:v>
      </x:c>
      <x:c r="P483" s="31" t="str"/>
      <x:c r="Q483" s="31" t="str"/>
      <x:c r="R483" s="31" t="str"/>
      <x:c r="S483" s="31" t="str">
        <x:f>IF('Blind Scoring'!I483="","",'Blind Scoring'!I483)</x:f>
      </x:c>
      <x:c r="T483" s="31" t="str">
        <x:f>'Blind Scoring'!J483</x:f>
        <x:v>No</x:v>
      </x:c>
      <x:c r="U483" s="31" t="str">
        <x:f>IF('Blind Scoring'!L483="","",'Blind Scoring'!L483)</x:f>
      </x:c>
    </x:row>
    <x:row r="484" ht="44" customHeight="1">
      <x:c r="A484" s="35" t="str">
        <x:v>Not Started</x:v>
      </x:c>
      <x:c r="B484" s="35" t="n">
        <x:v>482</x:v>
      </x:c>
      <x:c r="C484" s="35" t="str">
        <x:v>P08</x:v>
      </x:c>
      <x:c r="D484" s="35" t="n">
        <x:v>49</x:v>
      </x:c>
      <x:c r="E484" s="35" t="str">
        <x:v>Primary VLA</x:v>
      </x:c>
      <x:c r="F484" s="35" t="str">
        <x:v>MolmoAct2</x:v>
      </x:c>
      <x:c r="G484" s="35" t="n">
        <x:v>1</x:v>
      </x:c>
      <x:c r="H484" s="35" t="str">
        <x:v>State Recognition</x:v>
      </x:c>
      <x:c r="I484" s="35" t="str">
        <x:v>Exact-scene paraphrase</x:v>
      </x:c>
      <x:c r="J484" s="35" t="str">
        <x:v>PVLA-ST-PAR-02</x:v>
      </x:c>
      <x:c r="K484" s="35" t="str">
        <x:v>S-CF04</x:v>
      </x:c>
      <x:c r="L484" s="31" t="str">
        <x:v>Put the inverted white cup into the bowl.</x:v>
      </x:c>
      <x:c r="M484" s="31" t="str">
        <x:v>Put the inverted white cup into the bowl.</x:v>
      </x:c>
      <x:c r="N484" s="31" t="str">
        <x:v>S-CF04-PARA: P1 white cup A=C/UD [COMPETITOR]; P2 yellow-white striped cup B=O/UR; P3 brown cup A=O/UD; P4 white cup B=C/UR [TARGET].</x:v>
      </x:c>
      <x:c r="O484" s="31" t="str">
        <x:v>white cup A</x:v>
      </x:c>
      <x:c r="P484" s="31" t="str"/>
      <x:c r="Q484" s="31" t="str"/>
      <x:c r="R484" s="31" t="str"/>
      <x:c r="S484" s="31" t="str">
        <x:f>IF('Blind Scoring'!I484="","",'Blind Scoring'!I484)</x:f>
      </x:c>
      <x:c r="T484" s="31" t="str">
        <x:f>'Blind Scoring'!J484</x:f>
        <x:v>No</x:v>
      </x:c>
      <x:c r="U484" s="31" t="str">
        <x:f>IF('Blind Scoring'!L484="","",'Blind Scoring'!L484)</x:f>
      </x:c>
    </x:row>
    <x:row r="485" ht="44" customHeight="1">
      <x:c r="A485" s="35" t="str">
        <x:v>Not Started</x:v>
      </x:c>
      <x:c r="B485" s="35" t="n">
        <x:v>483</x:v>
      </x:c>
      <x:c r="C485" s="35" t="str">
        <x:v>P08</x:v>
      </x:c>
      <x:c r="D485" s="35" t="n">
        <x:v>50</x:v>
      </x:c>
      <x:c r="E485" s="35" t="str">
        <x:v>Primary VLA</x:v>
      </x:c>
      <x:c r="F485" s="35" t="str">
        <x:v>MolmoAct2</x:v>
      </x:c>
      <x:c r="G485" s="35" t="n">
        <x:v>1</x:v>
      </x:c>
      <x:c r="H485" s="35" t="str">
        <x:v>State Recognition</x:v>
      </x:c>
      <x:c r="I485" s="35" t="str">
        <x:v>Main held-out transfer</x:v>
      </x:c>
      <x:c r="J485" s="35" t="str">
        <x:v>PVLA-ST-TR-05</x:v>
      </x:c>
      <x:c r="K485" s="35" t="str">
        <x:v>S-CF09</x:v>
      </x:c>
      <x:c r="L485" s="31" t="str">
        <x:v>Place the closed white cup in the bowl.</x:v>
      </x:c>
      <x:c r="M485" s="31" t="str">
        <x:v>Place the closed white cup in the bowl.</x:v>
      </x:c>
      <x:c r="N485" s="31" t="str">
        <x:v>S-CF09-HELD: P1 white cup A=C/UR [TARGET]; P2 white cup B=O/UR [COMPETITOR]; P3 yellow-white striped cup A=C/UD; P4 brown cup B=O/UD.</x:v>
      </x:c>
      <x:c r="O485" s="31" t="str">
        <x:v>white cup A</x:v>
      </x:c>
      <x:c r="P485" s="31" t="str"/>
      <x:c r="Q485" s="31" t="str"/>
      <x:c r="R485" s="31" t="str"/>
      <x:c r="S485" s="31" t="str">
        <x:f>IF('Blind Scoring'!I485="","",'Blind Scoring'!I485)</x:f>
      </x:c>
      <x:c r="T485" s="31" t="str">
        <x:f>'Blind Scoring'!J485</x:f>
        <x:v>No</x:v>
      </x:c>
      <x:c r="U485" s="31" t="str">
        <x:f>IF('Blind Scoring'!L485="","",'Blind Scoring'!L485)</x:f>
      </x:c>
    </x:row>
    <x:row r="486" ht="44" customHeight="1">
      <x:c r="A486" s="35" t="str">
        <x:v>Not Started</x:v>
      </x:c>
      <x:c r="B486" s="35" t="n">
        <x:v>484</x:v>
      </x:c>
      <x:c r="C486" s="35" t="str">
        <x:v>P08</x:v>
      </x:c>
      <x:c r="D486" s="35" t="n">
        <x:v>51</x:v>
      </x:c>
      <x:c r="E486" s="35" t="str">
        <x:v>Primary VLA</x:v>
      </x:c>
      <x:c r="F486" s="35" t="str">
        <x:v>MolmoAct2</x:v>
      </x:c>
      <x:c r="G486" s="35" t="n">
        <x:v>1</x:v>
      </x:c>
      <x:c r="H486" s="35" t="str">
        <x:v>State Recognition</x:v>
      </x:c>
      <x:c r="I486" s="35" t="str">
        <x:v>Main held-out transfer</x:v>
      </x:c>
      <x:c r="J486" s="35" t="str">
        <x:v>PVLA-ST-TR-01</x:v>
      </x:c>
      <x:c r="K486" s="35" t="str">
        <x:v>S-CF01</x:v>
      </x:c>
      <x:c r="L486" s="31" t="str">
        <x:v>Place the closed white cup in the bowl.</x:v>
      </x:c>
      <x:c r="M486" s="31" t="str">
        <x:v>Place the closed white cup in the bowl.</x:v>
      </x:c>
      <x:c r="N486" s="31" t="str">
        <x:v>S-CF01-HELD: P1 white cup A=C/UR [TARGET]; P2 white cup B=O/UR [COMPETITOR]; P3 yellow-white striped cup A=C/UD; P4 brown cup B=O/UD.</x:v>
      </x:c>
      <x:c r="O486" s="31" t="str">
        <x:v>white cup A</x:v>
      </x:c>
      <x:c r="P486" s="31" t="str"/>
      <x:c r="Q486" s="31" t="str"/>
      <x:c r="R486" s="31" t="str"/>
      <x:c r="S486" s="31" t="str">
        <x:f>IF('Blind Scoring'!I486="","",'Blind Scoring'!I486)</x:f>
      </x:c>
      <x:c r="T486" s="31" t="str">
        <x:f>'Blind Scoring'!J486</x:f>
        <x:v>No</x:v>
      </x:c>
      <x:c r="U486" s="31" t="str">
        <x:f>IF('Blind Scoring'!L486="","",'Blind Scoring'!L486)</x:f>
      </x:c>
    </x:row>
    <x:row r="487" ht="44" customHeight="1">
      <x:c r="A487" s="35" t="str">
        <x:v>Not Started</x:v>
      </x:c>
      <x:c r="B487" s="35" t="n">
        <x:v>485</x:v>
      </x:c>
      <x:c r="C487" s="35" t="str">
        <x:v>P08</x:v>
      </x:c>
      <x:c r="D487" s="35" t="n">
        <x:v>52</x:v>
      </x:c>
      <x:c r="E487" s="35" t="str">
        <x:v>Primary VLA</x:v>
      </x:c>
      <x:c r="F487" s="35" t="str">
        <x:v>MolmoAct2</x:v>
      </x:c>
      <x:c r="G487" s="35" t="n">
        <x:v>1</x:v>
      </x:c>
      <x:c r="H487" s="35" t="str">
        <x:v>State Recognition</x:v>
      </x:c>
      <x:c r="I487" s="35" t="str">
        <x:v>Main held-out transfer</x:v>
      </x:c>
      <x:c r="J487" s="35" t="str">
        <x:v>PVLA-ST-TR-13</x:v>
      </x:c>
      <x:c r="K487" s="35" t="str">
        <x:v>S-CF24</x:v>
      </x:c>
      <x:c r="L487" s="31" t="str">
        <x:v>Place the upright brown cup in the bowl.</x:v>
      </x:c>
      <x:c r="M487" s="31" t="str">
        <x:v>Place the upright brown cup in the bowl.</x:v>
      </x:c>
      <x:c r="N487" s="31" t="str">
        <x:v>S-CF24-HELD: P1 brown cup A=C/UD [COMPETITOR]; P2 glass spice container B=O/UR; P3 white cup A=O/UD; P4 brown cup B=C/UR [TARGET].</x:v>
      </x:c>
      <x:c r="O487" s="31" t="str">
        <x:v>brown cup B</x:v>
      </x:c>
      <x:c r="P487" s="31" t="str"/>
      <x:c r="Q487" s="31" t="str"/>
      <x:c r="R487" s="31" t="str"/>
      <x:c r="S487" s="31" t="str">
        <x:f>IF('Blind Scoring'!I487="","",'Blind Scoring'!I487)</x:f>
      </x:c>
      <x:c r="T487" s="31" t="str">
        <x:f>'Blind Scoring'!J487</x:f>
        <x:v>No</x:v>
      </x:c>
      <x:c r="U487" s="31" t="str">
        <x:f>IF('Blind Scoring'!L487="","",'Blind Scoring'!L487)</x:f>
      </x:c>
    </x:row>
    <x:row r="488" ht="44" customHeight="1">
      <x:c r="A488" s="35" t="str">
        <x:v>Not Started</x:v>
      </x:c>
      <x:c r="B488" s="35" t="n">
        <x:v>486</x:v>
      </x:c>
      <x:c r="C488" s="35" t="str">
        <x:v>P08</x:v>
      </x:c>
      <x:c r="D488" s="35" t="n">
        <x:v>53</x:v>
      </x:c>
      <x:c r="E488" s="35" t="str">
        <x:v>Primary VLA</x:v>
      </x:c>
      <x:c r="F488" s="35" t="str">
        <x:v>MolmoAct2</x:v>
      </x:c>
      <x:c r="G488" s="35" t="n">
        <x:v>1</x:v>
      </x:c>
      <x:c r="H488" s="35" t="str">
        <x:v>State Recognition</x:v>
      </x:c>
      <x:c r="I488" s="35" t="str">
        <x:v>Training reconstruction</x:v>
      </x:c>
      <x:c r="J488" s="35" t="str">
        <x:v>PVLA-ST-REC-03</x:v>
      </x:c>
      <x:c r="K488" s="35" t="str"/>
      <x:c r="L488" s="31" t="str">
        <x:v>Put a brown cup in the bowl.</x:v>
      </x:c>
      <x:c r="M488" s="31" t="str">
        <x:v>Put a brown cup in the bowl.</x:v>
      </x:c>
      <x:c r="N488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488" s="31" t="str">
        <x:v>brown cup B</x:v>
      </x:c>
      <x:c r="P488" s="31" t="str"/>
      <x:c r="Q488" s="31" t="str"/>
      <x:c r="R488" s="31" t="str"/>
      <x:c r="S488" s="31" t="str">
        <x:f>IF('Blind Scoring'!I488="","",'Blind Scoring'!I488)</x:f>
      </x:c>
      <x:c r="T488" s="31" t="str">
        <x:f>'Blind Scoring'!J488</x:f>
        <x:v>No</x:v>
      </x:c>
      <x:c r="U488" s="31" t="str">
        <x:f>IF('Blind Scoring'!L488="","",'Blind Scoring'!L488)</x:f>
      </x:c>
    </x:row>
    <x:row r="489" ht="44" customHeight="1">
      <x:c r="A489" s="35" t="str">
        <x:v>Not Started</x:v>
      </x:c>
      <x:c r="B489" s="35" t="n">
        <x:v>487</x:v>
      </x:c>
      <x:c r="C489" s="35" t="str">
        <x:v>P08</x:v>
      </x:c>
      <x:c r="D489" s="35" t="n">
        <x:v>54</x:v>
      </x:c>
      <x:c r="E489" s="35" t="str">
        <x:v>Primary VLA</x:v>
      </x:c>
      <x:c r="F489" s="35" t="str">
        <x:v>MolmoAct2</x:v>
      </x:c>
      <x:c r="G489" s="35" t="n">
        <x:v>1</x:v>
      </x:c>
      <x:c r="H489" s="35" t="str">
        <x:v>State Recognition</x:v>
      </x:c>
      <x:c r="I489" s="35" t="str">
        <x:v>Main held-out transfer</x:v>
      </x:c>
      <x:c r="J489" s="35" t="str">
        <x:v>PVLA-ST-TR-03</x:v>
      </x:c>
      <x:c r="K489" s="35" t="str">
        <x:v>S-CF05</x:v>
      </x:c>
      <x:c r="L489" s="31" t="str">
        <x:v>Place the closed brown cup in the bowl.</x:v>
      </x:c>
      <x:c r="M489" s="31" t="str">
        <x:v>Place the closed brown cup in the bowl.</x:v>
      </x:c>
      <x:c r="N489" s="31" t="str">
        <x:v>S-CF05-HELD: P1 brown cup A=C/UR [TARGET]; P2 brown cup B=O/UR [COMPETITOR]; P3 glass spice container A=C/UD; P4 white cup B=O/UD.</x:v>
      </x:c>
      <x:c r="O489" s="31" t="str">
        <x:v>brown cup A</x:v>
      </x:c>
      <x:c r="P489" s="31" t="str"/>
      <x:c r="Q489" s="31" t="str"/>
      <x:c r="R489" s="31" t="str"/>
      <x:c r="S489" s="31" t="str">
        <x:f>IF('Blind Scoring'!I489="","",'Blind Scoring'!I489)</x:f>
      </x:c>
      <x:c r="T489" s="31" t="str">
        <x:f>'Blind Scoring'!J489</x:f>
        <x:v>No</x:v>
      </x:c>
      <x:c r="U489" s="31" t="str">
        <x:f>IF('Blind Scoring'!L489="","",'Blind Scoring'!L489)</x:f>
      </x:c>
    </x:row>
    <x:row r="490" ht="44" customHeight="1">
      <x:c r="A490" s="35" t="str">
        <x:v>Not Started</x:v>
      </x:c>
      <x:c r="B490" s="35" t="n">
        <x:v>488</x:v>
      </x:c>
      <x:c r="C490" s="35" t="str">
        <x:v>P08</x:v>
      </x:c>
      <x:c r="D490" s="35" t="n">
        <x:v>55</x:v>
      </x:c>
      <x:c r="E490" s="35" t="str">
        <x:v>Primary VLA</x:v>
      </x:c>
      <x:c r="F490" s="35" t="str">
        <x:v>MolmoAct2</x:v>
      </x:c>
      <x:c r="G490" s="35" t="n">
        <x:v>1</x:v>
      </x:c>
      <x:c r="H490" s="35" t="str">
        <x:v>State Recognition</x:v>
      </x:c>
      <x:c r="I490" s="35" t="str">
        <x:v>Exact-scene paraphrase</x:v>
      </x:c>
      <x:c r="J490" s="35" t="str">
        <x:v>PVLA-ST-PAR-03</x:v>
      </x:c>
      <x:c r="K490" s="35" t="str">
        <x:v>S-CF06</x:v>
      </x:c>
      <x:c r="L490" s="31" t="str">
        <x:v>Move the overturned glass spice container into the bowl.</x:v>
      </x:c>
      <x:c r="M490" s="31" t="str">
        <x:v>Move the overturned glass spice container into the bowl.</x:v>
      </x:c>
      <x:c r="N490" s="31" t="str">
        <x:v>S-CF06-PARA: P1 white cup B=C/UR; P2 glass spice container A=O/UR [TARGET]; P3 glass spice container B=O/UD [COMPETITOR]; P4 yellow-white striped cup B=C/UD.</x:v>
      </x:c>
      <x:c r="O490" s="31" t="str">
        <x:v>glass spice container B</x:v>
      </x:c>
      <x:c r="P490" s="31" t="str"/>
      <x:c r="Q490" s="31" t="str"/>
      <x:c r="R490" s="31" t="str"/>
      <x:c r="S490" s="31" t="str">
        <x:f>IF('Blind Scoring'!I490="","",'Blind Scoring'!I490)</x:f>
      </x:c>
      <x:c r="T490" s="31" t="str">
        <x:f>'Blind Scoring'!J490</x:f>
        <x:v>No</x:v>
      </x:c>
      <x:c r="U490" s="31" t="str">
        <x:f>IF('Blind Scoring'!L490="","",'Blind Scoring'!L490)</x:f>
      </x:c>
    </x:row>
    <x:row r="491" ht="44" customHeight="1">
      <x:c r="A491" s="35" t="str">
        <x:v>Not Started</x:v>
      </x:c>
      <x:c r="B491" s="35" t="n">
        <x:v>489</x:v>
      </x:c>
      <x:c r="C491" s="35" t="str">
        <x:v>P08</x:v>
      </x:c>
      <x:c r="D491" s="35" t="n">
        <x:v>56</x:v>
      </x:c>
      <x:c r="E491" s="35" t="str">
        <x:v>Primary VLA</x:v>
      </x:c>
      <x:c r="F491" s="35" t="str">
        <x:v>MolmoAct2</x:v>
      </x:c>
      <x:c r="G491" s="35" t="n">
        <x:v>1</x:v>
      </x:c>
      <x:c r="H491" s="35" t="str">
        <x:v>State Recognition</x:v>
      </x:c>
      <x:c r="I491" s="35" t="str">
        <x:v>Main held-out transfer</x:v>
      </x:c>
      <x:c r="J491" s="35" t="str">
        <x:v>PVLA-ST-TR-06</x:v>
      </x:c>
      <x:c r="K491" s="35" t="str">
        <x:v>S-CF11</x:v>
      </x:c>
      <x:c r="L491" s="31" t="str">
        <x:v>Place the closed glass spice container in the bowl.</x:v>
      </x:c>
      <x:c r="M491" s="31" t="str">
        <x:v>Place the closed glass spice container in the bowl.</x:v>
      </x:c>
      <x:c r="N491" s="31" t="str">
        <x:v>S-CF11-HELD: P1 white cup A=C/UR; P2 yellow-white striped cup A=O/UR; P3 glass spice container B=C/UD [TARGET]; P4 glass spice container A=O/UD [COMPETITOR].</x:v>
      </x:c>
      <x:c r="O491" s="31" t="str">
        <x:v>glass spice container B</x:v>
      </x:c>
      <x:c r="P491" s="31" t="str"/>
      <x:c r="Q491" s="31" t="str"/>
      <x:c r="R491" s="31" t="str"/>
      <x:c r="S491" s="31" t="str">
        <x:f>IF('Blind Scoring'!I491="","",'Blind Scoring'!I491)</x:f>
      </x:c>
      <x:c r="T491" s="31" t="str">
        <x:f>'Blind Scoring'!J491</x:f>
        <x:v>No</x:v>
      </x:c>
      <x:c r="U491" s="31" t="str">
        <x:f>IF('Blind Scoring'!L491="","",'Blind Scoring'!L491)</x:f>
      </x:c>
    </x:row>
    <x:row r="492" ht="44" customHeight="1">
      <x:c r="A492" s="35" t="str">
        <x:v>Not Started</x:v>
      </x:c>
      <x:c r="B492" s="35" t="n">
        <x:v>490</x:v>
      </x:c>
      <x:c r="C492" s="35" t="str">
        <x:v>P08</x:v>
      </x:c>
      <x:c r="D492" s="35" t="n">
        <x:v>57</x:v>
      </x:c>
      <x:c r="E492" s="35" t="str">
        <x:v>Primary VLA</x:v>
      </x:c>
      <x:c r="F492" s="35" t="str">
        <x:v>MolmoAct2</x:v>
      </x:c>
      <x:c r="G492" s="35" t="n">
        <x:v>1</x:v>
      </x:c>
      <x:c r="H492" s="35" t="str">
        <x:v>State Recognition</x:v>
      </x:c>
      <x:c r="I492" s="35" t="str">
        <x:v>Main matched control</x:v>
      </x:c>
      <x:c r="J492" s="35" t="str">
        <x:v>PVLA-ST-CTL-15</x:v>
      </x:c>
      <x:c r="K492" s="35" t="str">
        <x:v>S-CF28</x:v>
      </x:c>
      <x:c r="L492" s="31" t="str">
        <x:v>Place a white cup in the bowl.</x:v>
      </x:c>
      <x:c r="M492" s="31" t="str">
        <x:v>Place a white cup in the bowl.</x:v>
      </x:c>
      <x:c r="N492" s="31" t="str">
        <x:v>S-CF28-CTRL: P2 yellow-white striped cup B=O/UR; P3 brown cup A=O/UD; P4 white cup B=C/UR [TARGET].</x:v>
      </x:c>
      <x:c r="O492" s="31" t="str">
        <x:v>white cup B</x:v>
      </x:c>
      <x:c r="P492" s="31" t="str"/>
      <x:c r="Q492" s="31" t="str"/>
      <x:c r="R492" s="31" t="str"/>
      <x:c r="S492" s="31" t="str">
        <x:f>IF('Blind Scoring'!I492="","",'Blind Scoring'!I492)</x:f>
      </x:c>
      <x:c r="T492" s="31" t="str">
        <x:f>'Blind Scoring'!J492</x:f>
        <x:v>No</x:v>
      </x:c>
      <x:c r="U492" s="31" t="str">
        <x:f>IF('Blind Scoring'!L492="","",'Blind Scoring'!L492)</x:f>
      </x:c>
    </x:row>
    <x:row r="493" ht="44" customHeight="1">
      <x:c r="A493" s="35" t="str">
        <x:v>Not Started</x:v>
      </x:c>
      <x:c r="B493" s="35" t="n">
        <x:v>491</x:v>
      </x:c>
      <x:c r="C493" s="35" t="str">
        <x:v>P08</x:v>
      </x:c>
      <x:c r="D493" s="35" t="n">
        <x:v>58</x:v>
      </x:c>
      <x:c r="E493" s="35" t="str">
        <x:v>Primary VLA</x:v>
      </x:c>
      <x:c r="F493" s="35" t="str">
        <x:v>MolmoAct2</x:v>
      </x:c>
      <x:c r="G493" s="35" t="n">
        <x:v>1</x:v>
      </x:c>
      <x:c r="H493" s="35" t="str">
        <x:v>State Recognition</x:v>
      </x:c>
      <x:c r="I493" s="35" t="str">
        <x:v>Novel layout + seen language</x:v>
      </x:c>
      <x:c r="J493" s="35" t="str">
        <x:v>PVLA-ST-NOV-01</x:v>
      </x:c>
      <x:c r="K493" s="35" t="str">
        <x:v>S-CF01</x:v>
      </x:c>
      <x:c r="L493" s="31" t="str">
        <x:v>Place the open white cup in the bowl.</x:v>
      </x:c>
      <x:c r="M493" s="31" t="str">
        <x:v>Place the open white cup in the bowl.</x:v>
      </x:c>
      <x:c r="N493" s="31" t="str">
        <x:v>S-CF01-SEEN: P1 white cup A=C/UR [TARGET]; P2 white cup B=O/UR [COMPETITOR]; P3 yellow-white striped cup A=C/UD; P4 brown cup B=O/UD.</x:v>
      </x:c>
      <x:c r="O493" s="31" t="str">
        <x:v>white cup B</x:v>
      </x:c>
      <x:c r="P493" s="31" t="str"/>
      <x:c r="Q493" s="31" t="str"/>
      <x:c r="R493" s="31" t="str"/>
      <x:c r="S493" s="31" t="str">
        <x:f>IF('Blind Scoring'!I493="","",'Blind Scoring'!I493)</x:f>
      </x:c>
      <x:c r="T493" s="31" t="str">
        <x:f>'Blind Scoring'!J493</x:f>
        <x:v>No</x:v>
      </x:c>
      <x:c r="U493" s="31" t="str">
        <x:f>IF('Blind Scoring'!L493="","",'Blind Scoring'!L493)</x:f>
      </x:c>
    </x:row>
    <x:row r="494" ht="44" customHeight="1">
      <x:c r="A494" s="35" t="str">
        <x:v>Not Started</x:v>
      </x:c>
      <x:c r="B494" s="35" t="n">
        <x:v>492</x:v>
      </x:c>
      <x:c r="C494" s="35" t="str">
        <x:v>P08</x:v>
      </x:c>
      <x:c r="D494" s="35" t="n">
        <x:v>59</x:v>
      </x:c>
      <x:c r="E494" s="35" t="str">
        <x:v>Primary VLA</x:v>
      </x:c>
      <x:c r="F494" s="35" t="str">
        <x:v>MolmoAct2</x:v>
      </x:c>
      <x:c r="G494" s="35" t="n">
        <x:v>1</x:v>
      </x:c>
      <x:c r="H494" s="35" t="str">
        <x:v>State Recognition</x:v>
      </x:c>
      <x:c r="I494" s="35" t="str">
        <x:v>Main held-out transfer</x:v>
      </x:c>
      <x:c r="J494" s="35" t="str">
        <x:v>PVLA-ST-TR-08</x:v>
      </x:c>
      <x:c r="K494" s="35" t="str">
        <x:v>S-CF15</x:v>
      </x:c>
      <x:c r="L494" s="31" t="str">
        <x:v>Place the closed yellow-white striped cup in the bowl.</x:v>
      </x:c>
      <x:c r="M494" s="31" t="str">
        <x:v>Place the closed yellow-white striped cup in the bowl.</x:v>
      </x:c>
      <x:c r="N494" s="31" t="str">
        <x:v>S-CF15-HELD: P1 brown cup A=C/UR; P2 glass spice container A=O/UR; P3 yellow-white striped cup A=C/UD [TARGET]; P4 yellow-white striped cup B=O/UD [COMPETITOR].</x:v>
      </x:c>
      <x:c r="O494" s="31" t="str">
        <x:v>yellow-white striped cup A</x:v>
      </x:c>
      <x:c r="P494" s="31" t="str"/>
      <x:c r="Q494" s="31" t="str"/>
      <x:c r="R494" s="31" t="str"/>
      <x:c r="S494" s="31" t="str">
        <x:f>IF('Blind Scoring'!I494="","",'Blind Scoring'!I494)</x:f>
      </x:c>
      <x:c r="T494" s="31" t="str">
        <x:f>'Blind Scoring'!J494</x:f>
        <x:v>No</x:v>
      </x:c>
      <x:c r="U494" s="31" t="str">
        <x:f>IF('Blind Scoring'!L494="","",'Blind Scoring'!L494)</x:f>
      </x:c>
    </x:row>
    <x:row r="495" ht="44" customHeight="1">
      <x:c r="A495" s="35" t="str">
        <x:v>Not Started</x:v>
      </x:c>
      <x:c r="B495" s="35" t="n">
        <x:v>493</x:v>
      </x:c>
      <x:c r="C495" s="35" t="str">
        <x:v>P08</x:v>
      </x:c>
      <x:c r="D495" s="35" t="n">
        <x:v>60</x:v>
      </x:c>
      <x:c r="E495" s="35" t="str">
        <x:v>Primary VLA</x:v>
      </x:c>
      <x:c r="F495" s="35" t="str">
        <x:v>MolmoAct2</x:v>
      </x:c>
      <x:c r="G495" s="35" t="n">
        <x:v>1</x:v>
      </x:c>
      <x:c r="H495" s="35" t="str">
        <x:v>State Recognition</x:v>
      </x:c>
      <x:c r="I495" s="35" t="str">
        <x:v>Main matched control</x:v>
      </x:c>
      <x:c r="J495" s="35" t="str">
        <x:v>PVLA-ST-CTL-08</x:v>
      </x:c>
      <x:c r="K495" s="35" t="str">
        <x:v>S-CF15</x:v>
      </x:c>
      <x:c r="L495" s="31" t="str">
        <x:v>Place a yellow-white striped cup in the bowl.</x:v>
      </x:c>
      <x:c r="M495" s="31" t="str">
        <x:v>Place a yellow-white striped cup in the bowl.</x:v>
      </x:c>
      <x:c r="N495" s="31" t="str">
        <x:v>S-CF15-CTRL: P1 brown cup A=C/UR; P2 glass spice container A=O/UR; P3 yellow-white striped cup A=C/UD [TARGET].</x:v>
      </x:c>
      <x:c r="O495" s="31" t="str">
        <x:v>yellow-white striped cup A</x:v>
      </x:c>
      <x:c r="P495" s="31" t="str"/>
      <x:c r="Q495" s="31" t="str"/>
      <x:c r="R495" s="31" t="str"/>
      <x:c r="S495" s="31" t="str">
        <x:f>IF('Blind Scoring'!I495="","",'Blind Scoring'!I495)</x:f>
      </x:c>
      <x:c r="T495" s="31" t="str">
        <x:f>'Blind Scoring'!J495</x:f>
        <x:v>No</x:v>
      </x:c>
      <x:c r="U495" s="31" t="str">
        <x:f>IF('Blind Scoring'!L495="","",'Blind Scoring'!L495)</x:f>
      </x:c>
    </x:row>
    <x:row r="496" ht="44" customHeight="1">
      <x:c r="A496" s="35" t="str">
        <x:v>Not Started</x:v>
      </x:c>
      <x:c r="B496" s="35" t="n">
        <x:v>494</x:v>
      </x:c>
      <x:c r="C496" s="35" t="str">
        <x:v>P08</x:v>
      </x:c>
      <x:c r="D496" s="35" t="n">
        <x:v>61</x:v>
      </x:c>
      <x:c r="E496" s="35" t="str">
        <x:v>Primary VLA</x:v>
      </x:c>
      <x:c r="F496" s="35" t="str">
        <x:v>MolmoAct2</x:v>
      </x:c>
      <x:c r="G496" s="35" t="n">
        <x:v>1</x:v>
      </x:c>
      <x:c r="H496" s="35" t="str">
        <x:v>State Recognition</x:v>
      </x:c>
      <x:c r="I496" s="35" t="str">
        <x:v>Main held-out transfer</x:v>
      </x:c>
      <x:c r="J496" s="35" t="str">
        <x:v>PVLA-ST-TR-15</x:v>
      </x:c>
      <x:c r="K496" s="35" t="str">
        <x:v>S-CF28</x:v>
      </x:c>
      <x:c r="L496" s="31" t="str">
        <x:v>Place the upright white cup in the bowl.</x:v>
      </x:c>
      <x:c r="M496" s="31" t="str">
        <x:v>Place the upright white cup in the bowl.</x:v>
      </x:c>
      <x:c r="N496" s="31" t="str">
        <x:v>S-CF28-HELD: P1 white cup A=C/UD [COMPETITOR]; P2 yellow-white striped cup B=O/UR; P3 brown cup A=O/UD; P4 white cup B=C/UR [TARGET].</x:v>
      </x:c>
      <x:c r="O496" s="31" t="str">
        <x:v>white cup B</x:v>
      </x:c>
      <x:c r="P496" s="31" t="str"/>
      <x:c r="Q496" s="31" t="str"/>
      <x:c r="R496" s="31" t="str"/>
      <x:c r="S496" s="31" t="str">
        <x:f>IF('Blind Scoring'!I496="","",'Blind Scoring'!I496)</x:f>
      </x:c>
      <x:c r="T496" s="31" t="str">
        <x:f>'Blind Scoring'!J496</x:f>
        <x:v>No</x:v>
      </x:c>
      <x:c r="U496" s="31" t="str">
        <x:f>IF('Blind Scoring'!L496="","",'Blind Scoring'!L496)</x:f>
      </x:c>
    </x:row>
    <x:row r="497" ht="44" customHeight="1">
      <x:c r="A497" s="35" t="str">
        <x:v>Not Started</x:v>
      </x:c>
      <x:c r="B497" s="35" t="n">
        <x:v>495</x:v>
      </x:c>
      <x:c r="C497" s="35" t="str">
        <x:v>P08</x:v>
      </x:c>
      <x:c r="D497" s="35" t="n">
        <x:v>62</x:v>
      </x:c>
      <x:c r="E497" s="35" t="str">
        <x:v>Primary VLA</x:v>
      </x:c>
      <x:c r="F497" s="35" t="str">
        <x:v>MolmoAct2</x:v>
      </x:c>
      <x:c r="G497" s="35" t="n">
        <x:v>1</x:v>
      </x:c>
      <x:c r="H497" s="35" t="str">
        <x:v>State Recognition</x:v>
      </x:c>
      <x:c r="I497" s="35" t="str">
        <x:v>Main held-out transfer</x:v>
      </x:c>
      <x:c r="J497" s="35" t="str">
        <x:v>PVLA-ST-TR-02</x:v>
      </x:c>
      <x:c r="K497" s="35" t="str">
        <x:v>S-CF03</x:v>
      </x:c>
      <x:c r="L497" s="31" t="str">
        <x:v>Place the closed glass spice container in the bowl.</x:v>
      </x:c>
      <x:c r="M497" s="31" t="str">
        <x:v>Place the closed glass spice container in the bowl.</x:v>
      </x:c>
      <x:c r="N497" s="31" t="str">
        <x:v>S-CF03-HELD: P1 white cup A=C/UR; P2 yellow-white striped cup A=O/UR; P3 glass spice container B=C/UD [TARGET]; P4 glass spice container A=O/UD [COMPETITOR].</x:v>
      </x:c>
      <x:c r="O497" s="31" t="str">
        <x:v>glass spice container B</x:v>
      </x:c>
      <x:c r="P497" s="31" t="str"/>
      <x:c r="Q497" s="31" t="str"/>
      <x:c r="R497" s="31" t="str"/>
      <x:c r="S497" s="31" t="str">
        <x:f>IF('Blind Scoring'!I497="","",'Blind Scoring'!I497)</x:f>
      </x:c>
      <x:c r="T497" s="31" t="str">
        <x:f>'Blind Scoring'!J497</x:f>
        <x:v>No</x:v>
      </x:c>
      <x:c r="U497" s="31" t="str">
        <x:f>IF('Blind Scoring'!L497="","",'Blind Scoring'!L497)</x:f>
      </x:c>
    </x:row>
    <x:row r="498" ht="44" customHeight="1">
      <x:c r="A498" s="35" t="str">
        <x:v>Not Started</x:v>
      </x:c>
      <x:c r="B498" s="35" t="n">
        <x:v>496</x:v>
      </x:c>
      <x:c r="C498" s="35" t="str">
        <x:v>P09</x:v>
      </x:c>
      <x:c r="D498" s="35" t="n">
        <x:v>1</x:v>
      </x:c>
      <x:c r="E498" s="35" t="str">
        <x:v>Primary VLA</x:v>
      </x:c>
      <x:c r="F498" s="35" t="str">
        <x:v>MolmoAct2</x:v>
      </x:c>
      <x:c r="G498" s="35" t="n">
        <x:v>1</x:v>
      </x:c>
      <x:c r="H498" s="35" t="str">
        <x:v>Relational Placement</x:v>
      </x:c>
      <x:c r="I498" s="35" t="str">
        <x:v>Exact-scene paraphrase</x:v>
      </x:c>
      <x:c r="J498" s="35" t="str">
        <x:v>PVLA-RP-PAR-02</x:v>
      </x:c>
      <x:c r="K498" s="35" t="str"/>
      <x:c r="L498" s="31" t="str">
        <x:v>Move the red block to the side of the pink marker facing the robot.</x:v>
      </x:c>
      <x:c r="M498" s="31" t="str">
        <x:v>Move the red block to the side of the pink marker facing the robot.</x:v>
      </x:c>
      <x:c r="N498" s="31" t="str">
        <x:v>R-P01: pink marker at center [REFERENCE]; red block starts 21 cm behind the reference [TARGET START]; remaining objects are distractors with ≥12 cm clearance from the target path and commanded goal sector.</x:v>
      </x:c>
      <x:c r="O498" s="31" t="str">
        <x:v>red block</x:v>
      </x:c>
      <x:c r="P498" s="31" t="str"/>
      <x:c r="Q498" s="31" t="str"/>
      <x:c r="R498" s="31" t="str"/>
      <x:c r="S498" s="31" t="str">
        <x:f>IF('Blind Scoring'!I498="","",'Blind Scoring'!I498)</x:f>
      </x:c>
      <x:c r="T498" s="31" t="str">
        <x:f>'Blind Scoring'!J498</x:f>
        <x:v>No</x:v>
      </x:c>
      <x:c r="U498" s="31" t="str">
        <x:f>IF('Blind Scoring'!L498="","",'Blind Scoring'!L498)</x:f>
      </x:c>
    </x:row>
    <x:row r="499" ht="44" customHeight="1">
      <x:c r="A499" s="35" t="str">
        <x:v>Not Started</x:v>
      </x:c>
      <x:c r="B499" s="35" t="n">
        <x:v>497</x:v>
      </x:c>
      <x:c r="C499" s="35" t="str">
        <x:v>P09</x:v>
      </x:c>
      <x:c r="D499" s="35" t="n">
        <x:v>2</x:v>
      </x:c>
      <x:c r="E499" s="35" t="str">
        <x:v>Primary VLA</x:v>
      </x:c>
      <x:c r="F499" s="35" t="str">
        <x:v>MolmoAct2</x:v>
      </x:c>
      <x:c r="G499" s="35" t="n">
        <x:v>1</x:v>
      </x:c>
      <x:c r="H499" s="35" t="str">
        <x:v>Relational Placement</x:v>
      </x:c>
      <x:c r="I499" s="35" t="str">
        <x:v>Main held-out transfer</x:v>
      </x:c>
      <x:c r="J499" s="35" t="str">
        <x:v>PVLA-RP-TR-05</x:v>
      </x:c>
      <x:c r="K499" s="35" t="str">
        <x:v>R-CF09</x:v>
      </x:c>
      <x:c r="L499" s="31" t="str">
        <x:v>Place the green pen in front of the red block.</x:v>
      </x:c>
      <x:c r="M499" s="31" t="str">
        <x:v>Place the green pen in front of the red block.</x:v>
      </x:c>
      <x:c r="N499" s="31" t="str">
        <x:v>R-CF09-HELD: red block at front-left [REFERENCE]; green pen starts 24 cm behind the reference [TARGET START]; pink marker and blue block are distractors outside the commanded goal sector.</x:v>
      </x:c>
      <x:c r="O499" s="31" t="str">
        <x:v>green pen → in front of red block</x:v>
      </x:c>
      <x:c r="P499" s="31" t="str"/>
      <x:c r="Q499" s="31" t="str"/>
      <x:c r="R499" s="31" t="str"/>
      <x:c r="S499" s="31" t="str">
        <x:f>IF('Blind Scoring'!I499="","",'Blind Scoring'!I499)</x:f>
      </x:c>
      <x:c r="T499" s="31" t="str">
        <x:f>'Blind Scoring'!J499</x:f>
        <x:v>No</x:v>
      </x:c>
      <x:c r="U499" s="31" t="str">
        <x:f>IF('Blind Scoring'!L499="","",'Blind Scoring'!L499)</x:f>
      </x:c>
    </x:row>
    <x:row r="500" ht="44" customHeight="1">
      <x:c r="A500" s="35" t="str">
        <x:v>Not Started</x:v>
      </x:c>
      <x:c r="B500" s="35" t="n">
        <x:v>498</x:v>
      </x:c>
      <x:c r="C500" s="35" t="str">
        <x:v>P09</x:v>
      </x:c>
      <x:c r="D500" s="35" t="n">
        <x:v>3</x:v>
      </x:c>
      <x:c r="E500" s="35" t="str">
        <x:v>Primary VLA</x:v>
      </x:c>
      <x:c r="F500" s="35" t="str">
        <x:v>MolmoAct2</x:v>
      </x:c>
      <x:c r="G500" s="35" t="n">
        <x:v>1</x:v>
      </x:c>
      <x:c r="H500" s="35" t="str">
        <x:v>Relational Placement</x:v>
      </x:c>
      <x:c r="I500" s="35" t="str">
        <x:v>Main held-out transfer</x:v>
      </x:c>
      <x:c r="J500" s="35" t="str">
        <x:v>PVLA-RP-TR-03</x:v>
      </x:c>
      <x:c r="K500" s="35" t="str">
        <x:v>R-CF05</x:v>
      </x:c>
      <x:c r="L500" s="31" t="str">
        <x:v>Place the green pen to the left of the red block.</x:v>
      </x:c>
      <x:c r="M500" s="31" t="str">
        <x:v>Place the green pen to the left of the red block.</x:v>
      </x:c>
      <x:c r="N500" s="31" t="str">
        <x:v>R-CF05-HELD: red block at front-right [REFERENCE]; green pen starts 21 cm to the right of the reference [TARGET START]; pink marker and blue block are distractors outside the commanded goal sector.</x:v>
      </x:c>
      <x:c r="O500" s="31" t="str">
        <x:v>green pen → to the left of red block</x:v>
      </x:c>
      <x:c r="P500" s="31" t="str"/>
      <x:c r="Q500" s="31" t="str"/>
      <x:c r="R500" s="31" t="str"/>
      <x:c r="S500" s="31" t="str">
        <x:f>IF('Blind Scoring'!I500="","",'Blind Scoring'!I500)</x:f>
      </x:c>
      <x:c r="T500" s="31" t="str">
        <x:f>'Blind Scoring'!J500</x:f>
        <x:v>No</x:v>
      </x:c>
      <x:c r="U500" s="31" t="str">
        <x:f>IF('Blind Scoring'!L500="","",'Blind Scoring'!L500)</x:f>
      </x:c>
    </x:row>
    <x:row r="501" ht="44" customHeight="1">
      <x:c r="A501" s="35" t="str">
        <x:v>Not Started</x:v>
      </x:c>
      <x:c r="B501" s="35" t="n">
        <x:v>499</x:v>
      </x:c>
      <x:c r="C501" s="35" t="str">
        <x:v>P09</x:v>
      </x:c>
      <x:c r="D501" s="35" t="n">
        <x:v>4</x:v>
      </x:c>
      <x:c r="E501" s="35" t="str">
        <x:v>Primary VLA</x:v>
      </x:c>
      <x:c r="F501" s="35" t="str">
        <x:v>MolmoAct2</x:v>
      </x:c>
      <x:c r="G501" s="35" t="n">
        <x:v>1</x:v>
      </x:c>
      <x:c r="H501" s="35" t="str">
        <x:v>Relational Placement</x:v>
      </x:c>
      <x:c r="I501" s="35" t="str">
        <x:v>Exact-scene paraphrase</x:v>
      </x:c>
      <x:c r="J501" s="35" t="str">
        <x:v>PVLA-RP-PAR-08</x:v>
      </x:c>
      <x:c r="K501" s="35" t="str"/>
      <x:c r="L501" s="31" t="str">
        <x:v>Move the red block to the side of the pink marker facing the robot.</x:v>
      </x:c>
      <x:c r="M501" s="31" t="str">
        <x:v>Move the red block to the side of the pink marker facing the robot.</x:v>
      </x:c>
      <x:c r="N501" s="31" t="str">
        <x:v>R-P01: pink marker at center [REFERENCE]; red block starts 21 cm behind the reference [TARGET START]; remaining objects are distractors with ≥12 cm clearance from the target path and commanded goal sector.</x:v>
      </x:c>
      <x:c r="O501" s="31" t="str">
        <x:v>red block</x:v>
      </x:c>
      <x:c r="P501" s="31" t="str"/>
      <x:c r="Q501" s="31" t="str"/>
      <x:c r="R501" s="31" t="str"/>
      <x:c r="S501" s="31" t="str">
        <x:f>IF('Blind Scoring'!I501="","",'Blind Scoring'!I501)</x:f>
      </x:c>
      <x:c r="T501" s="31" t="str">
        <x:f>'Blind Scoring'!J501</x:f>
        <x:v>No</x:v>
      </x:c>
      <x:c r="U501" s="31" t="str">
        <x:f>IF('Blind Scoring'!L501="","",'Blind Scoring'!L501)</x:f>
      </x:c>
    </x:row>
    <x:row r="502" ht="44" customHeight="1">
      <x:c r="A502" s="35" t="str">
        <x:v>Not Started</x:v>
      </x:c>
      <x:c r="B502" s="35" t="n">
        <x:v>500</x:v>
      </x:c>
      <x:c r="C502" s="35" t="str">
        <x:v>P09</x:v>
      </x:c>
      <x:c r="D502" s="35" t="n">
        <x:v>5</x:v>
      </x:c>
      <x:c r="E502" s="35" t="str">
        <x:v>Primary VLA</x:v>
      </x:c>
      <x:c r="F502" s="35" t="str">
        <x:v>MolmoAct2</x:v>
      </x:c>
      <x:c r="G502" s="35" t="n">
        <x:v>1</x:v>
      </x:c>
      <x:c r="H502" s="35" t="str">
        <x:v>Relational Placement</x:v>
      </x:c>
      <x:c r="I502" s="35" t="str">
        <x:v>Training reconstruction</x:v>
      </x:c>
      <x:c r="J502" s="35" t="str">
        <x:v>PVLA-RP-REC-02</x:v>
      </x:c>
      <x:c r="K502" s="35" t="str"/>
      <x:c r="L502" s="31" t="str">
        <x:v>Put the green pen on the table in front of the pink marker.</x:v>
      </x:c>
      <x:c r="M502" s="31" t="str">
        <x:v>Put the green pen on the table in front of the pink marker.</x:v>
      </x:c>
      <x:c r="N502" s="31" t="str">
        <x:v>Reconstruct planned final training episode 206: green pen, red block, pink marker, blue block; start=Home. Match camera, calibration, bowl pose, and object geometry exactly.</x:v>
      </x:c>
      <x:c r="O502" s="31" t="str">
        <x:v>green pen</x:v>
      </x:c>
      <x:c r="P502" s="31" t="str"/>
      <x:c r="Q502" s="31" t="str"/>
      <x:c r="R502" s="31" t="str"/>
      <x:c r="S502" s="31" t="str">
        <x:f>IF('Blind Scoring'!I502="","",'Blind Scoring'!I502)</x:f>
      </x:c>
      <x:c r="T502" s="31" t="str">
        <x:f>'Blind Scoring'!J502</x:f>
        <x:v>No</x:v>
      </x:c>
      <x:c r="U502" s="31" t="str">
        <x:f>IF('Blind Scoring'!L502="","",'Blind Scoring'!L502)</x:f>
      </x:c>
    </x:row>
    <x:row r="503" ht="44" customHeight="1">
      <x:c r="A503" s="35" t="str">
        <x:v>Not Started</x:v>
      </x:c>
      <x:c r="B503" s="35" t="n">
        <x:v>501</x:v>
      </x:c>
      <x:c r="C503" s="35" t="str">
        <x:v>P09</x:v>
      </x:c>
      <x:c r="D503" s="35" t="n">
        <x:v>6</x:v>
      </x:c>
      <x:c r="E503" s="35" t="str">
        <x:v>Primary VLA</x:v>
      </x:c>
      <x:c r="F503" s="35" t="str">
        <x:v>MolmoAct2</x:v>
      </x:c>
      <x:c r="G503" s="35" t="n">
        <x:v>1</x:v>
      </x:c>
      <x:c r="H503" s="35" t="str">
        <x:v>Relational Placement</x:v>
      </x:c>
      <x:c r="I503" s="35" t="str">
        <x:v>Main held-out transfer</x:v>
      </x:c>
      <x:c r="J503" s="35" t="str">
        <x:v>PVLA-RP-TR-16</x:v>
      </x:c>
      <x:c r="K503" s="35" t="str">
        <x:v>R-CF30</x:v>
      </x:c>
      <x:c r="L503" s="31" t="str">
        <x:v>Place the red block to the right of the green pen.</x:v>
      </x:c>
      <x:c r="M503" s="31" t="str">
        <x:v>Place the red block to the right of the green pen.</x:v>
      </x:c>
      <x:c r="N503" s="31" t="str">
        <x:v>R-CF30-HELD: green pen at front-right [REFERENCE]; red block starts 24 cm to the left of the reference [TARGET START]; blue block and pink marker are distractors outside the commanded goal sector.</x:v>
      </x:c>
      <x:c r="O503" s="31" t="str">
        <x:v>red block → to the right of green pen</x:v>
      </x:c>
      <x:c r="P503" s="31" t="str"/>
      <x:c r="Q503" s="31" t="str"/>
      <x:c r="R503" s="31" t="str"/>
      <x:c r="S503" s="31" t="str">
        <x:f>IF('Blind Scoring'!I503="","",'Blind Scoring'!I503)</x:f>
      </x:c>
      <x:c r="T503" s="31" t="str">
        <x:f>'Blind Scoring'!J503</x:f>
        <x:v>No</x:v>
      </x:c>
      <x:c r="U503" s="31" t="str">
        <x:f>IF('Blind Scoring'!L503="","",'Blind Scoring'!L503)</x:f>
      </x:c>
    </x:row>
    <x:row r="504" ht="44" customHeight="1">
      <x:c r="A504" s="35" t="str">
        <x:v>Not Started</x:v>
      </x:c>
      <x:c r="B504" s="35" t="n">
        <x:v>502</x:v>
      </x:c>
      <x:c r="C504" s="35" t="str">
        <x:v>P09</x:v>
      </x:c>
      <x:c r="D504" s="35" t="n">
        <x:v>7</x:v>
      </x:c>
      <x:c r="E504" s="35" t="str">
        <x:v>Primary VLA</x:v>
      </x:c>
      <x:c r="F504" s="35" t="str">
        <x:v>MolmoAct2</x:v>
      </x:c>
      <x:c r="G504" s="35" t="n">
        <x:v>1</x:v>
      </x:c>
      <x:c r="H504" s="35" t="str">
        <x:v>Relational Placement</x:v>
      </x:c>
      <x:c r="I504" s="35" t="str">
        <x:v>Language ablation — blank</x:v>
      </x:c>
      <x:c r="J504" s="35" t="str">
        <x:v>PVLA-RP-ABL-BLK-02</x:v>
      </x:c>
      <x:c r="K504" s="35" t="str">
        <x:v>R-CF03</x:v>
      </x:c>
      <x:c r="L504" s="31" t="str">
        <x:v>[EMPTY STRING — provide no instruction tokens]</x:v>
      </x:c>
      <x:c r="M504" s="31" t="str">
        <x:v>Place the green pen to the right of the red block.</x:v>
      </x:c>
      <x:c r="N504" s="31" t="str">
        <x:v>R-CF03-HELD: red block at back-right [REFERENCE]; green pen starts 24 cm to the left of the reference [TARGET START]; pink marker and blue block are distractors outside the commanded goal sector.</x:v>
      </x:c>
      <x:c r="O504" s="31" t="str">
        <x:v>No prespecified task success under blank language; record any action/selected target.</x:v>
      </x:c>
      <x:c r="P504" s="31" t="str"/>
      <x:c r="Q504" s="31" t="str"/>
      <x:c r="R504" s="31" t="str"/>
      <x:c r="S504" s="31" t="str">
        <x:f>IF('Blind Scoring'!I504="","",'Blind Scoring'!I504)</x:f>
      </x:c>
      <x:c r="T504" s="31" t="str">
        <x:f>'Blind Scoring'!J504</x:f>
        <x:v>No</x:v>
      </x:c>
      <x:c r="U504" s="31" t="str">
        <x:f>IF('Blind Scoring'!L504="","",'Blind Scoring'!L504)</x:f>
      </x:c>
    </x:row>
    <x:row r="505" ht="44" customHeight="1">
      <x:c r="A505" s="35" t="str">
        <x:v>Not Started</x:v>
      </x:c>
      <x:c r="B505" s="35" t="n">
        <x:v>503</x:v>
      </x:c>
      <x:c r="C505" s="35" t="str">
        <x:v>P09</x:v>
      </x:c>
      <x:c r="D505" s="35" t="n">
        <x:v>8</x:v>
      </x:c>
      <x:c r="E505" s="35" t="str">
        <x:v>Primary VLA</x:v>
      </x:c>
      <x:c r="F505" s="35" t="str">
        <x:v>MolmoAct2</x:v>
      </x:c>
      <x:c r="G505" s="35" t="n">
        <x:v>1</x:v>
      </x:c>
      <x:c r="H505" s="35" t="str">
        <x:v>Relational Placement</x:v>
      </x:c>
      <x:c r="I505" s="35" t="str">
        <x:v>Main held-out transfer</x:v>
      </x:c>
      <x:c r="J505" s="35" t="str">
        <x:v>PVLA-RP-TR-13</x:v>
      </x:c>
      <x:c r="K505" s="35" t="str">
        <x:v>R-CF24</x:v>
      </x:c>
      <x:c r="L505" s="31" t="str">
        <x:v>Place the red block to the left of the green pen.</x:v>
      </x:c>
      <x:c r="M505" s="31" t="str">
        <x:v>Place the red block to the left of the green pen.</x:v>
      </x:c>
      <x:c r="N505" s="31" t="str">
        <x:v>R-CF24-HELD: green pen at front-left [REFERENCE]; red block starts 24 cm to the right of the reference [TARGET START]; blue block and pink marker are distractors outside the commanded goal sector.</x:v>
      </x:c>
      <x:c r="O505" s="31" t="str">
        <x:v>red block → to the left of green pen</x:v>
      </x:c>
      <x:c r="P505" s="31" t="str"/>
      <x:c r="Q505" s="31" t="str"/>
      <x:c r="R505" s="31" t="str"/>
      <x:c r="S505" s="31" t="str">
        <x:f>IF('Blind Scoring'!I505="","",'Blind Scoring'!I505)</x:f>
      </x:c>
      <x:c r="T505" s="31" t="str">
        <x:f>'Blind Scoring'!J505</x:f>
        <x:v>No</x:v>
      </x:c>
      <x:c r="U505" s="31" t="str">
        <x:f>IF('Blind Scoring'!L505="","",'Blind Scoring'!L505)</x:f>
      </x:c>
    </x:row>
    <x:row r="506" ht="44" customHeight="1">
      <x:c r="A506" s="35" t="str">
        <x:v>Not Started</x:v>
      </x:c>
      <x:c r="B506" s="35" t="n">
        <x:v>504</x:v>
      </x:c>
      <x:c r="C506" s="35" t="str">
        <x:v>P09</x:v>
      </x:c>
      <x:c r="D506" s="35" t="n">
        <x:v>9</x:v>
      </x:c>
      <x:c r="E506" s="35" t="str">
        <x:v>Primary VLA</x:v>
      </x:c>
      <x:c r="F506" s="35" t="str">
        <x:v>MolmoAct2</x:v>
      </x:c>
      <x:c r="G506" s="35" t="n">
        <x:v>1</x:v>
      </x:c>
      <x:c r="H506" s="35" t="str">
        <x:v>Relational Placement</x:v>
      </x:c>
      <x:c r="I506" s="35" t="str">
        <x:v>Main matched control</x:v>
      </x:c>
      <x:c r="J506" s="35" t="str">
        <x:v>PVLA-RP-CTL-05</x:v>
      </x:c>
      <x:c r="K506" s="35" t="str">
        <x:v>R-CF09</x:v>
      </x:c>
      <x:c r="L506" s="31" t="str">
        <x:v>Place the green pen beside the red block.</x:v>
      </x:c>
      <x:c r="M506" s="31" t="str">
        <x:v>Place the green pen beside the red block.</x:v>
      </x:c>
      <x:c r="N506" s="31" t="str">
        <x:v>R-CF09-CTRL: red block at front-left [REFERENCE]; green pen starts 24 cm behind the reference [TARGET START]; pink marker and blue block are distractors outside the commanded goal sector.</x:v>
      </x:c>
      <x:c r="O506" s="31" t="str">
        <x:v>green pen near red block</x:v>
      </x:c>
      <x:c r="P506" s="31" t="str"/>
      <x:c r="Q506" s="31" t="str"/>
      <x:c r="R506" s="31" t="str"/>
      <x:c r="S506" s="31" t="str">
        <x:f>IF('Blind Scoring'!I506="","",'Blind Scoring'!I506)</x:f>
      </x:c>
      <x:c r="T506" s="31" t="str">
        <x:f>'Blind Scoring'!J506</x:f>
        <x:v>No</x:v>
      </x:c>
      <x:c r="U506" s="31" t="str">
        <x:f>IF('Blind Scoring'!L506="","",'Blind Scoring'!L506)</x:f>
      </x:c>
    </x:row>
    <x:row r="507" ht="44" customHeight="1">
      <x:c r="A507" s="35" t="str">
        <x:v>Not Started</x:v>
      </x:c>
      <x:c r="B507" s="35" t="n">
        <x:v>505</x:v>
      </x:c>
      <x:c r="C507" s="35" t="str">
        <x:v>P09</x:v>
      </x:c>
      <x:c r="D507" s="35" t="n">
        <x:v>10</x:v>
      </x:c>
      <x:c r="E507" s="35" t="str">
        <x:v>Primary VLA</x:v>
      </x:c>
      <x:c r="F507" s="35" t="str">
        <x:v>MolmoAct2</x:v>
      </x:c>
      <x:c r="G507" s="35" t="n">
        <x:v>1</x:v>
      </x:c>
      <x:c r="H507" s="35" t="str">
        <x:v>Relational Placement</x:v>
      </x:c>
      <x:c r="I507" s="35" t="str">
        <x:v>Main matched control</x:v>
      </x:c>
      <x:c r="J507" s="35" t="str">
        <x:v>PVLA-RP-CTL-13</x:v>
      </x:c>
      <x:c r="K507" s="35" t="str">
        <x:v>R-CF24</x:v>
      </x:c>
      <x:c r="L507" s="31" t="str">
        <x:v>Place the red block beside the green pen.</x:v>
      </x:c>
      <x:c r="M507" s="31" t="str">
        <x:v>Place the red block beside the green pen.</x:v>
      </x:c>
      <x:c r="N507" s="31" t="str">
        <x:v>R-CF24-CTRL: green pen at front-left [REFERENCE]; red block starts 24 cm to the right of the reference [TARGET START]; blue block and pink marker are distractors outside the commanded goal sector.</x:v>
      </x:c>
      <x:c r="O507" s="31" t="str">
        <x:v>red block near green pen</x:v>
      </x:c>
      <x:c r="P507" s="31" t="str"/>
      <x:c r="Q507" s="31" t="str"/>
      <x:c r="R507" s="31" t="str"/>
      <x:c r="S507" s="31" t="str">
        <x:f>IF('Blind Scoring'!I507="","",'Blind Scoring'!I507)</x:f>
      </x:c>
      <x:c r="T507" s="31" t="str">
        <x:f>'Blind Scoring'!J507</x:f>
        <x:v>No</x:v>
      </x:c>
      <x:c r="U507" s="31" t="str">
        <x:f>IF('Blind Scoring'!L507="","",'Blind Scoring'!L507)</x:f>
      </x:c>
    </x:row>
    <x:row r="508" ht="44" customHeight="1">
      <x:c r="A508" s="35" t="str">
        <x:v>Not Started</x:v>
      </x:c>
      <x:c r="B508" s="35" t="n">
        <x:v>506</x:v>
      </x:c>
      <x:c r="C508" s="35" t="str">
        <x:v>P09</x:v>
      </x:c>
      <x:c r="D508" s="35" t="n">
        <x:v>11</x:v>
      </x:c>
      <x:c r="E508" s="35" t="str">
        <x:v>Primary VLA</x:v>
      </x:c>
      <x:c r="F508" s="35" t="str">
        <x:v>MolmoAct2</x:v>
      </x:c>
      <x:c r="G508" s="35" t="n">
        <x:v>1</x:v>
      </x:c>
      <x:c r="H508" s="35" t="str">
        <x:v>Relational Placement</x:v>
      </x:c>
      <x:c r="I508" s="35" t="str">
        <x:v>Exact-scene paraphrase</x:v>
      </x:c>
      <x:c r="J508" s="35" t="str">
        <x:v>PVLA-RP-PAR-03</x:v>
      </x:c>
      <x:c r="K508" s="35" t="str"/>
      <x:c r="L508" s="31" t="str">
        <x:v>Move the red block to the side of the pink marker facing the robot.</x:v>
      </x:c>
      <x:c r="M508" s="31" t="str">
        <x:v>Move the red block to the side of the pink marker facing the robot.</x:v>
      </x:c>
      <x:c r="N508" s="31" t="str">
        <x:v>R-P01: pink marker at center [REFERENCE]; red block starts 21 cm behind the reference [TARGET START]; remaining objects are distractors with ≥12 cm clearance from the target path and commanded goal sector.</x:v>
      </x:c>
      <x:c r="O508" s="31" t="str">
        <x:v>red block</x:v>
      </x:c>
      <x:c r="P508" s="31" t="str"/>
      <x:c r="Q508" s="31" t="str"/>
      <x:c r="R508" s="31" t="str"/>
      <x:c r="S508" s="31" t="str">
        <x:f>IF('Blind Scoring'!I508="","",'Blind Scoring'!I508)</x:f>
      </x:c>
      <x:c r="T508" s="31" t="str">
        <x:f>'Blind Scoring'!J508</x:f>
        <x:v>No</x:v>
      </x:c>
      <x:c r="U508" s="31" t="str">
        <x:f>IF('Blind Scoring'!L508="","",'Blind Scoring'!L508)</x:f>
      </x:c>
    </x:row>
    <x:row r="509" ht="44" customHeight="1">
      <x:c r="A509" s="35" t="str">
        <x:v>Not Started</x:v>
      </x:c>
      <x:c r="B509" s="35" t="n">
        <x:v>507</x:v>
      </x:c>
      <x:c r="C509" s="35" t="str">
        <x:v>P09</x:v>
      </x:c>
      <x:c r="D509" s="35" t="n">
        <x:v>12</x:v>
      </x:c>
      <x:c r="E509" s="35" t="str">
        <x:v>Primary VLA</x:v>
      </x:c>
      <x:c r="F509" s="35" t="str">
        <x:v>MolmoAct2</x:v>
      </x:c>
      <x:c r="G509" s="35" t="n">
        <x:v>1</x:v>
      </x:c>
      <x:c r="H509" s="35" t="str">
        <x:v>Relational Placement</x:v>
      </x:c>
      <x:c r="I509" s="35" t="str">
        <x:v>Novel layout + seen language</x:v>
      </x:c>
      <x:c r="J509" s="35" t="str">
        <x:v>PVLA-RP-NOV-07</x:v>
      </x:c>
      <x:c r="K509" s="35" t="str"/>
      <x:c r="L509" s="31" t="str">
        <x:v>Place the pink marker in front of the blue block.</x:v>
      </x:c>
      <x:c r="M509" s="31" t="str">
        <x:v>Place the pink marker in front of the blue block.</x:v>
      </x:c>
      <x:c r="N509" s="31" t="str">
        <x:v>R-S17: blue block at center [REFERENCE]; pink marker starts 18 cm behind the reference [TARGET START]; remaining objects are distractors with ≥12 cm clearance from the target path and commanded goal sector.</x:v>
      </x:c>
      <x:c r="O509" s="31" t="str">
        <x:v>pink marker</x:v>
      </x:c>
      <x:c r="P509" s="31" t="str"/>
      <x:c r="Q509" s="31" t="str"/>
      <x:c r="R509" s="31" t="str"/>
      <x:c r="S509" s="31" t="str">
        <x:f>IF('Blind Scoring'!I509="","",'Blind Scoring'!I509)</x:f>
      </x:c>
      <x:c r="T509" s="31" t="str">
        <x:f>'Blind Scoring'!J509</x:f>
        <x:v>No</x:v>
      </x:c>
      <x:c r="U509" s="31" t="str">
        <x:f>IF('Blind Scoring'!L509="","",'Blind Scoring'!L509)</x:f>
      </x:c>
    </x:row>
    <x:row r="510" ht="44" customHeight="1">
      <x:c r="A510" s="35" t="str">
        <x:v>Not Started</x:v>
      </x:c>
      <x:c r="B510" s="35" t="n">
        <x:v>508</x:v>
      </x:c>
      <x:c r="C510" s="35" t="str">
        <x:v>P09</x:v>
      </x:c>
      <x:c r="D510" s="35" t="n">
        <x:v>13</x:v>
      </x:c>
      <x:c r="E510" s="35" t="str">
        <x:v>Primary VLA</x:v>
      </x:c>
      <x:c r="F510" s="35" t="str">
        <x:v>MolmoAct2</x:v>
      </x:c>
      <x:c r="G510" s="35" t="n">
        <x:v>1</x:v>
      </x:c>
      <x:c r="H510" s="35" t="str">
        <x:v>Relational Placement</x:v>
      </x:c>
      <x:c r="I510" s="35" t="str">
        <x:v>Training reconstruction</x:v>
      </x:c>
      <x:c r="J510" s="35" t="str">
        <x:v>PVLA-RP-REC-03</x:v>
      </x:c>
      <x:c r="K510" s="35" t="str"/>
      <x:c r="L510" s="31" t="str">
        <x:v>Place the green pen behind the pink marker.</x:v>
      </x:c>
      <x:c r="M510" s="31" t="str">
        <x:v>Place the green pen behind the pink marker.</x:v>
      </x:c>
      <x:c r="N510" s="31" t="str">
        <x:v>Reconstruct planned final training episode 218: green pen, pink marker, red block; start=Home. Match camera, calibration, bowl pose, and object geometry exactly.</x:v>
      </x:c>
      <x:c r="O510" s="31" t="str">
        <x:v>green pen</x:v>
      </x:c>
      <x:c r="P510" s="31" t="str"/>
      <x:c r="Q510" s="31" t="str"/>
      <x:c r="R510" s="31" t="str"/>
      <x:c r="S510" s="31" t="str">
        <x:f>IF('Blind Scoring'!I510="","",'Blind Scoring'!I510)</x:f>
      </x:c>
      <x:c r="T510" s="31" t="str">
        <x:f>'Blind Scoring'!J510</x:f>
        <x:v>No</x:v>
      </x:c>
      <x:c r="U510" s="31" t="str">
        <x:f>IF('Blind Scoring'!L510="","",'Blind Scoring'!L510)</x:f>
      </x:c>
    </x:row>
    <x:row r="511" ht="44" customHeight="1">
      <x:c r="A511" s="35" t="str">
        <x:v>Not Started</x:v>
      </x:c>
      <x:c r="B511" s="35" t="n">
        <x:v>509</x:v>
      </x:c>
      <x:c r="C511" s="35" t="str">
        <x:v>P09</x:v>
      </x:c>
      <x:c r="D511" s="35" t="n">
        <x:v>14</x:v>
      </x:c>
      <x:c r="E511" s="35" t="str">
        <x:v>Primary VLA</x:v>
      </x:c>
      <x:c r="F511" s="35" t="str">
        <x:v>MolmoAct2</x:v>
      </x:c>
      <x:c r="G511" s="35" t="n">
        <x:v>1</x:v>
      </x:c>
      <x:c r="H511" s="35" t="str">
        <x:v>Relational Placement</x:v>
      </x:c>
      <x:c r="I511" s="35" t="str">
        <x:v>Main held-out transfer</x:v>
      </x:c>
      <x:c r="J511" s="35" t="str">
        <x:v>PVLA-RP-TR-12</x:v>
      </x:c>
      <x:c r="K511" s="35" t="str">
        <x:v>R-CF22</x:v>
      </x:c>
      <x:c r="L511" s="31" t="str">
        <x:v>Place the red block to the right of the green pen.</x:v>
      </x:c>
      <x:c r="M511" s="31" t="str">
        <x:v>Place the red block to the right of the green pen.</x:v>
      </x:c>
      <x:c r="N511" s="31" t="str">
        <x:v>R-CF22-HELD: green pen at back-left [REFERENCE]; red block starts 18 cm to the left of the reference [TARGET START]; blue block and pink marker are distractors outside the commanded goal sector.</x:v>
      </x:c>
      <x:c r="O511" s="31" t="str">
        <x:v>red block → to the right of green pen</x:v>
      </x:c>
      <x:c r="P511" s="31" t="str"/>
      <x:c r="Q511" s="31" t="str"/>
      <x:c r="R511" s="31" t="str"/>
      <x:c r="S511" s="31" t="str">
        <x:f>IF('Blind Scoring'!I511="","",'Blind Scoring'!I511)</x:f>
      </x:c>
      <x:c r="T511" s="31" t="str">
        <x:f>'Blind Scoring'!J511</x:f>
        <x:v>No</x:v>
      </x:c>
      <x:c r="U511" s="31" t="str">
        <x:f>IF('Blind Scoring'!L511="","",'Blind Scoring'!L511)</x:f>
      </x:c>
    </x:row>
    <x:row r="512" ht="44" customHeight="1">
      <x:c r="A512" s="35" t="str">
        <x:v>Not Started</x:v>
      </x:c>
      <x:c r="B512" s="35" t="n">
        <x:v>510</x:v>
      </x:c>
      <x:c r="C512" s="35" t="str">
        <x:v>P09</x:v>
      </x:c>
      <x:c r="D512" s="35" t="n">
        <x:v>15</x:v>
      </x:c>
      <x:c r="E512" s="35" t="str">
        <x:v>Primary VLA</x:v>
      </x:c>
      <x:c r="F512" s="35" t="str">
        <x:v>MolmoAct2</x:v>
      </x:c>
      <x:c r="G512" s="35" t="n">
        <x:v>1</x:v>
      </x:c>
      <x:c r="H512" s="35" t="str">
        <x:v>Relational Placement</x:v>
      </x:c>
      <x:c r="I512" s="35" t="str">
        <x:v>Exact-scene paraphrase</x:v>
      </x:c>
      <x:c r="J512" s="35" t="str">
        <x:v>PVLA-RP-PAR-01</x:v>
      </x:c>
      <x:c r="K512" s="35" t="str"/>
      <x:c r="L512" s="31" t="str">
        <x:v>Move the red block to the side of the pink marker facing the robot.</x:v>
      </x:c>
      <x:c r="M512" s="31" t="str">
        <x:v>Move the red block to the side of the pink marker facing the robot.</x:v>
      </x:c>
      <x:c r="N512" s="31" t="str">
        <x:v>R-P01: pink marker at center [REFERENCE]; red block starts 21 cm behind the reference [TARGET START]; remaining objects are distractors with ≥12 cm clearance from the target path and commanded goal sector.</x:v>
      </x:c>
      <x:c r="O512" s="31" t="str">
        <x:v>red block</x:v>
      </x:c>
      <x:c r="P512" s="31" t="str"/>
      <x:c r="Q512" s="31" t="str"/>
      <x:c r="R512" s="31" t="str"/>
      <x:c r="S512" s="31" t="str">
        <x:f>IF('Blind Scoring'!I512="","",'Blind Scoring'!I512)</x:f>
      </x:c>
      <x:c r="T512" s="31" t="str">
        <x:f>'Blind Scoring'!J512</x:f>
        <x:v>No</x:v>
      </x:c>
      <x:c r="U512" s="31" t="str">
        <x:f>IF('Blind Scoring'!L512="","",'Blind Scoring'!L512)</x:f>
      </x:c>
    </x:row>
    <x:row r="513" ht="44" customHeight="1">
      <x:c r="A513" s="35" t="str">
        <x:v>Not Started</x:v>
      </x:c>
      <x:c r="B513" s="35" t="n">
        <x:v>511</x:v>
      </x:c>
      <x:c r="C513" s="35" t="str">
        <x:v>P09</x:v>
      </x:c>
      <x:c r="D513" s="35" t="n">
        <x:v>16</x:v>
      </x:c>
      <x:c r="E513" s="35" t="str">
        <x:v>Primary VLA</x:v>
      </x:c>
      <x:c r="F513" s="35" t="str">
        <x:v>MolmoAct2</x:v>
      </x:c>
      <x:c r="G513" s="35" t="n">
        <x:v>1</x:v>
      </x:c>
      <x:c r="H513" s="35" t="str">
        <x:v>Relational Placement</x:v>
      </x:c>
      <x:c r="I513" s="35" t="str">
        <x:v>Main held-out transfer</x:v>
      </x:c>
      <x:c r="J513" s="35" t="str">
        <x:v>PVLA-RP-TR-09</x:v>
      </x:c>
      <x:c r="K513" s="35" t="str">
        <x:v>R-CF16</x:v>
      </x:c>
      <x:c r="L513" s="31" t="str">
        <x:v>Place the red block to the left of the green pen.</x:v>
      </x:c>
      <x:c r="M513" s="31" t="str">
        <x:v>Place the red block to the left of the green pen.</x:v>
      </x:c>
      <x:c r="N513" s="31" t="str">
        <x:v>R-CF16-HELD: green pen at center [REFERENCE]; red block starts 18 cm to the right of the reference [TARGET START]; blue block and pink marker are distractors outside the commanded goal sector.</x:v>
      </x:c>
      <x:c r="O513" s="31" t="str">
        <x:v>red block → to the left of green pen</x:v>
      </x:c>
      <x:c r="P513" s="31" t="str"/>
      <x:c r="Q513" s="31" t="str"/>
      <x:c r="R513" s="31" t="str"/>
      <x:c r="S513" s="31" t="str">
        <x:f>IF('Blind Scoring'!I513="","",'Blind Scoring'!I513)</x:f>
      </x:c>
      <x:c r="T513" s="31" t="str">
        <x:f>'Blind Scoring'!J513</x:f>
        <x:v>No</x:v>
      </x:c>
      <x:c r="U513" s="31" t="str">
        <x:f>IF('Blind Scoring'!L513="","",'Blind Scoring'!L513)</x:f>
      </x:c>
    </x:row>
    <x:row r="514" ht="44" customHeight="1">
      <x:c r="A514" s="35" t="str">
        <x:v>Not Started</x:v>
      </x:c>
      <x:c r="B514" s="35" t="n">
        <x:v>512</x:v>
      </x:c>
      <x:c r="C514" s="35" t="str">
        <x:v>P09</x:v>
      </x:c>
      <x:c r="D514" s="35" t="n">
        <x:v>17</x:v>
      </x:c>
      <x:c r="E514" s="35" t="str">
        <x:v>Primary VLA</x:v>
      </x:c>
      <x:c r="F514" s="35" t="str">
        <x:v>MolmoAct2</x:v>
      </x:c>
      <x:c r="G514" s="35" t="n">
        <x:v>1</x:v>
      </x:c>
      <x:c r="H514" s="35" t="str">
        <x:v>Relational Placement</x:v>
      </x:c>
      <x:c r="I514" s="35" t="str">
        <x:v>Novel layout + seen language</x:v>
      </x:c>
      <x:c r="J514" s="35" t="str">
        <x:v>PVLA-RP-NOV-03</x:v>
      </x:c>
      <x:c r="K514" s="35" t="str"/>
      <x:c r="L514" s="31" t="str">
        <x:v>Place the blue block behind the green pen.</x:v>
      </x:c>
      <x:c r="M514" s="31" t="str">
        <x:v>Place the blue block behind the green pen.</x:v>
      </x:c>
      <x:c r="N514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514" s="31" t="str">
        <x:v>blue block</x:v>
      </x:c>
      <x:c r="P514" s="31" t="str"/>
      <x:c r="Q514" s="31" t="str"/>
      <x:c r="R514" s="31" t="str"/>
      <x:c r="S514" s="31" t="str">
        <x:f>IF('Blind Scoring'!I514="","",'Blind Scoring'!I514)</x:f>
      </x:c>
      <x:c r="T514" s="31" t="str">
        <x:f>'Blind Scoring'!J514</x:f>
        <x:v>No</x:v>
      </x:c>
      <x:c r="U514" s="31" t="str">
        <x:f>IF('Blind Scoring'!L514="","",'Blind Scoring'!L514)</x:f>
      </x:c>
    </x:row>
    <x:row r="515" ht="44" customHeight="1">
      <x:c r="A515" s="35" t="str">
        <x:v>Not Started</x:v>
      </x:c>
      <x:c r="B515" s="35" t="n">
        <x:v>513</x:v>
      </x:c>
      <x:c r="C515" s="35" t="str">
        <x:v>P09</x:v>
      </x:c>
      <x:c r="D515" s="35" t="n">
        <x:v>18</x:v>
      </x:c>
      <x:c r="E515" s="35" t="str">
        <x:v>Primary VLA</x:v>
      </x:c>
      <x:c r="F515" s="35" t="str">
        <x:v>MolmoAct2</x:v>
      </x:c>
      <x:c r="G515" s="35" t="n">
        <x:v>1</x:v>
      </x:c>
      <x:c r="H515" s="35" t="str">
        <x:v>Relational Placement</x:v>
      </x:c>
      <x:c r="I515" s="35" t="str">
        <x:v>Main matched control</x:v>
      </x:c>
      <x:c r="J515" s="35" t="str">
        <x:v>PVLA-RP-CTL-02</x:v>
      </x:c>
      <x:c r="K515" s="35" t="str">
        <x:v>R-CF03</x:v>
      </x:c>
      <x:c r="L515" s="31" t="str">
        <x:v>Place the green pen beside the red block.</x:v>
      </x:c>
      <x:c r="M515" s="31" t="str">
        <x:v>Place the green pen beside the red block.</x:v>
      </x:c>
      <x:c r="N515" s="31" t="str">
        <x:v>R-CF03-CTRL: red block at back-right [REFERENCE]; green pen starts 24 cm to the left of the reference [TARGET START]; pink marker and blue block are distractors outside the commanded goal sector.</x:v>
      </x:c>
      <x:c r="O515" s="31" t="str">
        <x:v>green pen near red block</x:v>
      </x:c>
      <x:c r="P515" s="31" t="str"/>
      <x:c r="Q515" s="31" t="str"/>
      <x:c r="R515" s="31" t="str"/>
      <x:c r="S515" s="31" t="str">
        <x:f>IF('Blind Scoring'!I515="","",'Blind Scoring'!I515)</x:f>
      </x:c>
      <x:c r="T515" s="31" t="str">
        <x:f>'Blind Scoring'!J515</x:f>
        <x:v>No</x:v>
      </x:c>
      <x:c r="U515" s="31" t="str">
        <x:f>IF('Blind Scoring'!L515="","",'Blind Scoring'!L515)</x:f>
      </x:c>
    </x:row>
    <x:row r="516" ht="44" customHeight="1">
      <x:c r="A516" s="35" t="str">
        <x:v>Not Started</x:v>
      </x:c>
      <x:c r="B516" s="35" t="n">
        <x:v>514</x:v>
      </x:c>
      <x:c r="C516" s="35" t="str">
        <x:v>P09</x:v>
      </x:c>
      <x:c r="D516" s="35" t="n">
        <x:v>19</x:v>
      </x:c>
      <x:c r="E516" s="35" t="str">
        <x:v>Primary VLA</x:v>
      </x:c>
      <x:c r="F516" s="35" t="str">
        <x:v>MolmoAct2</x:v>
      </x:c>
      <x:c r="G516" s="35" t="n">
        <x:v>1</x:v>
      </x:c>
      <x:c r="H516" s="35" t="str">
        <x:v>Relational Placement</x:v>
      </x:c>
      <x:c r="I516" s="35" t="str">
        <x:v>Main held-out transfer</x:v>
      </x:c>
      <x:c r="J516" s="35" t="str">
        <x:v>PVLA-RP-TR-14</x:v>
      </x:c>
      <x:c r="K516" s="35" t="str">
        <x:v>R-CF26</x:v>
      </x:c>
      <x:c r="L516" s="31" t="str">
        <x:v>Place the red block behind the green pen.</x:v>
      </x:c>
      <x:c r="M516" s="31" t="str">
        <x:v>Place the red block behind the green pen.</x:v>
      </x:c>
      <x:c r="N516" s="31" t="str">
        <x:v>R-CF26-HELD: green pen at center [REFERENCE]; red block starts 21 cm in front of the reference [TARGET START]; blue block and pink marker are distractors outside the commanded goal sector.</x:v>
      </x:c>
      <x:c r="O516" s="31" t="str">
        <x:v>red block → behind green pen</x:v>
      </x:c>
      <x:c r="P516" s="31" t="str"/>
      <x:c r="Q516" s="31" t="str"/>
      <x:c r="R516" s="31" t="str"/>
      <x:c r="S516" s="31" t="str">
        <x:f>IF('Blind Scoring'!I516="","",'Blind Scoring'!I516)</x:f>
      </x:c>
      <x:c r="T516" s="31" t="str">
        <x:f>'Blind Scoring'!J516</x:f>
        <x:v>No</x:v>
      </x:c>
      <x:c r="U516" s="31" t="str">
        <x:f>IF('Blind Scoring'!L516="","",'Blind Scoring'!L516)</x:f>
      </x:c>
    </x:row>
    <x:row r="517" ht="44" customHeight="1">
      <x:c r="A517" s="35" t="str">
        <x:v>Not Started</x:v>
      </x:c>
      <x:c r="B517" s="35" t="n">
        <x:v>515</x:v>
      </x:c>
      <x:c r="C517" s="35" t="str">
        <x:v>P09</x:v>
      </x:c>
      <x:c r="D517" s="35" t="n">
        <x:v>20</x:v>
      </x:c>
      <x:c r="E517" s="35" t="str">
        <x:v>Primary VLA</x:v>
      </x:c>
      <x:c r="F517" s="35" t="str">
        <x:v>MolmoAct2</x:v>
      </x:c>
      <x:c r="G517" s="35" t="n">
        <x:v>1</x:v>
      </x:c>
      <x:c r="H517" s="35" t="str">
        <x:v>Relational Placement</x:v>
      </x:c>
      <x:c r="I517" s="35" t="str">
        <x:v>Training reconstruction</x:v>
      </x:c>
      <x:c r="J517" s="35" t="str">
        <x:v>PVLA-RP-REC-06</x:v>
      </x:c>
      <x:c r="K517" s="35" t="str"/>
      <x:c r="L517" s="31" t="str">
        <x:v>Place the green pen to the right of the pink marker.</x:v>
      </x:c>
      <x:c r="M517" s="31" t="str">
        <x:v>Place the green pen to the right of the pink marker.</x:v>
      </x:c>
      <x:c r="N517" s="31" t="str">
        <x:v>Reconstruct planned final training episode 243: green pen, pink marker, red block; start=Home. Match camera, calibration, bowl pose, and object geometry exactly.</x:v>
      </x:c>
      <x:c r="O517" s="31" t="str">
        <x:v>green pen</x:v>
      </x:c>
      <x:c r="P517" s="31" t="str"/>
      <x:c r="Q517" s="31" t="str"/>
      <x:c r="R517" s="31" t="str"/>
      <x:c r="S517" s="31" t="str">
        <x:f>IF('Blind Scoring'!I517="","",'Blind Scoring'!I517)</x:f>
      </x:c>
      <x:c r="T517" s="31" t="str">
        <x:f>'Blind Scoring'!J517</x:f>
        <x:v>No</x:v>
      </x:c>
      <x:c r="U517" s="31" t="str">
        <x:f>IF('Blind Scoring'!L517="","",'Blind Scoring'!L517)</x:f>
      </x:c>
    </x:row>
    <x:row r="518" ht="44" customHeight="1">
      <x:c r="A518" s="35" t="str">
        <x:v>Not Started</x:v>
      </x:c>
      <x:c r="B518" s="35" t="n">
        <x:v>516</x:v>
      </x:c>
      <x:c r="C518" s="35" t="str">
        <x:v>P09</x:v>
      </x:c>
      <x:c r="D518" s="35" t="n">
        <x:v>21</x:v>
      </x:c>
      <x:c r="E518" s="35" t="str">
        <x:v>Primary VLA</x:v>
      </x:c>
      <x:c r="F518" s="35" t="str">
        <x:v>MolmoAct2</x:v>
      </x:c>
      <x:c r="G518" s="35" t="n">
        <x:v>1</x:v>
      </x:c>
      <x:c r="H518" s="35" t="str">
        <x:v>Relational Placement</x:v>
      </x:c>
      <x:c r="I518" s="35" t="str">
        <x:v>Main matched control</x:v>
      </x:c>
      <x:c r="J518" s="35" t="str">
        <x:v>PVLA-RP-CTL-10</x:v>
      </x:c>
      <x:c r="K518" s="35" t="str">
        <x:v>R-CF18</x:v>
      </x:c>
      <x:c r="L518" s="31" t="str">
        <x:v>Place the red block beside the green pen.</x:v>
      </x:c>
      <x:c r="M518" s="31" t="str">
        <x:v>Place the red block beside the green pen.</x:v>
      </x:c>
      <x:c r="N518" s="31" t="str">
        <x:v>R-CF18-CTRL: green pen at back-right [REFERENCE]; red block starts 24 cm in front of the reference [TARGET START]; blue block and pink marker are distractors outside the commanded goal sector.</x:v>
      </x:c>
      <x:c r="O518" s="31" t="str">
        <x:v>red block near green pen</x:v>
      </x:c>
      <x:c r="P518" s="31" t="str"/>
      <x:c r="Q518" s="31" t="str"/>
      <x:c r="R518" s="31" t="str"/>
      <x:c r="S518" s="31" t="str">
        <x:f>IF('Blind Scoring'!I518="","",'Blind Scoring'!I518)</x:f>
      </x:c>
      <x:c r="T518" s="31" t="str">
        <x:f>'Blind Scoring'!J518</x:f>
        <x:v>No</x:v>
      </x:c>
      <x:c r="U518" s="31" t="str">
        <x:f>IF('Blind Scoring'!L518="","",'Blind Scoring'!L518)</x:f>
      </x:c>
    </x:row>
    <x:row r="519" ht="44" customHeight="1">
      <x:c r="A519" s="35" t="str">
        <x:v>Not Started</x:v>
      </x:c>
      <x:c r="B519" s="35" t="n">
        <x:v>517</x:v>
      </x:c>
      <x:c r="C519" s="35" t="str">
        <x:v>P09</x:v>
      </x:c>
      <x:c r="D519" s="35" t="n">
        <x:v>22</x:v>
      </x:c>
      <x:c r="E519" s="35" t="str">
        <x:v>Primary VLA</x:v>
      </x:c>
      <x:c r="F519" s="35" t="str">
        <x:v>MolmoAct2</x:v>
      </x:c>
      <x:c r="G519" s="35" t="n">
        <x:v>1</x:v>
      </x:c>
      <x:c r="H519" s="35" t="str">
        <x:v>Relational Placement</x:v>
      </x:c>
      <x:c r="I519" s="35" t="str">
        <x:v>Main held-out transfer</x:v>
      </x:c>
      <x:c r="J519" s="35" t="str">
        <x:v>PVLA-RP-TR-11</x:v>
      </x:c>
      <x:c r="K519" s="35" t="str">
        <x:v>R-CF20</x:v>
      </x:c>
      <x:c r="L519" s="31" t="str">
        <x:v>Place the red block in front of the green pen.</x:v>
      </x:c>
      <x:c r="M519" s="31" t="str">
        <x:v>Place the red block in front of the green pen.</x:v>
      </x:c>
      <x:c r="N519" s="31" t="str">
        <x:v>R-CF20-HELD: green pen at front-right [REFERENCE]; red block starts 21 cm behind the reference [TARGET START]; blue block and pink marker are distractors outside the commanded goal sector.</x:v>
      </x:c>
      <x:c r="O519" s="31" t="str">
        <x:v>red block → in front of green pen</x:v>
      </x:c>
      <x:c r="P519" s="31" t="str"/>
      <x:c r="Q519" s="31" t="str"/>
      <x:c r="R519" s="31" t="str"/>
      <x:c r="S519" s="31" t="str">
        <x:f>IF('Blind Scoring'!I519="","",'Blind Scoring'!I519)</x:f>
      </x:c>
      <x:c r="T519" s="31" t="str">
        <x:f>'Blind Scoring'!J519</x:f>
        <x:v>No</x:v>
      </x:c>
      <x:c r="U519" s="31" t="str">
        <x:f>IF('Blind Scoring'!L519="","",'Blind Scoring'!L519)</x:f>
      </x:c>
    </x:row>
    <x:row r="520" ht="44" customHeight="1">
      <x:c r="A520" s="35" t="str">
        <x:v>Not Started</x:v>
      </x:c>
      <x:c r="B520" s="35" t="n">
        <x:v>518</x:v>
      </x:c>
      <x:c r="C520" s="35" t="str">
        <x:v>P09</x:v>
      </x:c>
      <x:c r="D520" s="35" t="n">
        <x:v>23</x:v>
      </x:c>
      <x:c r="E520" s="35" t="str">
        <x:v>Primary VLA</x:v>
      </x:c>
      <x:c r="F520" s="35" t="str">
        <x:v>MolmoAct2</x:v>
      </x:c>
      <x:c r="G520" s="35" t="n">
        <x:v>1</x:v>
      </x:c>
      <x:c r="H520" s="35" t="str">
        <x:v>Relational Placement</x:v>
      </x:c>
      <x:c r="I520" s="35" t="str">
        <x:v>Language ablation — blank</x:v>
      </x:c>
      <x:c r="J520" s="35" t="str">
        <x:v>PVLA-RP-ABL-BLK-03</x:v>
      </x:c>
      <x:c r="K520" s="35" t="str">
        <x:v>R-CF05</x:v>
      </x:c>
      <x:c r="L520" s="31" t="str">
        <x:v>[EMPTY STRING — provide no instruction tokens]</x:v>
      </x:c>
      <x:c r="M520" s="31" t="str">
        <x:v>Place the green pen to the left of the red block.</x:v>
      </x:c>
      <x:c r="N520" s="31" t="str">
        <x:v>R-CF05-HELD: red block at front-right [REFERENCE]; green pen starts 21 cm to the right of the reference [TARGET START]; pink marker and blue block are distractors outside the commanded goal sector.</x:v>
      </x:c>
      <x:c r="O520" s="31" t="str">
        <x:v>No prespecified task success under blank language; record any action/selected target.</x:v>
      </x:c>
      <x:c r="P520" s="31" t="str"/>
      <x:c r="Q520" s="31" t="str"/>
      <x:c r="R520" s="31" t="str"/>
      <x:c r="S520" s="31" t="str">
        <x:f>IF('Blind Scoring'!I520="","",'Blind Scoring'!I520)</x:f>
      </x:c>
      <x:c r="T520" s="31" t="str">
        <x:f>'Blind Scoring'!J520</x:f>
        <x:v>No</x:v>
      </x:c>
      <x:c r="U520" s="31" t="str">
        <x:f>IF('Blind Scoring'!L520="","",'Blind Scoring'!L520)</x:f>
      </x:c>
    </x:row>
    <x:row r="521" ht="44" customHeight="1">
      <x:c r="A521" s="35" t="str">
        <x:v>Not Started</x:v>
      </x:c>
      <x:c r="B521" s="35" t="n">
        <x:v>519</x:v>
      </x:c>
      <x:c r="C521" s="35" t="str">
        <x:v>P09</x:v>
      </x:c>
      <x:c r="D521" s="35" t="n">
        <x:v>24</x:v>
      </x:c>
      <x:c r="E521" s="35" t="str">
        <x:v>Primary VLA</x:v>
      </x:c>
      <x:c r="F521" s="35" t="str">
        <x:v>MolmoAct2</x:v>
      </x:c>
      <x:c r="G521" s="35" t="n">
        <x:v>1</x:v>
      </x:c>
      <x:c r="H521" s="35" t="str">
        <x:v>Relational Placement</x:v>
      </x:c>
      <x:c r="I521" s="35" t="str">
        <x:v>Language ablation — counterfactual</x:v>
      </x:c>
      <x:c r="J521" s="35" t="str">
        <x:v>PVLA-RP-ABL-CF-03</x:v>
      </x:c>
      <x:c r="K521" s="35" t="str">
        <x:v>R-CF13</x:v>
      </x:c>
      <x:c r="L521" s="31" t="str">
        <x:v>Place the green pen to the right of the red block.</x:v>
      </x:c>
      <x:c r="M521" s="31" t="str">
        <x:v>Place the green pen to the right of the red block.</x:v>
      </x:c>
      <x:c r="N521" s="31" t="str">
        <x:v>R-CF13-HELD: red block at back-right [REFERENCE]; green pen starts 18 cm to the right of the reference [TARGET START]; pink marker and blue block are distractors outside the commanded goal sector.</x:v>
      </x:c>
      <x:c r="O521" s="31" t="str">
        <x:v>green pen → to the right of red block</x:v>
      </x:c>
      <x:c r="P521" s="31" t="str"/>
      <x:c r="Q521" s="31" t="str"/>
      <x:c r="R521" s="31" t="str"/>
      <x:c r="S521" s="31" t="str">
        <x:f>IF('Blind Scoring'!I521="","",'Blind Scoring'!I521)</x:f>
      </x:c>
      <x:c r="T521" s="31" t="str">
        <x:f>'Blind Scoring'!J521</x:f>
        <x:v>No</x:v>
      </x:c>
      <x:c r="U521" s="31" t="str">
        <x:f>IF('Blind Scoring'!L521="","",'Blind Scoring'!L521)</x:f>
      </x:c>
    </x:row>
    <x:row r="522" ht="44" customHeight="1">
      <x:c r="A522" s="35" t="str">
        <x:v>Not Started</x:v>
      </x:c>
      <x:c r="B522" s="35" t="n">
        <x:v>520</x:v>
      </x:c>
      <x:c r="C522" s="35" t="str">
        <x:v>P09</x:v>
      </x:c>
      <x:c r="D522" s="35" t="n">
        <x:v>25</x:v>
      </x:c>
      <x:c r="E522" s="35" t="str">
        <x:v>Primary VLA</x:v>
      </x:c>
      <x:c r="F522" s="35" t="str">
        <x:v>MolmoAct2</x:v>
      </x:c>
      <x:c r="G522" s="35" t="n">
        <x:v>1</x:v>
      </x:c>
      <x:c r="H522" s="35" t="str">
        <x:v>Relational Placement</x:v>
      </x:c>
      <x:c r="I522" s="35" t="str">
        <x:v>Main held-out transfer</x:v>
      </x:c>
      <x:c r="J522" s="35" t="str">
        <x:v>PVLA-RP-TR-01</x:v>
      </x:c>
      <x:c r="K522" s="35" t="str">
        <x:v>R-CF01</x:v>
      </x:c>
      <x:c r="L522" s="31" t="str">
        <x:v>Place the green pen in front of the red block.</x:v>
      </x:c>
      <x:c r="M522" s="31" t="str">
        <x:v>Place the green pen in front of the red block.</x:v>
      </x:c>
      <x:c r="N522" s="31" t="str">
        <x:v>R-CF01-HELD: red block at center [REFERENCE]; green pen starts 18 cm behind the reference [TARGET START]; pink marker and blue block are distractors outside the commanded goal sector.</x:v>
      </x:c>
      <x:c r="O522" s="31" t="str">
        <x:v>green pen → in front of red block</x:v>
      </x:c>
      <x:c r="P522" s="31" t="str"/>
      <x:c r="Q522" s="31" t="str"/>
      <x:c r="R522" s="31" t="str"/>
      <x:c r="S522" s="31" t="str">
        <x:f>IF('Blind Scoring'!I522="","",'Blind Scoring'!I522)</x:f>
      </x:c>
      <x:c r="T522" s="31" t="str">
        <x:f>'Blind Scoring'!J522</x:f>
        <x:v>No</x:v>
      </x:c>
      <x:c r="U522" s="31" t="str">
        <x:f>IF('Blind Scoring'!L522="","",'Blind Scoring'!L522)</x:f>
      </x:c>
    </x:row>
    <x:row r="523" ht="44" customHeight="1">
      <x:c r="A523" s="35" t="str">
        <x:v>Not Started</x:v>
      </x:c>
      <x:c r="B523" s="35" t="n">
        <x:v>521</x:v>
      </x:c>
      <x:c r="C523" s="35" t="str">
        <x:v>P09</x:v>
      </x:c>
      <x:c r="D523" s="35" t="n">
        <x:v>26</x:v>
      </x:c>
      <x:c r="E523" s="35" t="str">
        <x:v>Primary VLA</x:v>
      </x:c>
      <x:c r="F523" s="35" t="str">
        <x:v>MolmoAct2</x:v>
      </x:c>
      <x:c r="G523" s="35" t="n">
        <x:v>1</x:v>
      </x:c>
      <x:c r="H523" s="35" t="str">
        <x:v>Relational Placement</x:v>
      </x:c>
      <x:c r="I523" s="35" t="str">
        <x:v>Language ablation — blank</x:v>
      </x:c>
      <x:c r="J523" s="35" t="str">
        <x:v>PVLA-RP-ABL-BLK-01</x:v>
      </x:c>
      <x:c r="K523" s="35" t="str">
        <x:v>R-CF01</x:v>
      </x:c>
      <x:c r="L523" s="31" t="str">
        <x:v>[EMPTY STRING — provide no instruction tokens]</x:v>
      </x:c>
      <x:c r="M523" s="31" t="str">
        <x:v>Place the green pen in front of the red block.</x:v>
      </x:c>
      <x:c r="N523" s="31" t="str">
        <x:v>R-CF01-HELD: red block at center [REFERENCE]; green pen starts 18 cm behind the reference [TARGET START]; pink marker and blue block are distractors outside the commanded goal sector.</x:v>
      </x:c>
      <x:c r="O523" s="31" t="str">
        <x:v>No prespecified task success under blank language; record any action/selected target.</x:v>
      </x:c>
      <x:c r="P523" s="31" t="str"/>
      <x:c r="Q523" s="31" t="str"/>
      <x:c r="R523" s="31" t="str"/>
      <x:c r="S523" s="31" t="str">
        <x:f>IF('Blind Scoring'!I523="","",'Blind Scoring'!I523)</x:f>
      </x:c>
      <x:c r="T523" s="31" t="str">
        <x:f>'Blind Scoring'!J523</x:f>
        <x:v>No</x:v>
      </x:c>
      <x:c r="U523" s="31" t="str">
        <x:f>IF('Blind Scoring'!L523="","",'Blind Scoring'!L523)</x:f>
      </x:c>
    </x:row>
    <x:row r="524" ht="44" customHeight="1">
      <x:c r="A524" s="35" t="str">
        <x:v>Not Started</x:v>
      </x:c>
      <x:c r="B524" s="35" t="n">
        <x:v>522</x:v>
      </x:c>
      <x:c r="C524" s="35" t="str">
        <x:v>P09</x:v>
      </x:c>
      <x:c r="D524" s="35" t="n">
        <x:v>27</x:v>
      </x:c>
      <x:c r="E524" s="35" t="str">
        <x:v>Primary VLA</x:v>
      </x:c>
      <x:c r="F524" s="35" t="str">
        <x:v>MolmoAct2</x:v>
      </x:c>
      <x:c r="G524" s="35" t="n">
        <x:v>1</x:v>
      </x:c>
      <x:c r="H524" s="35" t="str">
        <x:v>Relational Placement</x:v>
      </x:c>
      <x:c r="I524" s="35" t="str">
        <x:v>Main held-out transfer</x:v>
      </x:c>
      <x:c r="J524" s="35" t="str">
        <x:v>PVLA-RP-TR-07</x:v>
      </x:c>
      <x:c r="K524" s="35" t="str">
        <x:v>R-CF13</x:v>
      </x:c>
      <x:c r="L524" s="31" t="str">
        <x:v>Place the green pen to the left of the red block.</x:v>
      </x:c>
      <x:c r="M524" s="31" t="str">
        <x:v>Place the green pen to the left of the red block.</x:v>
      </x:c>
      <x:c r="N524" s="31" t="str">
        <x:v>R-CF13-HELD: red block at back-right [REFERENCE]; green pen starts 18 cm to the right of the reference [TARGET START]; pink marker and blue block are distractors outside the commanded goal sector.</x:v>
      </x:c>
      <x:c r="O524" s="31" t="str">
        <x:v>green pen → to the left of red block</x:v>
      </x:c>
      <x:c r="P524" s="31" t="str"/>
      <x:c r="Q524" s="31" t="str"/>
      <x:c r="R524" s="31" t="str"/>
      <x:c r="S524" s="31" t="str">
        <x:f>IF('Blind Scoring'!I524="","",'Blind Scoring'!I524)</x:f>
      </x:c>
      <x:c r="T524" s="31" t="str">
        <x:f>'Blind Scoring'!J524</x:f>
        <x:v>No</x:v>
      </x:c>
      <x:c r="U524" s="31" t="str">
        <x:f>IF('Blind Scoring'!L524="","",'Blind Scoring'!L524)</x:f>
      </x:c>
    </x:row>
    <x:row r="525" ht="44" customHeight="1">
      <x:c r="A525" s="35" t="str">
        <x:v>Not Started</x:v>
      </x:c>
      <x:c r="B525" s="35" t="n">
        <x:v>523</x:v>
      </x:c>
      <x:c r="C525" s="35" t="str">
        <x:v>P09</x:v>
      </x:c>
      <x:c r="D525" s="35" t="n">
        <x:v>28</x:v>
      </x:c>
      <x:c r="E525" s="35" t="str">
        <x:v>Primary VLA</x:v>
      </x:c>
      <x:c r="F525" s="35" t="str">
        <x:v>MolmoAct2</x:v>
      </x:c>
      <x:c r="G525" s="35" t="n">
        <x:v>1</x:v>
      </x:c>
      <x:c r="H525" s="35" t="str">
        <x:v>Relational Placement</x:v>
      </x:c>
      <x:c r="I525" s="35" t="str">
        <x:v>Exact-scene paraphrase</x:v>
      </x:c>
      <x:c r="J525" s="35" t="str">
        <x:v>PVLA-RP-PAR-05</x:v>
      </x:c>
      <x:c r="K525" s="35" t="str"/>
      <x:c r="L525" s="31" t="str">
        <x:v>Move the red block to the side of the pink marker facing the robot.</x:v>
      </x:c>
      <x:c r="M525" s="31" t="str">
        <x:v>Move the red block to the side of the pink marker facing the robot.</x:v>
      </x:c>
      <x:c r="N525" s="31" t="str">
        <x:v>R-P01: pink marker at center [REFERENCE]; red block starts 21 cm behind the reference [TARGET START]; remaining objects are distractors with ≥12 cm clearance from the target path and commanded goal sector.</x:v>
      </x:c>
      <x:c r="O525" s="31" t="str">
        <x:v>red block</x:v>
      </x:c>
      <x:c r="P525" s="31" t="str"/>
      <x:c r="Q525" s="31" t="str"/>
      <x:c r="R525" s="31" t="str"/>
      <x:c r="S525" s="31" t="str">
        <x:f>IF('Blind Scoring'!I525="","",'Blind Scoring'!I525)</x:f>
      </x:c>
      <x:c r="T525" s="31" t="str">
        <x:f>'Blind Scoring'!J525</x:f>
        <x:v>No</x:v>
      </x:c>
      <x:c r="U525" s="31" t="str">
        <x:f>IF('Blind Scoring'!L525="","",'Blind Scoring'!L525)</x:f>
      </x:c>
    </x:row>
    <x:row r="526" ht="44" customHeight="1">
      <x:c r="A526" s="35" t="str">
        <x:v>Not Started</x:v>
      </x:c>
      <x:c r="B526" s="35" t="n">
        <x:v>524</x:v>
      </x:c>
      <x:c r="C526" s="35" t="str">
        <x:v>P09</x:v>
      </x:c>
      <x:c r="D526" s="35" t="n">
        <x:v>29</x:v>
      </x:c>
      <x:c r="E526" s="35" t="str">
        <x:v>Primary VLA</x:v>
      </x:c>
      <x:c r="F526" s="35" t="str">
        <x:v>MolmoAct2</x:v>
      </x:c>
      <x:c r="G526" s="35" t="n">
        <x:v>1</x:v>
      </x:c>
      <x:c r="H526" s="35" t="str">
        <x:v>Relational Placement</x:v>
      </x:c>
      <x:c r="I526" s="35" t="str">
        <x:v>Main matched control</x:v>
      </x:c>
      <x:c r="J526" s="35" t="str">
        <x:v>PVLA-RP-CTL-12</x:v>
      </x:c>
      <x:c r="K526" s="35" t="str">
        <x:v>R-CF22</x:v>
      </x:c>
      <x:c r="L526" s="31" t="str">
        <x:v>Place the red block near the green pen.</x:v>
      </x:c>
      <x:c r="M526" s="31" t="str">
        <x:v>Place the red block near the green pen.</x:v>
      </x:c>
      <x:c r="N526" s="31" t="str">
        <x:v>R-CF22-CTRL: green pen at back-left [REFERENCE]; red block starts 18 cm to the left of the reference [TARGET START]; blue block and pink marker are distractors outside the commanded goal sector.</x:v>
      </x:c>
      <x:c r="O526" s="31" t="str">
        <x:v>red block near green pen</x:v>
      </x:c>
      <x:c r="P526" s="31" t="str"/>
      <x:c r="Q526" s="31" t="str"/>
      <x:c r="R526" s="31" t="str"/>
      <x:c r="S526" s="31" t="str">
        <x:f>IF('Blind Scoring'!I526="","",'Blind Scoring'!I526)</x:f>
      </x:c>
      <x:c r="T526" s="31" t="str">
        <x:f>'Blind Scoring'!J526</x:f>
        <x:v>No</x:v>
      </x:c>
      <x:c r="U526" s="31" t="str">
        <x:f>IF('Blind Scoring'!L526="","",'Blind Scoring'!L526)</x:f>
      </x:c>
    </x:row>
    <x:row r="527" ht="44" customHeight="1">
      <x:c r="A527" s="35" t="str">
        <x:v>Not Started</x:v>
      </x:c>
      <x:c r="B527" s="35" t="n">
        <x:v>525</x:v>
      </x:c>
      <x:c r="C527" s="35" t="str">
        <x:v>P09</x:v>
      </x:c>
      <x:c r="D527" s="35" t="n">
        <x:v>30</x:v>
      </x:c>
      <x:c r="E527" s="35" t="str">
        <x:v>Primary VLA</x:v>
      </x:c>
      <x:c r="F527" s="35" t="str">
        <x:v>MolmoAct2</x:v>
      </x:c>
      <x:c r="G527" s="35" t="n">
        <x:v>1</x:v>
      </x:c>
      <x:c r="H527" s="35" t="str">
        <x:v>Relational Placement</x:v>
      </x:c>
      <x:c r="I527" s="35" t="str">
        <x:v>Exact-scene paraphrase</x:v>
      </x:c>
      <x:c r="J527" s="35" t="str">
        <x:v>PVLA-RP-PAR-07</x:v>
      </x:c>
      <x:c r="K527" s="35" t="str"/>
      <x:c r="L527" s="31" t="str">
        <x:v>Move the red block to the side of the pink marker facing the robot.</x:v>
      </x:c>
      <x:c r="M527" s="31" t="str">
        <x:v>Move the red block to the side of the pink marker facing the robot.</x:v>
      </x:c>
      <x:c r="N527" s="31" t="str">
        <x:v>R-P01: pink marker at center [REFERENCE]; red block starts 21 cm behind the reference [TARGET START]; remaining objects are distractors with ≥12 cm clearance from the target path and commanded goal sector.</x:v>
      </x:c>
      <x:c r="O527" s="31" t="str">
        <x:v>red block</x:v>
      </x:c>
      <x:c r="P527" s="31" t="str"/>
      <x:c r="Q527" s="31" t="str"/>
      <x:c r="R527" s="31" t="str"/>
      <x:c r="S527" s="31" t="str">
        <x:f>IF('Blind Scoring'!I527="","",'Blind Scoring'!I527)</x:f>
      </x:c>
      <x:c r="T527" s="31" t="str">
        <x:f>'Blind Scoring'!J527</x:f>
        <x:v>No</x:v>
      </x:c>
      <x:c r="U527" s="31" t="str">
        <x:f>IF('Blind Scoring'!L527="","",'Blind Scoring'!L527)</x:f>
      </x:c>
    </x:row>
    <x:row r="528" ht="44" customHeight="1">
      <x:c r="A528" s="35" t="str">
        <x:v>Not Started</x:v>
      </x:c>
      <x:c r="B528" s="35" t="n">
        <x:v>526</x:v>
      </x:c>
      <x:c r="C528" s="35" t="str">
        <x:v>P09</x:v>
      </x:c>
      <x:c r="D528" s="35" t="n">
        <x:v>31</x:v>
      </x:c>
      <x:c r="E528" s="35" t="str">
        <x:v>Primary VLA</x:v>
      </x:c>
      <x:c r="F528" s="35" t="str">
        <x:v>MolmoAct2</x:v>
      </x:c>
      <x:c r="G528" s="35" t="n">
        <x:v>1</x:v>
      </x:c>
      <x:c r="H528" s="35" t="str">
        <x:v>Relational Placement</x:v>
      </x:c>
      <x:c r="I528" s="35" t="str">
        <x:v>Main matched control</x:v>
      </x:c>
      <x:c r="J528" s="35" t="str">
        <x:v>PVLA-RP-CTL-14</x:v>
      </x:c>
      <x:c r="K528" s="35" t="str">
        <x:v>R-CF26</x:v>
      </x:c>
      <x:c r="L528" s="31" t="str">
        <x:v>Place the red block next to the green pen.</x:v>
      </x:c>
      <x:c r="M528" s="31" t="str">
        <x:v>Place the red block next to the green pen.</x:v>
      </x:c>
      <x:c r="N528" s="31" t="str">
        <x:v>R-CF26-CTRL: green pen at center [REFERENCE]; red block starts 21 cm in front of the reference [TARGET START]; blue block and pink marker are distractors outside the commanded goal sector.</x:v>
      </x:c>
      <x:c r="O528" s="31" t="str">
        <x:v>red block near green pen</x:v>
      </x:c>
      <x:c r="P528" s="31" t="str"/>
      <x:c r="Q528" s="31" t="str"/>
      <x:c r="R528" s="31" t="str"/>
      <x:c r="S528" s="31" t="str">
        <x:f>IF('Blind Scoring'!I528="","",'Blind Scoring'!I528)</x:f>
      </x:c>
      <x:c r="T528" s="31" t="str">
        <x:f>'Blind Scoring'!J528</x:f>
        <x:v>No</x:v>
      </x:c>
      <x:c r="U528" s="31" t="str">
        <x:f>IF('Blind Scoring'!L528="","",'Blind Scoring'!L528)</x:f>
      </x:c>
    </x:row>
    <x:row r="529" ht="44" customHeight="1">
      <x:c r="A529" s="35" t="str">
        <x:v>Not Started</x:v>
      </x:c>
      <x:c r="B529" s="35" t="n">
        <x:v>527</x:v>
      </x:c>
      <x:c r="C529" s="35" t="str">
        <x:v>P09</x:v>
      </x:c>
      <x:c r="D529" s="35" t="n">
        <x:v>32</x:v>
      </x:c>
      <x:c r="E529" s="35" t="str">
        <x:v>Primary VLA</x:v>
      </x:c>
      <x:c r="F529" s="35" t="str">
        <x:v>MolmoAct2</x:v>
      </x:c>
      <x:c r="G529" s="35" t="n">
        <x:v>1</x:v>
      </x:c>
      <x:c r="H529" s="35" t="str">
        <x:v>Relational Placement</x:v>
      </x:c>
      <x:c r="I529" s="35" t="str">
        <x:v>Training reconstruction</x:v>
      </x:c>
      <x:c r="J529" s="35" t="str">
        <x:v>PVLA-RP-REC-01</x:v>
      </x:c>
      <x:c r="K529" s="35" t="str"/>
      <x:c r="L529" s="31" t="str">
        <x:v>Move the green pen to the front of the pink marker.</x:v>
      </x:c>
      <x:c r="M529" s="31" t="str">
        <x:v>Move the green pen to the front of the pink marker.</x:v>
      </x:c>
      <x:c r="N529" s="31" t="str">
        <x:v>Reconstruct planned final training episode 204: green pen, pink marker; start=Home. Match camera, calibration, bowl pose, and object geometry exactly.</x:v>
      </x:c>
      <x:c r="O529" s="31" t="str">
        <x:v>green pen</x:v>
      </x:c>
      <x:c r="P529" s="31" t="str"/>
      <x:c r="Q529" s="31" t="str"/>
      <x:c r="R529" s="31" t="str"/>
      <x:c r="S529" s="31" t="str">
        <x:f>IF('Blind Scoring'!I529="","",'Blind Scoring'!I529)</x:f>
      </x:c>
      <x:c r="T529" s="31" t="str">
        <x:f>'Blind Scoring'!J529</x:f>
        <x:v>No</x:v>
      </x:c>
      <x:c r="U529" s="31" t="str">
        <x:f>IF('Blind Scoring'!L529="","",'Blind Scoring'!L529)</x:f>
      </x:c>
    </x:row>
    <x:row r="530" ht="44" customHeight="1">
      <x:c r="A530" s="35" t="str">
        <x:v>Not Started</x:v>
      </x:c>
      <x:c r="B530" s="35" t="n">
        <x:v>528</x:v>
      </x:c>
      <x:c r="C530" s="35" t="str">
        <x:v>P09</x:v>
      </x:c>
      <x:c r="D530" s="35" t="n">
        <x:v>33</x:v>
      </x:c>
      <x:c r="E530" s="35" t="str">
        <x:v>Primary VLA</x:v>
      </x:c>
      <x:c r="F530" s="35" t="str">
        <x:v>MolmoAct2</x:v>
      </x:c>
      <x:c r="G530" s="35" t="n">
        <x:v>1</x:v>
      </x:c>
      <x:c r="H530" s="35" t="str">
        <x:v>Relational Placement</x:v>
      </x:c>
      <x:c r="I530" s="35" t="str">
        <x:v>Main matched control</x:v>
      </x:c>
      <x:c r="J530" s="35" t="str">
        <x:v>PVLA-RP-CTL-09</x:v>
      </x:c>
      <x:c r="K530" s="35" t="str">
        <x:v>R-CF16</x:v>
      </x:c>
      <x:c r="L530" s="31" t="str">
        <x:v>Place the red block near the green pen.</x:v>
      </x:c>
      <x:c r="M530" s="31" t="str">
        <x:v>Place the red block near the green pen.</x:v>
      </x:c>
      <x:c r="N530" s="31" t="str">
        <x:v>R-CF16-CTRL: green pen at center [REFERENCE]; red block starts 18 cm to the right of the reference [TARGET START]; blue block and pink marker are distractors outside the commanded goal sector.</x:v>
      </x:c>
      <x:c r="O530" s="31" t="str">
        <x:v>red block near green pen</x:v>
      </x:c>
      <x:c r="P530" s="31" t="str"/>
      <x:c r="Q530" s="31" t="str"/>
      <x:c r="R530" s="31" t="str"/>
      <x:c r="S530" s="31" t="str">
        <x:f>IF('Blind Scoring'!I530="","",'Blind Scoring'!I530)</x:f>
      </x:c>
      <x:c r="T530" s="31" t="str">
        <x:f>'Blind Scoring'!J530</x:f>
        <x:v>No</x:v>
      </x:c>
      <x:c r="U530" s="31" t="str">
        <x:f>IF('Blind Scoring'!L530="","",'Blind Scoring'!L530)</x:f>
      </x:c>
    </x:row>
    <x:row r="531" ht="44" customHeight="1">
      <x:c r="A531" s="35" t="str">
        <x:v>Not Started</x:v>
      </x:c>
      <x:c r="B531" s="35" t="n">
        <x:v>529</x:v>
      </x:c>
      <x:c r="C531" s="35" t="str">
        <x:v>P09</x:v>
      </x:c>
      <x:c r="D531" s="35" t="n">
        <x:v>34</x:v>
      </x:c>
      <x:c r="E531" s="35" t="str">
        <x:v>Primary VLA</x:v>
      </x:c>
      <x:c r="F531" s="35" t="str">
        <x:v>MolmoAct2</x:v>
      </x:c>
      <x:c r="G531" s="35" t="n">
        <x:v>1</x:v>
      </x:c>
      <x:c r="H531" s="35" t="str">
        <x:v>Relational Placement</x:v>
      </x:c>
      <x:c r="I531" s="35" t="str">
        <x:v>Language ablation — counterfactual</x:v>
      </x:c>
      <x:c r="J531" s="35" t="str">
        <x:v>PVLA-RP-ABL-CF-02</x:v>
      </x:c>
      <x:c r="K531" s="35" t="str">
        <x:v>R-CF11</x:v>
      </x:c>
      <x:c r="L531" s="31" t="str">
        <x:v>Place the green pen to the left of the red block.</x:v>
      </x:c>
      <x:c r="M531" s="31" t="str">
        <x:v>Place the green pen to the left of the red block.</x:v>
      </x:c>
      <x:c r="N531" s="31" t="str">
        <x:v>R-CF11-HELD: red block at center [REFERENCE]; green pen starts 21 cm to the left of the reference [TARGET START]; pink marker and blue block are distractors outside the commanded goal sector.</x:v>
      </x:c>
      <x:c r="O531" s="31" t="str">
        <x:v>green pen → to the left of red block</x:v>
      </x:c>
      <x:c r="P531" s="31" t="str"/>
      <x:c r="Q531" s="31" t="str"/>
      <x:c r="R531" s="31" t="str"/>
      <x:c r="S531" s="31" t="str">
        <x:f>IF('Blind Scoring'!I531="","",'Blind Scoring'!I531)</x:f>
      </x:c>
      <x:c r="T531" s="31" t="str">
        <x:f>'Blind Scoring'!J531</x:f>
        <x:v>No</x:v>
      </x:c>
      <x:c r="U531" s="31" t="str">
        <x:f>IF('Blind Scoring'!L531="","",'Blind Scoring'!L531)</x:f>
      </x:c>
    </x:row>
    <x:row r="532" ht="44" customHeight="1">
      <x:c r="A532" s="35" t="str">
        <x:v>Not Started</x:v>
      </x:c>
      <x:c r="B532" s="35" t="n">
        <x:v>530</x:v>
      </x:c>
      <x:c r="C532" s="35" t="str">
        <x:v>P09</x:v>
      </x:c>
      <x:c r="D532" s="35" t="n">
        <x:v>35</x:v>
      </x:c>
      <x:c r="E532" s="35" t="str">
        <x:v>Primary VLA</x:v>
      </x:c>
      <x:c r="F532" s="35" t="str">
        <x:v>MolmoAct2</x:v>
      </x:c>
      <x:c r="G532" s="35" t="n">
        <x:v>1</x:v>
      </x:c>
      <x:c r="H532" s="35" t="str">
        <x:v>Relational Placement</x:v>
      </x:c>
      <x:c r="I532" s="35" t="str">
        <x:v>Main held-out transfer</x:v>
      </x:c>
      <x:c r="J532" s="35" t="str">
        <x:v>PVLA-RP-TR-02</x:v>
      </x:c>
      <x:c r="K532" s="35" t="str">
        <x:v>R-CF03</x:v>
      </x:c>
      <x:c r="L532" s="31" t="str">
        <x:v>Place the green pen to the right of the red block.</x:v>
      </x:c>
      <x:c r="M532" s="31" t="str">
        <x:v>Place the green pen to the right of the red block.</x:v>
      </x:c>
      <x:c r="N532" s="31" t="str">
        <x:v>R-CF03-HELD: red block at back-right [REFERENCE]; green pen starts 24 cm to the left of the reference [TARGET START]; pink marker and blue block are distractors outside the commanded goal sector.</x:v>
      </x:c>
      <x:c r="O532" s="31" t="str">
        <x:v>green pen → to the right of red block</x:v>
      </x:c>
      <x:c r="P532" s="31" t="str"/>
      <x:c r="Q532" s="31" t="str"/>
      <x:c r="R532" s="31" t="str"/>
      <x:c r="S532" s="31" t="str">
        <x:f>IF('Blind Scoring'!I532="","",'Blind Scoring'!I532)</x:f>
      </x:c>
      <x:c r="T532" s="31" t="str">
        <x:f>'Blind Scoring'!J532</x:f>
        <x:v>No</x:v>
      </x:c>
      <x:c r="U532" s="31" t="str">
        <x:f>IF('Blind Scoring'!L532="","",'Blind Scoring'!L532)</x:f>
      </x:c>
    </x:row>
    <x:row r="533" ht="44" customHeight="1">
      <x:c r="A533" s="35" t="str">
        <x:v>Not Started</x:v>
      </x:c>
      <x:c r="B533" s="35" t="n">
        <x:v>531</x:v>
      </x:c>
      <x:c r="C533" s="35" t="str">
        <x:v>P09</x:v>
      </x:c>
      <x:c r="D533" s="35" t="n">
        <x:v>36</x:v>
      </x:c>
      <x:c r="E533" s="35" t="str">
        <x:v>Primary VLA</x:v>
      </x:c>
      <x:c r="F533" s="35" t="str">
        <x:v>MolmoAct2</x:v>
      </x:c>
      <x:c r="G533" s="35" t="n">
        <x:v>1</x:v>
      </x:c>
      <x:c r="H533" s="35" t="str">
        <x:v>Relational Placement</x:v>
      </x:c>
      <x:c r="I533" s="35" t="str">
        <x:v>Main matched control</x:v>
      </x:c>
      <x:c r="J533" s="35" t="str">
        <x:v>PVLA-RP-CTL-11</x:v>
      </x:c>
      <x:c r="K533" s="35" t="str">
        <x:v>R-CF20</x:v>
      </x:c>
      <x:c r="L533" s="31" t="str">
        <x:v>Place the red block next to the green pen.</x:v>
      </x:c>
      <x:c r="M533" s="31" t="str">
        <x:v>Place the red block next to the green pen.</x:v>
      </x:c>
      <x:c r="N533" s="31" t="str">
        <x:v>R-CF20-CTRL: green pen at front-right [REFERENCE]; red block starts 21 cm behind the reference [TARGET START]; blue block and pink marker are distractors outside the commanded goal sector.</x:v>
      </x:c>
      <x:c r="O533" s="31" t="str">
        <x:v>red block near green pen</x:v>
      </x:c>
      <x:c r="P533" s="31" t="str"/>
      <x:c r="Q533" s="31" t="str"/>
      <x:c r="R533" s="31" t="str"/>
      <x:c r="S533" s="31" t="str">
        <x:f>IF('Blind Scoring'!I533="","",'Blind Scoring'!I533)</x:f>
      </x:c>
      <x:c r="T533" s="31" t="str">
        <x:f>'Blind Scoring'!J533</x:f>
        <x:v>No</x:v>
      </x:c>
      <x:c r="U533" s="31" t="str">
        <x:f>IF('Blind Scoring'!L533="","",'Blind Scoring'!L533)</x:f>
      </x:c>
    </x:row>
    <x:row r="534" ht="44" customHeight="1">
      <x:c r="A534" s="35" t="str">
        <x:v>Not Started</x:v>
      </x:c>
      <x:c r="B534" s="35" t="n">
        <x:v>532</x:v>
      </x:c>
      <x:c r="C534" s="35" t="str">
        <x:v>P09</x:v>
      </x:c>
      <x:c r="D534" s="35" t="n">
        <x:v>37</x:v>
      </x:c>
      <x:c r="E534" s="35" t="str">
        <x:v>Primary VLA</x:v>
      </x:c>
      <x:c r="F534" s="35" t="str">
        <x:v>MolmoAct2</x:v>
      </x:c>
      <x:c r="G534" s="35" t="n">
        <x:v>1</x:v>
      </x:c>
      <x:c r="H534" s="35" t="str">
        <x:v>Relational Placement</x:v>
      </x:c>
      <x:c r="I534" s="35" t="str">
        <x:v>Language ablation — counterfactual</x:v>
      </x:c>
      <x:c r="J534" s="35" t="str">
        <x:v>PVLA-RP-ABL-CF-04</x:v>
      </x:c>
      <x:c r="K534" s="35" t="str">
        <x:v>R-CF15</x:v>
      </x:c>
      <x:c r="L534" s="31" t="str">
        <x:v>Place the green pen in front of the red block.</x:v>
      </x:c>
      <x:c r="M534" s="31" t="str">
        <x:v>Place the green pen in front of the red block.</x:v>
      </x:c>
      <x:c r="N534" s="31" t="str">
        <x:v>R-CF15-HELD: red block at front-right [REFERENCE]; green pen starts 24 cm in front of the reference [TARGET START]; pink marker and blue block are distractors outside the commanded goal sector.</x:v>
      </x:c>
      <x:c r="O534" s="31" t="str">
        <x:v>green pen → in front of red block</x:v>
      </x:c>
      <x:c r="P534" s="31" t="str"/>
      <x:c r="Q534" s="31" t="str"/>
      <x:c r="R534" s="31" t="str"/>
      <x:c r="S534" s="31" t="str">
        <x:f>IF('Blind Scoring'!I534="","",'Blind Scoring'!I534)</x:f>
      </x:c>
      <x:c r="T534" s="31" t="str">
        <x:f>'Blind Scoring'!J534</x:f>
        <x:v>No</x:v>
      </x:c>
      <x:c r="U534" s="31" t="str">
        <x:f>IF('Blind Scoring'!L534="","",'Blind Scoring'!L534)</x:f>
      </x:c>
    </x:row>
    <x:row r="535" ht="44" customHeight="1">
      <x:c r="A535" s="35" t="str">
        <x:v>Not Started</x:v>
      </x:c>
      <x:c r="B535" s="35" t="n">
        <x:v>533</x:v>
      </x:c>
      <x:c r="C535" s="35" t="str">
        <x:v>P09</x:v>
      </x:c>
      <x:c r="D535" s="35" t="n">
        <x:v>38</x:v>
      </x:c>
      <x:c r="E535" s="35" t="str">
        <x:v>Primary VLA</x:v>
      </x:c>
      <x:c r="F535" s="35" t="str">
        <x:v>MolmoAct2</x:v>
      </x:c>
      <x:c r="G535" s="35" t="n">
        <x:v>1</x:v>
      </x:c>
      <x:c r="H535" s="35" t="str">
        <x:v>Relational Placement</x:v>
      </x:c>
      <x:c r="I535" s="35" t="str">
        <x:v>Main held-out transfer</x:v>
      </x:c>
      <x:c r="J535" s="35" t="str">
        <x:v>PVLA-RP-TR-10</x:v>
      </x:c>
      <x:c r="K535" s="35" t="str">
        <x:v>R-CF18</x:v>
      </x:c>
      <x:c r="L535" s="31" t="str">
        <x:v>Place the red block behind the green pen.</x:v>
      </x:c>
      <x:c r="M535" s="31" t="str">
        <x:v>Place the red block behind the green pen.</x:v>
      </x:c>
      <x:c r="N535" s="31" t="str">
        <x:v>R-CF18-HELD: green pen at back-right [REFERENCE]; red block starts 24 cm in front of the reference [TARGET START]; blue block and pink marker are distractors outside the commanded goal sector.</x:v>
      </x:c>
      <x:c r="O535" s="31" t="str">
        <x:v>red block → behind green pen</x:v>
      </x:c>
      <x:c r="P535" s="31" t="str"/>
      <x:c r="Q535" s="31" t="str"/>
      <x:c r="R535" s="31" t="str"/>
      <x:c r="S535" s="31" t="str">
        <x:f>IF('Blind Scoring'!I535="","",'Blind Scoring'!I535)</x:f>
      </x:c>
      <x:c r="T535" s="31" t="str">
        <x:f>'Blind Scoring'!J535</x:f>
        <x:v>No</x:v>
      </x:c>
      <x:c r="U535" s="31" t="str">
        <x:f>IF('Blind Scoring'!L535="","",'Blind Scoring'!L535)</x:f>
      </x:c>
    </x:row>
    <x:row r="536" ht="44" customHeight="1">
      <x:c r="A536" s="35" t="str">
        <x:v>Not Started</x:v>
      </x:c>
      <x:c r="B536" s="35" t="n">
        <x:v>534</x:v>
      </x:c>
      <x:c r="C536" s="35" t="str">
        <x:v>P09</x:v>
      </x:c>
      <x:c r="D536" s="35" t="n">
        <x:v>39</x:v>
      </x:c>
      <x:c r="E536" s="35" t="str">
        <x:v>Primary VLA</x:v>
      </x:c>
      <x:c r="F536" s="35" t="str">
        <x:v>MolmoAct2</x:v>
      </x:c>
      <x:c r="G536" s="35" t="n">
        <x:v>1</x:v>
      </x:c>
      <x:c r="H536" s="35" t="str">
        <x:v>Relational Placement</x:v>
      </x:c>
      <x:c r="I536" s="35" t="str">
        <x:v>Main held-out transfer</x:v>
      </x:c>
      <x:c r="J536" s="35" t="str">
        <x:v>PVLA-RP-TR-04</x:v>
      </x:c>
      <x:c r="K536" s="35" t="str">
        <x:v>R-CF07</x:v>
      </x:c>
      <x:c r="L536" s="31" t="str">
        <x:v>Place the green pen behind the red block.</x:v>
      </x:c>
      <x:c r="M536" s="31" t="str">
        <x:v>Place the green pen behind the red block.</x:v>
      </x:c>
      <x:c r="N536" s="31" t="str">
        <x:v>R-CF07-HELD: red block at back-left [REFERENCE]; green pen starts 18 cm in front of the reference [TARGET START]; pink marker and blue block are distractors outside the commanded goal sector.</x:v>
      </x:c>
      <x:c r="O536" s="31" t="str">
        <x:v>green pen → behind red block</x:v>
      </x:c>
      <x:c r="P536" s="31" t="str"/>
      <x:c r="Q536" s="31" t="str"/>
      <x:c r="R536" s="31" t="str"/>
      <x:c r="S536" s="31" t="str">
        <x:f>IF('Blind Scoring'!I536="","",'Blind Scoring'!I536)</x:f>
      </x:c>
      <x:c r="T536" s="31" t="str">
        <x:f>'Blind Scoring'!J536</x:f>
        <x:v>No</x:v>
      </x:c>
      <x:c r="U536" s="31" t="str">
        <x:f>IF('Blind Scoring'!L536="","",'Blind Scoring'!L536)</x:f>
      </x:c>
    </x:row>
    <x:row r="537" ht="44" customHeight="1">
      <x:c r="A537" s="35" t="str">
        <x:v>Not Started</x:v>
      </x:c>
      <x:c r="B537" s="35" t="n">
        <x:v>535</x:v>
      </x:c>
      <x:c r="C537" s="35" t="str">
        <x:v>P09</x:v>
      </x:c>
      <x:c r="D537" s="35" t="n">
        <x:v>40</x:v>
      </x:c>
      <x:c r="E537" s="35" t="str">
        <x:v>Primary VLA</x:v>
      </x:c>
      <x:c r="F537" s="35" t="str">
        <x:v>MolmoAct2</x:v>
      </x:c>
      <x:c r="G537" s="35" t="n">
        <x:v>1</x:v>
      </x:c>
      <x:c r="H537" s="35" t="str">
        <x:v>Relational Placement</x:v>
      </x:c>
      <x:c r="I537" s="35" t="str">
        <x:v>Main held-out transfer</x:v>
      </x:c>
      <x:c r="J537" s="35" t="str">
        <x:v>PVLA-RP-TR-08</x:v>
      </x:c>
      <x:c r="K537" s="35" t="str">
        <x:v>R-CF15</x:v>
      </x:c>
      <x:c r="L537" s="31" t="str">
        <x:v>Place the green pen behind the red block.</x:v>
      </x:c>
      <x:c r="M537" s="31" t="str">
        <x:v>Place the green pen behind the red block.</x:v>
      </x:c>
      <x:c r="N537" s="31" t="str">
        <x:v>R-CF15-HELD: red block at front-right [REFERENCE]; green pen starts 24 cm in front of the reference [TARGET START]; pink marker and blue block are distractors outside the commanded goal sector.</x:v>
      </x:c>
      <x:c r="O537" s="31" t="str">
        <x:v>green pen → behind red block</x:v>
      </x:c>
      <x:c r="P537" s="31" t="str"/>
      <x:c r="Q537" s="31" t="str"/>
      <x:c r="R537" s="31" t="str"/>
      <x:c r="S537" s="31" t="str">
        <x:f>IF('Blind Scoring'!I537="","",'Blind Scoring'!I537)</x:f>
      </x:c>
      <x:c r="T537" s="31" t="str">
        <x:f>'Blind Scoring'!J537</x:f>
        <x:v>No</x:v>
      </x:c>
      <x:c r="U537" s="31" t="str">
        <x:f>IF('Blind Scoring'!L537="","",'Blind Scoring'!L537)</x:f>
      </x:c>
    </x:row>
    <x:row r="538" ht="44" customHeight="1">
      <x:c r="A538" s="35" t="str">
        <x:v>Not Started</x:v>
      </x:c>
      <x:c r="B538" s="35" t="n">
        <x:v>536</x:v>
      </x:c>
      <x:c r="C538" s="35" t="str">
        <x:v>P09</x:v>
      </x:c>
      <x:c r="D538" s="35" t="n">
        <x:v>41</x:v>
      </x:c>
      <x:c r="E538" s="35" t="str">
        <x:v>Primary VLA</x:v>
      </x:c>
      <x:c r="F538" s="35" t="str">
        <x:v>MolmoAct2</x:v>
      </x:c>
      <x:c r="G538" s="35" t="n">
        <x:v>1</x:v>
      </x:c>
      <x:c r="H538" s="35" t="str">
        <x:v>Relational Placement</x:v>
      </x:c>
      <x:c r="I538" s="35" t="str">
        <x:v>Novel layout + seen language</x:v>
      </x:c>
      <x:c r="J538" s="35" t="str">
        <x:v>PVLA-RP-NOV-01</x:v>
      </x:c>
      <x:c r="K538" s="35" t="str"/>
      <x:c r="L538" s="31" t="str">
        <x:v>Place the blue block in front of the green pen.</x:v>
      </x:c>
      <x:c r="M538" s="31" t="str">
        <x:v>Place the blue block in front of the green pen.</x:v>
      </x:c>
      <x:c r="N538" s="31" t="str">
        <x:v>R-S01: green pen at center [REFERENCE]; blue block starts 24 cm behind the reference [TARGET START]; remaining objects are distractors with ≥12 cm clearance from the target path and commanded goal sector.</x:v>
      </x:c>
      <x:c r="O538" s="31" t="str">
        <x:v>blue block</x:v>
      </x:c>
      <x:c r="P538" s="31" t="str"/>
      <x:c r="Q538" s="31" t="str"/>
      <x:c r="R538" s="31" t="str"/>
      <x:c r="S538" s="31" t="str">
        <x:f>IF('Blind Scoring'!I538="","",'Blind Scoring'!I538)</x:f>
      </x:c>
      <x:c r="T538" s="31" t="str">
        <x:f>'Blind Scoring'!J538</x:f>
        <x:v>No</x:v>
      </x:c>
      <x:c r="U538" s="31" t="str">
        <x:f>IF('Blind Scoring'!L538="","",'Blind Scoring'!L538)</x:f>
      </x:c>
    </x:row>
    <x:row r="539" ht="44" customHeight="1">
      <x:c r="A539" s="35" t="str">
        <x:v>Not Started</x:v>
      </x:c>
      <x:c r="B539" s="35" t="n">
        <x:v>537</x:v>
      </x:c>
      <x:c r="C539" s="35" t="str">
        <x:v>P09</x:v>
      </x:c>
      <x:c r="D539" s="35" t="n">
        <x:v>42</x:v>
      </x:c>
      <x:c r="E539" s="35" t="str">
        <x:v>Primary VLA</x:v>
      </x:c>
      <x:c r="F539" s="35" t="str">
        <x:v>MolmoAct2</x:v>
      </x:c>
      <x:c r="G539" s="35" t="n">
        <x:v>1</x:v>
      </x:c>
      <x:c r="H539" s="35" t="str">
        <x:v>Relational Placement</x:v>
      </x:c>
      <x:c r="I539" s="35" t="str">
        <x:v>Novel layout + seen language</x:v>
      </x:c>
      <x:c r="J539" s="35" t="str">
        <x:v>PVLA-RP-NOV-02</x:v>
      </x:c>
      <x:c r="K539" s="35" t="str"/>
      <x:c r="L539" s="31" t="str">
        <x:v>Place the green pen to the right of the pink marker.</x:v>
      </x:c>
      <x:c r="M539" s="31" t="str">
        <x:v>Place the green pen to the right of the pink marker.</x:v>
      </x:c>
      <x:c r="N539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539" s="31" t="str">
        <x:v>green pen</x:v>
      </x:c>
      <x:c r="P539" s="31" t="str"/>
      <x:c r="Q539" s="31" t="str"/>
      <x:c r="R539" s="31" t="str"/>
      <x:c r="S539" s="31" t="str">
        <x:f>IF('Blind Scoring'!I539="","",'Blind Scoring'!I539)</x:f>
      </x:c>
      <x:c r="T539" s="31" t="str">
        <x:f>'Blind Scoring'!J539</x:f>
        <x:v>No</x:v>
      </x:c>
      <x:c r="U539" s="31" t="str">
        <x:f>IF('Blind Scoring'!L539="","",'Blind Scoring'!L539)</x:f>
      </x:c>
    </x:row>
    <x:row r="540" ht="44" customHeight="1">
      <x:c r="A540" s="35" t="str">
        <x:v>Not Started</x:v>
      </x:c>
      <x:c r="B540" s="35" t="n">
        <x:v>538</x:v>
      </x:c>
      <x:c r="C540" s="35" t="str">
        <x:v>P09</x:v>
      </x:c>
      <x:c r="D540" s="35" t="n">
        <x:v>43</x:v>
      </x:c>
      <x:c r="E540" s="35" t="str">
        <x:v>Primary VLA</x:v>
      </x:c>
      <x:c r="F540" s="35" t="str">
        <x:v>MolmoAct2</x:v>
      </x:c>
      <x:c r="G540" s="35" t="n">
        <x:v>1</x:v>
      </x:c>
      <x:c r="H540" s="35" t="str">
        <x:v>Relational Placement</x:v>
      </x:c>
      <x:c r="I540" s="35" t="str">
        <x:v>Novel layout + seen language</x:v>
      </x:c>
      <x:c r="J540" s="35" t="str">
        <x:v>PVLA-RP-NOV-05</x:v>
      </x:c>
      <x:c r="K540" s="35" t="str"/>
      <x:c r="L540" s="31" t="str">
        <x:v>Place the pink marker to the right of the blue block.</x:v>
      </x:c>
      <x:c r="M540" s="31" t="str">
        <x:v>Place the pink marker to the right of the blue block.</x:v>
      </x:c>
      <x:c r="N540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540" s="31" t="str">
        <x:v>pink marker</x:v>
      </x:c>
      <x:c r="P540" s="31" t="str"/>
      <x:c r="Q540" s="31" t="str"/>
      <x:c r="R540" s="31" t="str"/>
      <x:c r="S540" s="31" t="str">
        <x:f>IF('Blind Scoring'!I540="","",'Blind Scoring'!I540)</x:f>
      </x:c>
      <x:c r="T540" s="31" t="str">
        <x:f>'Blind Scoring'!J540</x:f>
        <x:v>No</x:v>
      </x:c>
      <x:c r="U540" s="31" t="str">
        <x:f>IF('Blind Scoring'!L540="","",'Blind Scoring'!L540)</x:f>
      </x:c>
    </x:row>
    <x:row r="541" ht="44" customHeight="1">
      <x:c r="A541" s="35" t="str">
        <x:v>Not Started</x:v>
      </x:c>
      <x:c r="B541" s="35" t="n">
        <x:v>539</x:v>
      </x:c>
      <x:c r="C541" s="35" t="str">
        <x:v>P09</x:v>
      </x:c>
      <x:c r="D541" s="35" t="n">
        <x:v>44</x:v>
      </x:c>
      <x:c r="E541" s="35" t="str">
        <x:v>Primary VLA</x:v>
      </x:c>
      <x:c r="F541" s="35" t="str">
        <x:v>MolmoAct2</x:v>
      </x:c>
      <x:c r="G541" s="35" t="n">
        <x:v>1</x:v>
      </x:c>
      <x:c r="H541" s="35" t="str">
        <x:v>Relational Placement</x:v>
      </x:c>
      <x:c r="I541" s="35" t="str">
        <x:v>Main matched control</x:v>
      </x:c>
      <x:c r="J541" s="35" t="str">
        <x:v>PVLA-RP-CTL-08</x:v>
      </x:c>
      <x:c r="K541" s="35" t="str">
        <x:v>R-CF15</x:v>
      </x:c>
      <x:c r="L541" s="31" t="str">
        <x:v>Place the green pen beside the red block.</x:v>
      </x:c>
      <x:c r="M541" s="31" t="str">
        <x:v>Place the green pen beside the red block.</x:v>
      </x:c>
      <x:c r="N541" s="31" t="str">
        <x:v>R-CF15-CTRL: red block at front-right [REFERENCE]; green pen starts 24 cm in front of the reference [TARGET START]; pink marker and blue block are distractors outside the commanded goal sector.</x:v>
      </x:c>
      <x:c r="O541" s="31" t="str">
        <x:v>green pen near red block</x:v>
      </x:c>
      <x:c r="P541" s="31" t="str"/>
      <x:c r="Q541" s="31" t="str"/>
      <x:c r="R541" s="31" t="str"/>
      <x:c r="S541" s="31" t="str">
        <x:f>IF('Blind Scoring'!I541="","",'Blind Scoring'!I541)</x:f>
      </x:c>
      <x:c r="T541" s="31" t="str">
        <x:f>'Blind Scoring'!J541</x:f>
        <x:v>No</x:v>
      </x:c>
      <x:c r="U541" s="31" t="str">
        <x:f>IF('Blind Scoring'!L541="","",'Blind Scoring'!L541)</x:f>
      </x:c>
    </x:row>
    <x:row r="542" ht="44" customHeight="1">
      <x:c r="A542" s="35" t="str">
        <x:v>Not Started</x:v>
      </x:c>
      <x:c r="B542" s="35" t="n">
        <x:v>540</x:v>
      </x:c>
      <x:c r="C542" s="35" t="str">
        <x:v>P09</x:v>
      </x:c>
      <x:c r="D542" s="35" t="n">
        <x:v>45</x:v>
      </x:c>
      <x:c r="E542" s="35" t="str">
        <x:v>Primary VLA</x:v>
      </x:c>
      <x:c r="F542" s="35" t="str">
        <x:v>MolmoAct2</x:v>
      </x:c>
      <x:c r="G542" s="35" t="n">
        <x:v>1</x:v>
      </x:c>
      <x:c r="H542" s="35" t="str">
        <x:v>Relational Placement</x:v>
      </x:c>
      <x:c r="I542" s="35" t="str">
        <x:v>Main held-out transfer</x:v>
      </x:c>
      <x:c r="J542" s="35" t="str">
        <x:v>PVLA-RP-TR-06</x:v>
      </x:c>
      <x:c r="K542" s="35" t="str">
        <x:v>R-CF11</x:v>
      </x:c>
      <x:c r="L542" s="31" t="str">
        <x:v>Place the green pen to the right of the red block.</x:v>
      </x:c>
      <x:c r="M542" s="31" t="str">
        <x:v>Place the green pen to the right of the red block.</x:v>
      </x:c>
      <x:c r="N542" s="31" t="str">
        <x:v>R-CF11-HELD: red block at center [REFERENCE]; green pen starts 21 cm to the left of the reference [TARGET START]; pink marker and blue block are distractors outside the commanded goal sector.</x:v>
      </x:c>
      <x:c r="O542" s="31" t="str">
        <x:v>green pen → to the right of red block</x:v>
      </x:c>
      <x:c r="P542" s="31" t="str"/>
      <x:c r="Q542" s="31" t="str"/>
      <x:c r="R542" s="31" t="str"/>
      <x:c r="S542" s="31" t="str">
        <x:f>IF('Blind Scoring'!I542="","",'Blind Scoring'!I542)</x:f>
      </x:c>
      <x:c r="T542" s="31" t="str">
        <x:f>'Blind Scoring'!J542</x:f>
        <x:v>No</x:v>
      </x:c>
      <x:c r="U542" s="31" t="str">
        <x:f>IF('Blind Scoring'!L542="","",'Blind Scoring'!L542)</x:f>
      </x:c>
    </x:row>
    <x:row r="543" ht="44" customHeight="1">
      <x:c r="A543" s="35" t="str">
        <x:v>Not Started</x:v>
      </x:c>
      <x:c r="B543" s="35" t="n">
        <x:v>541</x:v>
      </x:c>
      <x:c r="C543" s="35" t="str">
        <x:v>P09</x:v>
      </x:c>
      <x:c r="D543" s="35" t="n">
        <x:v>46</x:v>
      </x:c>
      <x:c r="E543" s="35" t="str">
        <x:v>Primary VLA</x:v>
      </x:c>
      <x:c r="F543" s="35" t="str">
        <x:v>MolmoAct2</x:v>
      </x:c>
      <x:c r="G543" s="35" t="n">
        <x:v>1</x:v>
      </x:c>
      <x:c r="H543" s="35" t="str">
        <x:v>Relational Placement</x:v>
      </x:c>
      <x:c r="I543" s="35" t="str">
        <x:v>Main matched control</x:v>
      </x:c>
      <x:c r="J543" s="35" t="str">
        <x:v>PVLA-RP-CTL-04</x:v>
      </x:c>
      <x:c r="K543" s="35" t="str">
        <x:v>R-CF07</x:v>
      </x:c>
      <x:c r="L543" s="31" t="str">
        <x:v>Place the green pen near the red block.</x:v>
      </x:c>
      <x:c r="M543" s="31" t="str">
        <x:v>Place the green pen near the red block.</x:v>
      </x:c>
      <x:c r="N543" s="31" t="str">
        <x:v>R-CF07-CTRL: red block at back-left [REFERENCE]; green pen starts 18 cm in front of the reference [TARGET START]; pink marker and blue block are distractors outside the commanded goal sector.</x:v>
      </x:c>
      <x:c r="O543" s="31" t="str">
        <x:v>green pen near red block</x:v>
      </x:c>
      <x:c r="P543" s="31" t="str"/>
      <x:c r="Q543" s="31" t="str"/>
      <x:c r="R543" s="31" t="str"/>
      <x:c r="S543" s="31" t="str">
        <x:f>IF('Blind Scoring'!I543="","",'Blind Scoring'!I543)</x:f>
      </x:c>
      <x:c r="T543" s="31" t="str">
        <x:f>'Blind Scoring'!J543</x:f>
        <x:v>No</x:v>
      </x:c>
      <x:c r="U543" s="31" t="str">
        <x:f>IF('Blind Scoring'!L543="","",'Blind Scoring'!L543)</x:f>
      </x:c>
    </x:row>
    <x:row r="544" ht="44" customHeight="1">
      <x:c r="A544" s="35" t="str">
        <x:v>Not Started</x:v>
      </x:c>
      <x:c r="B544" s="35" t="n">
        <x:v>542</x:v>
      </x:c>
      <x:c r="C544" s="35" t="str">
        <x:v>P09</x:v>
      </x:c>
      <x:c r="D544" s="35" t="n">
        <x:v>47</x:v>
      </x:c>
      <x:c r="E544" s="35" t="str">
        <x:v>Primary VLA</x:v>
      </x:c>
      <x:c r="F544" s="35" t="str">
        <x:v>MolmoAct2</x:v>
      </x:c>
      <x:c r="G544" s="35" t="n">
        <x:v>1</x:v>
      </x:c>
      <x:c r="H544" s="35" t="str">
        <x:v>Relational Placement</x:v>
      </x:c>
      <x:c r="I544" s="35" t="str">
        <x:v>Main matched control</x:v>
      </x:c>
      <x:c r="J544" s="35" t="str">
        <x:v>PVLA-RP-CTL-15</x:v>
      </x:c>
      <x:c r="K544" s="35" t="str">
        <x:v>R-CF28</x:v>
      </x:c>
      <x:c r="L544" s="31" t="str">
        <x:v>Place the red block near the green pen.</x:v>
      </x:c>
      <x:c r="M544" s="31" t="str">
        <x:v>Place the red block near the green pen.</x:v>
      </x:c>
      <x:c r="N544" s="31" t="str">
        <x:v>R-CF28-CTRL: green pen at back-right [REFERENCE]; red block starts 18 cm behind the reference [TARGET START]; blue block and pink marker are distractors outside the commanded goal sector.</x:v>
      </x:c>
      <x:c r="O544" s="31" t="str">
        <x:v>red block near green pen</x:v>
      </x:c>
      <x:c r="P544" s="31" t="str"/>
      <x:c r="Q544" s="31" t="str"/>
      <x:c r="R544" s="31" t="str"/>
      <x:c r="S544" s="31" t="str">
        <x:f>IF('Blind Scoring'!I544="","",'Blind Scoring'!I544)</x:f>
      </x:c>
      <x:c r="T544" s="31" t="str">
        <x:f>'Blind Scoring'!J544</x:f>
        <x:v>No</x:v>
      </x:c>
      <x:c r="U544" s="31" t="str">
        <x:f>IF('Blind Scoring'!L544="","",'Blind Scoring'!L544)</x:f>
      </x:c>
    </x:row>
    <x:row r="545" ht="44" customHeight="1">
      <x:c r="A545" s="35" t="str">
        <x:v>Not Started</x:v>
      </x:c>
      <x:c r="B545" s="35" t="n">
        <x:v>543</x:v>
      </x:c>
      <x:c r="C545" s="35" t="str">
        <x:v>P09</x:v>
      </x:c>
      <x:c r="D545" s="35" t="n">
        <x:v>48</x:v>
      </x:c>
      <x:c r="E545" s="35" t="str">
        <x:v>Primary VLA</x:v>
      </x:c>
      <x:c r="F545" s="35" t="str">
        <x:v>MolmoAct2</x:v>
      </x:c>
      <x:c r="G545" s="35" t="n">
        <x:v>1</x:v>
      </x:c>
      <x:c r="H545" s="35" t="str">
        <x:v>Relational Placement</x:v>
      </x:c>
      <x:c r="I545" s="35" t="str">
        <x:v>Main held-out transfer</x:v>
      </x:c>
      <x:c r="J545" s="35" t="str">
        <x:v>PVLA-RP-TR-15</x:v>
      </x:c>
      <x:c r="K545" s="35" t="str">
        <x:v>R-CF28</x:v>
      </x:c>
      <x:c r="L545" s="31" t="str">
        <x:v>Place the red block in front of the green pen.</x:v>
      </x:c>
      <x:c r="M545" s="31" t="str">
        <x:v>Place the red block in front of the green pen.</x:v>
      </x:c>
      <x:c r="N545" s="31" t="str">
        <x:v>R-CF28-HELD: green pen at back-right [REFERENCE]; red block starts 18 cm behind the reference [TARGET START]; blue block and pink marker are distractors outside the commanded goal sector.</x:v>
      </x:c>
      <x:c r="O545" s="31" t="str">
        <x:v>red block → in front of green pen</x:v>
      </x:c>
      <x:c r="P545" s="31" t="str"/>
      <x:c r="Q545" s="31" t="str"/>
      <x:c r="R545" s="31" t="str"/>
      <x:c r="S545" s="31" t="str">
        <x:f>IF('Blind Scoring'!I545="","",'Blind Scoring'!I545)</x:f>
      </x:c>
      <x:c r="T545" s="31" t="str">
        <x:f>'Blind Scoring'!J545</x:f>
        <x:v>No</x:v>
      </x:c>
      <x:c r="U545" s="31" t="str">
        <x:f>IF('Blind Scoring'!L545="","",'Blind Scoring'!L545)</x:f>
      </x:c>
    </x:row>
    <x:row r="546" ht="44" customHeight="1">
      <x:c r="A546" s="35" t="str">
        <x:v>Not Started</x:v>
      </x:c>
      <x:c r="B546" s="35" t="n">
        <x:v>544</x:v>
      </x:c>
      <x:c r="C546" s="35" t="str">
        <x:v>P09</x:v>
      </x:c>
      <x:c r="D546" s="35" t="n">
        <x:v>49</x:v>
      </x:c>
      <x:c r="E546" s="35" t="str">
        <x:v>Primary VLA</x:v>
      </x:c>
      <x:c r="F546" s="35" t="str">
        <x:v>MolmoAct2</x:v>
      </x:c>
      <x:c r="G546" s="35" t="n">
        <x:v>1</x:v>
      </x:c>
      <x:c r="H546" s="35" t="str">
        <x:v>Relational Placement</x:v>
      </x:c>
      <x:c r="I546" s="35" t="str">
        <x:v>Main matched control</x:v>
      </x:c>
      <x:c r="J546" s="35" t="str">
        <x:v>PVLA-RP-CTL-07</x:v>
      </x:c>
      <x:c r="K546" s="35" t="str">
        <x:v>R-CF13</x:v>
      </x:c>
      <x:c r="L546" s="31" t="str">
        <x:v>Place the green pen near the red block.</x:v>
      </x:c>
      <x:c r="M546" s="31" t="str">
        <x:v>Place the green pen near the red block.</x:v>
      </x:c>
      <x:c r="N546" s="31" t="str">
        <x:v>R-CF13-CTRL: red block at back-right [REFERENCE]; green pen starts 18 cm to the right of the reference [TARGET START]; pink marker and blue block are distractors outside the commanded goal sector.</x:v>
      </x:c>
      <x:c r="O546" s="31" t="str">
        <x:v>green pen near red block</x:v>
      </x:c>
      <x:c r="P546" s="31" t="str"/>
      <x:c r="Q546" s="31" t="str"/>
      <x:c r="R546" s="31" t="str"/>
      <x:c r="S546" s="31" t="str">
        <x:f>IF('Blind Scoring'!I546="","",'Blind Scoring'!I546)</x:f>
      </x:c>
      <x:c r="T546" s="31" t="str">
        <x:f>'Blind Scoring'!J546</x:f>
        <x:v>No</x:v>
      </x:c>
      <x:c r="U546" s="31" t="str">
        <x:f>IF('Blind Scoring'!L546="","",'Blind Scoring'!L546)</x:f>
      </x:c>
    </x:row>
    <x:row r="547" ht="44" customHeight="1">
      <x:c r="A547" s="35" t="str">
        <x:v>Not Started</x:v>
      </x:c>
      <x:c r="B547" s="35" t="n">
        <x:v>545</x:v>
      </x:c>
      <x:c r="C547" s="35" t="str">
        <x:v>P09</x:v>
      </x:c>
      <x:c r="D547" s="35" t="n">
        <x:v>50</x:v>
      </x:c>
      <x:c r="E547" s="35" t="str">
        <x:v>Primary VLA</x:v>
      </x:c>
      <x:c r="F547" s="35" t="str">
        <x:v>MolmoAct2</x:v>
      </x:c>
      <x:c r="G547" s="35" t="n">
        <x:v>1</x:v>
      </x:c>
      <x:c r="H547" s="35" t="str">
        <x:v>Relational Placement</x:v>
      </x:c>
      <x:c r="I547" s="35" t="str">
        <x:v>Language ablation — blank</x:v>
      </x:c>
      <x:c r="J547" s="35" t="str">
        <x:v>PVLA-RP-ABL-BLK-04</x:v>
      </x:c>
      <x:c r="K547" s="35" t="str">
        <x:v>R-CF07</x:v>
      </x:c>
      <x:c r="L547" s="31" t="str">
        <x:v>[EMPTY STRING — provide no instruction tokens]</x:v>
      </x:c>
      <x:c r="M547" s="31" t="str">
        <x:v>Place the green pen behind the red block.</x:v>
      </x:c>
      <x:c r="N547" s="31" t="str">
        <x:v>R-CF07-HELD: red block at back-left [REFERENCE]; green pen starts 18 cm in front of the reference [TARGET START]; pink marker and blue block are distractors outside the commanded goal sector.</x:v>
      </x:c>
      <x:c r="O547" s="31" t="str">
        <x:v>No prespecified task success under blank language; record any action/selected target.</x:v>
      </x:c>
      <x:c r="P547" s="31" t="str"/>
      <x:c r="Q547" s="31" t="str"/>
      <x:c r="R547" s="31" t="str"/>
      <x:c r="S547" s="31" t="str">
        <x:f>IF('Blind Scoring'!I547="","",'Blind Scoring'!I547)</x:f>
      </x:c>
      <x:c r="T547" s="31" t="str">
        <x:f>'Blind Scoring'!J547</x:f>
        <x:v>No</x:v>
      </x:c>
      <x:c r="U547" s="31" t="str">
        <x:f>IF('Blind Scoring'!L547="","",'Blind Scoring'!L547)</x:f>
      </x:c>
    </x:row>
    <x:row r="548" ht="44" customHeight="1">
      <x:c r="A548" s="35" t="str">
        <x:v>Not Started</x:v>
      </x:c>
      <x:c r="B548" s="35" t="n">
        <x:v>546</x:v>
      </x:c>
      <x:c r="C548" s="35" t="str">
        <x:v>P09</x:v>
      </x:c>
      <x:c r="D548" s="35" t="n">
        <x:v>51</x:v>
      </x:c>
      <x:c r="E548" s="35" t="str">
        <x:v>Primary VLA</x:v>
      </x:c>
      <x:c r="F548" s="35" t="str">
        <x:v>MolmoAct2</x:v>
      </x:c>
      <x:c r="G548" s="35" t="n">
        <x:v>1</x:v>
      </x:c>
      <x:c r="H548" s="35" t="str">
        <x:v>Relational Placement</x:v>
      </x:c>
      <x:c r="I548" s="35" t="str">
        <x:v>Main matched control</x:v>
      </x:c>
      <x:c r="J548" s="35" t="str">
        <x:v>PVLA-RP-CTL-16</x:v>
      </x:c>
      <x:c r="K548" s="35" t="str">
        <x:v>R-CF30</x:v>
      </x:c>
      <x:c r="L548" s="31" t="str">
        <x:v>Place the red block beside the green pen.</x:v>
      </x:c>
      <x:c r="M548" s="31" t="str">
        <x:v>Place the red block beside the green pen.</x:v>
      </x:c>
      <x:c r="N548" s="31" t="str">
        <x:v>R-CF30-CTRL: green pen at front-right [REFERENCE]; red block starts 24 cm to the left of the reference [TARGET START]; blue block and pink marker are distractors outside the commanded goal sector.</x:v>
      </x:c>
      <x:c r="O548" s="31" t="str">
        <x:v>red block near green pen</x:v>
      </x:c>
      <x:c r="P548" s="31" t="str"/>
      <x:c r="Q548" s="31" t="str"/>
      <x:c r="R548" s="31" t="str"/>
      <x:c r="S548" s="31" t="str">
        <x:f>IF('Blind Scoring'!I548="","",'Blind Scoring'!I548)</x:f>
      </x:c>
      <x:c r="T548" s="31" t="str">
        <x:f>'Blind Scoring'!J548</x:f>
        <x:v>No</x:v>
      </x:c>
      <x:c r="U548" s="31" t="str">
        <x:f>IF('Blind Scoring'!L548="","",'Blind Scoring'!L548)</x:f>
      </x:c>
    </x:row>
    <x:row r="549" ht="44" customHeight="1">
      <x:c r="A549" s="35" t="str">
        <x:v>Not Started</x:v>
      </x:c>
      <x:c r="B549" s="35" t="n">
        <x:v>547</x:v>
      </x:c>
      <x:c r="C549" s="35" t="str">
        <x:v>P09</x:v>
      </x:c>
      <x:c r="D549" s="35" t="n">
        <x:v>52</x:v>
      </x:c>
      <x:c r="E549" s="35" t="str">
        <x:v>Primary VLA</x:v>
      </x:c>
      <x:c r="F549" s="35" t="str">
        <x:v>MolmoAct2</x:v>
      </x:c>
      <x:c r="G549" s="35" t="n">
        <x:v>1</x:v>
      </x:c>
      <x:c r="H549" s="35" t="str">
        <x:v>Relational Placement</x:v>
      </x:c>
      <x:c r="I549" s="35" t="str">
        <x:v>Main matched control</x:v>
      </x:c>
      <x:c r="J549" s="35" t="str">
        <x:v>PVLA-RP-CTL-06</x:v>
      </x:c>
      <x:c r="K549" s="35" t="str">
        <x:v>R-CF11</x:v>
      </x:c>
      <x:c r="L549" s="31" t="str">
        <x:v>Place the green pen next to the red block.</x:v>
      </x:c>
      <x:c r="M549" s="31" t="str">
        <x:v>Place the green pen next to the red block.</x:v>
      </x:c>
      <x:c r="N549" s="31" t="str">
        <x:v>R-CF11-CTRL: red block at center [REFERENCE]; green pen starts 21 cm to the left of the reference [TARGET START]; pink marker and blue block are distractors outside the commanded goal sector.</x:v>
      </x:c>
      <x:c r="O549" s="31" t="str">
        <x:v>green pen near red block</x:v>
      </x:c>
      <x:c r="P549" s="31" t="str"/>
      <x:c r="Q549" s="31" t="str"/>
      <x:c r="R549" s="31" t="str"/>
      <x:c r="S549" s="31" t="str">
        <x:f>IF('Blind Scoring'!I549="","",'Blind Scoring'!I549)</x:f>
      </x:c>
      <x:c r="T549" s="31" t="str">
        <x:f>'Blind Scoring'!J549</x:f>
        <x:v>No</x:v>
      </x:c>
      <x:c r="U549" s="31" t="str">
        <x:f>IF('Blind Scoring'!L549="","",'Blind Scoring'!L549)</x:f>
      </x:c>
    </x:row>
    <x:row r="550" ht="44" customHeight="1">
      <x:c r="A550" s="35" t="str">
        <x:v>Not Started</x:v>
      </x:c>
      <x:c r="B550" s="35" t="n">
        <x:v>548</x:v>
      </x:c>
      <x:c r="C550" s="35" t="str">
        <x:v>P09</x:v>
      </x:c>
      <x:c r="D550" s="35" t="n">
        <x:v>53</x:v>
      </x:c>
      <x:c r="E550" s="35" t="str">
        <x:v>Primary VLA</x:v>
      </x:c>
      <x:c r="F550" s="35" t="str">
        <x:v>MolmoAct2</x:v>
      </x:c>
      <x:c r="G550" s="35" t="n">
        <x:v>1</x:v>
      </x:c>
      <x:c r="H550" s="35" t="str">
        <x:v>Relational Placement</x:v>
      </x:c>
      <x:c r="I550" s="35" t="str">
        <x:v>Main matched control</x:v>
      </x:c>
      <x:c r="J550" s="35" t="str">
        <x:v>PVLA-RP-CTL-03</x:v>
      </x:c>
      <x:c r="K550" s="35" t="str">
        <x:v>R-CF05</x:v>
      </x:c>
      <x:c r="L550" s="31" t="str">
        <x:v>Place the green pen next to the red block.</x:v>
      </x:c>
      <x:c r="M550" s="31" t="str">
        <x:v>Place the green pen next to the red block.</x:v>
      </x:c>
      <x:c r="N550" s="31" t="str">
        <x:v>R-CF05-CTRL: red block at front-right [REFERENCE]; green pen starts 21 cm to the right of the reference [TARGET START]; pink marker and blue block are distractors outside the commanded goal sector.</x:v>
      </x:c>
      <x:c r="O550" s="31" t="str">
        <x:v>green pen near red block</x:v>
      </x:c>
      <x:c r="P550" s="31" t="str"/>
      <x:c r="Q550" s="31" t="str"/>
      <x:c r="R550" s="31" t="str"/>
      <x:c r="S550" s="31" t="str">
        <x:f>IF('Blind Scoring'!I550="","",'Blind Scoring'!I550)</x:f>
      </x:c>
      <x:c r="T550" s="31" t="str">
        <x:f>'Blind Scoring'!J550</x:f>
        <x:v>No</x:v>
      </x:c>
      <x:c r="U550" s="31" t="str">
        <x:f>IF('Blind Scoring'!L550="","",'Blind Scoring'!L550)</x:f>
      </x:c>
    </x:row>
    <x:row r="551" ht="44" customHeight="1">
      <x:c r="A551" s="35" t="str">
        <x:v>Not Started</x:v>
      </x:c>
      <x:c r="B551" s="35" t="n">
        <x:v>549</x:v>
      </x:c>
      <x:c r="C551" s="35" t="str">
        <x:v>P09</x:v>
      </x:c>
      <x:c r="D551" s="35" t="n">
        <x:v>54</x:v>
      </x:c>
      <x:c r="E551" s="35" t="str">
        <x:v>Primary VLA</x:v>
      </x:c>
      <x:c r="F551" s="35" t="str">
        <x:v>MolmoAct2</x:v>
      </x:c>
      <x:c r="G551" s="35" t="n">
        <x:v>1</x:v>
      </x:c>
      <x:c r="H551" s="35" t="str">
        <x:v>Relational Placement</x:v>
      </x:c>
      <x:c r="I551" s="35" t="str">
        <x:v>Training reconstruction</x:v>
      </x:c>
      <x:c r="J551" s="35" t="str">
        <x:v>PVLA-RP-REC-04</x:v>
      </x:c>
      <x:c r="K551" s="35" t="str"/>
      <x:c r="L551" s="31" t="str">
        <x:v>Place the green pen behind the pink marker.</x:v>
      </x:c>
      <x:c r="M551" s="31" t="str">
        <x:v>Place the green pen behind the pink marker.</x:v>
      </x:c>
      <x:c r="N551" s="31" t="str">
        <x:v>Reconstruct planned final training episode 219: green pen, red block, pink marker, blue block; start=Home. Match camera, calibration, bowl pose, and object geometry exactly.</x:v>
      </x:c>
      <x:c r="O551" s="31" t="str">
        <x:v>green pen</x:v>
      </x:c>
      <x:c r="P551" s="31" t="str"/>
      <x:c r="Q551" s="31" t="str"/>
      <x:c r="R551" s="31" t="str"/>
      <x:c r="S551" s="31" t="str">
        <x:f>IF('Blind Scoring'!I551="","",'Blind Scoring'!I551)</x:f>
      </x:c>
      <x:c r="T551" s="31" t="str">
        <x:f>'Blind Scoring'!J551</x:f>
        <x:v>No</x:v>
      </x:c>
      <x:c r="U551" s="31" t="str">
        <x:f>IF('Blind Scoring'!L551="","",'Blind Scoring'!L551)</x:f>
      </x:c>
    </x:row>
    <x:row r="552" ht="44" customHeight="1">
      <x:c r="A552" s="35" t="str">
        <x:v>Not Started</x:v>
      </x:c>
      <x:c r="B552" s="35" t="n">
        <x:v>550</x:v>
      </x:c>
      <x:c r="C552" s="35" t="str">
        <x:v>P09</x:v>
      </x:c>
      <x:c r="D552" s="35" t="n">
        <x:v>55</x:v>
      </x:c>
      <x:c r="E552" s="35" t="str">
        <x:v>Primary VLA</x:v>
      </x:c>
      <x:c r="F552" s="35" t="str">
        <x:v>MolmoAct2</x:v>
      </x:c>
      <x:c r="G552" s="35" t="n">
        <x:v>1</x:v>
      </x:c>
      <x:c r="H552" s="35" t="str">
        <x:v>Relational Placement</x:v>
      </x:c>
      <x:c r="I552" s="35" t="str">
        <x:v>Novel layout + seen language</x:v>
      </x:c>
      <x:c r="J552" s="35" t="str">
        <x:v>PVLA-RP-NOV-06</x:v>
      </x:c>
      <x:c r="K552" s="35" t="str"/>
      <x:c r="L552" s="31" t="str">
        <x:v>Place the red block to the left of the blue block.</x:v>
      </x:c>
      <x:c r="M552" s="31" t="str">
        <x:v>Place the red block to the left of the blue block.</x:v>
      </x:c>
      <x:c r="N552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552" s="31" t="str">
        <x:v>red block</x:v>
      </x:c>
      <x:c r="P552" s="31" t="str"/>
      <x:c r="Q552" s="31" t="str"/>
      <x:c r="R552" s="31" t="str"/>
      <x:c r="S552" s="31" t="str">
        <x:f>IF('Blind Scoring'!I552="","",'Blind Scoring'!I552)</x:f>
      </x:c>
      <x:c r="T552" s="31" t="str">
        <x:f>'Blind Scoring'!J552</x:f>
        <x:v>No</x:v>
      </x:c>
      <x:c r="U552" s="31" t="str">
        <x:f>IF('Blind Scoring'!L552="","",'Blind Scoring'!L552)</x:f>
      </x:c>
    </x:row>
    <x:row r="553" ht="44" customHeight="1">
      <x:c r="A553" s="35" t="str">
        <x:v>Not Started</x:v>
      </x:c>
      <x:c r="B553" s="35" t="n">
        <x:v>551</x:v>
      </x:c>
      <x:c r="C553" s="35" t="str">
        <x:v>P09</x:v>
      </x:c>
      <x:c r="D553" s="35" t="n">
        <x:v>56</x:v>
      </x:c>
      <x:c r="E553" s="35" t="str">
        <x:v>Primary VLA</x:v>
      </x:c>
      <x:c r="F553" s="35" t="str">
        <x:v>MolmoAct2</x:v>
      </x:c>
      <x:c r="G553" s="35" t="n">
        <x:v>1</x:v>
      </x:c>
      <x:c r="H553" s="35" t="str">
        <x:v>Relational Placement</x:v>
      </x:c>
      <x:c r="I553" s="35" t="str">
        <x:v>Language ablation — counterfactual</x:v>
      </x:c>
      <x:c r="J553" s="35" t="str">
        <x:v>PVLA-RP-ABL-CF-01</x:v>
      </x:c>
      <x:c r="K553" s="35" t="str">
        <x:v>R-CF09</x:v>
      </x:c>
      <x:c r="L553" s="31" t="str">
        <x:v>Place the green pen behind the red block.</x:v>
      </x:c>
      <x:c r="M553" s="31" t="str">
        <x:v>Place the green pen behind the red block.</x:v>
      </x:c>
      <x:c r="N553" s="31" t="str">
        <x:v>R-CF09-HELD: red block at front-left [REFERENCE]; green pen starts 24 cm behind the reference [TARGET START]; pink marker and blue block are distractors outside the commanded goal sector.</x:v>
      </x:c>
      <x:c r="O553" s="31" t="str">
        <x:v>green pen → behind red block</x:v>
      </x:c>
      <x:c r="P553" s="31" t="str"/>
      <x:c r="Q553" s="31" t="str"/>
      <x:c r="R553" s="31" t="str"/>
      <x:c r="S553" s="31" t="str">
        <x:f>IF('Blind Scoring'!I553="","",'Blind Scoring'!I553)</x:f>
      </x:c>
      <x:c r="T553" s="31" t="str">
        <x:f>'Blind Scoring'!J553</x:f>
        <x:v>No</x:v>
      </x:c>
      <x:c r="U553" s="31" t="str">
        <x:f>IF('Blind Scoring'!L553="","",'Blind Scoring'!L553)</x:f>
      </x:c>
    </x:row>
    <x:row r="554" ht="44" customHeight="1">
      <x:c r="A554" s="35" t="str">
        <x:v>Not Started</x:v>
      </x:c>
      <x:c r="B554" s="35" t="n">
        <x:v>552</x:v>
      </x:c>
      <x:c r="C554" s="35" t="str">
        <x:v>P09</x:v>
      </x:c>
      <x:c r="D554" s="35" t="n">
        <x:v>57</x:v>
      </x:c>
      <x:c r="E554" s="35" t="str">
        <x:v>Primary VLA</x:v>
      </x:c>
      <x:c r="F554" s="35" t="str">
        <x:v>MolmoAct2</x:v>
      </x:c>
      <x:c r="G554" s="35" t="n">
        <x:v>1</x:v>
      </x:c>
      <x:c r="H554" s="35" t="str">
        <x:v>Relational Placement</x:v>
      </x:c>
      <x:c r="I554" s="35" t="str">
        <x:v>Main matched control</x:v>
      </x:c>
      <x:c r="J554" s="35" t="str">
        <x:v>PVLA-RP-CTL-01</x:v>
      </x:c>
      <x:c r="K554" s="35" t="str">
        <x:v>R-CF01</x:v>
      </x:c>
      <x:c r="L554" s="31" t="str">
        <x:v>Place the green pen near the red block.</x:v>
      </x:c>
      <x:c r="M554" s="31" t="str">
        <x:v>Place the green pen near the red block.</x:v>
      </x:c>
      <x:c r="N554" s="31" t="str">
        <x:v>R-CF01-CTRL: red block at center [REFERENCE]; green pen starts 18 cm behind the reference [TARGET START]; pink marker and blue block are distractors outside the commanded goal sector.</x:v>
      </x:c>
      <x:c r="O554" s="31" t="str">
        <x:v>green pen near red block</x:v>
      </x:c>
      <x:c r="P554" s="31" t="str"/>
      <x:c r="Q554" s="31" t="str"/>
      <x:c r="R554" s="31" t="str"/>
      <x:c r="S554" s="31" t="str">
        <x:f>IF('Blind Scoring'!I554="","",'Blind Scoring'!I554)</x:f>
      </x:c>
      <x:c r="T554" s="31" t="str">
        <x:f>'Blind Scoring'!J554</x:f>
        <x:v>No</x:v>
      </x:c>
      <x:c r="U554" s="31" t="str">
        <x:f>IF('Blind Scoring'!L554="","",'Blind Scoring'!L554)</x:f>
      </x:c>
    </x:row>
    <x:row r="555" ht="44" customHeight="1">
      <x:c r="A555" s="35" t="str">
        <x:v>Not Started</x:v>
      </x:c>
      <x:c r="B555" s="35" t="n">
        <x:v>553</x:v>
      </x:c>
      <x:c r="C555" s="35" t="str">
        <x:v>P09</x:v>
      </x:c>
      <x:c r="D555" s="35" t="n">
        <x:v>58</x:v>
      </x:c>
      <x:c r="E555" s="35" t="str">
        <x:v>Primary VLA</x:v>
      </x:c>
      <x:c r="F555" s="35" t="str">
        <x:v>MolmoAct2</x:v>
      </x:c>
      <x:c r="G555" s="35" t="n">
        <x:v>1</x:v>
      </x:c>
      <x:c r="H555" s="35" t="str">
        <x:v>Relational Placement</x:v>
      </x:c>
      <x:c r="I555" s="35" t="str">
        <x:v>Exact-scene paraphrase</x:v>
      </x:c>
      <x:c r="J555" s="35" t="str">
        <x:v>PVLA-RP-PAR-04</x:v>
      </x:c>
      <x:c r="K555" s="35" t="str"/>
      <x:c r="L555" s="31" t="str">
        <x:v>Move the red block to the side of the pink marker facing the robot.</x:v>
      </x:c>
      <x:c r="M555" s="31" t="str">
        <x:v>Move the red block to the side of the pink marker facing the robot.</x:v>
      </x:c>
      <x:c r="N555" s="31" t="str">
        <x:v>R-P01: pink marker at center [REFERENCE]; red block starts 21 cm behind the reference [TARGET START]; remaining objects are distractors with ≥12 cm clearance from the target path and commanded goal sector.</x:v>
      </x:c>
      <x:c r="O555" s="31" t="str">
        <x:v>red block</x:v>
      </x:c>
      <x:c r="P555" s="31" t="str"/>
      <x:c r="Q555" s="31" t="str"/>
      <x:c r="R555" s="31" t="str"/>
      <x:c r="S555" s="31" t="str">
        <x:f>IF('Blind Scoring'!I555="","",'Blind Scoring'!I555)</x:f>
      </x:c>
      <x:c r="T555" s="31" t="str">
        <x:f>'Blind Scoring'!J555</x:f>
        <x:v>No</x:v>
      </x:c>
      <x:c r="U555" s="31" t="str">
        <x:f>IF('Blind Scoring'!L555="","",'Blind Scoring'!L555)</x:f>
      </x:c>
    </x:row>
    <x:row r="556" ht="44" customHeight="1">
      <x:c r="A556" s="35" t="str">
        <x:v>Not Started</x:v>
      </x:c>
      <x:c r="B556" s="35" t="n">
        <x:v>554</x:v>
      </x:c>
      <x:c r="C556" s="35" t="str">
        <x:v>P09</x:v>
      </x:c>
      <x:c r="D556" s="35" t="n">
        <x:v>59</x:v>
      </x:c>
      <x:c r="E556" s="35" t="str">
        <x:v>Primary VLA</x:v>
      </x:c>
      <x:c r="F556" s="35" t="str">
        <x:v>MolmoAct2</x:v>
      </x:c>
      <x:c r="G556" s="35" t="n">
        <x:v>1</x:v>
      </x:c>
      <x:c r="H556" s="35" t="str">
        <x:v>Relational Placement</x:v>
      </x:c>
      <x:c r="I556" s="35" t="str">
        <x:v>Novel layout + seen language</x:v>
      </x:c>
      <x:c r="J556" s="35" t="str">
        <x:v>PVLA-RP-NOV-08</x:v>
      </x:c>
      <x:c r="K556" s="35" t="str"/>
      <x:c r="L556" s="31" t="str">
        <x:v>Place the red block to the right of the blue block.</x:v>
      </x:c>
      <x:c r="M556" s="31" t="str">
        <x:v>Place the red block to the right of the blue block.</x:v>
      </x:c>
      <x:c r="N556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556" s="31" t="str">
        <x:v>red block</x:v>
      </x:c>
      <x:c r="P556" s="31" t="str"/>
      <x:c r="Q556" s="31" t="str"/>
      <x:c r="R556" s="31" t="str"/>
      <x:c r="S556" s="31" t="str">
        <x:f>IF('Blind Scoring'!I556="","",'Blind Scoring'!I556)</x:f>
      </x:c>
      <x:c r="T556" s="31" t="str">
        <x:f>'Blind Scoring'!J556</x:f>
        <x:v>No</x:v>
      </x:c>
      <x:c r="U556" s="31" t="str">
        <x:f>IF('Blind Scoring'!L556="","",'Blind Scoring'!L556)</x:f>
      </x:c>
    </x:row>
    <x:row r="557" ht="44" customHeight="1">
      <x:c r="A557" s="35" t="str">
        <x:v>Not Started</x:v>
      </x:c>
      <x:c r="B557" s="35" t="n">
        <x:v>555</x:v>
      </x:c>
      <x:c r="C557" s="35" t="str">
        <x:v>P09</x:v>
      </x:c>
      <x:c r="D557" s="35" t="n">
        <x:v>60</x:v>
      </x:c>
      <x:c r="E557" s="35" t="str">
        <x:v>Primary VLA</x:v>
      </x:c>
      <x:c r="F557" s="35" t="str">
        <x:v>MolmoAct2</x:v>
      </x:c>
      <x:c r="G557" s="35" t="n">
        <x:v>1</x:v>
      </x:c>
      <x:c r="H557" s="35" t="str">
        <x:v>Relational Placement</x:v>
      </x:c>
      <x:c r="I557" s="35" t="str">
        <x:v>Exact-scene paraphrase</x:v>
      </x:c>
      <x:c r="J557" s="35" t="str">
        <x:v>PVLA-RP-PAR-06</x:v>
      </x:c>
      <x:c r="K557" s="35" t="str"/>
      <x:c r="L557" s="31" t="str">
        <x:v>Move the red block to the side of the pink marker facing the robot.</x:v>
      </x:c>
      <x:c r="M557" s="31" t="str">
        <x:v>Move the red block to the side of the pink marker facing the robot.</x:v>
      </x:c>
      <x:c r="N557" s="31" t="str">
        <x:v>R-P01: pink marker at center [REFERENCE]; red block starts 21 cm behind the reference [TARGET START]; remaining objects are distractors with ≥12 cm clearance from the target path and commanded goal sector.</x:v>
      </x:c>
      <x:c r="O557" s="31" t="str">
        <x:v>red block</x:v>
      </x:c>
      <x:c r="P557" s="31" t="str"/>
      <x:c r="Q557" s="31" t="str"/>
      <x:c r="R557" s="31" t="str"/>
      <x:c r="S557" s="31" t="str">
        <x:f>IF('Blind Scoring'!I557="","",'Blind Scoring'!I557)</x:f>
      </x:c>
      <x:c r="T557" s="31" t="str">
        <x:f>'Blind Scoring'!J557</x:f>
        <x:v>No</x:v>
      </x:c>
      <x:c r="U557" s="31" t="str">
        <x:f>IF('Blind Scoring'!L557="","",'Blind Scoring'!L557)</x:f>
      </x:c>
    </x:row>
    <x:row r="558" ht="44" customHeight="1">
      <x:c r="A558" s="35" t="str">
        <x:v>Not Started</x:v>
      </x:c>
      <x:c r="B558" s="35" t="n">
        <x:v>556</x:v>
      </x:c>
      <x:c r="C558" s="35" t="str">
        <x:v>P09</x:v>
      </x:c>
      <x:c r="D558" s="35" t="n">
        <x:v>61</x:v>
      </x:c>
      <x:c r="E558" s="35" t="str">
        <x:v>Primary VLA</x:v>
      </x:c>
      <x:c r="F558" s="35" t="str">
        <x:v>MolmoAct2</x:v>
      </x:c>
      <x:c r="G558" s="35" t="n">
        <x:v>1</x:v>
      </x:c>
      <x:c r="H558" s="35" t="str">
        <x:v>Relational Placement</x:v>
      </x:c>
      <x:c r="I558" s="35" t="str">
        <x:v>Training reconstruction</x:v>
      </x:c>
      <x:c r="J558" s="35" t="str">
        <x:v>PVLA-RP-REC-05</x:v>
      </x:c>
      <x:c r="K558" s="35" t="str"/>
      <x:c r="L558" s="31" t="str">
        <x:v>Place the green pen to the left of the pink marker.</x:v>
      </x:c>
      <x:c r="M558" s="31" t="str">
        <x:v>Place the green pen to the left of the pink marker.</x:v>
      </x:c>
      <x:c r="N558" s="31" t="str">
        <x:v>Reconstruct planned final training episode 230: green pen, pink marker, red block; start=Home. Match camera, calibration, bowl pose, and object geometry exactly.</x:v>
      </x:c>
      <x:c r="O558" s="31" t="str">
        <x:v>green pen</x:v>
      </x:c>
      <x:c r="P558" s="31" t="str"/>
      <x:c r="Q558" s="31" t="str"/>
      <x:c r="R558" s="31" t="str"/>
      <x:c r="S558" s="31" t="str">
        <x:f>IF('Blind Scoring'!I558="","",'Blind Scoring'!I558)</x:f>
      </x:c>
      <x:c r="T558" s="31" t="str">
        <x:f>'Blind Scoring'!J558</x:f>
        <x:v>No</x:v>
      </x:c>
      <x:c r="U558" s="31" t="str">
        <x:f>IF('Blind Scoring'!L558="","",'Blind Scoring'!L558)</x:f>
      </x:c>
    </x:row>
    <x:row r="559" ht="44" customHeight="1">
      <x:c r="A559" s="35" t="str">
        <x:v>Not Started</x:v>
      </x:c>
      <x:c r="B559" s="35" t="n">
        <x:v>557</x:v>
      </x:c>
      <x:c r="C559" s="35" t="str">
        <x:v>P09</x:v>
      </x:c>
      <x:c r="D559" s="35" t="n">
        <x:v>62</x:v>
      </x:c>
      <x:c r="E559" s="35" t="str">
        <x:v>Primary VLA</x:v>
      </x:c>
      <x:c r="F559" s="35" t="str">
        <x:v>MolmoAct2</x:v>
      </x:c>
      <x:c r="G559" s="35" t="n">
        <x:v>1</x:v>
      </x:c>
      <x:c r="H559" s="35" t="str">
        <x:v>Relational Placement</x:v>
      </x:c>
      <x:c r="I559" s="35" t="str">
        <x:v>Novel layout + seen language</x:v>
      </x:c>
      <x:c r="J559" s="35" t="str">
        <x:v>PVLA-RP-NOV-04</x:v>
      </x:c>
      <x:c r="K559" s="35" t="str"/>
      <x:c r="L559" s="31" t="str">
        <x:v>Place the green pen in front of the pink marker.</x:v>
      </x:c>
      <x:c r="M559" s="31" t="str">
        <x:v>Place the green pen in front of the pink marker.</x:v>
      </x:c>
      <x:c r="N559" s="31" t="str">
        <x:v>R-S09: pink marker at center [REFERENCE]; green pen starts 21 cm behind the reference [TARGET START]; remaining objects are distractors with ≥12 cm clearance from the target path and commanded goal sector.</x:v>
      </x:c>
      <x:c r="O559" s="31" t="str">
        <x:v>green pen</x:v>
      </x:c>
      <x:c r="P559" s="31" t="str"/>
      <x:c r="Q559" s="31" t="str"/>
      <x:c r="R559" s="31" t="str"/>
      <x:c r="S559" s="31" t="str">
        <x:f>IF('Blind Scoring'!I559="","",'Blind Scoring'!I559)</x:f>
      </x:c>
      <x:c r="T559" s="31" t="str">
        <x:f>'Blind Scoring'!J559</x:f>
        <x:v>No</x:v>
      </x:c>
      <x:c r="U559" s="31" t="str">
        <x:f>IF('Blind Scoring'!L559="","",'Blind Scoring'!L559)</x:f>
      </x:c>
    </x:row>
    <x:row r="560" ht="44" customHeight="1">
      <x:c r="A560" s="35" t="str">
        <x:v>Not Started</x:v>
      </x:c>
      <x:c r="B560" s="35" t="n">
        <x:v>558</x:v>
      </x:c>
      <x:c r="C560" s="35" t="str">
        <x:v>P10</x:v>
      </x:c>
      <x:c r="D560" s="35" t="n">
        <x:v>1</x:v>
      </x:c>
      <x:c r="E560" s="35" t="str">
        <x:v>Primary VLA</x:v>
      </x:c>
      <x:c r="F560" s="35" t="str">
        <x:v>VLA-0</x:v>
      </x:c>
      <x:c r="G560" s="35" t="n">
        <x:v>2</x:v>
      </x:c>
      <x:c r="H560" s="35" t="str">
        <x:v>Counting</x:v>
      </x:c>
      <x:c r="I560" s="35" t="str">
        <x:v>Exact-scene paraphrase</x:v>
      </x:c>
      <x:c r="J560" s="35" t="str">
        <x:v>PVLA-CT-PAR-01</x:v>
      </x:c>
      <x:c r="K560" s="35" t="str"/>
      <x:c r="L560" s="31" t="str">
        <x:v>Finish with two objects in the bowl.</x:v>
      </x:c>
      <x:c r="M560" s="31" t="str">
        <x:v>Finish with two objects in the bowl.</x:v>
      </x:c>
      <x:c r="N560" s="31" t="str">
        <x:v>C-N01: bowl=[blue pen] (1); table left→right=[yellow block, green pencil sharpener, airplane toy without propellers]; robot home.</x:v>
      </x:c>
      <x:c r="O560" s="31" t="str"/>
      <x:c r="P560" s="31" t="str"/>
      <x:c r="Q560" s="31" t="str"/>
      <x:c r="R560" s="31" t="str"/>
      <x:c r="S560" s="31" t="str">
        <x:f>IF('Blind Scoring'!I560="","",'Blind Scoring'!I560)</x:f>
      </x:c>
      <x:c r="T560" s="31" t="str">
        <x:f>'Blind Scoring'!J560</x:f>
        <x:v>No</x:v>
      </x:c>
      <x:c r="U560" s="31" t="str">
        <x:f>IF('Blind Scoring'!L560="","",'Blind Scoring'!L560)</x:f>
      </x:c>
    </x:row>
    <x:row r="561" ht="44" customHeight="1">
      <x:c r="A561" s="35" t="str">
        <x:v>Not Started</x:v>
      </x:c>
      <x:c r="B561" s="35" t="n">
        <x:v>559</x:v>
      </x:c>
      <x:c r="C561" s="35" t="str">
        <x:v>P10</x:v>
      </x:c>
      <x:c r="D561" s="35" t="n">
        <x:v>2</x:v>
      </x:c>
      <x:c r="E561" s="35" t="str">
        <x:v>Primary VLA</x:v>
      </x:c>
      <x:c r="F561" s="35" t="str">
        <x:v>VLA-0</x:v>
      </x:c>
      <x:c r="G561" s="35" t="n">
        <x:v>2</x:v>
      </x:c>
      <x:c r="H561" s="35" t="str">
        <x:v>Counting</x:v>
      </x:c>
      <x:c r="I561" s="35" t="str">
        <x:v>Novel layout + seen language</x:v>
      </x:c>
      <x:c r="J561" s="35" t="str">
        <x:v>PVLA-CT-NOV-03</x:v>
      </x:c>
      <x:c r="K561" s="35" t="str"/>
      <x:c r="L561" s="31" t="str">
        <x:v>Adjust the bowl so that it contains two objects.</x:v>
      </x:c>
      <x:c r="M561" s="31" t="str">
        <x:v>Adjust the bowl so that it contains two objects.</x:v>
      </x:c>
      <x:c r="N561" s="31" t="str">
        <x:v>C-N06: bowl=[yellow block, green pencil sharpener, airplane toy without propellers] (3); table left→right=[blue pen]; robot home.</x:v>
      </x:c>
      <x:c r="O561" s="31" t="str"/>
      <x:c r="P561" s="31" t="str"/>
      <x:c r="Q561" s="31" t="str"/>
      <x:c r="R561" s="31" t="str"/>
      <x:c r="S561" s="31" t="str">
        <x:f>IF('Blind Scoring'!I561="","",'Blind Scoring'!I561)</x:f>
      </x:c>
      <x:c r="T561" s="31" t="str">
        <x:f>'Blind Scoring'!J561</x:f>
        <x:v>No</x:v>
      </x:c>
      <x:c r="U561" s="31" t="str">
        <x:f>IF('Blind Scoring'!L561="","",'Blind Scoring'!L561)</x:f>
      </x:c>
    </x:row>
    <x:row r="562" ht="44" customHeight="1">
      <x:c r="A562" s="35" t="str">
        <x:v>Not Started</x:v>
      </x:c>
      <x:c r="B562" s="35" t="n">
        <x:v>560</x:v>
      </x:c>
      <x:c r="C562" s="35" t="str">
        <x:v>P10</x:v>
      </x:c>
      <x:c r="D562" s="35" t="n">
        <x:v>3</x:v>
      </x:c>
      <x:c r="E562" s="35" t="str">
        <x:v>Primary VLA</x:v>
      </x:c>
      <x:c r="F562" s="35" t="str">
        <x:v>VLA-0</x:v>
      </x:c>
      <x:c r="G562" s="35" t="n">
        <x:v>2</x:v>
      </x:c>
      <x:c r="H562" s="35" t="str">
        <x:v>Counting</x:v>
      </x:c>
      <x:c r="I562" s="35" t="str">
        <x:v>Main matched control</x:v>
      </x:c>
      <x:c r="J562" s="35" t="str">
        <x:v>PVLA-CT-CTL-06</x:v>
      </x:c>
      <x:c r="K562" s="35" t="str">
        <x:v>C-CF04-B</x:v>
      </x:c>
      <x:c r="L562" s="31" t="str">
        <x:v>Put the yellow block in the bowl.</x:v>
      </x:c>
      <x:c r="M562" s="31" t="str">
        <x:v>Put the yellow block in the bowl.</x:v>
      </x:c>
      <x:c r="N562" s="31" t="str">
        <x:v>C-CF04-CB: bowl=[airplane toy without propellers, blue pen] (2); table=[yellow block, green pencil sharpener]; robot home; acceptable action=add either table object.</x:v>
      </x:c>
      <x:c r="O562" s="31" t="str">
        <x:v>ADD yellow block</x:v>
      </x:c>
      <x:c r="P562" s="31" t="str"/>
      <x:c r="Q562" s="31" t="str"/>
      <x:c r="R562" s="31" t="str"/>
      <x:c r="S562" s="31" t="str">
        <x:f>IF('Blind Scoring'!I562="","",'Blind Scoring'!I562)</x:f>
      </x:c>
      <x:c r="T562" s="31" t="str">
        <x:f>'Blind Scoring'!J562</x:f>
        <x:v>No</x:v>
      </x:c>
      <x:c r="U562" s="31" t="str">
        <x:f>IF('Blind Scoring'!L562="","",'Blind Scoring'!L562)</x:f>
      </x:c>
    </x:row>
    <x:row r="563" ht="44" customHeight="1">
      <x:c r="A563" s="35" t="str">
        <x:v>Not Started</x:v>
      </x:c>
      <x:c r="B563" s="35" t="n">
        <x:v>561</x:v>
      </x:c>
      <x:c r="C563" s="35" t="str">
        <x:v>P10</x:v>
      </x:c>
      <x:c r="D563" s="35" t="n">
        <x:v>4</x:v>
      </x:c>
      <x:c r="E563" s="35" t="str">
        <x:v>Primary VLA</x:v>
      </x:c>
      <x:c r="F563" s="35" t="str">
        <x:v>VLA-0</x:v>
      </x:c>
      <x:c r="G563" s="35" t="n">
        <x:v>2</x:v>
      </x:c>
      <x:c r="H563" s="35" t="str">
        <x:v>Counting</x:v>
      </x:c>
      <x:c r="I563" s="35" t="str">
        <x:v>Novel layout + seen language</x:v>
      </x:c>
      <x:c r="J563" s="35" t="str">
        <x:v>PVLA-CT-NOV-04</x:v>
      </x:c>
      <x:c r="K563" s="35" t="str"/>
      <x:c r="L563" s="31" t="str">
        <x:v>Adjust the bowl so that it contains two objects.</x:v>
      </x:c>
      <x:c r="M563" s="31" t="str">
        <x:v>Adjust the bowl so that it contains two objects.</x:v>
      </x:c>
      <x:c r="N563" s="31" t="str">
        <x:v>C-N09: bowl=[blue pen] (1); table left→right=[yellow block, green pencil sharpener, airplane toy without propellers]; robot home.</x:v>
      </x:c>
      <x:c r="O563" s="31" t="str"/>
      <x:c r="P563" s="31" t="str"/>
      <x:c r="Q563" s="31" t="str"/>
      <x:c r="R563" s="31" t="str"/>
      <x:c r="S563" s="31" t="str">
        <x:f>IF('Blind Scoring'!I563="","",'Blind Scoring'!I563)</x:f>
      </x:c>
      <x:c r="T563" s="31" t="str">
        <x:f>'Blind Scoring'!J563</x:f>
        <x:v>No</x:v>
      </x:c>
      <x:c r="U563" s="31" t="str">
        <x:f>IF('Blind Scoring'!L563="","",'Blind Scoring'!L563)</x:f>
      </x:c>
    </x:row>
    <x:row r="564" ht="44" customHeight="1">
      <x:c r="A564" s="35" t="str">
        <x:v>Not Started</x:v>
      </x:c>
      <x:c r="B564" s="35" t="n">
        <x:v>562</x:v>
      </x:c>
      <x:c r="C564" s="35" t="str">
        <x:v>P10</x:v>
      </x:c>
      <x:c r="D564" s="35" t="n">
        <x:v>5</x:v>
      </x:c>
      <x:c r="E564" s="35" t="str">
        <x:v>Primary VLA</x:v>
      </x:c>
      <x:c r="F564" s="35" t="str">
        <x:v>VLA-0</x:v>
      </x:c>
      <x:c r="G564" s="35" t="n">
        <x:v>2</x:v>
      </x:c>
      <x:c r="H564" s="35" t="str">
        <x:v>Counting</x:v>
      </x:c>
      <x:c r="I564" s="35" t="str">
        <x:v>Main held-out transfer</x:v>
      </x:c>
      <x:c r="J564" s="35" t="str">
        <x:v>PVLA-CT-TR-05</x:v>
      </x:c>
      <x:c r="K564" s="35" t="str">
        <x:v>C-CF04-A</x:v>
      </x:c>
      <x:c r="L564" s="31" t="str">
        <x:v>Leave exactly one object in the bowl.</x:v>
      </x:c>
      <x:c r="M564" s="31" t="str">
        <x:v>Leave exactly one object in the bowl.</x:v>
      </x:c>
      <x:c r="N564" s="31" t="str">
        <x:v>C-CF04A: bowl=[airplane toy without propellers, blue pen] (2); table=[yellow block, green pencil sharpener]; robot home; acceptable action=remove either bowl object.</x:v>
      </x:c>
      <x:c r="O564" s="31" t="str">
        <x:v>REMOVE one bowl object</x:v>
      </x:c>
      <x:c r="P564" s="31" t="str"/>
      <x:c r="Q564" s="31" t="str"/>
      <x:c r="R564" s="31" t="str"/>
      <x:c r="S564" s="31" t="str">
        <x:f>IF('Blind Scoring'!I564="","",'Blind Scoring'!I564)</x:f>
      </x:c>
      <x:c r="T564" s="31" t="str">
        <x:f>'Blind Scoring'!J564</x:f>
        <x:v>No</x:v>
      </x:c>
      <x:c r="U564" s="31" t="str">
        <x:f>IF('Blind Scoring'!L564="","",'Blind Scoring'!L564)</x:f>
      </x:c>
    </x:row>
    <x:row r="565" ht="44" customHeight="1">
      <x:c r="A565" s="35" t="str">
        <x:v>Not Started</x:v>
      </x:c>
      <x:c r="B565" s="35" t="n">
        <x:v>563</x:v>
      </x:c>
      <x:c r="C565" s="35" t="str">
        <x:v>P10</x:v>
      </x:c>
      <x:c r="D565" s="35" t="n">
        <x:v>6</x:v>
      </x:c>
      <x:c r="E565" s="35" t="str">
        <x:v>Primary VLA</x:v>
      </x:c>
      <x:c r="F565" s="35" t="str">
        <x:v>VLA-0</x:v>
      </x:c>
      <x:c r="G565" s="35" t="n">
        <x:v>2</x:v>
      </x:c>
      <x:c r="H565" s="35" t="str">
        <x:v>Counting</x:v>
      </x:c>
      <x:c r="I565" s="35" t="str">
        <x:v>Main matched control</x:v>
      </x:c>
      <x:c r="J565" s="35" t="str">
        <x:v>PVLA-CT-CTL-08</x:v>
      </x:c>
      <x:c r="K565" s="35" t="str">
        <x:v>C-CF06-B</x:v>
      </x:c>
      <x:c r="L565" s="31" t="str">
        <x:v>Put the airplane toy without propellers in the bowl.</x:v>
      </x:c>
      <x:c r="M565" s="31" t="str">
        <x:v>Put the airplane toy without propellers in the bowl.</x:v>
      </x:c>
      <x:c r="N565" s="31" t="str">
        <x:v>C-CF06-CB: bowl=[yellow block, green pencil sharpener] (2); table=[airplane toy without propellers, blue pen]; robot home; acceptable action=add either table object.</x:v>
      </x:c>
      <x:c r="O565" s="31" t="str">
        <x:v>ADD airplane toy without propellers</x:v>
      </x:c>
      <x:c r="P565" s="31" t="str"/>
      <x:c r="Q565" s="31" t="str"/>
      <x:c r="R565" s="31" t="str"/>
      <x:c r="S565" s="31" t="str">
        <x:f>IF('Blind Scoring'!I565="","",'Blind Scoring'!I565)</x:f>
      </x:c>
      <x:c r="T565" s="31" t="str">
        <x:f>'Blind Scoring'!J565</x:f>
        <x:v>No</x:v>
      </x:c>
      <x:c r="U565" s="31" t="str">
        <x:f>IF('Blind Scoring'!L565="","",'Blind Scoring'!L565)</x:f>
      </x:c>
    </x:row>
    <x:row r="566" ht="44" customHeight="1">
      <x:c r="A566" s="35" t="str">
        <x:v>Not Started</x:v>
      </x:c>
      <x:c r="B566" s="35" t="n">
        <x:v>564</x:v>
      </x:c>
      <x:c r="C566" s="35" t="str">
        <x:v>P10</x:v>
      </x:c>
      <x:c r="D566" s="35" t="n">
        <x:v>7</x:v>
      </x:c>
      <x:c r="E566" s="35" t="str">
        <x:v>Primary VLA</x:v>
      </x:c>
      <x:c r="F566" s="35" t="str">
        <x:v>VLA-0</x:v>
      </x:c>
      <x:c r="G566" s="35" t="n">
        <x:v>2</x:v>
      </x:c>
      <x:c r="H566" s="35" t="str">
        <x:v>Counting</x:v>
      </x:c>
      <x:c r="I566" s="35" t="str">
        <x:v>Main matched control</x:v>
      </x:c>
      <x:c r="J566" s="35" t="str">
        <x:v>PVLA-CT-CTL-13</x:v>
      </x:c>
      <x:c r="K566" s="35" t="str">
        <x:v>C-CF10-A</x:v>
      </x:c>
      <x:c r="L566" s="31" t="str">
        <x:v>Remove the yellow block from the bowl.</x:v>
      </x:c>
      <x:c r="M566" s="31" t="str">
        <x:v>Remove the yellow block from the bowl.</x:v>
      </x:c>
      <x:c r="N566" s="31" t="str">
        <x:v>C-CF10-CA: bowl=[yellow block, green pencil sharpener] (2); table=[airplane toy without propellers, blue pen]; robot home; acceptable action=remove either bowl object.</x:v>
      </x:c>
      <x:c r="O566" s="31" t="str">
        <x:v>REMOVE yellow block</x:v>
      </x:c>
      <x:c r="P566" s="31" t="str"/>
      <x:c r="Q566" s="31" t="str"/>
      <x:c r="R566" s="31" t="str"/>
      <x:c r="S566" s="31" t="str">
        <x:f>IF('Blind Scoring'!I566="","",'Blind Scoring'!I566)</x:f>
      </x:c>
      <x:c r="T566" s="31" t="str">
        <x:f>'Blind Scoring'!J566</x:f>
        <x:v>No</x:v>
      </x:c>
      <x:c r="U566" s="31" t="str">
        <x:f>IF('Blind Scoring'!L566="","",'Blind Scoring'!L566)</x:f>
      </x:c>
    </x:row>
    <x:row r="567" ht="44" customHeight="1">
      <x:c r="A567" s="35" t="str">
        <x:v>Not Started</x:v>
      </x:c>
      <x:c r="B567" s="35" t="n">
        <x:v>565</x:v>
      </x:c>
      <x:c r="C567" s="35" t="str">
        <x:v>P10</x:v>
      </x:c>
      <x:c r="D567" s="35" t="n">
        <x:v>8</x:v>
      </x:c>
      <x:c r="E567" s="35" t="str">
        <x:v>Primary VLA</x:v>
      </x:c>
      <x:c r="F567" s="35" t="str">
        <x:v>VLA-0</x:v>
      </x:c>
      <x:c r="G567" s="35" t="n">
        <x:v>2</x:v>
      </x:c>
      <x:c r="H567" s="35" t="str">
        <x:v>Counting</x:v>
      </x:c>
      <x:c r="I567" s="35" t="str">
        <x:v>Main matched control</x:v>
      </x:c>
      <x:c r="J567" s="35" t="str">
        <x:v>PVLA-CT-CTL-16</x:v>
      </x:c>
      <x:c r="K567" s="35" t="str">
        <x:v>C-CF12-B</x:v>
      </x:c>
      <x:c r="L567" s="31" t="str">
        <x:v>Put the yellow block in the bowl.</x:v>
      </x:c>
      <x:c r="M567" s="31" t="str">
        <x:v>Put the yellow block in the bowl.</x:v>
      </x:c>
      <x:c r="N567" s="31" t="str">
        <x:v>C-CF12-CB: bowl=[airplane toy without propellers, blue pen] (2); table=[yellow block, green pencil sharpener]; robot home; acceptable action=add either table object.</x:v>
      </x:c>
      <x:c r="O567" s="31" t="str">
        <x:v>ADD yellow block</x:v>
      </x:c>
      <x:c r="P567" s="31" t="str"/>
      <x:c r="Q567" s="31" t="str"/>
      <x:c r="R567" s="31" t="str"/>
      <x:c r="S567" s="31" t="str">
        <x:f>IF('Blind Scoring'!I567="","",'Blind Scoring'!I567)</x:f>
      </x:c>
      <x:c r="T567" s="31" t="str">
        <x:f>'Blind Scoring'!J567</x:f>
        <x:v>No</x:v>
      </x:c>
      <x:c r="U567" s="31" t="str">
        <x:f>IF('Blind Scoring'!L567="","",'Blind Scoring'!L567)</x:f>
      </x:c>
    </x:row>
    <x:row r="568" ht="44" customHeight="1">
      <x:c r="A568" s="35" t="str">
        <x:v>Not Started</x:v>
      </x:c>
      <x:c r="B568" s="35" t="n">
        <x:v>566</x:v>
      </x:c>
      <x:c r="C568" s="35" t="str">
        <x:v>P10</x:v>
      </x:c>
      <x:c r="D568" s="35" t="n">
        <x:v>9</x:v>
      </x:c>
      <x:c r="E568" s="35" t="str">
        <x:v>Primary VLA</x:v>
      </x:c>
      <x:c r="F568" s="35" t="str">
        <x:v>VLA-0</x:v>
      </x:c>
      <x:c r="G568" s="35" t="n">
        <x:v>2</x:v>
      </x:c>
      <x:c r="H568" s="35" t="str">
        <x:v>Counting</x:v>
      </x:c>
      <x:c r="I568" s="35" t="str">
        <x:v>Novel layout + seen language</x:v>
      </x:c>
      <x:c r="J568" s="35" t="str">
        <x:v>PVLA-CT-NOV-06</x:v>
      </x:c>
      <x:c r="K568" s="35" t="str"/>
      <x:c r="L568" s="31" t="str">
        <x:v>Adjust the bowl so that it contains zero objects.</x:v>
      </x:c>
      <x:c r="M568" s="31" t="str">
        <x:v>Adjust the bowl so that it contains zero objects.</x:v>
      </x:c>
      <x:c r="N568" s="31" t="str">
        <x:v>C-N15: bowl=[blue pen] (1); table left→right=[yellow block, green pencil sharpener, airplane toy without propellers]; robot home.</x:v>
      </x:c>
      <x:c r="O568" s="31" t="str"/>
      <x:c r="P568" s="31" t="str"/>
      <x:c r="Q568" s="31" t="str"/>
      <x:c r="R568" s="31" t="str"/>
      <x:c r="S568" s="31" t="str">
        <x:f>IF('Blind Scoring'!I568="","",'Blind Scoring'!I568)</x:f>
      </x:c>
      <x:c r="T568" s="31" t="str">
        <x:f>'Blind Scoring'!J568</x:f>
        <x:v>No</x:v>
      </x:c>
      <x:c r="U568" s="31" t="str">
        <x:f>IF('Blind Scoring'!L568="","",'Blind Scoring'!L568)</x:f>
      </x:c>
    </x:row>
    <x:row r="569" ht="44" customHeight="1">
      <x:c r="A569" s="35" t="str">
        <x:v>Not Started</x:v>
      </x:c>
      <x:c r="B569" s="35" t="n">
        <x:v>567</x:v>
      </x:c>
      <x:c r="C569" s="35" t="str">
        <x:v>P10</x:v>
      </x:c>
      <x:c r="D569" s="35" t="n">
        <x:v>10</x:v>
      </x:c>
      <x:c r="E569" s="35" t="str">
        <x:v>Primary VLA</x:v>
      </x:c>
      <x:c r="F569" s="35" t="str">
        <x:v>VLA-0</x:v>
      </x:c>
      <x:c r="G569" s="35" t="n">
        <x:v>2</x:v>
      </x:c>
      <x:c r="H569" s="35" t="str">
        <x:v>Counting</x:v>
      </x:c>
      <x:c r="I569" s="35" t="str">
        <x:v>Main matched control</x:v>
      </x:c>
      <x:c r="J569" s="35" t="str">
        <x:v>PVLA-CT-CTL-12</x:v>
      </x:c>
      <x:c r="K569" s="35" t="str">
        <x:v>C-CF09-B</x:v>
      </x:c>
      <x:c r="L569" s="31" t="str">
        <x:v>Put the green pencil sharpener in the bowl.</x:v>
      </x:c>
      <x:c r="M569" s="31" t="str">
        <x:v>Put the green pencil sharpener in the bowl.</x:v>
      </x:c>
      <x:c r="N569" s="31" t="str">
        <x:v>C-CF09-CB: bowl=[blue pen, yellow block] (2); table=[green pencil sharpener, airplane toy without propellers]; robot home; acceptable action=add either table object.</x:v>
      </x:c>
      <x:c r="O569" s="31" t="str">
        <x:v>ADD green pencil sharpener</x:v>
      </x:c>
      <x:c r="P569" s="31" t="str"/>
      <x:c r="Q569" s="31" t="str"/>
      <x:c r="R569" s="31" t="str"/>
      <x:c r="S569" s="31" t="str">
        <x:f>IF('Blind Scoring'!I569="","",'Blind Scoring'!I569)</x:f>
      </x:c>
      <x:c r="T569" s="31" t="str">
        <x:f>'Blind Scoring'!J569</x:f>
        <x:v>No</x:v>
      </x:c>
      <x:c r="U569" s="31" t="str">
        <x:f>IF('Blind Scoring'!L569="","",'Blind Scoring'!L569)</x:f>
      </x:c>
    </x:row>
    <x:row r="570" ht="44" customHeight="1">
      <x:c r="A570" s="35" t="str">
        <x:v>Not Started</x:v>
      </x:c>
      <x:c r="B570" s="35" t="n">
        <x:v>568</x:v>
      </x:c>
      <x:c r="C570" s="35" t="str">
        <x:v>P10</x:v>
      </x:c>
      <x:c r="D570" s="35" t="n">
        <x:v>11</x:v>
      </x:c>
      <x:c r="E570" s="35" t="str">
        <x:v>Primary VLA</x:v>
      </x:c>
      <x:c r="F570" s="35" t="str">
        <x:v>VLA-0</x:v>
      </x:c>
      <x:c r="G570" s="35" t="n">
        <x:v>2</x:v>
      </x:c>
      <x:c r="H570" s="35" t="str">
        <x:v>Counting</x:v>
      </x:c>
      <x:c r="I570" s="35" t="str">
        <x:v>Novel layout + seen language</x:v>
      </x:c>
      <x:c r="J570" s="35" t="str">
        <x:v>PVLA-CT-NOV-01</x:v>
      </x:c>
      <x:c r="K570" s="35" t="str"/>
      <x:c r="L570" s="31" t="str">
        <x:v>Make the bowl contain exactly two objects.</x:v>
      </x:c>
      <x:c r="M570" s="31" t="str">
        <x:v>Make the bowl contain exactly two objects.</x:v>
      </x:c>
      <x:c r="N570" s="31" t="str">
        <x:v>C-N01: bowl=[blue pen] (1); table left→right=[yellow block, green pencil sharpener, airplane toy without propellers]; robot home.</x:v>
      </x:c>
      <x:c r="O570" s="31" t="str"/>
      <x:c r="P570" s="31" t="str"/>
      <x:c r="Q570" s="31" t="str"/>
      <x:c r="R570" s="31" t="str"/>
      <x:c r="S570" s="31" t="str">
        <x:f>IF('Blind Scoring'!I570="","",'Blind Scoring'!I570)</x:f>
      </x:c>
      <x:c r="T570" s="31" t="str">
        <x:f>'Blind Scoring'!J570</x:f>
        <x:v>No</x:v>
      </x:c>
      <x:c r="U570" s="31" t="str">
        <x:f>IF('Blind Scoring'!L570="","",'Blind Scoring'!L570)</x:f>
      </x:c>
    </x:row>
    <x:row r="571" ht="44" customHeight="1">
      <x:c r="A571" s="35" t="str">
        <x:v>Not Started</x:v>
      </x:c>
      <x:c r="B571" s="35" t="n">
        <x:v>569</x:v>
      </x:c>
      <x:c r="C571" s="35" t="str">
        <x:v>P10</x:v>
      </x:c>
      <x:c r="D571" s="35" t="n">
        <x:v>12</x:v>
      </x:c>
      <x:c r="E571" s="35" t="str">
        <x:v>Primary VLA</x:v>
      </x:c>
      <x:c r="F571" s="35" t="str">
        <x:v>VLA-0</x:v>
      </x:c>
      <x:c r="G571" s="35" t="n">
        <x:v>2</x:v>
      </x:c>
      <x:c r="H571" s="35" t="str">
        <x:v>Counting</x:v>
      </x:c>
      <x:c r="I571" s="35" t="str">
        <x:v>Main matched control</x:v>
      </x:c>
      <x:c r="J571" s="35" t="str">
        <x:v>PVLA-CT-CTL-05</x:v>
      </x:c>
      <x:c r="K571" s="35" t="str">
        <x:v>C-CF04-A</x:v>
      </x:c>
      <x:c r="L571" s="31" t="str">
        <x:v>Remove the airplane toy without propellers from the bowl.</x:v>
      </x:c>
      <x:c r="M571" s="31" t="str">
        <x:v>Remove the airplane toy without propellers from the bowl.</x:v>
      </x:c>
      <x:c r="N571" s="31" t="str">
        <x:v>C-CF04-CA: bowl=[airplane toy without propellers, blue pen] (2); table=[yellow block, green pencil sharpener]; robot home; acceptable action=remove either bowl object.</x:v>
      </x:c>
      <x:c r="O571" s="31" t="str">
        <x:v>REMOVE airplane toy without propellers</x:v>
      </x:c>
      <x:c r="P571" s="31" t="str"/>
      <x:c r="Q571" s="31" t="str"/>
      <x:c r="R571" s="31" t="str"/>
      <x:c r="S571" s="31" t="str">
        <x:f>IF('Blind Scoring'!I571="","",'Blind Scoring'!I571)</x:f>
      </x:c>
      <x:c r="T571" s="31" t="str">
        <x:f>'Blind Scoring'!J571</x:f>
        <x:v>No</x:v>
      </x:c>
      <x:c r="U571" s="31" t="str">
        <x:f>IF('Blind Scoring'!L571="","",'Blind Scoring'!L571)</x:f>
      </x:c>
    </x:row>
    <x:row r="572" ht="44" customHeight="1">
      <x:c r="A572" s="35" t="str">
        <x:v>Not Started</x:v>
      </x:c>
      <x:c r="B572" s="35" t="n">
        <x:v>570</x:v>
      </x:c>
      <x:c r="C572" s="35" t="str">
        <x:v>P10</x:v>
      </x:c>
      <x:c r="D572" s="35" t="n">
        <x:v>13</x:v>
      </x:c>
      <x:c r="E572" s="35" t="str">
        <x:v>Primary VLA</x:v>
      </x:c>
      <x:c r="F572" s="35" t="str">
        <x:v>VLA-0</x:v>
      </x:c>
      <x:c r="G572" s="35" t="n">
        <x:v>2</x:v>
      </x:c>
      <x:c r="H572" s="35" t="str">
        <x:v>Counting</x:v>
      </x:c>
      <x:c r="I572" s="35" t="str">
        <x:v>Main held-out transfer</x:v>
      </x:c>
      <x:c r="J572" s="35" t="str">
        <x:v>PVLA-CT-TR-14</x:v>
      </x:c>
      <x:c r="K572" s="35" t="str">
        <x:v>C-CF10-B</x:v>
      </x:c>
      <x:c r="L572" s="31" t="str">
        <x:v>Leave exactly three objects in the bowl.</x:v>
      </x:c>
      <x:c r="M572" s="31" t="str">
        <x:v>Leave exactly three objects in the bowl.</x:v>
      </x:c>
      <x:c r="N572" s="31" t="str">
        <x:v>C-CF10B: bowl=[yellow block, green pencil sharpener] (2); table=[airplane toy without propellers, blue pen]; robot home; acceptable action=add either table object.</x:v>
      </x:c>
      <x:c r="O572" s="31" t="str">
        <x:v>ADD one table object</x:v>
      </x:c>
      <x:c r="P572" s="31" t="str"/>
      <x:c r="Q572" s="31" t="str"/>
      <x:c r="R572" s="31" t="str"/>
      <x:c r="S572" s="31" t="str">
        <x:f>IF('Blind Scoring'!I572="","",'Blind Scoring'!I572)</x:f>
      </x:c>
      <x:c r="T572" s="31" t="str">
        <x:f>'Blind Scoring'!J572</x:f>
        <x:v>No</x:v>
      </x:c>
      <x:c r="U572" s="31" t="str">
        <x:f>IF('Blind Scoring'!L572="","",'Blind Scoring'!L572)</x:f>
      </x:c>
    </x:row>
    <x:row r="573" ht="44" customHeight="1">
      <x:c r="A573" s="35" t="str">
        <x:v>Not Started</x:v>
      </x:c>
      <x:c r="B573" s="35" t="n">
        <x:v>571</x:v>
      </x:c>
      <x:c r="C573" s="35" t="str">
        <x:v>P10</x:v>
      </x:c>
      <x:c r="D573" s="35" t="n">
        <x:v>14</x:v>
      </x:c>
      <x:c r="E573" s="35" t="str">
        <x:v>Primary VLA</x:v>
      </x:c>
      <x:c r="F573" s="35" t="str">
        <x:v>VLA-0</x:v>
      </x:c>
      <x:c r="G573" s="35" t="n">
        <x:v>2</x:v>
      </x:c>
      <x:c r="H573" s="35" t="str">
        <x:v>Counting</x:v>
      </x:c>
      <x:c r="I573" s="35" t="str">
        <x:v>Main matched control</x:v>
      </x:c>
      <x:c r="J573" s="35" t="str">
        <x:v>PVLA-CT-CTL-07</x:v>
      </x:c>
      <x:c r="K573" s="35" t="str">
        <x:v>C-CF06-A</x:v>
      </x:c>
      <x:c r="L573" s="31" t="str">
        <x:v>Remove the yellow block from the bowl.</x:v>
      </x:c>
      <x:c r="M573" s="31" t="str">
        <x:v>Remove the yellow block from the bowl.</x:v>
      </x:c>
      <x:c r="N573" s="31" t="str">
        <x:v>C-CF06-CA: bowl=[yellow block, green pencil sharpener] (2); table=[airplane toy without propellers, blue pen]; robot home; acceptable action=remove either bowl object.</x:v>
      </x:c>
      <x:c r="O573" s="31" t="str">
        <x:v>REMOVE yellow block</x:v>
      </x:c>
      <x:c r="P573" s="31" t="str"/>
      <x:c r="Q573" s="31" t="str"/>
      <x:c r="R573" s="31" t="str"/>
      <x:c r="S573" s="31" t="str">
        <x:f>IF('Blind Scoring'!I573="","",'Blind Scoring'!I573)</x:f>
      </x:c>
      <x:c r="T573" s="31" t="str">
        <x:f>'Blind Scoring'!J573</x:f>
        <x:v>No</x:v>
      </x:c>
      <x:c r="U573" s="31" t="str">
        <x:f>IF('Blind Scoring'!L573="","",'Blind Scoring'!L573)</x:f>
      </x:c>
    </x:row>
    <x:row r="574" ht="44" customHeight="1">
      <x:c r="A574" s="35" t="str">
        <x:v>Not Started</x:v>
      </x:c>
      <x:c r="B574" s="35" t="n">
        <x:v>572</x:v>
      </x:c>
      <x:c r="C574" s="35" t="str">
        <x:v>P10</x:v>
      </x:c>
      <x:c r="D574" s="35" t="n">
        <x:v>15</x:v>
      </x:c>
      <x:c r="E574" s="35" t="str">
        <x:v>Primary VLA</x:v>
      </x:c>
      <x:c r="F574" s="35" t="str">
        <x:v>VLA-0</x:v>
      </x:c>
      <x:c r="G574" s="35" t="n">
        <x:v>2</x:v>
      </x:c>
      <x:c r="H574" s="35" t="str">
        <x:v>Counting</x:v>
      </x:c>
      <x:c r="I574" s="35" t="str">
        <x:v>Training reconstruction</x:v>
      </x:c>
      <x:c r="J574" s="35" t="str">
        <x:v>PVLA-CT-REC-06</x:v>
      </x:c>
      <x:c r="K574" s="35" t="str"/>
      <x:c r="L574" s="31" t="str">
        <x:v>Move the airplane toy without propellers into the bowl.</x:v>
      </x:c>
      <x:c r="M574" s="31" t="str">
        <x:v>Move the airplane toy without propellers into the bowl.</x:v>
      </x:c>
      <x:c r="N574" s="31" t="str">
        <x:v>Reconstruct planned final training episode 950: airplane toy without propellers, blue pen, yellow block, green pencil sharpener; start=Home. Match camera, calibration, bowl pose, and object geometry exactly.</x:v>
      </x:c>
      <x:c r="O574" s="31" t="str">
        <x:v>airplane toy without propellers</x:v>
      </x:c>
      <x:c r="P574" s="31" t="str"/>
      <x:c r="Q574" s="31" t="str"/>
      <x:c r="R574" s="31" t="str"/>
      <x:c r="S574" s="31" t="str">
        <x:f>IF('Blind Scoring'!I574="","",'Blind Scoring'!I574)</x:f>
      </x:c>
      <x:c r="T574" s="31" t="str">
        <x:f>'Blind Scoring'!J574</x:f>
        <x:v>No</x:v>
      </x:c>
      <x:c r="U574" s="31" t="str">
        <x:f>IF('Blind Scoring'!L574="","",'Blind Scoring'!L574)</x:f>
      </x:c>
    </x:row>
    <x:row r="575" ht="44" customHeight="1">
      <x:c r="A575" s="35" t="str">
        <x:v>Not Started</x:v>
      </x:c>
      <x:c r="B575" s="35" t="n">
        <x:v>573</x:v>
      </x:c>
      <x:c r="C575" s="35" t="str">
        <x:v>P10</x:v>
      </x:c>
      <x:c r="D575" s="35" t="n">
        <x:v>16</x:v>
      </x:c>
      <x:c r="E575" s="35" t="str">
        <x:v>Primary VLA</x:v>
      </x:c>
      <x:c r="F575" s="35" t="str">
        <x:v>VLA-0</x:v>
      </x:c>
      <x:c r="G575" s="35" t="n">
        <x:v>2</x:v>
      </x:c>
      <x:c r="H575" s="35" t="str">
        <x:v>Counting</x:v>
      </x:c>
      <x:c r="I575" s="35" t="str">
        <x:v>Main matched control</x:v>
      </x:c>
      <x:c r="J575" s="35" t="str">
        <x:v>PVLA-CT-CTL-09</x:v>
      </x:c>
      <x:c r="K575" s="35" t="str">
        <x:v>C-CF07-A</x:v>
      </x:c>
      <x:c r="L575" s="31" t="str">
        <x:v>Remove the green pencil sharpener from the bowl.</x:v>
      </x:c>
      <x:c r="M575" s="31" t="str">
        <x:v>Remove the green pencil sharpener from the bowl.</x:v>
      </x:c>
      <x:c r="N575" s="31" t="str">
        <x:v>C-CF07-CA: bowl=[green pencil sharpener, airplane toy without propellers] (2); table=[blue pen, yellow block]; robot home; acceptable action=remove either bowl object.</x:v>
      </x:c>
      <x:c r="O575" s="31" t="str">
        <x:v>REMOVE green pencil sharpener</x:v>
      </x:c>
      <x:c r="P575" s="31" t="str"/>
      <x:c r="Q575" s="31" t="str"/>
      <x:c r="R575" s="31" t="str"/>
      <x:c r="S575" s="31" t="str">
        <x:f>IF('Blind Scoring'!I575="","",'Blind Scoring'!I575)</x:f>
      </x:c>
      <x:c r="T575" s="31" t="str">
        <x:f>'Blind Scoring'!J575</x:f>
        <x:v>No</x:v>
      </x:c>
      <x:c r="U575" s="31" t="str">
        <x:f>IF('Blind Scoring'!L575="","",'Blind Scoring'!L575)</x:f>
      </x:c>
    </x:row>
    <x:row r="576" ht="44" customHeight="1">
      <x:c r="A576" s="35" t="str">
        <x:v>Not Started</x:v>
      </x:c>
      <x:c r="B576" s="35" t="n">
        <x:v>574</x:v>
      </x:c>
      <x:c r="C576" s="35" t="str">
        <x:v>P10</x:v>
      </x:c>
      <x:c r="D576" s="35" t="n">
        <x:v>17</x:v>
      </x:c>
      <x:c r="E576" s="35" t="str">
        <x:v>Primary VLA</x:v>
      </x:c>
      <x:c r="F576" s="35" t="str">
        <x:v>VLA-0</x:v>
      </x:c>
      <x:c r="G576" s="35" t="n">
        <x:v>2</x:v>
      </x:c>
      <x:c r="H576" s="35" t="str">
        <x:v>Counting</x:v>
      </x:c>
      <x:c r="I576" s="35" t="str">
        <x:v>Main held-out transfer</x:v>
      </x:c>
      <x:c r="J576" s="35" t="str">
        <x:v>PVLA-CT-TR-11</x:v>
      </x:c>
      <x:c r="K576" s="35" t="str">
        <x:v>C-CF09-A</x:v>
      </x:c>
      <x:c r="L576" s="31" t="str">
        <x:v>Leave exactly one object in the bowl.</x:v>
      </x:c>
      <x:c r="M576" s="31" t="str">
        <x:v>Leave exactly one object in the bowl.</x:v>
      </x:c>
      <x:c r="N576" s="31" t="str">
        <x:v>C-CF09A: bowl=[blue pen, yellow block] (2); table=[green pencil sharpener, airplane toy without propellers]; robot home; acceptable action=remove either bowl object.</x:v>
      </x:c>
      <x:c r="O576" s="31" t="str">
        <x:v>REMOVE one bowl object</x:v>
      </x:c>
      <x:c r="P576" s="31" t="str"/>
      <x:c r="Q576" s="31" t="str"/>
      <x:c r="R576" s="31" t="str"/>
      <x:c r="S576" s="31" t="str">
        <x:f>IF('Blind Scoring'!I576="","",'Blind Scoring'!I576)</x:f>
      </x:c>
      <x:c r="T576" s="31" t="str">
        <x:f>'Blind Scoring'!J576</x:f>
        <x:v>No</x:v>
      </x:c>
      <x:c r="U576" s="31" t="str">
        <x:f>IF('Blind Scoring'!L576="","",'Blind Scoring'!L576)</x:f>
      </x:c>
    </x:row>
    <x:row r="577" ht="44" customHeight="1">
      <x:c r="A577" s="35" t="str">
        <x:v>Not Started</x:v>
      </x:c>
      <x:c r="B577" s="35" t="n">
        <x:v>575</x:v>
      </x:c>
      <x:c r="C577" s="35" t="str">
        <x:v>P10</x:v>
      </x:c>
      <x:c r="D577" s="35" t="n">
        <x:v>18</x:v>
      </x:c>
      <x:c r="E577" s="35" t="str">
        <x:v>Primary VLA</x:v>
      </x:c>
      <x:c r="F577" s="35" t="str">
        <x:v>VLA-0</x:v>
      </x:c>
      <x:c r="G577" s="35" t="n">
        <x:v>2</x:v>
      </x:c>
      <x:c r="H577" s="35" t="str">
        <x:v>Counting</x:v>
      </x:c>
      <x:c r="I577" s="35" t="str">
        <x:v>Language ablation — blank</x:v>
      </x:c>
      <x:c r="J577" s="35" t="str">
        <x:v>PVLA-CT-ABL-BLK-04</x:v>
      </x:c>
      <x:c r="K577" s="35" t="str">
        <x:v>C-CF03-B</x:v>
      </x:c>
      <x:c r="L577" s="31" t="str">
        <x:v>[EMPTY STRING — provide no instruction tokens]</x:v>
      </x:c>
      <x:c r="M577" s="31" t="str">
        <x:v>Leave exactly three objects in the bowl.</x:v>
      </x:c>
      <x:c r="N577" s="31" t="str">
        <x:v>C-CF03B: bowl=[green pencil sharpener, airplane toy without propellers] (2); table=[blue pen, yellow block]; robot home; acceptable action=add either table object.</x:v>
      </x:c>
      <x:c r="O577" s="31" t="str">
        <x:v>No prespecified task success under blank language; record any action/selected target.</x:v>
      </x:c>
      <x:c r="P577" s="31" t="str"/>
      <x:c r="Q577" s="31" t="str"/>
      <x:c r="R577" s="31" t="str"/>
      <x:c r="S577" s="31" t="str">
        <x:f>IF('Blind Scoring'!I577="","",'Blind Scoring'!I577)</x:f>
      </x:c>
      <x:c r="T577" s="31" t="str">
        <x:f>'Blind Scoring'!J577</x:f>
        <x:v>No</x:v>
      </x:c>
      <x:c r="U577" s="31" t="str">
        <x:f>IF('Blind Scoring'!L577="","",'Blind Scoring'!L577)</x:f>
      </x:c>
    </x:row>
    <x:row r="578" ht="44" customHeight="1">
      <x:c r="A578" s="35" t="str">
        <x:v>Not Started</x:v>
      </x:c>
      <x:c r="B578" s="35" t="n">
        <x:v>576</x:v>
      </x:c>
      <x:c r="C578" s="35" t="str">
        <x:v>P10</x:v>
      </x:c>
      <x:c r="D578" s="35" t="n">
        <x:v>19</x:v>
      </x:c>
      <x:c r="E578" s="35" t="str">
        <x:v>Primary VLA</x:v>
      </x:c>
      <x:c r="F578" s="35" t="str">
        <x:v>VLA-0</x:v>
      </x:c>
      <x:c r="G578" s="35" t="n">
        <x:v>2</x:v>
      </x:c>
      <x:c r="H578" s="35" t="str">
        <x:v>Counting</x:v>
      </x:c>
      <x:c r="I578" s="35" t="str">
        <x:v>Main matched control</x:v>
      </x:c>
      <x:c r="J578" s="35" t="str">
        <x:v>PVLA-CT-CTL-04</x:v>
      </x:c>
      <x:c r="K578" s="35" t="str">
        <x:v>C-CF03-B</x:v>
      </x:c>
      <x:c r="L578" s="31" t="str">
        <x:v>Put the blue pen in the bowl.</x:v>
      </x:c>
      <x:c r="M578" s="31" t="str">
        <x:v>Put the blue pen in the bowl.</x:v>
      </x:c>
      <x:c r="N578" s="31" t="str">
        <x:v>C-CF03-CB: bowl=[green pencil sharpener, airplane toy without propellers] (2); table=[blue pen, yellow block]; robot home; acceptable action=add either table object.</x:v>
      </x:c>
      <x:c r="O578" s="31" t="str">
        <x:v>ADD blue pen</x:v>
      </x:c>
      <x:c r="P578" s="31" t="str"/>
      <x:c r="Q578" s="31" t="str"/>
      <x:c r="R578" s="31" t="str"/>
      <x:c r="S578" s="31" t="str">
        <x:f>IF('Blind Scoring'!I578="","",'Blind Scoring'!I578)</x:f>
      </x:c>
      <x:c r="T578" s="31" t="str">
        <x:f>'Blind Scoring'!J578</x:f>
        <x:v>No</x:v>
      </x:c>
      <x:c r="U578" s="31" t="str">
        <x:f>IF('Blind Scoring'!L578="","",'Blind Scoring'!L578)</x:f>
      </x:c>
    </x:row>
    <x:row r="579" ht="44" customHeight="1">
      <x:c r="A579" s="35" t="str">
        <x:v>Not Started</x:v>
      </x:c>
      <x:c r="B579" s="35" t="n">
        <x:v>577</x:v>
      </x:c>
      <x:c r="C579" s="35" t="str">
        <x:v>P10</x:v>
      </x:c>
      <x:c r="D579" s="35" t="n">
        <x:v>20</x:v>
      </x:c>
      <x:c r="E579" s="35" t="str">
        <x:v>Primary VLA</x:v>
      </x:c>
      <x:c r="F579" s="35" t="str">
        <x:v>VLA-0</x:v>
      </x:c>
      <x:c r="G579" s="35" t="n">
        <x:v>2</x:v>
      </x:c>
      <x:c r="H579" s="35" t="str">
        <x:v>Counting</x:v>
      </x:c>
      <x:c r="I579" s="35" t="str">
        <x:v>Exact-scene paraphrase</x:v>
      </x:c>
      <x:c r="J579" s="35" t="str">
        <x:v>PVLA-CT-PAR-04</x:v>
      </x:c>
      <x:c r="K579" s="35" t="str"/>
      <x:c r="L579" s="31" t="str">
        <x:v>Finish with two objects in the bowl.</x:v>
      </x:c>
      <x:c r="M579" s="31" t="str">
        <x:v>Finish with two objects in the bowl.</x:v>
      </x:c>
      <x:c r="N579" s="31" t="str">
        <x:v>C-N01: bowl=[blue pen] (1); table left→right=[yellow block, green pencil sharpener, airplane toy without propellers]; robot home.</x:v>
      </x:c>
      <x:c r="O579" s="31" t="str"/>
      <x:c r="P579" s="31" t="str"/>
      <x:c r="Q579" s="31" t="str"/>
      <x:c r="R579" s="31" t="str"/>
      <x:c r="S579" s="31" t="str">
        <x:f>IF('Blind Scoring'!I579="","",'Blind Scoring'!I579)</x:f>
      </x:c>
      <x:c r="T579" s="31" t="str">
        <x:f>'Blind Scoring'!J579</x:f>
        <x:v>No</x:v>
      </x:c>
      <x:c r="U579" s="31" t="str">
        <x:f>IF('Blind Scoring'!L579="","",'Blind Scoring'!L579)</x:f>
      </x:c>
    </x:row>
    <x:row r="580" ht="44" customHeight="1">
      <x:c r="A580" s="35" t="str">
        <x:v>Not Started</x:v>
      </x:c>
      <x:c r="B580" s="35" t="n">
        <x:v>578</x:v>
      </x:c>
      <x:c r="C580" s="35" t="str">
        <x:v>P10</x:v>
      </x:c>
      <x:c r="D580" s="35" t="n">
        <x:v>21</x:v>
      </x:c>
      <x:c r="E580" s="35" t="str">
        <x:v>Primary VLA</x:v>
      </x:c>
      <x:c r="F580" s="35" t="str">
        <x:v>VLA-0</x:v>
      </x:c>
      <x:c r="G580" s="35" t="n">
        <x:v>2</x:v>
      </x:c>
      <x:c r="H580" s="35" t="str">
        <x:v>Counting</x:v>
      </x:c>
      <x:c r="I580" s="35" t="str">
        <x:v>Main matched control</x:v>
      </x:c>
      <x:c r="J580" s="35" t="str">
        <x:v>PVLA-CT-CTL-11</x:v>
      </x:c>
      <x:c r="K580" s="35" t="str">
        <x:v>C-CF09-A</x:v>
      </x:c>
      <x:c r="L580" s="31" t="str">
        <x:v>Remove the blue pen from the bowl.</x:v>
      </x:c>
      <x:c r="M580" s="31" t="str">
        <x:v>Remove the blue pen from the bowl.</x:v>
      </x:c>
      <x:c r="N580" s="31" t="str">
        <x:v>C-CF09-CA: bowl=[blue pen, yellow block] (2); table=[green pencil sharpener, airplane toy without propellers]; robot home; acceptable action=remove either bowl object.</x:v>
      </x:c>
      <x:c r="O580" s="31" t="str">
        <x:v>REMOVE blue pen</x:v>
      </x:c>
      <x:c r="P580" s="31" t="str"/>
      <x:c r="Q580" s="31" t="str"/>
      <x:c r="R580" s="31" t="str"/>
      <x:c r="S580" s="31" t="str">
        <x:f>IF('Blind Scoring'!I580="","",'Blind Scoring'!I580)</x:f>
      </x:c>
      <x:c r="T580" s="31" t="str">
        <x:f>'Blind Scoring'!J580</x:f>
        <x:v>No</x:v>
      </x:c>
      <x:c r="U580" s="31" t="str">
        <x:f>IF('Blind Scoring'!L580="","",'Blind Scoring'!L580)</x:f>
      </x:c>
    </x:row>
    <x:row r="581" ht="44" customHeight="1">
      <x:c r="A581" s="35" t="str">
        <x:v>Not Started</x:v>
      </x:c>
      <x:c r="B581" s="35" t="n">
        <x:v>579</x:v>
      </x:c>
      <x:c r="C581" s="35" t="str">
        <x:v>P10</x:v>
      </x:c>
      <x:c r="D581" s="35" t="n">
        <x:v>22</x:v>
      </x:c>
      <x:c r="E581" s="35" t="str">
        <x:v>Primary VLA</x:v>
      </x:c>
      <x:c r="F581" s="35" t="str">
        <x:v>VLA-0</x:v>
      </x:c>
      <x:c r="G581" s="35" t="n">
        <x:v>2</x:v>
      </x:c>
      <x:c r="H581" s="35" t="str">
        <x:v>Counting</x:v>
      </x:c>
      <x:c r="I581" s="35" t="str">
        <x:v>Main held-out transfer</x:v>
      </x:c>
      <x:c r="J581" s="35" t="str">
        <x:v>PVLA-CT-TR-16</x:v>
      </x:c>
      <x:c r="K581" s="35" t="str">
        <x:v>C-CF12-B</x:v>
      </x:c>
      <x:c r="L581" s="31" t="str">
        <x:v>Leave exactly three objects in the bowl.</x:v>
      </x:c>
      <x:c r="M581" s="31" t="str">
        <x:v>Leave exactly three objects in the bowl.</x:v>
      </x:c>
      <x:c r="N581" s="31" t="str">
        <x:v>C-CF12B: bowl=[airplane toy without propellers, blue pen] (2); table=[yellow block, green pencil sharpener]; robot home; acceptable action=add either table object.</x:v>
      </x:c>
      <x:c r="O581" s="31" t="str">
        <x:v>ADD one table object</x:v>
      </x:c>
      <x:c r="P581" s="31" t="str"/>
      <x:c r="Q581" s="31" t="str"/>
      <x:c r="R581" s="31" t="str"/>
      <x:c r="S581" s="31" t="str">
        <x:f>IF('Blind Scoring'!I581="","",'Blind Scoring'!I581)</x:f>
      </x:c>
      <x:c r="T581" s="31" t="str">
        <x:f>'Blind Scoring'!J581</x:f>
        <x:v>No</x:v>
      </x:c>
      <x:c r="U581" s="31" t="str">
        <x:f>IF('Blind Scoring'!L581="","",'Blind Scoring'!L581)</x:f>
      </x:c>
    </x:row>
    <x:row r="582" ht="44" customHeight="1">
      <x:c r="A582" s="35" t="str">
        <x:v>Not Started</x:v>
      </x:c>
      <x:c r="B582" s="35" t="n">
        <x:v>580</x:v>
      </x:c>
      <x:c r="C582" s="35" t="str">
        <x:v>P10</x:v>
      </x:c>
      <x:c r="D582" s="35" t="n">
        <x:v>23</x:v>
      </x:c>
      <x:c r="E582" s="35" t="str">
        <x:v>Primary VLA</x:v>
      </x:c>
      <x:c r="F582" s="35" t="str">
        <x:v>VLA-0</x:v>
      </x:c>
      <x:c r="G582" s="35" t="n">
        <x:v>2</x:v>
      </x:c>
      <x:c r="H582" s="35" t="str">
        <x:v>Counting</x:v>
      </x:c>
      <x:c r="I582" s="35" t="str">
        <x:v>Main held-out transfer</x:v>
      </x:c>
      <x:c r="J582" s="35" t="str">
        <x:v>PVLA-CT-TR-13</x:v>
      </x:c>
      <x:c r="K582" s="35" t="str">
        <x:v>C-CF10-A</x:v>
      </x:c>
      <x:c r="L582" s="31" t="str">
        <x:v>Leave exactly one object in the bowl.</x:v>
      </x:c>
      <x:c r="M582" s="31" t="str">
        <x:v>Leave exactly one object in the bowl.</x:v>
      </x:c>
      <x:c r="N582" s="31" t="str">
        <x:v>C-CF10A: bowl=[yellow block, green pencil sharpener] (2); table=[airplane toy without propellers, blue pen]; robot home; acceptable action=remove either bowl object.</x:v>
      </x:c>
      <x:c r="O582" s="31" t="str">
        <x:v>REMOVE one bowl object</x:v>
      </x:c>
      <x:c r="P582" s="31" t="str"/>
      <x:c r="Q582" s="31" t="str"/>
      <x:c r="R582" s="31" t="str"/>
      <x:c r="S582" s="31" t="str">
        <x:f>IF('Blind Scoring'!I582="","",'Blind Scoring'!I582)</x:f>
      </x:c>
      <x:c r="T582" s="31" t="str">
        <x:f>'Blind Scoring'!J582</x:f>
        <x:v>No</x:v>
      </x:c>
      <x:c r="U582" s="31" t="str">
        <x:f>IF('Blind Scoring'!L582="","",'Blind Scoring'!L582)</x:f>
      </x:c>
    </x:row>
    <x:row r="583" ht="44" customHeight="1">
      <x:c r="A583" s="35" t="str">
        <x:v>Not Started</x:v>
      </x:c>
      <x:c r="B583" s="35" t="n">
        <x:v>581</x:v>
      </x:c>
      <x:c r="C583" s="35" t="str">
        <x:v>P10</x:v>
      </x:c>
      <x:c r="D583" s="35" t="n">
        <x:v>24</x:v>
      </x:c>
      <x:c r="E583" s="35" t="str">
        <x:v>Primary VLA</x:v>
      </x:c>
      <x:c r="F583" s="35" t="str">
        <x:v>VLA-0</x:v>
      </x:c>
      <x:c r="G583" s="35" t="n">
        <x:v>2</x:v>
      </x:c>
      <x:c r="H583" s="35" t="str">
        <x:v>Counting</x:v>
      </x:c>
      <x:c r="I583" s="35" t="str">
        <x:v>Main held-out transfer</x:v>
      </x:c>
      <x:c r="J583" s="35" t="str">
        <x:v>PVLA-CT-TR-03</x:v>
      </x:c>
      <x:c r="K583" s="35" t="str">
        <x:v>C-CF03-A</x:v>
      </x:c>
      <x:c r="L583" s="31" t="str">
        <x:v>Leave exactly one object in the bowl.</x:v>
      </x:c>
      <x:c r="M583" s="31" t="str">
        <x:v>Leave exactly one object in the bowl.</x:v>
      </x:c>
      <x:c r="N583" s="31" t="str">
        <x:v>C-CF03A: bowl=[green pencil sharpener, airplane toy without propellers] (2); table=[blue pen, yellow block]; robot home; acceptable action=remove either bowl object.</x:v>
      </x:c>
      <x:c r="O583" s="31" t="str">
        <x:v>REMOVE one bowl object</x:v>
      </x:c>
      <x:c r="P583" s="31" t="str"/>
      <x:c r="Q583" s="31" t="str"/>
      <x:c r="R583" s="31" t="str"/>
      <x:c r="S583" s="31" t="str">
        <x:f>IF('Blind Scoring'!I583="","",'Blind Scoring'!I583)</x:f>
      </x:c>
      <x:c r="T583" s="31" t="str">
        <x:f>'Blind Scoring'!J583</x:f>
        <x:v>No</x:v>
      </x:c>
      <x:c r="U583" s="31" t="str">
        <x:f>IF('Blind Scoring'!L583="","",'Blind Scoring'!L583)</x:f>
      </x:c>
    </x:row>
    <x:row r="584" ht="44" customHeight="1">
      <x:c r="A584" s="35" t="str">
        <x:v>Not Started</x:v>
      </x:c>
      <x:c r="B584" s="35" t="n">
        <x:v>582</x:v>
      </x:c>
      <x:c r="C584" s="35" t="str">
        <x:v>P10</x:v>
      </x:c>
      <x:c r="D584" s="35" t="n">
        <x:v>25</x:v>
      </x:c>
      <x:c r="E584" s="35" t="str">
        <x:v>Primary VLA</x:v>
      </x:c>
      <x:c r="F584" s="35" t="str">
        <x:v>VLA-0</x:v>
      </x:c>
      <x:c r="G584" s="35" t="n">
        <x:v>2</x:v>
      </x:c>
      <x:c r="H584" s="35" t="str">
        <x:v>Counting</x:v>
      </x:c>
      <x:c r="I584" s="35" t="str">
        <x:v>Main matched control</x:v>
      </x:c>
      <x:c r="J584" s="35" t="str">
        <x:v>PVLA-CT-CTL-01</x:v>
      </x:c>
      <x:c r="K584" s="35" t="str">
        <x:v>C-CF01-A</x:v>
      </x:c>
      <x:c r="L584" s="31" t="str">
        <x:v>Remove the blue pen from the bowl.</x:v>
      </x:c>
      <x:c r="M584" s="31" t="str">
        <x:v>Remove the blue pen from the bowl.</x:v>
      </x:c>
      <x:c r="N584" s="31" t="str">
        <x:v>C-CF01-CA: bowl=[blue pen, yellow block] (2); table=[green pencil sharpener, airplane toy without propellers]; robot home; acceptable action=remove either bowl object.</x:v>
      </x:c>
      <x:c r="O584" s="31" t="str">
        <x:v>REMOVE blue pen</x:v>
      </x:c>
      <x:c r="P584" s="31" t="str"/>
      <x:c r="Q584" s="31" t="str"/>
      <x:c r="R584" s="31" t="str"/>
      <x:c r="S584" s="31" t="str">
        <x:f>IF('Blind Scoring'!I584="","",'Blind Scoring'!I584)</x:f>
      </x:c>
      <x:c r="T584" s="31" t="str">
        <x:f>'Blind Scoring'!J584</x:f>
        <x:v>No</x:v>
      </x:c>
      <x:c r="U584" s="31" t="str">
        <x:f>IF('Blind Scoring'!L584="","",'Blind Scoring'!L584)</x:f>
      </x:c>
    </x:row>
    <x:row r="585" ht="44" customHeight="1">
      <x:c r="A585" s="35" t="str">
        <x:v>Not Started</x:v>
      </x:c>
      <x:c r="B585" s="35" t="n">
        <x:v>583</x:v>
      </x:c>
      <x:c r="C585" s="35" t="str">
        <x:v>P10</x:v>
      </x:c>
      <x:c r="D585" s="35" t="n">
        <x:v>26</x:v>
      </x:c>
      <x:c r="E585" s="35" t="str">
        <x:v>Primary VLA</x:v>
      </x:c>
      <x:c r="F585" s="35" t="str">
        <x:v>VLA-0</x:v>
      </x:c>
      <x:c r="G585" s="35" t="n">
        <x:v>2</x:v>
      </x:c>
      <x:c r="H585" s="35" t="str">
        <x:v>Counting</x:v>
      </x:c>
      <x:c r="I585" s="35" t="str">
        <x:v>Exact-scene paraphrase</x:v>
      </x:c>
      <x:c r="J585" s="35" t="str">
        <x:v>PVLA-CT-PAR-05</x:v>
      </x:c>
      <x:c r="K585" s="35" t="str"/>
      <x:c r="L585" s="31" t="str">
        <x:v>Finish with two objects in the bowl.</x:v>
      </x:c>
      <x:c r="M585" s="31" t="str">
        <x:v>Finish with two objects in the bowl.</x:v>
      </x:c>
      <x:c r="N585" s="31" t="str">
        <x:v>C-N01: bowl=[blue pen] (1); table left→right=[yellow block, green pencil sharpener, airplane toy without propellers]; robot home.</x:v>
      </x:c>
      <x:c r="O585" s="31" t="str"/>
      <x:c r="P585" s="31" t="str"/>
      <x:c r="Q585" s="31" t="str"/>
      <x:c r="R585" s="31" t="str"/>
      <x:c r="S585" s="31" t="str">
        <x:f>IF('Blind Scoring'!I585="","",'Blind Scoring'!I585)</x:f>
      </x:c>
      <x:c r="T585" s="31" t="str">
        <x:f>'Blind Scoring'!J585</x:f>
        <x:v>No</x:v>
      </x:c>
      <x:c r="U585" s="31" t="str">
        <x:f>IF('Blind Scoring'!L585="","",'Blind Scoring'!L585)</x:f>
      </x:c>
    </x:row>
    <x:row r="586" ht="44" customHeight="1">
      <x:c r="A586" s="35" t="str">
        <x:v>Not Started</x:v>
      </x:c>
      <x:c r="B586" s="35" t="n">
        <x:v>584</x:v>
      </x:c>
      <x:c r="C586" s="35" t="str">
        <x:v>P10</x:v>
      </x:c>
      <x:c r="D586" s="35" t="n">
        <x:v>27</x:v>
      </x:c>
      <x:c r="E586" s="35" t="str">
        <x:v>Primary VLA</x:v>
      </x:c>
      <x:c r="F586" s="35" t="str">
        <x:v>VLA-0</x:v>
      </x:c>
      <x:c r="G586" s="35" t="n">
        <x:v>2</x:v>
      </x:c>
      <x:c r="H586" s="35" t="str">
        <x:v>Counting</x:v>
      </x:c>
      <x:c r="I586" s="35" t="str">
        <x:v>Main held-out transfer</x:v>
      </x:c>
      <x:c r="J586" s="35" t="str">
        <x:v>PVLA-CT-TR-10</x:v>
      </x:c>
      <x:c r="K586" s="35" t="str">
        <x:v>C-CF07-B</x:v>
      </x:c>
      <x:c r="L586" s="31" t="str">
        <x:v>Leave exactly three objects in the bowl.</x:v>
      </x:c>
      <x:c r="M586" s="31" t="str">
        <x:v>Leave exactly three objects in the bowl.</x:v>
      </x:c>
      <x:c r="N586" s="31" t="str">
        <x:v>C-CF07B: bowl=[green pencil sharpener, airplane toy without propellers] (2); table=[blue pen, yellow block]; robot home; acceptable action=add either table object.</x:v>
      </x:c>
      <x:c r="O586" s="31" t="str">
        <x:v>ADD one table object</x:v>
      </x:c>
      <x:c r="P586" s="31" t="str"/>
      <x:c r="Q586" s="31" t="str"/>
      <x:c r="R586" s="31" t="str"/>
      <x:c r="S586" s="31" t="str">
        <x:f>IF('Blind Scoring'!I586="","",'Blind Scoring'!I586)</x:f>
      </x:c>
      <x:c r="T586" s="31" t="str">
        <x:f>'Blind Scoring'!J586</x:f>
        <x:v>No</x:v>
      </x:c>
      <x:c r="U586" s="31" t="str">
        <x:f>IF('Blind Scoring'!L586="","",'Blind Scoring'!L586)</x:f>
      </x:c>
    </x:row>
    <x:row r="587" ht="44" customHeight="1">
      <x:c r="A587" s="35" t="str">
        <x:v>Not Started</x:v>
      </x:c>
      <x:c r="B587" s="35" t="n">
        <x:v>585</x:v>
      </x:c>
      <x:c r="C587" s="35" t="str">
        <x:v>P10</x:v>
      </x:c>
      <x:c r="D587" s="35" t="n">
        <x:v>28</x:v>
      </x:c>
      <x:c r="E587" s="35" t="str">
        <x:v>Primary VLA</x:v>
      </x:c>
      <x:c r="F587" s="35" t="str">
        <x:v>VLA-0</x:v>
      </x:c>
      <x:c r="G587" s="35" t="n">
        <x:v>2</x:v>
      </x:c>
      <x:c r="H587" s="35" t="str">
        <x:v>Counting</x:v>
      </x:c>
      <x:c r="I587" s="35" t="str">
        <x:v>Training reconstruction</x:v>
      </x:c>
      <x:c r="J587" s="35" t="str">
        <x:v>PVLA-CT-REC-02</x:v>
      </x:c>
      <x:c r="K587" s="35" t="str"/>
      <x:c r="L587" s="31" t="str">
        <x:v>Leave no objects in the bowl.</x:v>
      </x:c>
      <x:c r="M587" s="31" t="str">
        <x:v>Leave no objects in the bowl.</x:v>
      </x:c>
      <x:c r="N587" s="31" t="str">
        <x:v>Reconstruct planned final training episode 829: blue pen, yellow block, airplane toy without propellers; start=Recovery. Match camera, calibration, bowl pose, and object geometry exactly.</x:v>
      </x:c>
      <x:c r="O587" s="31" t="str">
        <x:v>blue pen</x:v>
      </x:c>
      <x:c r="P587" s="31" t="str"/>
      <x:c r="Q587" s="31" t="str"/>
      <x:c r="R587" s="31" t="str"/>
      <x:c r="S587" s="31" t="str">
        <x:f>IF('Blind Scoring'!I587="","",'Blind Scoring'!I587)</x:f>
      </x:c>
      <x:c r="T587" s="31" t="str">
        <x:f>'Blind Scoring'!J587</x:f>
        <x:v>No</x:v>
      </x:c>
      <x:c r="U587" s="31" t="str">
        <x:f>IF('Blind Scoring'!L587="","",'Blind Scoring'!L587)</x:f>
      </x:c>
    </x:row>
    <x:row r="588" ht="44" customHeight="1">
      <x:c r="A588" s="35" t="str">
        <x:v>Not Started</x:v>
      </x:c>
      <x:c r="B588" s="35" t="n">
        <x:v>586</x:v>
      </x:c>
      <x:c r="C588" s="35" t="str">
        <x:v>P10</x:v>
      </x:c>
      <x:c r="D588" s="35" t="n">
        <x:v>29</x:v>
      </x:c>
      <x:c r="E588" s="35" t="str">
        <x:v>Primary VLA</x:v>
      </x:c>
      <x:c r="F588" s="35" t="str">
        <x:v>VLA-0</x:v>
      </x:c>
      <x:c r="G588" s="35" t="n">
        <x:v>2</x:v>
      </x:c>
      <x:c r="H588" s="35" t="str">
        <x:v>Counting</x:v>
      </x:c>
      <x:c r="I588" s="35" t="str">
        <x:v>Main matched control</x:v>
      </x:c>
      <x:c r="J588" s="35" t="str">
        <x:v>PVLA-CT-CTL-03</x:v>
      </x:c>
      <x:c r="K588" s="35" t="str">
        <x:v>C-CF03-A</x:v>
      </x:c>
      <x:c r="L588" s="31" t="str">
        <x:v>Remove the green pencil sharpener from the bowl.</x:v>
      </x:c>
      <x:c r="M588" s="31" t="str">
        <x:v>Remove the green pencil sharpener from the bowl.</x:v>
      </x:c>
      <x:c r="N588" s="31" t="str">
        <x:v>C-CF03-CA: bowl=[green pencil sharpener, airplane toy without propellers] (2); table=[blue pen, yellow block]; robot home; acceptable action=remove either bowl object.</x:v>
      </x:c>
      <x:c r="O588" s="31" t="str">
        <x:v>REMOVE green pencil sharpener</x:v>
      </x:c>
      <x:c r="P588" s="31" t="str"/>
      <x:c r="Q588" s="31" t="str"/>
      <x:c r="R588" s="31" t="str"/>
      <x:c r="S588" s="31" t="str">
        <x:f>IF('Blind Scoring'!I588="","",'Blind Scoring'!I588)</x:f>
      </x:c>
      <x:c r="T588" s="31" t="str">
        <x:f>'Blind Scoring'!J588</x:f>
        <x:v>No</x:v>
      </x:c>
      <x:c r="U588" s="31" t="str">
        <x:f>IF('Blind Scoring'!L588="","",'Blind Scoring'!L588)</x:f>
      </x:c>
    </x:row>
    <x:row r="589" ht="44" customHeight="1">
      <x:c r="A589" s="35" t="str">
        <x:v>Not Started</x:v>
      </x:c>
      <x:c r="B589" s="35" t="n">
        <x:v>587</x:v>
      </x:c>
      <x:c r="C589" s="35" t="str">
        <x:v>P10</x:v>
      </x:c>
      <x:c r="D589" s="35" t="n">
        <x:v>30</x:v>
      </x:c>
      <x:c r="E589" s="35" t="str">
        <x:v>Primary VLA</x:v>
      </x:c>
      <x:c r="F589" s="35" t="str">
        <x:v>VLA-0</x:v>
      </x:c>
      <x:c r="G589" s="35" t="n">
        <x:v>2</x:v>
      </x:c>
      <x:c r="H589" s="35" t="str">
        <x:v>Counting</x:v>
      </x:c>
      <x:c r="I589" s="35" t="str">
        <x:v>Novel layout + seen language</x:v>
      </x:c>
      <x:c r="J589" s="35" t="str">
        <x:v>PVLA-CT-NOV-07</x:v>
      </x:c>
      <x:c r="K589" s="35" t="str"/>
      <x:c r="L589" s="31" t="str">
        <x:v>Make the bowl contain exactly zero objects.</x:v>
      </x:c>
      <x:c r="M589" s="31" t="str">
        <x:v>Make the bowl contain exactly zero objects.</x:v>
      </x:c>
      <x:c r="N589" s="31" t="str">
        <x:v>C-N17: bowl=[green pencil sharpener] (1); table left→right=[airplane toy without propellers, blue pen, yellow block]; robot home.</x:v>
      </x:c>
      <x:c r="O589" s="31" t="str"/>
      <x:c r="P589" s="31" t="str"/>
      <x:c r="Q589" s="31" t="str"/>
      <x:c r="R589" s="31" t="str"/>
      <x:c r="S589" s="31" t="str">
        <x:f>IF('Blind Scoring'!I589="","",'Blind Scoring'!I589)</x:f>
      </x:c>
      <x:c r="T589" s="31" t="str">
        <x:f>'Blind Scoring'!J589</x:f>
        <x:v>No</x:v>
      </x:c>
      <x:c r="U589" s="31" t="str">
        <x:f>IF('Blind Scoring'!L589="","",'Blind Scoring'!L589)</x:f>
      </x:c>
    </x:row>
    <x:row r="590" ht="44" customHeight="1">
      <x:c r="A590" s="35" t="str">
        <x:v>Not Started</x:v>
      </x:c>
      <x:c r="B590" s="35" t="n">
        <x:v>588</x:v>
      </x:c>
      <x:c r="C590" s="35" t="str">
        <x:v>P10</x:v>
      </x:c>
      <x:c r="D590" s="35" t="n">
        <x:v>31</x:v>
      </x:c>
      <x:c r="E590" s="35" t="str">
        <x:v>Primary VLA</x:v>
      </x:c>
      <x:c r="F590" s="35" t="str">
        <x:v>VLA-0</x:v>
      </x:c>
      <x:c r="G590" s="35" t="n">
        <x:v>2</x:v>
      </x:c>
      <x:c r="H590" s="35" t="str">
        <x:v>Counting</x:v>
      </x:c>
      <x:c r="I590" s="35" t="str">
        <x:v>Main held-out transfer</x:v>
      </x:c>
      <x:c r="J590" s="35" t="str">
        <x:v>PVLA-CT-TR-12</x:v>
      </x:c>
      <x:c r="K590" s="35" t="str">
        <x:v>C-CF09-B</x:v>
      </x:c>
      <x:c r="L590" s="31" t="str">
        <x:v>Leave exactly three objects in the bowl.</x:v>
      </x:c>
      <x:c r="M590" s="31" t="str">
        <x:v>Leave exactly three objects in the bowl.</x:v>
      </x:c>
      <x:c r="N590" s="31" t="str">
        <x:v>C-CF09B: bowl=[blue pen, yellow block] (2); table=[green pencil sharpener, airplane toy without propellers]; robot home; acceptable action=add either table object.</x:v>
      </x:c>
      <x:c r="O590" s="31" t="str">
        <x:v>ADD one table object</x:v>
      </x:c>
      <x:c r="P590" s="31" t="str"/>
      <x:c r="Q590" s="31" t="str"/>
      <x:c r="R590" s="31" t="str"/>
      <x:c r="S590" s="31" t="str">
        <x:f>IF('Blind Scoring'!I590="","",'Blind Scoring'!I590)</x:f>
      </x:c>
      <x:c r="T590" s="31" t="str">
        <x:f>'Blind Scoring'!J590</x:f>
        <x:v>No</x:v>
      </x:c>
      <x:c r="U590" s="31" t="str">
        <x:f>IF('Blind Scoring'!L590="","",'Blind Scoring'!L590)</x:f>
      </x:c>
    </x:row>
    <x:row r="591" ht="44" customHeight="1">
      <x:c r="A591" s="35" t="str">
        <x:v>Not Started</x:v>
      </x:c>
      <x:c r="B591" s="35" t="n">
        <x:v>589</x:v>
      </x:c>
      <x:c r="C591" s="35" t="str">
        <x:v>P10</x:v>
      </x:c>
      <x:c r="D591" s="35" t="n">
        <x:v>32</x:v>
      </x:c>
      <x:c r="E591" s="35" t="str">
        <x:v>Primary VLA</x:v>
      </x:c>
      <x:c r="F591" s="35" t="str">
        <x:v>VLA-0</x:v>
      </x:c>
      <x:c r="G591" s="35" t="n">
        <x:v>2</x:v>
      </x:c>
      <x:c r="H591" s="35" t="str">
        <x:v>Counting</x:v>
      </x:c>
      <x:c r="I591" s="35" t="str">
        <x:v>Language ablation — counterfactual</x:v>
      </x:c>
      <x:c r="J591" s="35" t="str">
        <x:v>PVLA-CT-ABL-CF-02</x:v>
      </x:c>
      <x:c r="K591" s="35" t="str">
        <x:v>C-CF04-B</x:v>
      </x:c>
      <x:c r="L591" s="31" t="str">
        <x:v>Leave exactly one object in the bowl.</x:v>
      </x:c>
      <x:c r="M591" s="31" t="str">
        <x:v>Leave exactly one object in the bowl.</x:v>
      </x:c>
      <x:c r="N591" s="31" t="str">
        <x:v>C-CF04B: bowl=[airplane toy without propellers, blue pen] (2); table=[yellow block, green pencil sharpener]; robot home; acceptable action=add either table object.</x:v>
      </x:c>
      <x:c r="O591" s="31" t="str">
        <x:v>REMOVE one bowl object</x:v>
      </x:c>
      <x:c r="P591" s="31" t="str"/>
      <x:c r="Q591" s="31" t="str"/>
      <x:c r="R591" s="31" t="str"/>
      <x:c r="S591" s="31" t="str">
        <x:f>IF('Blind Scoring'!I591="","",'Blind Scoring'!I591)</x:f>
      </x:c>
      <x:c r="T591" s="31" t="str">
        <x:f>'Blind Scoring'!J591</x:f>
        <x:v>No</x:v>
      </x:c>
      <x:c r="U591" s="31" t="str">
        <x:f>IF('Blind Scoring'!L591="","",'Blind Scoring'!L591)</x:f>
      </x:c>
    </x:row>
    <x:row r="592" ht="44" customHeight="1">
      <x:c r="A592" s="35" t="str">
        <x:v>Not Started</x:v>
      </x:c>
      <x:c r="B592" s="35" t="n">
        <x:v>590</x:v>
      </x:c>
      <x:c r="C592" s="35" t="str">
        <x:v>P10</x:v>
      </x:c>
      <x:c r="D592" s="35" t="n">
        <x:v>33</x:v>
      </x:c>
      <x:c r="E592" s="35" t="str">
        <x:v>Primary VLA</x:v>
      </x:c>
      <x:c r="F592" s="35" t="str">
        <x:v>VLA-0</x:v>
      </x:c>
      <x:c r="G592" s="35" t="n">
        <x:v>2</x:v>
      </x:c>
      <x:c r="H592" s="35" t="str">
        <x:v>Counting</x:v>
      </x:c>
      <x:c r="I592" s="35" t="str">
        <x:v>Exact-scene paraphrase</x:v>
      </x:c>
      <x:c r="J592" s="35" t="str">
        <x:v>PVLA-CT-PAR-07</x:v>
      </x:c>
      <x:c r="K592" s="35" t="str"/>
      <x:c r="L592" s="31" t="str">
        <x:v>Finish with two objects in the bowl.</x:v>
      </x:c>
      <x:c r="M592" s="31" t="str">
        <x:v>Finish with two objects in the bowl.</x:v>
      </x:c>
      <x:c r="N592" s="31" t="str">
        <x:v>C-N01: bowl=[blue pen] (1); table left→right=[yellow block, green pencil sharpener, airplane toy without propellers]; robot home.</x:v>
      </x:c>
      <x:c r="O592" s="31" t="str"/>
      <x:c r="P592" s="31" t="str"/>
      <x:c r="Q592" s="31" t="str"/>
      <x:c r="R592" s="31" t="str"/>
      <x:c r="S592" s="31" t="str">
        <x:f>IF('Blind Scoring'!I592="","",'Blind Scoring'!I592)</x:f>
      </x:c>
      <x:c r="T592" s="31" t="str">
        <x:f>'Blind Scoring'!J592</x:f>
        <x:v>No</x:v>
      </x:c>
      <x:c r="U592" s="31" t="str">
        <x:f>IF('Blind Scoring'!L592="","",'Blind Scoring'!L592)</x:f>
      </x:c>
    </x:row>
    <x:row r="593" ht="44" customHeight="1">
      <x:c r="A593" s="35" t="str">
        <x:v>Not Started</x:v>
      </x:c>
      <x:c r="B593" s="35" t="n">
        <x:v>591</x:v>
      </x:c>
      <x:c r="C593" s="35" t="str">
        <x:v>P10</x:v>
      </x:c>
      <x:c r="D593" s="35" t="n">
        <x:v>34</x:v>
      </x:c>
      <x:c r="E593" s="35" t="str">
        <x:v>Primary VLA</x:v>
      </x:c>
      <x:c r="F593" s="35" t="str">
        <x:v>VLA-0</x:v>
      </x:c>
      <x:c r="G593" s="35" t="n">
        <x:v>2</x:v>
      </x:c>
      <x:c r="H593" s="35" t="str">
        <x:v>Counting</x:v>
      </x:c>
      <x:c r="I593" s="35" t="str">
        <x:v>Novel layout + seen language</x:v>
      </x:c>
      <x:c r="J593" s="35" t="str">
        <x:v>PVLA-CT-NOV-02</x:v>
      </x:c>
      <x:c r="K593" s="35" t="str"/>
      <x:c r="L593" s="31" t="str">
        <x:v>Make the bowl contain exactly two objects.</x:v>
      </x:c>
      <x:c r="M593" s="31" t="str">
        <x:v>Make the bowl contain exactly two objects.</x:v>
      </x:c>
      <x:c r="N593" s="31" t="str">
        <x:v>C-N04: bowl=[airplane toy without propellers, blue pen, yellow block] (3); table left→right=[green pencil sharpener]; robot home.</x:v>
      </x:c>
      <x:c r="O593" s="31" t="str"/>
      <x:c r="P593" s="31" t="str"/>
      <x:c r="Q593" s="31" t="str"/>
      <x:c r="R593" s="31" t="str"/>
      <x:c r="S593" s="31" t="str">
        <x:f>IF('Blind Scoring'!I593="","",'Blind Scoring'!I593)</x:f>
      </x:c>
      <x:c r="T593" s="31" t="str">
        <x:f>'Blind Scoring'!J593</x:f>
        <x:v>No</x:v>
      </x:c>
      <x:c r="U593" s="31" t="str">
        <x:f>IF('Blind Scoring'!L593="","",'Blind Scoring'!L593)</x:f>
      </x:c>
    </x:row>
    <x:row r="594" ht="44" customHeight="1">
      <x:c r="A594" s="35" t="str">
        <x:v>Not Started</x:v>
      </x:c>
      <x:c r="B594" s="35" t="n">
        <x:v>592</x:v>
      </x:c>
      <x:c r="C594" s="35" t="str">
        <x:v>P10</x:v>
      </x:c>
      <x:c r="D594" s="35" t="n">
        <x:v>35</x:v>
      </x:c>
      <x:c r="E594" s="35" t="str">
        <x:v>Primary VLA</x:v>
      </x:c>
      <x:c r="F594" s="35" t="str">
        <x:v>VLA-0</x:v>
      </x:c>
      <x:c r="G594" s="35" t="n">
        <x:v>2</x:v>
      </x:c>
      <x:c r="H594" s="35" t="str">
        <x:v>Counting</x:v>
      </x:c>
      <x:c r="I594" s="35" t="str">
        <x:v>Main matched control</x:v>
      </x:c>
      <x:c r="J594" s="35" t="str">
        <x:v>PVLA-CT-CTL-02</x:v>
      </x:c>
      <x:c r="K594" s="35" t="str">
        <x:v>C-CF01-B</x:v>
      </x:c>
      <x:c r="L594" s="31" t="str">
        <x:v>Put the green pencil sharpener in the bowl.</x:v>
      </x:c>
      <x:c r="M594" s="31" t="str">
        <x:v>Put the green pencil sharpener in the bowl.</x:v>
      </x:c>
      <x:c r="N594" s="31" t="str">
        <x:v>C-CF01-CB: bowl=[blue pen, yellow block] (2); table=[green pencil sharpener, airplane toy without propellers]; robot home; acceptable action=add either table object.</x:v>
      </x:c>
      <x:c r="O594" s="31" t="str">
        <x:v>ADD green pencil sharpener</x:v>
      </x:c>
      <x:c r="P594" s="31" t="str"/>
      <x:c r="Q594" s="31" t="str"/>
      <x:c r="R594" s="31" t="str"/>
      <x:c r="S594" s="31" t="str">
        <x:f>IF('Blind Scoring'!I594="","",'Blind Scoring'!I594)</x:f>
      </x:c>
      <x:c r="T594" s="31" t="str">
        <x:f>'Blind Scoring'!J594</x:f>
        <x:v>No</x:v>
      </x:c>
      <x:c r="U594" s="31" t="str">
        <x:f>IF('Blind Scoring'!L594="","",'Blind Scoring'!L594)</x:f>
      </x:c>
    </x:row>
    <x:row r="595" ht="44" customHeight="1">
      <x:c r="A595" s="35" t="str">
        <x:v>Not Started</x:v>
      </x:c>
      <x:c r="B595" s="35" t="n">
        <x:v>593</x:v>
      </x:c>
      <x:c r="C595" s="35" t="str">
        <x:v>P10</x:v>
      </x:c>
      <x:c r="D595" s="35" t="n">
        <x:v>36</x:v>
      </x:c>
      <x:c r="E595" s="35" t="str">
        <x:v>Primary VLA</x:v>
      </x:c>
      <x:c r="F595" s="35" t="str">
        <x:v>VLA-0</x:v>
      </x:c>
      <x:c r="G595" s="35" t="n">
        <x:v>2</x:v>
      </x:c>
      <x:c r="H595" s="35" t="str">
        <x:v>Counting</x:v>
      </x:c>
      <x:c r="I595" s="35" t="str">
        <x:v>Language ablation — blank</x:v>
      </x:c>
      <x:c r="J595" s="35" t="str">
        <x:v>PVLA-CT-ABL-BLK-02</x:v>
      </x:c>
      <x:c r="K595" s="35" t="str">
        <x:v>C-CF01-B</x:v>
      </x:c>
      <x:c r="L595" s="31" t="str">
        <x:v>[EMPTY STRING — provide no instruction tokens]</x:v>
      </x:c>
      <x:c r="M595" s="31" t="str">
        <x:v>Leave exactly three objects in the bowl.</x:v>
      </x:c>
      <x:c r="N595" s="31" t="str">
        <x:v>C-CF01B: bowl=[blue pen, yellow block] (2); table=[green pencil sharpener, airplane toy without propellers]; robot home; acceptable action=add either table object.</x:v>
      </x:c>
      <x:c r="O595" s="31" t="str">
        <x:v>No prespecified task success under blank language; record any action/selected target.</x:v>
      </x:c>
      <x:c r="P595" s="31" t="str"/>
      <x:c r="Q595" s="31" t="str"/>
      <x:c r="R595" s="31" t="str"/>
      <x:c r="S595" s="31" t="str">
        <x:f>IF('Blind Scoring'!I595="","",'Blind Scoring'!I595)</x:f>
      </x:c>
      <x:c r="T595" s="31" t="str">
        <x:f>'Blind Scoring'!J595</x:f>
        <x:v>No</x:v>
      </x:c>
      <x:c r="U595" s="31" t="str">
        <x:f>IF('Blind Scoring'!L595="","",'Blind Scoring'!L595)</x:f>
      </x:c>
    </x:row>
    <x:row r="596" ht="44" customHeight="1">
      <x:c r="A596" s="35" t="str">
        <x:v>Not Started</x:v>
      </x:c>
      <x:c r="B596" s="35" t="n">
        <x:v>594</x:v>
      </x:c>
      <x:c r="C596" s="35" t="str">
        <x:v>P10</x:v>
      </x:c>
      <x:c r="D596" s="35" t="n">
        <x:v>37</x:v>
      </x:c>
      <x:c r="E596" s="35" t="str">
        <x:v>Primary VLA</x:v>
      </x:c>
      <x:c r="F596" s="35" t="str">
        <x:v>VLA-0</x:v>
      </x:c>
      <x:c r="G596" s="35" t="n">
        <x:v>2</x:v>
      </x:c>
      <x:c r="H596" s="35" t="str">
        <x:v>Counting</x:v>
      </x:c>
      <x:c r="I596" s="35" t="str">
        <x:v>Exact-scene paraphrase</x:v>
      </x:c>
      <x:c r="J596" s="35" t="str">
        <x:v>PVLA-CT-PAR-06</x:v>
      </x:c>
      <x:c r="K596" s="35" t="str"/>
      <x:c r="L596" s="31" t="str">
        <x:v>Finish with two objects in the bowl.</x:v>
      </x:c>
      <x:c r="M596" s="31" t="str">
        <x:v>Finish with two objects in the bowl.</x:v>
      </x:c>
      <x:c r="N596" s="31" t="str">
        <x:v>C-N01: bowl=[blue pen] (1); table left→right=[yellow block, green pencil sharpener, airplane toy without propellers]; robot home.</x:v>
      </x:c>
      <x:c r="O596" s="31" t="str"/>
      <x:c r="P596" s="31" t="str"/>
      <x:c r="Q596" s="31" t="str"/>
      <x:c r="R596" s="31" t="str"/>
      <x:c r="S596" s="31" t="str">
        <x:f>IF('Blind Scoring'!I596="","",'Blind Scoring'!I596)</x:f>
      </x:c>
      <x:c r="T596" s="31" t="str">
        <x:f>'Blind Scoring'!J596</x:f>
        <x:v>No</x:v>
      </x:c>
      <x:c r="U596" s="31" t="str">
        <x:f>IF('Blind Scoring'!L596="","",'Blind Scoring'!L596)</x:f>
      </x:c>
    </x:row>
    <x:row r="597" ht="44" customHeight="1">
      <x:c r="A597" s="35" t="str">
        <x:v>Not Started</x:v>
      </x:c>
      <x:c r="B597" s="35" t="n">
        <x:v>595</x:v>
      </x:c>
      <x:c r="C597" s="35" t="str">
        <x:v>P10</x:v>
      </x:c>
      <x:c r="D597" s="35" t="n">
        <x:v>38</x:v>
      </x:c>
      <x:c r="E597" s="35" t="str">
        <x:v>Primary VLA</x:v>
      </x:c>
      <x:c r="F597" s="35" t="str">
        <x:v>VLA-0</x:v>
      </x:c>
      <x:c r="G597" s="35" t="n">
        <x:v>2</x:v>
      </x:c>
      <x:c r="H597" s="35" t="str">
        <x:v>Counting</x:v>
      </x:c>
      <x:c r="I597" s="35" t="str">
        <x:v>Main held-out transfer</x:v>
      </x:c>
      <x:c r="J597" s="35" t="str">
        <x:v>PVLA-CT-TR-06</x:v>
      </x:c>
      <x:c r="K597" s="35" t="str">
        <x:v>C-CF04-B</x:v>
      </x:c>
      <x:c r="L597" s="31" t="str">
        <x:v>Leave exactly three objects in the bowl.</x:v>
      </x:c>
      <x:c r="M597" s="31" t="str">
        <x:v>Leave exactly three objects in the bowl.</x:v>
      </x:c>
      <x:c r="N597" s="31" t="str">
        <x:v>C-CF04B: bowl=[airplane toy without propellers, blue pen] (2); table=[yellow block, green pencil sharpener]; robot home; acceptable action=add either table object.</x:v>
      </x:c>
      <x:c r="O597" s="31" t="str">
        <x:v>ADD one table object</x:v>
      </x:c>
      <x:c r="P597" s="31" t="str"/>
      <x:c r="Q597" s="31" t="str"/>
      <x:c r="R597" s="31" t="str"/>
      <x:c r="S597" s="31" t="str">
        <x:f>IF('Blind Scoring'!I597="","",'Blind Scoring'!I597)</x:f>
      </x:c>
      <x:c r="T597" s="31" t="str">
        <x:f>'Blind Scoring'!J597</x:f>
        <x:v>No</x:v>
      </x:c>
      <x:c r="U597" s="31" t="str">
        <x:f>IF('Blind Scoring'!L597="","",'Blind Scoring'!L597)</x:f>
      </x:c>
    </x:row>
    <x:row r="598" ht="44" customHeight="1">
      <x:c r="A598" s="35" t="str">
        <x:v>Not Started</x:v>
      </x:c>
      <x:c r="B598" s="35" t="n">
        <x:v>596</x:v>
      </x:c>
      <x:c r="C598" s="35" t="str">
        <x:v>P10</x:v>
      </x:c>
      <x:c r="D598" s="35" t="n">
        <x:v>39</x:v>
      </x:c>
      <x:c r="E598" s="35" t="str">
        <x:v>Primary VLA</x:v>
      </x:c>
      <x:c r="F598" s="35" t="str">
        <x:v>VLA-0</x:v>
      </x:c>
      <x:c r="G598" s="35" t="n">
        <x:v>2</x:v>
      </x:c>
      <x:c r="H598" s="35" t="str">
        <x:v>Counting</x:v>
      </x:c>
      <x:c r="I598" s="35" t="str">
        <x:v>Language ablation — blank</x:v>
      </x:c>
      <x:c r="J598" s="35" t="str">
        <x:v>PVLA-CT-ABL-BLK-03</x:v>
      </x:c>
      <x:c r="K598" s="35" t="str">
        <x:v>C-CF03-A</x:v>
      </x:c>
      <x:c r="L598" s="31" t="str">
        <x:v>[EMPTY STRING — provide no instruction tokens]</x:v>
      </x:c>
      <x:c r="M598" s="31" t="str">
        <x:v>Leave exactly one object in the bowl.</x:v>
      </x:c>
      <x:c r="N598" s="31" t="str">
        <x:v>C-CF03A: bowl=[green pencil sharpener, airplane toy without propellers] (2); table=[blue pen, yellow block]; robot home; acceptable action=remove either bowl object.</x:v>
      </x:c>
      <x:c r="O598" s="31" t="str">
        <x:v>No prespecified task success under blank language; record any action/selected target.</x:v>
      </x:c>
      <x:c r="P598" s="31" t="str"/>
      <x:c r="Q598" s="31" t="str"/>
      <x:c r="R598" s="31" t="str"/>
      <x:c r="S598" s="31" t="str">
        <x:f>IF('Blind Scoring'!I598="","",'Blind Scoring'!I598)</x:f>
      </x:c>
      <x:c r="T598" s="31" t="str">
        <x:f>'Blind Scoring'!J598</x:f>
        <x:v>No</x:v>
      </x:c>
      <x:c r="U598" s="31" t="str">
        <x:f>IF('Blind Scoring'!L598="","",'Blind Scoring'!L598)</x:f>
      </x:c>
    </x:row>
    <x:row r="599" ht="44" customHeight="1">
      <x:c r="A599" s="35" t="str">
        <x:v>Not Started</x:v>
      </x:c>
      <x:c r="B599" s="35" t="n">
        <x:v>597</x:v>
      </x:c>
      <x:c r="C599" s="35" t="str">
        <x:v>P10</x:v>
      </x:c>
      <x:c r="D599" s="35" t="n">
        <x:v>40</x:v>
      </x:c>
      <x:c r="E599" s="35" t="str">
        <x:v>Primary VLA</x:v>
      </x:c>
      <x:c r="F599" s="35" t="str">
        <x:v>VLA-0</x:v>
      </x:c>
      <x:c r="G599" s="35" t="n">
        <x:v>2</x:v>
      </x:c>
      <x:c r="H599" s="35" t="str">
        <x:v>Counting</x:v>
      </x:c>
      <x:c r="I599" s="35" t="str">
        <x:v>Language ablation — blank</x:v>
      </x:c>
      <x:c r="J599" s="35" t="str">
        <x:v>PVLA-CT-ABL-BLK-01</x:v>
      </x:c>
      <x:c r="K599" s="35" t="str">
        <x:v>C-CF01-A</x:v>
      </x:c>
      <x:c r="L599" s="31" t="str">
        <x:v>[EMPTY STRING — provide no instruction tokens]</x:v>
      </x:c>
      <x:c r="M599" s="31" t="str">
        <x:v>Leave exactly one object in the bowl.</x:v>
      </x:c>
      <x:c r="N599" s="31" t="str">
        <x:v>C-CF01A: bowl=[blue pen, yellow block] (2); table=[green pencil sharpener, airplane toy without propellers]; robot home; acceptable action=remove either bowl object.</x:v>
      </x:c>
      <x:c r="O599" s="31" t="str">
        <x:v>No prespecified task success under blank language; record any action/selected target.</x:v>
      </x:c>
      <x:c r="P599" s="31" t="str"/>
      <x:c r="Q599" s="31" t="str"/>
      <x:c r="R599" s="31" t="str"/>
      <x:c r="S599" s="31" t="str">
        <x:f>IF('Blind Scoring'!I599="","",'Blind Scoring'!I599)</x:f>
      </x:c>
      <x:c r="T599" s="31" t="str">
        <x:f>'Blind Scoring'!J599</x:f>
        <x:v>No</x:v>
      </x:c>
      <x:c r="U599" s="31" t="str">
        <x:f>IF('Blind Scoring'!L599="","",'Blind Scoring'!L599)</x:f>
      </x:c>
    </x:row>
    <x:row r="600" ht="44" customHeight="1">
      <x:c r="A600" s="35" t="str">
        <x:v>Not Started</x:v>
      </x:c>
      <x:c r="B600" s="35" t="n">
        <x:v>598</x:v>
      </x:c>
      <x:c r="C600" s="35" t="str">
        <x:v>P10</x:v>
      </x:c>
      <x:c r="D600" s="35" t="n">
        <x:v>41</x:v>
      </x:c>
      <x:c r="E600" s="35" t="str">
        <x:v>Primary VLA</x:v>
      </x:c>
      <x:c r="F600" s="35" t="str">
        <x:v>VLA-0</x:v>
      </x:c>
      <x:c r="G600" s="35" t="n">
        <x:v>2</x:v>
      </x:c>
      <x:c r="H600" s="35" t="str">
        <x:v>Counting</x:v>
      </x:c>
      <x:c r="I600" s="35" t="str">
        <x:v>Language ablation — counterfactual</x:v>
      </x:c>
      <x:c r="J600" s="35" t="str">
        <x:v>PVLA-CT-ABL-CF-04</x:v>
      </x:c>
      <x:c r="K600" s="35" t="str">
        <x:v>C-CF06-B</x:v>
      </x:c>
      <x:c r="L600" s="31" t="str">
        <x:v>Leave exactly one object in the bowl.</x:v>
      </x:c>
      <x:c r="M600" s="31" t="str">
        <x:v>Leave exactly one object in the bowl.</x:v>
      </x:c>
      <x:c r="N600" s="31" t="str">
        <x:v>C-CF06B: bowl=[yellow block, green pencil sharpener] (2); table=[airplane toy without propellers, blue pen]; robot home; acceptable action=add either table object.</x:v>
      </x:c>
      <x:c r="O600" s="31" t="str">
        <x:v>REMOVE one bowl object</x:v>
      </x:c>
      <x:c r="P600" s="31" t="str"/>
      <x:c r="Q600" s="31" t="str"/>
      <x:c r="R600" s="31" t="str"/>
      <x:c r="S600" s="31" t="str">
        <x:f>IF('Blind Scoring'!I600="","",'Blind Scoring'!I600)</x:f>
      </x:c>
      <x:c r="T600" s="31" t="str">
        <x:f>'Blind Scoring'!J600</x:f>
        <x:v>No</x:v>
      </x:c>
      <x:c r="U600" s="31" t="str">
        <x:f>IF('Blind Scoring'!L600="","",'Blind Scoring'!L600)</x:f>
      </x:c>
    </x:row>
    <x:row r="601" ht="44" customHeight="1">
      <x:c r="A601" s="35" t="str">
        <x:v>Not Started</x:v>
      </x:c>
      <x:c r="B601" s="35" t="n">
        <x:v>599</x:v>
      </x:c>
      <x:c r="C601" s="35" t="str">
        <x:v>P10</x:v>
      </x:c>
      <x:c r="D601" s="35" t="n">
        <x:v>42</x:v>
      </x:c>
      <x:c r="E601" s="35" t="str">
        <x:v>Primary VLA</x:v>
      </x:c>
      <x:c r="F601" s="35" t="str">
        <x:v>VLA-0</x:v>
      </x:c>
      <x:c r="G601" s="35" t="n">
        <x:v>2</x:v>
      </x:c>
      <x:c r="H601" s="35" t="str">
        <x:v>Counting</x:v>
      </x:c>
      <x:c r="I601" s="35" t="str">
        <x:v>Novel layout + seen language</x:v>
      </x:c>
      <x:c r="J601" s="35" t="str">
        <x:v>PVLA-CT-NOV-05</x:v>
      </x:c>
      <x:c r="K601" s="35" t="str"/>
      <x:c r="L601" s="31" t="str">
        <x:v>Adjust the bowl so that it contains zero objects.</x:v>
      </x:c>
      <x:c r="M601" s="31" t="str">
        <x:v>Adjust the bowl so that it contains zero objects.</x:v>
      </x:c>
      <x:c r="N601" s="31" t="str">
        <x:v>C-N12: bowl=[yellow block] (1); table left→right=[green pencil sharpener, airplane toy without propellers, blue pen]; robot home.</x:v>
      </x:c>
      <x:c r="O601" s="31" t="str"/>
      <x:c r="P601" s="31" t="str"/>
      <x:c r="Q601" s="31" t="str"/>
      <x:c r="R601" s="31" t="str"/>
      <x:c r="S601" s="31" t="str">
        <x:f>IF('Blind Scoring'!I601="","",'Blind Scoring'!I601)</x:f>
      </x:c>
      <x:c r="T601" s="31" t="str">
        <x:f>'Blind Scoring'!J601</x:f>
        <x:v>No</x:v>
      </x:c>
      <x:c r="U601" s="31" t="str">
        <x:f>IF('Blind Scoring'!L601="","",'Blind Scoring'!L601)</x:f>
      </x:c>
    </x:row>
    <x:row r="602" ht="44" customHeight="1">
      <x:c r="A602" s="35" t="str">
        <x:v>Not Started</x:v>
      </x:c>
      <x:c r="B602" s="35" t="n">
        <x:v>600</x:v>
      </x:c>
      <x:c r="C602" s="35" t="str">
        <x:v>P10</x:v>
      </x:c>
      <x:c r="D602" s="35" t="n">
        <x:v>43</x:v>
      </x:c>
      <x:c r="E602" s="35" t="str">
        <x:v>Primary VLA</x:v>
      </x:c>
      <x:c r="F602" s="35" t="str">
        <x:v>VLA-0</x:v>
      </x:c>
      <x:c r="G602" s="35" t="n">
        <x:v>2</x:v>
      </x:c>
      <x:c r="H602" s="35" t="str">
        <x:v>Counting</x:v>
      </x:c>
      <x:c r="I602" s="35" t="str">
        <x:v>Main matched control</x:v>
      </x:c>
      <x:c r="J602" s="35" t="str">
        <x:v>PVLA-CT-CTL-10</x:v>
      </x:c>
      <x:c r="K602" s="35" t="str">
        <x:v>C-CF07-B</x:v>
      </x:c>
      <x:c r="L602" s="31" t="str">
        <x:v>Put the blue pen in the bowl.</x:v>
      </x:c>
      <x:c r="M602" s="31" t="str">
        <x:v>Put the blue pen in the bowl.</x:v>
      </x:c>
      <x:c r="N602" s="31" t="str">
        <x:v>C-CF07-CB: bowl=[green pencil sharpener, airplane toy without propellers] (2); table=[blue pen, yellow block]; robot home; acceptable action=add either table object.</x:v>
      </x:c>
      <x:c r="O602" s="31" t="str">
        <x:v>ADD blue pen</x:v>
      </x:c>
      <x:c r="P602" s="31" t="str"/>
      <x:c r="Q602" s="31" t="str"/>
      <x:c r="R602" s="31" t="str"/>
      <x:c r="S602" s="31" t="str">
        <x:f>IF('Blind Scoring'!I602="","",'Blind Scoring'!I602)</x:f>
      </x:c>
      <x:c r="T602" s="31" t="str">
        <x:f>'Blind Scoring'!J602</x:f>
        <x:v>No</x:v>
      </x:c>
      <x:c r="U602" s="31" t="str">
        <x:f>IF('Blind Scoring'!L602="","",'Blind Scoring'!L602)</x:f>
      </x:c>
    </x:row>
    <x:row r="603" ht="44" customHeight="1">
      <x:c r="A603" s="35" t="str">
        <x:v>Not Started</x:v>
      </x:c>
      <x:c r="B603" s="35" t="n">
        <x:v>601</x:v>
      </x:c>
      <x:c r="C603" s="35" t="str">
        <x:v>P10</x:v>
      </x:c>
      <x:c r="D603" s="35" t="n">
        <x:v>44</x:v>
      </x:c>
      <x:c r="E603" s="35" t="str">
        <x:v>Primary VLA</x:v>
      </x:c>
      <x:c r="F603" s="35" t="str">
        <x:v>VLA-0</x:v>
      </x:c>
      <x:c r="G603" s="35" t="n">
        <x:v>2</x:v>
      </x:c>
      <x:c r="H603" s="35" t="str">
        <x:v>Counting</x:v>
      </x:c>
      <x:c r="I603" s="35" t="str">
        <x:v>Novel layout + seen language</x:v>
      </x:c>
      <x:c r="J603" s="35" t="str">
        <x:v>PVLA-CT-NOV-08</x:v>
      </x:c>
      <x:c r="K603" s="35" t="str"/>
      <x:c r="L603" s="31" t="str">
        <x:v>Make the bowl contain exactly zero objects.</x:v>
      </x:c>
      <x:c r="M603" s="31" t="str">
        <x:v>Make the bowl contain exactly zero objects.</x:v>
      </x:c>
      <x:c r="N603" s="31" t="str">
        <x:v>C-N20: bowl=[yellow block] (1); table left→right=[green pencil sharpener, airplane toy without propellers, blue pen]; robot home.</x:v>
      </x:c>
      <x:c r="O603" s="31" t="str"/>
      <x:c r="P603" s="31" t="str"/>
      <x:c r="Q603" s="31" t="str"/>
      <x:c r="R603" s="31" t="str"/>
      <x:c r="S603" s="31" t="str">
        <x:f>IF('Blind Scoring'!I603="","",'Blind Scoring'!I603)</x:f>
      </x:c>
      <x:c r="T603" s="31" t="str">
        <x:f>'Blind Scoring'!J603</x:f>
        <x:v>No</x:v>
      </x:c>
      <x:c r="U603" s="31" t="str">
        <x:f>IF('Blind Scoring'!L603="","",'Blind Scoring'!L603)</x:f>
      </x:c>
    </x:row>
    <x:row r="604" ht="44" customHeight="1">
      <x:c r="A604" s="35" t="str">
        <x:v>Not Started</x:v>
      </x:c>
      <x:c r="B604" s="35" t="n">
        <x:v>602</x:v>
      </x:c>
      <x:c r="C604" s="35" t="str">
        <x:v>P10</x:v>
      </x:c>
      <x:c r="D604" s="35" t="n">
        <x:v>45</x:v>
      </x:c>
      <x:c r="E604" s="35" t="str">
        <x:v>Primary VLA</x:v>
      </x:c>
      <x:c r="F604" s="35" t="str">
        <x:v>VLA-0</x:v>
      </x:c>
      <x:c r="G604" s="35" t="n">
        <x:v>2</x:v>
      </x:c>
      <x:c r="H604" s="35" t="str">
        <x:v>Counting</x:v>
      </x:c>
      <x:c r="I604" s="35" t="str">
        <x:v>Main held-out transfer</x:v>
      </x:c>
      <x:c r="J604" s="35" t="str">
        <x:v>PVLA-CT-TR-02</x:v>
      </x:c>
      <x:c r="K604" s="35" t="str">
        <x:v>C-CF01-B</x:v>
      </x:c>
      <x:c r="L604" s="31" t="str">
        <x:v>Leave exactly three objects in the bowl.</x:v>
      </x:c>
      <x:c r="M604" s="31" t="str">
        <x:v>Leave exactly three objects in the bowl.</x:v>
      </x:c>
      <x:c r="N604" s="31" t="str">
        <x:v>C-CF01B: bowl=[blue pen, yellow block] (2); table=[green pencil sharpener, airplane toy without propellers]; robot home; acceptable action=add either table object.</x:v>
      </x:c>
      <x:c r="O604" s="31" t="str">
        <x:v>ADD one table object</x:v>
      </x:c>
      <x:c r="P604" s="31" t="str"/>
      <x:c r="Q604" s="31" t="str"/>
      <x:c r="R604" s="31" t="str"/>
      <x:c r="S604" s="31" t="str">
        <x:f>IF('Blind Scoring'!I604="","",'Blind Scoring'!I604)</x:f>
      </x:c>
      <x:c r="T604" s="31" t="str">
        <x:f>'Blind Scoring'!J604</x:f>
        <x:v>No</x:v>
      </x:c>
      <x:c r="U604" s="31" t="str">
        <x:f>IF('Blind Scoring'!L604="","",'Blind Scoring'!L604)</x:f>
      </x:c>
    </x:row>
    <x:row r="605" ht="44" customHeight="1">
      <x:c r="A605" s="35" t="str">
        <x:v>Not Started</x:v>
      </x:c>
      <x:c r="B605" s="35" t="n">
        <x:v>603</x:v>
      </x:c>
      <x:c r="C605" s="35" t="str">
        <x:v>P10</x:v>
      </x:c>
      <x:c r="D605" s="35" t="n">
        <x:v>46</x:v>
      </x:c>
      <x:c r="E605" s="35" t="str">
        <x:v>Primary VLA</x:v>
      </x:c>
      <x:c r="F605" s="35" t="str">
        <x:v>VLA-0</x:v>
      </x:c>
      <x:c r="G605" s="35" t="n">
        <x:v>2</x:v>
      </x:c>
      <x:c r="H605" s="35" t="str">
        <x:v>Counting</x:v>
      </x:c>
      <x:c r="I605" s="35" t="str">
        <x:v>Main held-out transfer</x:v>
      </x:c>
      <x:c r="J605" s="35" t="str">
        <x:v>PVLA-CT-TR-04</x:v>
      </x:c>
      <x:c r="K605" s="35" t="str">
        <x:v>C-CF03-B</x:v>
      </x:c>
      <x:c r="L605" s="31" t="str">
        <x:v>Leave exactly three objects in the bowl.</x:v>
      </x:c>
      <x:c r="M605" s="31" t="str">
        <x:v>Leave exactly three objects in the bowl.</x:v>
      </x:c>
      <x:c r="N605" s="31" t="str">
        <x:v>C-CF03B: bowl=[green pencil sharpener, airplane toy without propellers] (2); table=[blue pen, yellow block]; robot home; acceptable action=add either table object.</x:v>
      </x:c>
      <x:c r="O605" s="31" t="str">
        <x:v>ADD one table object</x:v>
      </x:c>
      <x:c r="P605" s="31" t="str"/>
      <x:c r="Q605" s="31" t="str"/>
      <x:c r="R605" s="31" t="str"/>
      <x:c r="S605" s="31" t="str">
        <x:f>IF('Blind Scoring'!I605="","",'Blind Scoring'!I605)</x:f>
      </x:c>
      <x:c r="T605" s="31" t="str">
        <x:f>'Blind Scoring'!J605</x:f>
        <x:v>No</x:v>
      </x:c>
      <x:c r="U605" s="31" t="str">
        <x:f>IF('Blind Scoring'!L605="","",'Blind Scoring'!L605)</x:f>
      </x:c>
    </x:row>
    <x:row r="606" ht="44" customHeight="1">
      <x:c r="A606" s="35" t="str">
        <x:v>Not Started</x:v>
      </x:c>
      <x:c r="B606" s="35" t="n">
        <x:v>604</x:v>
      </x:c>
      <x:c r="C606" s="35" t="str">
        <x:v>P10</x:v>
      </x:c>
      <x:c r="D606" s="35" t="n">
        <x:v>47</x:v>
      </x:c>
      <x:c r="E606" s="35" t="str">
        <x:v>Primary VLA</x:v>
      </x:c>
      <x:c r="F606" s="35" t="str">
        <x:v>VLA-0</x:v>
      </x:c>
      <x:c r="G606" s="35" t="n">
        <x:v>2</x:v>
      </x:c>
      <x:c r="H606" s="35" t="str">
        <x:v>Counting</x:v>
      </x:c>
      <x:c r="I606" s="35" t="str">
        <x:v>Main matched control</x:v>
      </x:c>
      <x:c r="J606" s="35" t="str">
        <x:v>PVLA-CT-CTL-15</x:v>
      </x:c>
      <x:c r="K606" s="35" t="str">
        <x:v>C-CF12-A</x:v>
      </x:c>
      <x:c r="L606" s="31" t="str">
        <x:v>Remove the airplane toy without propellers from the bowl.</x:v>
      </x:c>
      <x:c r="M606" s="31" t="str">
        <x:v>Remove the airplane toy without propellers from the bowl.</x:v>
      </x:c>
      <x:c r="N606" s="31" t="str">
        <x:v>C-CF12-CA: bowl=[airplane toy without propellers, blue pen] (2); table=[yellow block, green pencil sharpener]; robot home; acceptable action=remove either bowl object.</x:v>
      </x:c>
      <x:c r="O606" s="31" t="str">
        <x:v>REMOVE airplane toy without propellers</x:v>
      </x:c>
      <x:c r="P606" s="31" t="str"/>
      <x:c r="Q606" s="31" t="str"/>
      <x:c r="R606" s="31" t="str"/>
      <x:c r="S606" s="31" t="str">
        <x:f>IF('Blind Scoring'!I606="","",'Blind Scoring'!I606)</x:f>
      </x:c>
      <x:c r="T606" s="31" t="str">
        <x:f>'Blind Scoring'!J606</x:f>
        <x:v>No</x:v>
      </x:c>
      <x:c r="U606" s="31" t="str">
        <x:f>IF('Blind Scoring'!L606="","",'Blind Scoring'!L606)</x:f>
      </x:c>
    </x:row>
    <x:row r="607" ht="44" customHeight="1">
      <x:c r="A607" s="35" t="str">
        <x:v>Not Started</x:v>
      </x:c>
      <x:c r="B607" s="35" t="n">
        <x:v>605</x:v>
      </x:c>
      <x:c r="C607" s="35" t="str">
        <x:v>P10</x:v>
      </x:c>
      <x:c r="D607" s="35" t="n">
        <x:v>48</x:v>
      </x:c>
      <x:c r="E607" s="35" t="str">
        <x:v>Primary VLA</x:v>
      </x:c>
      <x:c r="F607" s="35" t="str">
        <x:v>VLA-0</x:v>
      </x:c>
      <x:c r="G607" s="35" t="n">
        <x:v>2</x:v>
      </x:c>
      <x:c r="H607" s="35" t="str">
        <x:v>Counting</x:v>
      </x:c>
      <x:c r="I607" s="35" t="str">
        <x:v>Training reconstruction</x:v>
      </x:c>
      <x:c r="J607" s="35" t="str">
        <x:v>PVLA-CT-REC-01</x:v>
      </x:c>
      <x:c r="K607" s="35" t="str"/>
      <x:c r="L607" s="31" t="str">
        <x:v>Move the blue pen into the bowl.</x:v>
      </x:c>
      <x:c r="M607" s="31" t="str">
        <x:v>Move the blue pen into the bowl.</x:v>
      </x:c>
      <x:c r="N607" s="31" t="str">
        <x:v>Reconstruct planned final training episode 800: blue pen, yellow block, green pencil sharpener, airplane toy without propellers; start=Home. Match camera, calibration, bowl pose, and object geometry exactly.</x:v>
      </x:c>
      <x:c r="O607" s="31" t="str">
        <x:v>blue pen</x:v>
      </x:c>
      <x:c r="P607" s="31" t="str"/>
      <x:c r="Q607" s="31" t="str"/>
      <x:c r="R607" s="31" t="str"/>
      <x:c r="S607" s="31" t="str">
        <x:f>IF('Blind Scoring'!I607="","",'Blind Scoring'!I607)</x:f>
      </x:c>
      <x:c r="T607" s="31" t="str">
        <x:f>'Blind Scoring'!J607</x:f>
        <x:v>No</x:v>
      </x:c>
      <x:c r="U607" s="31" t="str">
        <x:f>IF('Blind Scoring'!L607="","",'Blind Scoring'!L607)</x:f>
      </x:c>
    </x:row>
    <x:row r="608" ht="44" customHeight="1">
      <x:c r="A608" s="35" t="str">
        <x:v>Not Started</x:v>
      </x:c>
      <x:c r="B608" s="35" t="n">
        <x:v>606</x:v>
      </x:c>
      <x:c r="C608" s="35" t="str">
        <x:v>P10</x:v>
      </x:c>
      <x:c r="D608" s="35" t="n">
        <x:v>49</x:v>
      </x:c>
      <x:c r="E608" s="35" t="str">
        <x:v>Primary VLA</x:v>
      </x:c>
      <x:c r="F608" s="35" t="str">
        <x:v>VLA-0</x:v>
      </x:c>
      <x:c r="G608" s="35" t="n">
        <x:v>2</x:v>
      </x:c>
      <x:c r="H608" s="35" t="str">
        <x:v>Counting</x:v>
      </x:c>
      <x:c r="I608" s="35" t="str">
        <x:v>Language ablation — counterfactual</x:v>
      </x:c>
      <x:c r="J608" s="35" t="str">
        <x:v>PVLA-CT-ABL-CF-01</x:v>
      </x:c>
      <x:c r="K608" s="35" t="str">
        <x:v>C-CF04-A</x:v>
      </x:c>
      <x:c r="L608" s="31" t="str">
        <x:v>Leave exactly three objects in the bowl.</x:v>
      </x:c>
      <x:c r="M608" s="31" t="str">
        <x:v>Leave exactly three objects in the bowl.</x:v>
      </x:c>
      <x:c r="N608" s="31" t="str">
        <x:v>C-CF04A: bowl=[airplane toy without propellers, blue pen] (2); table=[yellow block, green pencil sharpener]; robot home; acceptable action=remove either bowl object.</x:v>
      </x:c>
      <x:c r="O608" s="31" t="str">
        <x:v>ADD one table object</x:v>
      </x:c>
      <x:c r="P608" s="31" t="str"/>
      <x:c r="Q608" s="31" t="str"/>
      <x:c r="R608" s="31" t="str"/>
      <x:c r="S608" s="31" t="str">
        <x:f>IF('Blind Scoring'!I608="","",'Blind Scoring'!I608)</x:f>
      </x:c>
      <x:c r="T608" s="31" t="str">
        <x:f>'Blind Scoring'!J608</x:f>
        <x:v>No</x:v>
      </x:c>
      <x:c r="U608" s="31" t="str">
        <x:f>IF('Blind Scoring'!L608="","",'Blind Scoring'!L608)</x:f>
      </x:c>
    </x:row>
    <x:row r="609" ht="44" customHeight="1">
      <x:c r="A609" s="35" t="str">
        <x:v>Not Started</x:v>
      </x:c>
      <x:c r="B609" s="35" t="n">
        <x:v>607</x:v>
      </x:c>
      <x:c r="C609" s="35" t="str">
        <x:v>P10</x:v>
      </x:c>
      <x:c r="D609" s="35" t="n">
        <x:v>50</x:v>
      </x:c>
      <x:c r="E609" s="35" t="str">
        <x:v>Primary VLA</x:v>
      </x:c>
      <x:c r="F609" s="35" t="str">
        <x:v>VLA-0</x:v>
      </x:c>
      <x:c r="G609" s="35" t="n">
        <x:v>2</x:v>
      </x:c>
      <x:c r="H609" s="35" t="str">
        <x:v>Counting</x:v>
      </x:c>
      <x:c r="I609" s="35" t="str">
        <x:v>Main held-out transfer</x:v>
      </x:c>
      <x:c r="J609" s="35" t="str">
        <x:v>PVLA-CT-TR-01</x:v>
      </x:c>
      <x:c r="K609" s="35" t="str">
        <x:v>C-CF01-A</x:v>
      </x:c>
      <x:c r="L609" s="31" t="str">
        <x:v>Leave exactly one object in the bowl.</x:v>
      </x:c>
      <x:c r="M609" s="31" t="str">
        <x:v>Leave exactly one object in the bowl.</x:v>
      </x:c>
      <x:c r="N609" s="31" t="str">
        <x:v>C-CF01A: bowl=[blue pen, yellow block] (2); table=[green pencil sharpener, airplane toy without propellers]; robot home; acceptable action=remove either bowl object.</x:v>
      </x:c>
      <x:c r="O609" s="31" t="str">
        <x:v>REMOVE one bowl object</x:v>
      </x:c>
      <x:c r="P609" s="31" t="str"/>
      <x:c r="Q609" s="31" t="str"/>
      <x:c r="R609" s="31" t="str"/>
      <x:c r="S609" s="31" t="str">
        <x:f>IF('Blind Scoring'!I609="","",'Blind Scoring'!I609)</x:f>
      </x:c>
      <x:c r="T609" s="31" t="str">
        <x:f>'Blind Scoring'!J609</x:f>
        <x:v>No</x:v>
      </x:c>
      <x:c r="U609" s="31" t="str">
        <x:f>IF('Blind Scoring'!L609="","",'Blind Scoring'!L609)</x:f>
      </x:c>
    </x:row>
    <x:row r="610" ht="44" customHeight="1">
      <x:c r="A610" s="35" t="str">
        <x:v>Not Started</x:v>
      </x:c>
      <x:c r="B610" s="35" t="n">
        <x:v>608</x:v>
      </x:c>
      <x:c r="C610" s="35" t="str">
        <x:v>P10</x:v>
      </x:c>
      <x:c r="D610" s="35" t="n">
        <x:v>51</x:v>
      </x:c>
      <x:c r="E610" s="35" t="str">
        <x:v>Primary VLA</x:v>
      </x:c>
      <x:c r="F610" s="35" t="str">
        <x:v>VLA-0</x:v>
      </x:c>
      <x:c r="G610" s="35" t="n">
        <x:v>2</x:v>
      </x:c>
      <x:c r="H610" s="35" t="str">
        <x:v>Counting</x:v>
      </x:c>
      <x:c r="I610" s="35" t="str">
        <x:v>Main held-out transfer</x:v>
      </x:c>
      <x:c r="J610" s="35" t="str">
        <x:v>PVLA-CT-TR-09</x:v>
      </x:c>
      <x:c r="K610" s="35" t="str">
        <x:v>C-CF07-A</x:v>
      </x:c>
      <x:c r="L610" s="31" t="str">
        <x:v>Leave exactly one object in the bowl.</x:v>
      </x:c>
      <x:c r="M610" s="31" t="str">
        <x:v>Leave exactly one object in the bowl.</x:v>
      </x:c>
      <x:c r="N610" s="31" t="str">
        <x:v>C-CF07A: bowl=[green pencil sharpener, airplane toy without propellers] (2); table=[blue pen, yellow block]; robot home; acceptable action=remove either bowl object.</x:v>
      </x:c>
      <x:c r="O610" s="31" t="str">
        <x:v>REMOVE one bowl object</x:v>
      </x:c>
      <x:c r="P610" s="31" t="str"/>
      <x:c r="Q610" s="31" t="str"/>
      <x:c r="R610" s="31" t="str"/>
      <x:c r="S610" s="31" t="str">
        <x:f>IF('Blind Scoring'!I610="","",'Blind Scoring'!I610)</x:f>
      </x:c>
      <x:c r="T610" s="31" t="str">
        <x:f>'Blind Scoring'!J610</x:f>
        <x:v>No</x:v>
      </x:c>
      <x:c r="U610" s="31" t="str">
        <x:f>IF('Blind Scoring'!L610="","",'Blind Scoring'!L610)</x:f>
      </x:c>
    </x:row>
    <x:row r="611" ht="44" customHeight="1">
      <x:c r="A611" s="35" t="str">
        <x:v>Not Started</x:v>
      </x:c>
      <x:c r="B611" s="35" t="n">
        <x:v>609</x:v>
      </x:c>
      <x:c r="C611" s="35" t="str">
        <x:v>P10</x:v>
      </x:c>
      <x:c r="D611" s="35" t="n">
        <x:v>52</x:v>
      </x:c>
      <x:c r="E611" s="35" t="str">
        <x:v>Primary VLA</x:v>
      </x:c>
      <x:c r="F611" s="35" t="str">
        <x:v>VLA-0</x:v>
      </x:c>
      <x:c r="G611" s="35" t="n">
        <x:v>2</x:v>
      </x:c>
      <x:c r="H611" s="35" t="str">
        <x:v>Counting</x:v>
      </x:c>
      <x:c r="I611" s="35" t="str">
        <x:v>Exact-scene paraphrase</x:v>
      </x:c>
      <x:c r="J611" s="35" t="str">
        <x:v>PVLA-CT-PAR-03</x:v>
      </x:c>
      <x:c r="K611" s="35" t="str"/>
      <x:c r="L611" s="31" t="str">
        <x:v>Finish with two objects in the bowl.</x:v>
      </x:c>
      <x:c r="M611" s="31" t="str">
        <x:v>Finish with two objects in the bowl.</x:v>
      </x:c>
      <x:c r="N611" s="31" t="str">
        <x:v>C-N01: bowl=[blue pen] (1); table left→right=[yellow block, green pencil sharpener, airplane toy without propellers]; robot home.</x:v>
      </x:c>
      <x:c r="O611" s="31" t="str"/>
      <x:c r="P611" s="31" t="str"/>
      <x:c r="Q611" s="31" t="str"/>
      <x:c r="R611" s="31" t="str"/>
      <x:c r="S611" s="31" t="str">
        <x:f>IF('Blind Scoring'!I611="","",'Blind Scoring'!I611)</x:f>
      </x:c>
      <x:c r="T611" s="31" t="str">
        <x:f>'Blind Scoring'!J611</x:f>
        <x:v>No</x:v>
      </x:c>
      <x:c r="U611" s="31" t="str">
        <x:f>IF('Blind Scoring'!L611="","",'Blind Scoring'!L611)</x:f>
      </x:c>
    </x:row>
    <x:row r="612" ht="44" customHeight="1">
      <x:c r="A612" s="35" t="str">
        <x:v>Not Started</x:v>
      </x:c>
      <x:c r="B612" s="35" t="n">
        <x:v>610</x:v>
      </x:c>
      <x:c r="C612" s="35" t="str">
        <x:v>P10</x:v>
      </x:c>
      <x:c r="D612" s="35" t="n">
        <x:v>53</x:v>
      </x:c>
      <x:c r="E612" s="35" t="str">
        <x:v>Primary VLA</x:v>
      </x:c>
      <x:c r="F612" s="35" t="str">
        <x:v>VLA-0</x:v>
      </x:c>
      <x:c r="G612" s="35" t="n">
        <x:v>2</x:v>
      </x:c>
      <x:c r="H612" s="35" t="str">
        <x:v>Counting</x:v>
      </x:c>
      <x:c r="I612" s="35" t="str">
        <x:v>Main held-out transfer</x:v>
      </x:c>
      <x:c r="J612" s="35" t="str">
        <x:v>PVLA-CT-TR-07</x:v>
      </x:c>
      <x:c r="K612" s="35" t="str">
        <x:v>C-CF06-A</x:v>
      </x:c>
      <x:c r="L612" s="31" t="str">
        <x:v>Leave exactly one object in the bowl.</x:v>
      </x:c>
      <x:c r="M612" s="31" t="str">
        <x:v>Leave exactly one object in the bowl.</x:v>
      </x:c>
      <x:c r="N612" s="31" t="str">
        <x:v>C-CF06A: bowl=[yellow block, green pencil sharpener] (2); table=[airplane toy without propellers, blue pen]; robot home; acceptable action=remove either bowl object.</x:v>
      </x:c>
      <x:c r="O612" s="31" t="str">
        <x:v>REMOVE one bowl object</x:v>
      </x:c>
      <x:c r="P612" s="31" t="str"/>
      <x:c r="Q612" s="31" t="str"/>
      <x:c r="R612" s="31" t="str"/>
      <x:c r="S612" s="31" t="str">
        <x:f>IF('Blind Scoring'!I612="","",'Blind Scoring'!I612)</x:f>
      </x:c>
      <x:c r="T612" s="31" t="str">
        <x:f>'Blind Scoring'!J612</x:f>
        <x:v>No</x:v>
      </x:c>
      <x:c r="U612" s="31" t="str">
        <x:f>IF('Blind Scoring'!L612="","",'Blind Scoring'!L612)</x:f>
      </x:c>
    </x:row>
    <x:row r="613" ht="44" customHeight="1">
      <x:c r="A613" s="35" t="str">
        <x:v>Not Started</x:v>
      </x:c>
      <x:c r="B613" s="35" t="n">
        <x:v>611</x:v>
      </x:c>
      <x:c r="C613" s="35" t="str">
        <x:v>P10</x:v>
      </x:c>
      <x:c r="D613" s="35" t="n">
        <x:v>54</x:v>
      </x:c>
      <x:c r="E613" s="35" t="str">
        <x:v>Primary VLA</x:v>
      </x:c>
      <x:c r="F613" s="35" t="str">
        <x:v>VLA-0</x:v>
      </x:c>
      <x:c r="G613" s="35" t="n">
        <x:v>2</x:v>
      </x:c>
      <x:c r="H613" s="35" t="str">
        <x:v>Counting</x:v>
      </x:c>
      <x:c r="I613" s="35" t="str">
        <x:v>Exact-scene paraphrase</x:v>
      </x:c>
      <x:c r="J613" s="35" t="str">
        <x:v>PVLA-CT-PAR-08</x:v>
      </x:c>
      <x:c r="K613" s="35" t="str"/>
      <x:c r="L613" s="31" t="str">
        <x:v>Finish with two objects in the bowl.</x:v>
      </x:c>
      <x:c r="M613" s="31" t="str">
        <x:v>Finish with two objects in the bowl.</x:v>
      </x:c>
      <x:c r="N613" s="31" t="str">
        <x:v>C-N01: bowl=[blue pen] (1); table left→right=[yellow block, green pencil sharpener, airplane toy without propellers]; robot home.</x:v>
      </x:c>
      <x:c r="O613" s="31" t="str"/>
      <x:c r="P613" s="31" t="str"/>
      <x:c r="Q613" s="31" t="str"/>
      <x:c r="R613" s="31" t="str"/>
      <x:c r="S613" s="31" t="str">
        <x:f>IF('Blind Scoring'!I613="","",'Blind Scoring'!I613)</x:f>
      </x:c>
      <x:c r="T613" s="31" t="str">
        <x:f>'Blind Scoring'!J613</x:f>
        <x:v>No</x:v>
      </x:c>
      <x:c r="U613" s="31" t="str">
        <x:f>IF('Blind Scoring'!L613="","",'Blind Scoring'!L613)</x:f>
      </x:c>
    </x:row>
    <x:row r="614" ht="44" customHeight="1">
      <x:c r="A614" s="35" t="str">
        <x:v>Not Started</x:v>
      </x:c>
      <x:c r="B614" s="35" t="n">
        <x:v>612</x:v>
      </x:c>
      <x:c r="C614" s="35" t="str">
        <x:v>P10</x:v>
      </x:c>
      <x:c r="D614" s="35" t="n">
        <x:v>55</x:v>
      </x:c>
      <x:c r="E614" s="35" t="str">
        <x:v>Primary VLA</x:v>
      </x:c>
      <x:c r="F614" s="35" t="str">
        <x:v>VLA-0</x:v>
      </x:c>
      <x:c r="G614" s="35" t="n">
        <x:v>2</x:v>
      </x:c>
      <x:c r="H614" s="35" t="str">
        <x:v>Counting</x:v>
      </x:c>
      <x:c r="I614" s="35" t="str">
        <x:v>Exact-scene paraphrase</x:v>
      </x:c>
      <x:c r="J614" s="35" t="str">
        <x:v>PVLA-CT-PAR-02</x:v>
      </x:c>
      <x:c r="K614" s="35" t="str"/>
      <x:c r="L614" s="31" t="str">
        <x:v>Finish with two objects in the bowl.</x:v>
      </x:c>
      <x:c r="M614" s="31" t="str">
        <x:v>Finish with two objects in the bowl.</x:v>
      </x:c>
      <x:c r="N614" s="31" t="str">
        <x:v>C-N01: bowl=[blue pen] (1); table left→right=[yellow block, green pencil sharpener, airplane toy without propellers]; robot home.</x:v>
      </x:c>
      <x:c r="O614" s="31" t="str"/>
      <x:c r="P614" s="31" t="str"/>
      <x:c r="Q614" s="31" t="str"/>
      <x:c r="R614" s="31" t="str"/>
      <x:c r="S614" s="31" t="str">
        <x:f>IF('Blind Scoring'!I614="","",'Blind Scoring'!I614)</x:f>
      </x:c>
      <x:c r="T614" s="31" t="str">
        <x:f>'Blind Scoring'!J614</x:f>
        <x:v>No</x:v>
      </x:c>
      <x:c r="U614" s="31" t="str">
        <x:f>IF('Blind Scoring'!L614="","",'Blind Scoring'!L614)</x:f>
      </x:c>
    </x:row>
    <x:row r="615" ht="44" customHeight="1">
      <x:c r="A615" s="35" t="str">
        <x:v>Not Started</x:v>
      </x:c>
      <x:c r="B615" s="35" t="n">
        <x:v>613</x:v>
      </x:c>
      <x:c r="C615" s="35" t="str">
        <x:v>P10</x:v>
      </x:c>
      <x:c r="D615" s="35" t="n">
        <x:v>56</x:v>
      </x:c>
      <x:c r="E615" s="35" t="str">
        <x:v>Primary VLA</x:v>
      </x:c>
      <x:c r="F615" s="35" t="str">
        <x:v>VLA-0</x:v>
      </x:c>
      <x:c r="G615" s="35" t="n">
        <x:v>2</x:v>
      </x:c>
      <x:c r="H615" s="35" t="str">
        <x:v>Counting</x:v>
      </x:c>
      <x:c r="I615" s="35" t="str">
        <x:v>Main held-out transfer</x:v>
      </x:c>
      <x:c r="J615" s="35" t="str">
        <x:v>PVLA-CT-TR-15</x:v>
      </x:c>
      <x:c r="K615" s="35" t="str">
        <x:v>C-CF12-A</x:v>
      </x:c>
      <x:c r="L615" s="31" t="str">
        <x:v>Leave exactly one object in the bowl.</x:v>
      </x:c>
      <x:c r="M615" s="31" t="str">
        <x:v>Leave exactly one object in the bowl.</x:v>
      </x:c>
      <x:c r="N615" s="31" t="str">
        <x:v>C-CF12A: bowl=[airplane toy without propellers, blue pen] (2); table=[yellow block, green pencil sharpener]; robot home; acceptable action=remove either bowl object.</x:v>
      </x:c>
      <x:c r="O615" s="31" t="str">
        <x:v>REMOVE one bowl object</x:v>
      </x:c>
      <x:c r="P615" s="31" t="str"/>
      <x:c r="Q615" s="31" t="str"/>
      <x:c r="R615" s="31" t="str"/>
      <x:c r="S615" s="31" t="str">
        <x:f>IF('Blind Scoring'!I615="","",'Blind Scoring'!I615)</x:f>
      </x:c>
      <x:c r="T615" s="31" t="str">
        <x:f>'Blind Scoring'!J615</x:f>
        <x:v>No</x:v>
      </x:c>
      <x:c r="U615" s="31" t="str">
        <x:f>IF('Blind Scoring'!L615="","",'Blind Scoring'!L615)</x:f>
      </x:c>
    </x:row>
    <x:row r="616" ht="44" customHeight="1">
      <x:c r="A616" s="35" t="str">
        <x:v>Not Started</x:v>
      </x:c>
      <x:c r="B616" s="35" t="n">
        <x:v>614</x:v>
      </x:c>
      <x:c r="C616" s="35" t="str">
        <x:v>P10</x:v>
      </x:c>
      <x:c r="D616" s="35" t="n">
        <x:v>57</x:v>
      </x:c>
      <x:c r="E616" s="35" t="str">
        <x:v>Primary VLA</x:v>
      </x:c>
      <x:c r="F616" s="35" t="str">
        <x:v>VLA-0</x:v>
      </x:c>
      <x:c r="G616" s="35" t="n">
        <x:v>2</x:v>
      </x:c>
      <x:c r="H616" s="35" t="str">
        <x:v>Counting</x:v>
      </x:c>
      <x:c r="I616" s="35" t="str">
        <x:v>Training reconstruction</x:v>
      </x:c>
      <x:c r="J616" s="35" t="str">
        <x:v>PVLA-CT-REC-04</x:v>
      </x:c>
      <x:c r="K616" s="35" t="str"/>
      <x:c r="L616" s="31" t="str">
        <x:v>Leave exactly two objects in the bowl.</x:v>
      </x:c>
      <x:c r="M616" s="31" t="str">
        <x:v>Leave exactly two objects in the bowl.</x:v>
      </x:c>
      <x:c r="N616" s="31" t="str">
        <x:v>Reconstruct planned final training episode 861: green pencil sharpener, yellow block, airplane toy without propellers, blue pen; start=Post-Drop. Match camera, calibration, bowl pose, and object geometry exactly.</x:v>
      </x:c>
      <x:c r="O616" s="31" t="str">
        <x:v>yellow block</x:v>
      </x:c>
      <x:c r="P616" s="31" t="str"/>
      <x:c r="Q616" s="31" t="str"/>
      <x:c r="R616" s="31" t="str"/>
      <x:c r="S616" s="31" t="str">
        <x:f>IF('Blind Scoring'!I616="","",'Blind Scoring'!I616)</x:f>
      </x:c>
      <x:c r="T616" s="31" t="str">
        <x:f>'Blind Scoring'!J616</x:f>
        <x:v>No</x:v>
      </x:c>
      <x:c r="U616" s="31" t="str">
        <x:f>IF('Blind Scoring'!L616="","",'Blind Scoring'!L616)</x:f>
      </x:c>
    </x:row>
    <x:row r="617" ht="44" customHeight="1">
      <x:c r="A617" s="35" t="str">
        <x:v>Not Started</x:v>
      </x:c>
      <x:c r="B617" s="35" t="n">
        <x:v>615</x:v>
      </x:c>
      <x:c r="C617" s="35" t="str">
        <x:v>P10</x:v>
      </x:c>
      <x:c r="D617" s="35" t="n">
        <x:v>58</x:v>
      </x:c>
      <x:c r="E617" s="35" t="str">
        <x:v>Primary VLA</x:v>
      </x:c>
      <x:c r="F617" s="35" t="str">
        <x:v>VLA-0</x:v>
      </x:c>
      <x:c r="G617" s="35" t="n">
        <x:v>2</x:v>
      </x:c>
      <x:c r="H617" s="35" t="str">
        <x:v>Counting</x:v>
      </x:c>
      <x:c r="I617" s="35" t="str">
        <x:v>Training reconstruction</x:v>
      </x:c>
      <x:c r="J617" s="35" t="str">
        <x:v>PVLA-CT-REC-05</x:v>
      </x:c>
      <x:c r="K617" s="35" t="str"/>
      <x:c r="L617" s="31" t="str">
        <x:v>Remove the yellow block from the bowl.</x:v>
      </x:c>
      <x:c r="M617" s="31" t="str">
        <x:v>Remove the yellow block from the bowl.</x:v>
      </x:c>
      <x:c r="N617" s="31" t="str">
        <x:v>Reconstruct planned final training episode 896: yellow block, green pencil sharpener, airplane toy without propellers, blue pen; start=Post-Drop. Match camera, calibration, bowl pose, and object geometry exactly.</x:v>
      </x:c>
      <x:c r="O617" s="31" t="str">
        <x:v>yellow block</x:v>
      </x:c>
      <x:c r="P617" s="31" t="str"/>
      <x:c r="Q617" s="31" t="str"/>
      <x:c r="R617" s="31" t="str"/>
      <x:c r="S617" s="31" t="str">
        <x:f>IF('Blind Scoring'!I617="","",'Blind Scoring'!I617)</x:f>
      </x:c>
      <x:c r="T617" s="31" t="str">
        <x:f>'Blind Scoring'!J617</x:f>
        <x:v>No</x:v>
      </x:c>
      <x:c r="U617" s="31" t="str">
        <x:f>IF('Blind Scoring'!L617="","",'Blind Scoring'!L617)</x:f>
      </x:c>
    </x:row>
    <x:row r="618" ht="44" customHeight="1">
      <x:c r="A618" s="35" t="str">
        <x:v>Not Started</x:v>
      </x:c>
      <x:c r="B618" s="35" t="n">
        <x:v>616</x:v>
      </x:c>
      <x:c r="C618" s="35" t="str">
        <x:v>P10</x:v>
      </x:c>
      <x:c r="D618" s="35" t="n">
        <x:v>59</x:v>
      </x:c>
      <x:c r="E618" s="35" t="str">
        <x:v>Primary VLA</x:v>
      </x:c>
      <x:c r="F618" s="35" t="str">
        <x:v>VLA-0</x:v>
      </x:c>
      <x:c r="G618" s="35" t="n">
        <x:v>2</x:v>
      </x:c>
      <x:c r="H618" s="35" t="str">
        <x:v>Counting</x:v>
      </x:c>
      <x:c r="I618" s="35" t="str">
        <x:v>Main matched control</x:v>
      </x:c>
      <x:c r="J618" s="35" t="str">
        <x:v>PVLA-CT-CTL-14</x:v>
      </x:c>
      <x:c r="K618" s="35" t="str">
        <x:v>C-CF10-B</x:v>
      </x:c>
      <x:c r="L618" s="31" t="str">
        <x:v>Put the airplane toy without propellers in the bowl.</x:v>
      </x:c>
      <x:c r="M618" s="31" t="str">
        <x:v>Put the airplane toy without propellers in the bowl.</x:v>
      </x:c>
      <x:c r="N618" s="31" t="str">
        <x:v>C-CF10-CB: bowl=[yellow block, green pencil sharpener] (2); table=[airplane toy without propellers, blue pen]; robot home; acceptable action=add either table object.</x:v>
      </x:c>
      <x:c r="O618" s="31" t="str">
        <x:v>ADD airplane toy without propellers</x:v>
      </x:c>
      <x:c r="P618" s="31" t="str"/>
      <x:c r="Q618" s="31" t="str"/>
      <x:c r="R618" s="31" t="str"/>
      <x:c r="S618" s="31" t="str">
        <x:f>IF('Blind Scoring'!I618="","",'Blind Scoring'!I618)</x:f>
      </x:c>
      <x:c r="T618" s="31" t="str">
        <x:f>'Blind Scoring'!J618</x:f>
        <x:v>No</x:v>
      </x:c>
      <x:c r="U618" s="31" t="str">
        <x:f>IF('Blind Scoring'!L618="","",'Blind Scoring'!L618)</x:f>
      </x:c>
    </x:row>
    <x:row r="619" ht="44" customHeight="1">
      <x:c r="A619" s="35" t="str">
        <x:v>Not Started</x:v>
      </x:c>
      <x:c r="B619" s="35" t="n">
        <x:v>617</x:v>
      </x:c>
      <x:c r="C619" s="35" t="str">
        <x:v>P10</x:v>
      </x:c>
      <x:c r="D619" s="35" t="n">
        <x:v>60</x:v>
      </x:c>
      <x:c r="E619" s="35" t="str">
        <x:v>Primary VLA</x:v>
      </x:c>
      <x:c r="F619" s="35" t="str">
        <x:v>VLA-0</x:v>
      </x:c>
      <x:c r="G619" s="35" t="n">
        <x:v>2</x:v>
      </x:c>
      <x:c r="H619" s="35" t="str">
        <x:v>Counting</x:v>
      </x:c>
      <x:c r="I619" s="35" t="str">
        <x:v>Main held-out transfer</x:v>
      </x:c>
      <x:c r="J619" s="35" t="str">
        <x:v>PVLA-CT-TR-08</x:v>
      </x:c>
      <x:c r="K619" s="35" t="str">
        <x:v>C-CF06-B</x:v>
      </x:c>
      <x:c r="L619" s="31" t="str">
        <x:v>Leave exactly three objects in the bowl.</x:v>
      </x:c>
      <x:c r="M619" s="31" t="str">
        <x:v>Leave exactly three objects in the bowl.</x:v>
      </x:c>
      <x:c r="N619" s="31" t="str">
        <x:v>C-CF06B: bowl=[yellow block, green pencil sharpener] (2); table=[airplane toy without propellers, blue pen]; robot home; acceptable action=add either table object.</x:v>
      </x:c>
      <x:c r="O619" s="31" t="str">
        <x:v>ADD one table object</x:v>
      </x:c>
      <x:c r="P619" s="31" t="str"/>
      <x:c r="Q619" s="31" t="str"/>
      <x:c r="R619" s="31" t="str"/>
      <x:c r="S619" s="31" t="str">
        <x:f>IF('Blind Scoring'!I619="","",'Blind Scoring'!I619)</x:f>
      </x:c>
      <x:c r="T619" s="31" t="str">
        <x:f>'Blind Scoring'!J619</x:f>
        <x:v>No</x:v>
      </x:c>
      <x:c r="U619" s="31" t="str">
        <x:f>IF('Blind Scoring'!L619="","",'Blind Scoring'!L619)</x:f>
      </x:c>
    </x:row>
    <x:row r="620" ht="44" customHeight="1">
      <x:c r="A620" s="35" t="str">
        <x:v>Not Started</x:v>
      </x:c>
      <x:c r="B620" s="35" t="n">
        <x:v>618</x:v>
      </x:c>
      <x:c r="C620" s="35" t="str">
        <x:v>P10</x:v>
      </x:c>
      <x:c r="D620" s="35" t="n">
        <x:v>61</x:v>
      </x:c>
      <x:c r="E620" s="35" t="str">
        <x:v>Primary VLA</x:v>
      </x:c>
      <x:c r="F620" s="35" t="str">
        <x:v>VLA-0</x:v>
      </x:c>
      <x:c r="G620" s="35" t="n">
        <x:v>2</x:v>
      </x:c>
      <x:c r="H620" s="35" t="str">
        <x:v>Counting</x:v>
      </x:c>
      <x:c r="I620" s="35" t="str">
        <x:v>Language ablation — counterfactual</x:v>
      </x:c>
      <x:c r="J620" s="35" t="str">
        <x:v>PVLA-CT-ABL-CF-03</x:v>
      </x:c>
      <x:c r="K620" s="35" t="str">
        <x:v>C-CF06-A</x:v>
      </x:c>
      <x:c r="L620" s="31" t="str">
        <x:v>Leave exactly three objects in the bowl.</x:v>
      </x:c>
      <x:c r="M620" s="31" t="str">
        <x:v>Leave exactly three objects in the bowl.</x:v>
      </x:c>
      <x:c r="N620" s="31" t="str">
        <x:v>C-CF06A: bowl=[yellow block, green pencil sharpener] (2); table=[airplane toy without propellers, blue pen]; robot home; acceptable action=remove either bowl object.</x:v>
      </x:c>
      <x:c r="O620" s="31" t="str">
        <x:v>ADD one table object</x:v>
      </x:c>
      <x:c r="P620" s="31" t="str"/>
      <x:c r="Q620" s="31" t="str"/>
      <x:c r="R620" s="31" t="str"/>
      <x:c r="S620" s="31" t="str">
        <x:f>IF('Blind Scoring'!I620="","",'Blind Scoring'!I620)</x:f>
      </x:c>
      <x:c r="T620" s="31" t="str">
        <x:f>'Blind Scoring'!J620</x:f>
        <x:v>No</x:v>
      </x:c>
      <x:c r="U620" s="31" t="str">
        <x:f>IF('Blind Scoring'!L620="","",'Blind Scoring'!L620)</x:f>
      </x:c>
    </x:row>
    <x:row r="621" ht="44" customHeight="1">
      <x:c r="A621" s="35" t="str">
        <x:v>Not Started</x:v>
      </x:c>
      <x:c r="B621" s="35" t="n">
        <x:v>619</x:v>
      </x:c>
      <x:c r="C621" s="35" t="str">
        <x:v>P10</x:v>
      </x:c>
      <x:c r="D621" s="35" t="n">
        <x:v>62</x:v>
      </x:c>
      <x:c r="E621" s="35" t="str">
        <x:v>Primary VLA</x:v>
      </x:c>
      <x:c r="F621" s="35" t="str">
        <x:v>VLA-0</x:v>
      </x:c>
      <x:c r="G621" s="35" t="n">
        <x:v>2</x:v>
      </x:c>
      <x:c r="H621" s="35" t="str">
        <x:v>Counting</x:v>
      </x:c>
      <x:c r="I621" s="35" t="str">
        <x:v>Training reconstruction</x:v>
      </x:c>
      <x:c r="J621" s="35" t="str">
        <x:v>PVLA-CT-REC-03</x:v>
      </x:c>
      <x:c r="K621" s="35" t="str"/>
      <x:c r="L621" s="31" t="str">
        <x:v>Move the yellow block into the bowl.</x:v>
      </x:c>
      <x:c r="M621" s="31" t="str">
        <x:v>Move the yellow block into the bowl.</x:v>
      </x:c>
      <x:c r="N621" s="31" t="str">
        <x:v>Reconstruct planned final training episode 850: yellow block, green pencil sharpener, airplane toy without propellers, blue pen; start=Home. Match camera, calibration, bowl pose, and object geometry exactly.</x:v>
      </x:c>
      <x:c r="O621" s="31" t="str">
        <x:v>yellow block</x:v>
      </x:c>
      <x:c r="P621" s="31" t="str"/>
      <x:c r="Q621" s="31" t="str"/>
      <x:c r="R621" s="31" t="str"/>
      <x:c r="S621" s="31" t="str">
        <x:f>IF('Blind Scoring'!I621="","",'Blind Scoring'!I621)</x:f>
      </x:c>
      <x:c r="T621" s="31" t="str">
        <x:f>'Blind Scoring'!J621</x:f>
        <x:v>No</x:v>
      </x:c>
      <x:c r="U621" s="31" t="str">
        <x:f>IF('Blind Scoring'!L621="","",'Blind Scoring'!L621)</x:f>
      </x:c>
    </x:row>
    <x:row r="622" ht="44" customHeight="1">
      <x:c r="A622" s="35" t="str">
        <x:v>Not Started</x:v>
      </x:c>
      <x:c r="B622" s="35" t="n">
        <x:v>620</x:v>
      </x:c>
      <x:c r="C622" s="35" t="str">
        <x:v>P11</x:v>
      </x:c>
      <x:c r="D622" s="35" t="n">
        <x:v>1</x:v>
      </x:c>
      <x:c r="E622" s="35" t="str">
        <x:v>Primary VLA</x:v>
      </x:c>
      <x:c r="F622" s="35" t="str">
        <x:v>VLA-0</x:v>
      </x:c>
      <x:c r="G622" s="35" t="n">
        <x:v>2</x:v>
      </x:c>
      <x:c r="H622" s="35" t="str">
        <x:v>State Recognition</x:v>
      </x:c>
      <x:c r="I622" s="35" t="str">
        <x:v>Training reconstruction</x:v>
      </x:c>
      <x:c r="J622" s="35" t="str">
        <x:v>PVLA-ST-REC-01</x:v>
      </x:c>
      <x:c r="K622" s="35" t="str"/>
      <x:c r="L622" s="31" t="str">
        <x:v>Move the open white cup into the bowl.</x:v>
      </x:c>
      <x:c r="M622" s="31" t="str">
        <x:v>Move the open white cup into the bowl.</x:v>
      </x:c>
      <x:c r="N622" s="31" t="str">
        <x:v>Reconstruct planned final training episode 2: white cup A, white cup B, glass spice container A, yellow-white striped cup B; start=Home. Match camera, calibration, bowl pose, and object geometry exactly.</x:v>
      </x:c>
      <x:c r="O622" s="31" t="str">
        <x:v>white cup A</x:v>
      </x:c>
      <x:c r="P622" s="31" t="str"/>
      <x:c r="Q622" s="31" t="str"/>
      <x:c r="R622" s="31" t="str"/>
      <x:c r="S622" s="31" t="str">
        <x:f>IF('Blind Scoring'!I622="","",'Blind Scoring'!I622)</x:f>
      </x:c>
      <x:c r="T622" s="31" t="str">
        <x:f>'Blind Scoring'!J622</x:f>
        <x:v>No</x:v>
      </x:c>
      <x:c r="U622" s="31" t="str">
        <x:f>IF('Blind Scoring'!L622="","",'Blind Scoring'!L622)</x:f>
      </x:c>
    </x:row>
    <x:row r="623" ht="44" customHeight="1">
      <x:c r="A623" s="35" t="str">
        <x:v>Not Started</x:v>
      </x:c>
      <x:c r="B623" s="35" t="n">
        <x:v>621</x:v>
      </x:c>
      <x:c r="C623" s="35" t="str">
        <x:v>P11</x:v>
      </x:c>
      <x:c r="D623" s="35" t="n">
        <x:v>2</x:v>
      </x:c>
      <x:c r="E623" s="35" t="str">
        <x:v>Primary VLA</x:v>
      </x:c>
      <x:c r="F623" s="35" t="str">
        <x:v>VLA-0</x:v>
      </x:c>
      <x:c r="G623" s="35" t="n">
        <x:v>2</x:v>
      </x:c>
      <x:c r="H623" s="35" t="str">
        <x:v>State Recognition</x:v>
      </x:c>
      <x:c r="I623" s="35" t="str">
        <x:v>Main matched control</x:v>
      </x:c>
      <x:c r="J623" s="35" t="str">
        <x:v>PVLA-ST-CTL-05</x:v>
      </x:c>
      <x:c r="K623" s="35" t="str">
        <x:v>S-CF09</x:v>
      </x:c>
      <x:c r="L623" s="31" t="str">
        <x:v>Place a white cup in the bowl.</x:v>
      </x:c>
      <x:c r="M623" s="31" t="str">
        <x:v>Place a white cup in the bowl.</x:v>
      </x:c>
      <x:c r="N623" s="31" t="str">
        <x:v>S-CF09-CTRL: P1 white cup A=C/UR [TARGET]; P3 yellow-white striped cup A=C/UD; P4 brown cup B=O/UD.</x:v>
      </x:c>
      <x:c r="O623" s="31" t="str">
        <x:v>white cup A</x:v>
      </x:c>
      <x:c r="P623" s="31" t="str"/>
      <x:c r="Q623" s="31" t="str"/>
      <x:c r="R623" s="31" t="str"/>
      <x:c r="S623" s="31" t="str">
        <x:f>IF('Blind Scoring'!I623="","",'Blind Scoring'!I623)</x:f>
      </x:c>
      <x:c r="T623" s="31" t="str">
        <x:f>'Blind Scoring'!J623</x:f>
        <x:v>No</x:v>
      </x:c>
      <x:c r="U623" s="31" t="str">
        <x:f>IF('Blind Scoring'!L623="","",'Blind Scoring'!L623)</x:f>
      </x:c>
    </x:row>
    <x:row r="624" ht="44" customHeight="1">
      <x:c r="A624" s="35" t="str">
        <x:v>Not Started</x:v>
      </x:c>
      <x:c r="B624" s="35" t="n">
        <x:v>622</x:v>
      </x:c>
      <x:c r="C624" s="35" t="str">
        <x:v>P11</x:v>
      </x:c>
      <x:c r="D624" s="35" t="n">
        <x:v>3</x:v>
      </x:c>
      <x:c r="E624" s="35" t="str">
        <x:v>Primary VLA</x:v>
      </x:c>
      <x:c r="F624" s="35" t="str">
        <x:v>VLA-0</x:v>
      </x:c>
      <x:c r="G624" s="35" t="n">
        <x:v>2</x:v>
      </x:c>
      <x:c r="H624" s="35" t="str">
        <x:v>State Recognition</x:v>
      </x:c>
      <x:c r="I624" s="35" t="str">
        <x:v>Main matched control</x:v>
      </x:c>
      <x:c r="J624" s="35" t="str">
        <x:v>PVLA-ST-CTL-13</x:v>
      </x:c>
      <x:c r="K624" s="35" t="str">
        <x:v>S-CF24</x:v>
      </x:c>
      <x:c r="L624" s="31" t="str">
        <x:v>Place a brown cup in the bowl.</x:v>
      </x:c>
      <x:c r="M624" s="31" t="str">
        <x:v>Place a brown cup in the bowl.</x:v>
      </x:c>
      <x:c r="N624" s="31" t="str">
        <x:v>S-CF24-CTRL: P2 glass spice container B=O/UR; P3 white cup A=O/UD; P4 brown cup B=C/UR [TARGET].</x:v>
      </x:c>
      <x:c r="O624" s="31" t="str">
        <x:v>brown cup B</x:v>
      </x:c>
      <x:c r="P624" s="31" t="str"/>
      <x:c r="Q624" s="31" t="str"/>
      <x:c r="R624" s="31" t="str"/>
      <x:c r="S624" s="31" t="str">
        <x:f>IF('Blind Scoring'!I624="","",'Blind Scoring'!I624)</x:f>
      </x:c>
      <x:c r="T624" s="31" t="str">
        <x:f>'Blind Scoring'!J624</x:f>
        <x:v>No</x:v>
      </x:c>
      <x:c r="U624" s="31" t="str">
        <x:f>IF('Blind Scoring'!L624="","",'Blind Scoring'!L624)</x:f>
      </x:c>
    </x:row>
    <x:row r="625" ht="44" customHeight="1">
      <x:c r="A625" s="35" t="str">
        <x:v>Not Started</x:v>
      </x:c>
      <x:c r="B625" s="35" t="n">
        <x:v>623</x:v>
      </x:c>
      <x:c r="C625" s="35" t="str">
        <x:v>P11</x:v>
      </x:c>
      <x:c r="D625" s="35" t="n">
        <x:v>4</x:v>
      </x:c>
      <x:c r="E625" s="35" t="str">
        <x:v>Primary VLA</x:v>
      </x:c>
      <x:c r="F625" s="35" t="str">
        <x:v>VLA-0</x:v>
      </x:c>
      <x:c r="G625" s="35" t="n">
        <x:v>2</x:v>
      </x:c>
      <x:c r="H625" s="35" t="str">
        <x:v>State Recognition</x:v>
      </x:c>
      <x:c r="I625" s="35" t="str">
        <x:v>Main held-out transfer</x:v>
      </x:c>
      <x:c r="J625" s="35" t="str">
        <x:v>PVLA-ST-TR-07</x:v>
      </x:c>
      <x:c r="K625" s="35" t="str">
        <x:v>S-CF13</x:v>
      </x:c>
      <x:c r="L625" s="31" t="str">
        <x:v>Place the closed brown cup in the bowl.</x:v>
      </x:c>
      <x:c r="M625" s="31" t="str">
        <x:v>Place the closed brown cup in the bowl.</x:v>
      </x:c>
      <x:c r="N625" s="31" t="str">
        <x:v>S-CF13-HELD: P1 brown cup A=C/UR [TARGET]; P2 brown cup B=O/UR [COMPETITOR]; P3 glass spice container A=C/UD; P4 white cup B=O/UD.</x:v>
      </x:c>
      <x:c r="O625" s="31" t="str">
        <x:v>brown cup A</x:v>
      </x:c>
      <x:c r="P625" s="31" t="str"/>
      <x:c r="Q625" s="31" t="str"/>
      <x:c r="R625" s="31" t="str"/>
      <x:c r="S625" s="31" t="str">
        <x:f>IF('Blind Scoring'!I625="","",'Blind Scoring'!I625)</x:f>
      </x:c>
      <x:c r="T625" s="31" t="str">
        <x:f>'Blind Scoring'!J625</x:f>
        <x:v>No</x:v>
      </x:c>
      <x:c r="U625" s="31" t="str">
        <x:f>IF('Blind Scoring'!L625="","",'Blind Scoring'!L625)</x:f>
      </x:c>
    </x:row>
    <x:row r="626" ht="44" customHeight="1">
      <x:c r="A626" s="35" t="str">
        <x:v>Not Started</x:v>
      </x:c>
      <x:c r="B626" s="35" t="n">
        <x:v>624</x:v>
      </x:c>
      <x:c r="C626" s="35" t="str">
        <x:v>P11</x:v>
      </x:c>
      <x:c r="D626" s="35" t="n">
        <x:v>5</x:v>
      </x:c>
      <x:c r="E626" s="35" t="str">
        <x:v>Primary VLA</x:v>
      </x:c>
      <x:c r="F626" s="35" t="str">
        <x:v>VLA-0</x:v>
      </x:c>
      <x:c r="G626" s="35" t="n">
        <x:v>2</x:v>
      </x:c>
      <x:c r="H626" s="35" t="str">
        <x:v>State Recognition</x:v>
      </x:c>
      <x:c r="I626" s="35" t="str">
        <x:v>Main held-out transfer</x:v>
      </x:c>
      <x:c r="J626" s="35" t="str">
        <x:v>PVLA-ST-TR-16</x:v>
      </x:c>
      <x:c r="K626" s="35" t="str">
        <x:v>S-CF30</x:v>
      </x:c>
      <x:c r="L626" s="31" t="str">
        <x:v>Place the upright glass spice container in the bowl.</x:v>
      </x:c>
      <x:c r="M626" s="31" t="str">
        <x:v>Place the upright glass spice container in the bowl.</x:v>
      </x:c>
      <x:c r="N626" s="31" t="str">
        <x:v>S-CF30-HELD: P1 white cup B=C/UR; P2 glass spice container A=O/UR [TARGET]; P3 glass spice container B=O/UD [COMPETITOR]; P4 yellow-white striped cup B=C/UD.</x:v>
      </x:c>
      <x:c r="O626" s="31" t="str">
        <x:v>glass spice container A</x:v>
      </x:c>
      <x:c r="P626" s="31" t="str"/>
      <x:c r="Q626" s="31" t="str"/>
      <x:c r="R626" s="31" t="str"/>
      <x:c r="S626" s="31" t="str">
        <x:f>IF('Blind Scoring'!I626="","",'Blind Scoring'!I626)</x:f>
      </x:c>
      <x:c r="T626" s="31" t="str">
        <x:f>'Blind Scoring'!J626</x:f>
        <x:v>No</x:v>
      </x:c>
      <x:c r="U626" s="31" t="str">
        <x:f>IF('Blind Scoring'!L626="","",'Blind Scoring'!L626)</x:f>
      </x:c>
    </x:row>
    <x:row r="627" ht="44" customHeight="1">
      <x:c r="A627" s="35" t="str">
        <x:v>Not Started</x:v>
      </x:c>
      <x:c r="B627" s="35" t="n">
        <x:v>625</x:v>
      </x:c>
      <x:c r="C627" s="35" t="str">
        <x:v>P11</x:v>
      </x:c>
      <x:c r="D627" s="35" t="n">
        <x:v>6</x:v>
      </x:c>
      <x:c r="E627" s="35" t="str">
        <x:v>Primary VLA</x:v>
      </x:c>
      <x:c r="F627" s="35" t="str">
        <x:v>VLA-0</x:v>
      </x:c>
      <x:c r="G627" s="35" t="n">
        <x:v>2</x:v>
      </x:c>
      <x:c r="H627" s="35" t="str">
        <x:v>State Recognition</x:v>
      </x:c>
      <x:c r="I627" s="35" t="str">
        <x:v>Main matched control</x:v>
      </x:c>
      <x:c r="J627" s="35" t="str">
        <x:v>PVLA-ST-CTL-03</x:v>
      </x:c>
      <x:c r="K627" s="35" t="str">
        <x:v>S-CF05</x:v>
      </x:c>
      <x:c r="L627" s="31" t="str">
        <x:v>Place a brown cup in the bowl.</x:v>
      </x:c>
      <x:c r="M627" s="31" t="str">
        <x:v>Place a brown cup in the bowl.</x:v>
      </x:c>
      <x:c r="N627" s="31" t="str">
        <x:v>S-CF05-CTRL: P1 brown cup A=C/UR [TARGET]; P3 glass spice container A=C/UD; P4 white cup B=O/UD.</x:v>
      </x:c>
      <x:c r="O627" s="31" t="str">
        <x:v>brown cup A</x:v>
      </x:c>
      <x:c r="P627" s="31" t="str"/>
      <x:c r="Q627" s="31" t="str"/>
      <x:c r="R627" s="31" t="str"/>
      <x:c r="S627" s="31" t="str">
        <x:f>IF('Blind Scoring'!I627="","",'Blind Scoring'!I627)</x:f>
      </x:c>
      <x:c r="T627" s="31" t="str">
        <x:f>'Blind Scoring'!J627</x:f>
        <x:v>No</x:v>
      </x:c>
      <x:c r="U627" s="31" t="str">
        <x:f>IF('Blind Scoring'!L627="","",'Blind Scoring'!L627)</x:f>
      </x:c>
    </x:row>
    <x:row r="628" ht="44" customHeight="1">
      <x:c r="A628" s="35" t="str">
        <x:v>Not Started</x:v>
      </x:c>
      <x:c r="B628" s="35" t="n">
        <x:v>626</x:v>
      </x:c>
      <x:c r="C628" s="35" t="str">
        <x:v>P11</x:v>
      </x:c>
      <x:c r="D628" s="35" t="n">
        <x:v>7</x:v>
      </x:c>
      <x:c r="E628" s="35" t="str">
        <x:v>Primary VLA</x:v>
      </x:c>
      <x:c r="F628" s="35" t="str">
        <x:v>VLA-0</x:v>
      </x:c>
      <x:c r="G628" s="35" t="n">
        <x:v>2</x:v>
      </x:c>
      <x:c r="H628" s="35" t="str">
        <x:v>State Recognition</x:v>
      </x:c>
      <x:c r="I628" s="35" t="str">
        <x:v>Novel layout + seen language</x:v>
      </x:c>
      <x:c r="J628" s="35" t="str">
        <x:v>PVLA-ST-NOV-01</x:v>
      </x:c>
      <x:c r="K628" s="35" t="str">
        <x:v>S-CF01</x:v>
      </x:c>
      <x:c r="L628" s="31" t="str">
        <x:v>Place the open white cup in the bowl.</x:v>
      </x:c>
      <x:c r="M628" s="31" t="str">
        <x:v>Place the open white cup in the bowl.</x:v>
      </x:c>
      <x:c r="N628" s="31" t="str">
        <x:v>S-CF01-SEEN: P1 white cup A=C/UR [TARGET]; P2 white cup B=O/UR [COMPETITOR]; P3 yellow-white striped cup A=C/UD; P4 brown cup B=O/UD.</x:v>
      </x:c>
      <x:c r="O628" s="31" t="str">
        <x:v>white cup B</x:v>
      </x:c>
      <x:c r="P628" s="31" t="str"/>
      <x:c r="Q628" s="31" t="str"/>
      <x:c r="R628" s="31" t="str"/>
      <x:c r="S628" s="31" t="str">
        <x:f>IF('Blind Scoring'!I628="","",'Blind Scoring'!I628)</x:f>
      </x:c>
      <x:c r="T628" s="31" t="str">
        <x:f>'Blind Scoring'!J628</x:f>
        <x:v>No</x:v>
      </x:c>
      <x:c r="U628" s="31" t="str">
        <x:f>IF('Blind Scoring'!L628="","",'Blind Scoring'!L628)</x:f>
      </x:c>
    </x:row>
    <x:row r="629" ht="44" customHeight="1">
      <x:c r="A629" s="35" t="str">
        <x:v>Not Started</x:v>
      </x:c>
      <x:c r="B629" s="35" t="n">
        <x:v>627</x:v>
      </x:c>
      <x:c r="C629" s="35" t="str">
        <x:v>P11</x:v>
      </x:c>
      <x:c r="D629" s="35" t="n">
        <x:v>8</x:v>
      </x:c>
      <x:c r="E629" s="35" t="str">
        <x:v>Primary VLA</x:v>
      </x:c>
      <x:c r="F629" s="35" t="str">
        <x:v>VLA-0</x:v>
      </x:c>
      <x:c r="G629" s="35" t="n">
        <x:v>2</x:v>
      </x:c>
      <x:c r="H629" s="35" t="str">
        <x:v>State Recognition</x:v>
      </x:c>
      <x:c r="I629" s="35" t="str">
        <x:v>Main held-out transfer</x:v>
      </x:c>
      <x:c r="J629" s="35" t="str">
        <x:v>PVLA-ST-TR-09</x:v>
      </x:c>
      <x:c r="K629" s="35" t="str">
        <x:v>S-CF16</x:v>
      </x:c>
      <x:c r="L629" s="31" t="str">
        <x:v>Place the upright brown cup in the bowl.</x:v>
      </x:c>
      <x:c r="M629" s="31" t="str">
        <x:v>Place the upright brown cup in the bowl.</x:v>
      </x:c>
      <x:c r="N629" s="31" t="str">
        <x:v>S-CF16-HELD: P1 brown cup A=C/UD [COMPETITOR]; P2 glass spice container B=O/UR; P3 white cup A=O/UD; P4 brown cup B=C/UR [TARGET].</x:v>
      </x:c>
      <x:c r="O629" s="31" t="str">
        <x:v>brown cup B</x:v>
      </x:c>
      <x:c r="P629" s="31" t="str"/>
      <x:c r="Q629" s="31" t="str"/>
      <x:c r="R629" s="31" t="str"/>
      <x:c r="S629" s="31" t="str">
        <x:f>IF('Blind Scoring'!I629="","",'Blind Scoring'!I629)</x:f>
      </x:c>
      <x:c r="T629" s="31" t="str">
        <x:f>'Blind Scoring'!J629</x:f>
        <x:v>No</x:v>
      </x:c>
      <x:c r="U629" s="31" t="str">
        <x:f>IF('Blind Scoring'!L629="","",'Blind Scoring'!L629)</x:f>
      </x:c>
    </x:row>
    <x:row r="630" ht="44" customHeight="1">
      <x:c r="A630" s="35" t="str">
        <x:v>Not Started</x:v>
      </x:c>
      <x:c r="B630" s="35" t="n">
        <x:v>628</x:v>
      </x:c>
      <x:c r="C630" s="35" t="str">
        <x:v>P11</x:v>
      </x:c>
      <x:c r="D630" s="35" t="n">
        <x:v>9</x:v>
      </x:c>
      <x:c r="E630" s="35" t="str">
        <x:v>Primary VLA</x:v>
      </x:c>
      <x:c r="F630" s="35" t="str">
        <x:v>VLA-0</x:v>
      </x:c>
      <x:c r="G630" s="35" t="n">
        <x:v>2</x:v>
      </x:c>
      <x:c r="H630" s="35" t="str">
        <x:v>State Recognition</x:v>
      </x:c>
      <x:c r="I630" s="35" t="str">
        <x:v>Main matched control</x:v>
      </x:c>
      <x:c r="J630" s="35" t="str">
        <x:v>PVLA-ST-CTL-01</x:v>
      </x:c>
      <x:c r="K630" s="35" t="str">
        <x:v>S-CF01</x:v>
      </x:c>
      <x:c r="L630" s="31" t="str">
        <x:v>Place a white cup in the bowl.</x:v>
      </x:c>
      <x:c r="M630" s="31" t="str">
        <x:v>Place a white cup in the bowl.</x:v>
      </x:c>
      <x:c r="N630" s="31" t="str">
        <x:v>S-CF01-CTRL: P1 white cup A=C/UR [TARGET]; P3 yellow-white striped cup A=C/UD; P4 brown cup B=O/UD.</x:v>
      </x:c>
      <x:c r="O630" s="31" t="str">
        <x:v>white cup A</x:v>
      </x:c>
      <x:c r="P630" s="31" t="str"/>
      <x:c r="Q630" s="31" t="str"/>
      <x:c r="R630" s="31" t="str"/>
      <x:c r="S630" s="31" t="str">
        <x:f>IF('Blind Scoring'!I630="","",'Blind Scoring'!I630)</x:f>
      </x:c>
      <x:c r="T630" s="31" t="str">
        <x:f>'Blind Scoring'!J630</x:f>
        <x:v>No</x:v>
      </x:c>
      <x:c r="U630" s="31" t="str">
        <x:f>IF('Blind Scoring'!L630="","",'Blind Scoring'!L630)</x:f>
      </x:c>
    </x:row>
    <x:row r="631" ht="44" customHeight="1">
      <x:c r="A631" s="35" t="str">
        <x:v>Not Started</x:v>
      </x:c>
      <x:c r="B631" s="35" t="n">
        <x:v>629</x:v>
      </x:c>
      <x:c r="C631" s="35" t="str">
        <x:v>P11</x:v>
      </x:c>
      <x:c r="D631" s="35" t="n">
        <x:v>10</x:v>
      </x:c>
      <x:c r="E631" s="35" t="str">
        <x:v>Primary VLA</x:v>
      </x:c>
      <x:c r="F631" s="35" t="str">
        <x:v>VLA-0</x:v>
      </x:c>
      <x:c r="G631" s="35" t="n">
        <x:v>2</x:v>
      </x:c>
      <x:c r="H631" s="35" t="str">
        <x:v>State Recognition</x:v>
      </x:c>
      <x:c r="I631" s="35" t="str">
        <x:v>Main matched control</x:v>
      </x:c>
      <x:c r="J631" s="35" t="str">
        <x:v>PVLA-ST-CTL-14</x:v>
      </x:c>
      <x:c r="K631" s="35" t="str">
        <x:v>S-CF26</x:v>
      </x:c>
      <x:c r="L631" s="31" t="str">
        <x:v>Place a yellow-white striped cup in the bowl.</x:v>
      </x:c>
      <x:c r="M631" s="31" t="str">
        <x:v>Place a yellow-white striped cup in the bowl.</x:v>
      </x:c>
      <x:c r="N631" s="31" t="str">
        <x:v>S-CF26-CTRL: P1 brown cup B=C/UR; P2 yellow-white striped cup B=O/UR [TARGET]; P4 glass spice container B=C/UD.</x:v>
      </x:c>
      <x:c r="O631" s="31" t="str">
        <x:v>yellow-white striped cup B</x:v>
      </x:c>
      <x:c r="P631" s="31" t="str"/>
      <x:c r="Q631" s="31" t="str"/>
      <x:c r="R631" s="31" t="str"/>
      <x:c r="S631" s="31" t="str">
        <x:f>IF('Blind Scoring'!I631="","",'Blind Scoring'!I631)</x:f>
      </x:c>
      <x:c r="T631" s="31" t="str">
        <x:f>'Blind Scoring'!J631</x:f>
        <x:v>No</x:v>
      </x:c>
      <x:c r="U631" s="31" t="str">
        <x:f>IF('Blind Scoring'!L631="","",'Blind Scoring'!L631)</x:f>
      </x:c>
    </x:row>
    <x:row r="632" ht="44" customHeight="1">
      <x:c r="A632" s="35" t="str">
        <x:v>Not Started</x:v>
      </x:c>
      <x:c r="B632" s="35" t="n">
        <x:v>630</x:v>
      </x:c>
      <x:c r="C632" s="35" t="str">
        <x:v>P11</x:v>
      </x:c>
      <x:c r="D632" s="35" t="n">
        <x:v>11</x:v>
      </x:c>
      <x:c r="E632" s="35" t="str">
        <x:v>Primary VLA</x:v>
      </x:c>
      <x:c r="F632" s="35" t="str">
        <x:v>VLA-0</x:v>
      </x:c>
      <x:c r="G632" s="35" t="n">
        <x:v>2</x:v>
      </x:c>
      <x:c r="H632" s="35" t="str">
        <x:v>State Recognition</x:v>
      </x:c>
      <x:c r="I632" s="35" t="str">
        <x:v>Exact-scene paraphrase</x:v>
      </x:c>
      <x:c r="J632" s="35" t="str">
        <x:v>PVLA-ST-PAR-07</x:v>
      </x:c>
      <x:c r="K632" s="35" t="str">
        <x:v>S-CF17</x:v>
      </x:c>
      <x:c r="L632" s="31" t="str">
        <x:v>Find the white cup with its opening uncovered and move it into the bowl.</x:v>
      </x:c>
      <x:c r="M632" s="31" t="str">
        <x:v>Find the white cup with its opening uncovered and move it into the bowl.</x:v>
      </x:c>
      <x:c r="N632" s="31" t="str">
        <x:v>S-CF17-PARA: P1 white cup A=C/UR [TARGET]; P2 white cup B=O/UR [COMPETITOR]; P3 yellow-white striped cup A=C/UD; P4 brown cup B=O/UD.</x:v>
      </x:c>
      <x:c r="O632" s="31" t="str">
        <x:v>white cup B</x:v>
      </x:c>
      <x:c r="P632" s="31" t="str"/>
      <x:c r="Q632" s="31" t="str"/>
      <x:c r="R632" s="31" t="str"/>
      <x:c r="S632" s="31" t="str">
        <x:f>IF('Blind Scoring'!I632="","",'Blind Scoring'!I632)</x:f>
      </x:c>
      <x:c r="T632" s="31" t="str">
        <x:f>'Blind Scoring'!J632</x:f>
        <x:v>No</x:v>
      </x:c>
      <x:c r="U632" s="31" t="str">
        <x:f>IF('Blind Scoring'!L632="","",'Blind Scoring'!L632)</x:f>
      </x:c>
    </x:row>
    <x:row r="633" ht="44" customHeight="1">
      <x:c r="A633" s="35" t="str">
        <x:v>Not Started</x:v>
      </x:c>
      <x:c r="B633" s="35" t="n">
        <x:v>631</x:v>
      </x:c>
      <x:c r="C633" s="35" t="str">
        <x:v>P11</x:v>
      </x:c>
      <x:c r="D633" s="35" t="n">
        <x:v>12</x:v>
      </x:c>
      <x:c r="E633" s="35" t="str">
        <x:v>Primary VLA</x:v>
      </x:c>
      <x:c r="F633" s="35" t="str">
        <x:v>VLA-0</x:v>
      </x:c>
      <x:c r="G633" s="35" t="n">
        <x:v>2</x:v>
      </x:c>
      <x:c r="H633" s="35" t="str">
        <x:v>State Recognition</x:v>
      </x:c>
      <x:c r="I633" s="35" t="str">
        <x:v>Novel layout + seen language</x:v>
      </x:c>
      <x:c r="J633" s="35" t="str">
        <x:v>PVLA-ST-NOV-07</x:v>
      </x:c>
      <x:c r="K633" s="35" t="str">
        <x:v>S-CF17</x:v>
      </x:c>
      <x:c r="L633" s="31" t="str">
        <x:v>Place the open white cup in the bowl.</x:v>
      </x:c>
      <x:c r="M633" s="31" t="str">
        <x:v>Place the open white cup in the bowl.</x:v>
      </x:c>
      <x:c r="N633" s="31" t="str">
        <x:v>S-CF17-SEEN: P1 white cup A=C/UR [TARGET]; P2 white cup B=O/UR [COMPETITOR]; P3 yellow-white striped cup A=C/UD; P4 brown cup B=O/UD.</x:v>
      </x:c>
      <x:c r="O633" s="31" t="str">
        <x:v>white cup B</x:v>
      </x:c>
      <x:c r="P633" s="31" t="str"/>
      <x:c r="Q633" s="31" t="str"/>
      <x:c r="R633" s="31" t="str"/>
      <x:c r="S633" s="31" t="str">
        <x:f>IF('Blind Scoring'!I633="","",'Blind Scoring'!I633)</x:f>
      </x:c>
      <x:c r="T633" s="31" t="str">
        <x:f>'Blind Scoring'!J633</x:f>
        <x:v>No</x:v>
      </x:c>
      <x:c r="U633" s="31" t="str">
        <x:f>IF('Blind Scoring'!L633="","",'Blind Scoring'!L633)</x:f>
      </x:c>
    </x:row>
    <x:row r="634" ht="44" customHeight="1">
      <x:c r="A634" s="35" t="str">
        <x:v>Not Started</x:v>
      </x:c>
      <x:c r="B634" s="35" t="n">
        <x:v>632</x:v>
      </x:c>
      <x:c r="C634" s="35" t="str">
        <x:v>P11</x:v>
      </x:c>
      <x:c r="D634" s="35" t="n">
        <x:v>13</x:v>
      </x:c>
      <x:c r="E634" s="35" t="str">
        <x:v>Primary VLA</x:v>
      </x:c>
      <x:c r="F634" s="35" t="str">
        <x:v>VLA-0</x:v>
      </x:c>
      <x:c r="G634" s="35" t="n">
        <x:v>2</x:v>
      </x:c>
      <x:c r="H634" s="35" t="str">
        <x:v>State Recognition</x:v>
      </x:c>
      <x:c r="I634" s="35" t="str">
        <x:v>Main held-out transfer</x:v>
      </x:c>
      <x:c r="J634" s="35" t="str">
        <x:v>PVLA-ST-TR-10</x:v>
      </x:c>
      <x:c r="K634" s="35" t="str">
        <x:v>S-CF18</x:v>
      </x:c>
      <x:c r="L634" s="31" t="str">
        <x:v>Place the upright yellow-white striped cup in the bowl.</x:v>
      </x:c>
      <x:c r="M634" s="31" t="str">
        <x:v>Place the upright yellow-white striped cup in the bowl.</x:v>
      </x:c>
      <x:c r="N634" s="31" t="str">
        <x:v>S-CF18-HELD: P1 brown cup B=C/UR; P2 yellow-white striped cup B=O/UR [TARGET]; P3 yellow-white striped cup A=O/UD [COMPETITOR]; P4 glass spice container B=C/UD.</x:v>
      </x:c>
      <x:c r="O634" s="31" t="str">
        <x:v>yellow-white striped cup B</x:v>
      </x:c>
      <x:c r="P634" s="31" t="str"/>
      <x:c r="Q634" s="31" t="str"/>
      <x:c r="R634" s="31" t="str"/>
      <x:c r="S634" s="31" t="str">
        <x:f>IF('Blind Scoring'!I634="","",'Blind Scoring'!I634)</x:f>
      </x:c>
      <x:c r="T634" s="31" t="str">
        <x:f>'Blind Scoring'!J634</x:f>
        <x:v>No</x:v>
      </x:c>
      <x:c r="U634" s="31" t="str">
        <x:f>IF('Blind Scoring'!L634="","",'Blind Scoring'!L634)</x:f>
      </x:c>
    </x:row>
    <x:row r="635" ht="44" customHeight="1">
      <x:c r="A635" s="35" t="str">
        <x:v>Not Started</x:v>
      </x:c>
      <x:c r="B635" s="35" t="n">
        <x:v>633</x:v>
      </x:c>
      <x:c r="C635" s="35" t="str">
        <x:v>P11</x:v>
      </x:c>
      <x:c r="D635" s="35" t="n">
        <x:v>14</x:v>
      </x:c>
      <x:c r="E635" s="35" t="str">
        <x:v>Primary VLA</x:v>
      </x:c>
      <x:c r="F635" s="35" t="str">
        <x:v>VLA-0</x:v>
      </x:c>
      <x:c r="G635" s="35" t="n">
        <x:v>2</x:v>
      </x:c>
      <x:c r="H635" s="35" t="str">
        <x:v>State Recognition</x:v>
      </x:c>
      <x:c r="I635" s="35" t="str">
        <x:v>Language ablation — counterfactual</x:v>
      </x:c>
      <x:c r="J635" s="35" t="str">
        <x:v>PVLA-ST-ABL-CF-02</x:v>
      </x:c>
      <x:c r="K635" s="35" t="str">
        <x:v>S-CF11</x:v>
      </x:c>
      <x:c r="L635" s="31" t="str">
        <x:v>Place the open glass spice container in the bowl.</x:v>
      </x:c>
      <x:c r="M635" s="31" t="str">
        <x:v>Place the open glass spice container in the bowl.</x:v>
      </x:c>
      <x:c r="N635" s="31" t="str">
        <x:v>S-CF11-HELD: P1 white cup A=C/UR; P2 yellow-white striped cup A=O/UR; P3 glass spice container B=C/UD [TARGET]; P4 glass spice container A=O/UD [COMPETITOR].</x:v>
      </x:c>
      <x:c r="O635" s="31" t="str">
        <x:v>glass spice container A</x:v>
      </x:c>
      <x:c r="P635" s="31" t="str"/>
      <x:c r="Q635" s="31" t="str"/>
      <x:c r="R635" s="31" t="str"/>
      <x:c r="S635" s="31" t="str">
        <x:f>IF('Blind Scoring'!I635="","",'Blind Scoring'!I635)</x:f>
      </x:c>
      <x:c r="T635" s="31" t="str">
        <x:f>'Blind Scoring'!J635</x:f>
        <x:v>No</x:v>
      </x:c>
      <x:c r="U635" s="31" t="str">
        <x:f>IF('Blind Scoring'!L635="","",'Blind Scoring'!L635)</x:f>
      </x:c>
    </x:row>
    <x:row r="636" ht="44" customHeight="1">
      <x:c r="A636" s="35" t="str">
        <x:v>Not Started</x:v>
      </x:c>
      <x:c r="B636" s="35" t="n">
        <x:v>634</x:v>
      </x:c>
      <x:c r="C636" s="35" t="str">
        <x:v>P11</x:v>
      </x:c>
      <x:c r="D636" s="35" t="n">
        <x:v>15</x:v>
      </x:c>
      <x:c r="E636" s="35" t="str">
        <x:v>Primary VLA</x:v>
      </x:c>
      <x:c r="F636" s="35" t="str">
        <x:v>VLA-0</x:v>
      </x:c>
      <x:c r="G636" s="35" t="n">
        <x:v>2</x:v>
      </x:c>
      <x:c r="H636" s="35" t="str">
        <x:v>State Recognition</x:v>
      </x:c>
      <x:c r="I636" s="35" t="str">
        <x:v>Language ablation — counterfactual</x:v>
      </x:c>
      <x:c r="J636" s="35" t="str">
        <x:v>PVLA-ST-ABL-CF-04</x:v>
      </x:c>
      <x:c r="K636" s="35" t="str">
        <x:v>S-CF15</x:v>
      </x:c>
      <x:c r="L636" s="31" t="str">
        <x:v>Place the open yellow-white striped cup in the bowl.</x:v>
      </x:c>
      <x:c r="M636" s="31" t="str">
        <x:v>Place the open yellow-white striped cup in the bowl.</x:v>
      </x:c>
      <x:c r="N636" s="31" t="str">
        <x:v>S-CF15-HELD: P1 brown cup A=C/UR; P2 glass spice container A=O/UR; P3 yellow-white striped cup A=C/UD [TARGET]; P4 yellow-white striped cup B=O/UD [COMPETITOR].</x:v>
      </x:c>
      <x:c r="O636" s="31" t="str">
        <x:v>yellow-white striped cup B</x:v>
      </x:c>
      <x:c r="P636" s="31" t="str"/>
      <x:c r="Q636" s="31" t="str"/>
      <x:c r="R636" s="31" t="str"/>
      <x:c r="S636" s="31" t="str">
        <x:f>IF('Blind Scoring'!I636="","",'Blind Scoring'!I636)</x:f>
      </x:c>
      <x:c r="T636" s="31" t="str">
        <x:f>'Blind Scoring'!J636</x:f>
        <x:v>No</x:v>
      </x:c>
      <x:c r="U636" s="31" t="str">
        <x:f>IF('Blind Scoring'!L636="","",'Blind Scoring'!L636)</x:f>
      </x:c>
    </x:row>
    <x:row r="637" ht="44" customHeight="1">
      <x:c r="A637" s="35" t="str">
        <x:v>Not Started</x:v>
      </x:c>
      <x:c r="B637" s="35" t="n">
        <x:v>635</x:v>
      </x:c>
      <x:c r="C637" s="35" t="str">
        <x:v>P11</x:v>
      </x:c>
      <x:c r="D637" s="35" t="n">
        <x:v>16</x:v>
      </x:c>
      <x:c r="E637" s="35" t="str">
        <x:v>Primary VLA</x:v>
      </x:c>
      <x:c r="F637" s="35" t="str">
        <x:v>VLA-0</x:v>
      </x:c>
      <x:c r="G637" s="35" t="n">
        <x:v>2</x:v>
      </x:c>
      <x:c r="H637" s="35" t="str">
        <x:v>State Recognition</x:v>
      </x:c>
      <x:c r="I637" s="35" t="str">
        <x:v>Novel layout + seen language</x:v>
      </x:c>
      <x:c r="J637" s="35" t="str">
        <x:v>PVLA-ST-NOV-06</x:v>
      </x:c>
      <x:c r="K637" s="35" t="str">
        <x:v>S-CF15</x:v>
      </x:c>
      <x:c r="L637" s="31" t="str">
        <x:v>Place the open yellow-white striped cup in the bowl.</x:v>
      </x:c>
      <x:c r="M637" s="31" t="str">
        <x:v>Place the open yellow-white striped cup in the bowl.</x:v>
      </x:c>
      <x:c r="N637" s="31" t="str">
        <x:v>S-CF15-SEEN: P1 brown cup A=C/UR; P2 glass spice container A=O/UR; P3 yellow-white striped cup A=C/UD [TARGET]; P4 yellow-white striped cup B=O/UD [COMPETITOR].</x:v>
      </x:c>
      <x:c r="O637" s="31" t="str">
        <x:v>yellow-white striped cup B</x:v>
      </x:c>
      <x:c r="P637" s="31" t="str"/>
      <x:c r="Q637" s="31" t="str"/>
      <x:c r="R637" s="31" t="str"/>
      <x:c r="S637" s="31" t="str">
        <x:f>IF('Blind Scoring'!I637="","",'Blind Scoring'!I637)</x:f>
      </x:c>
      <x:c r="T637" s="31" t="str">
        <x:f>'Blind Scoring'!J637</x:f>
        <x:v>No</x:v>
      </x:c>
      <x:c r="U637" s="31" t="str">
        <x:f>IF('Blind Scoring'!L637="","",'Blind Scoring'!L637)</x:f>
      </x:c>
    </x:row>
    <x:row r="638" ht="44" customHeight="1">
      <x:c r="A638" s="35" t="str">
        <x:v>Not Started</x:v>
      </x:c>
      <x:c r="B638" s="35" t="n">
        <x:v>636</x:v>
      </x:c>
      <x:c r="C638" s="35" t="str">
        <x:v>P11</x:v>
      </x:c>
      <x:c r="D638" s="35" t="n">
        <x:v>17</x:v>
      </x:c>
      <x:c r="E638" s="35" t="str">
        <x:v>Primary VLA</x:v>
      </x:c>
      <x:c r="F638" s="35" t="str">
        <x:v>VLA-0</x:v>
      </x:c>
      <x:c r="G638" s="35" t="n">
        <x:v>2</x:v>
      </x:c>
      <x:c r="H638" s="35" t="str">
        <x:v>State Recognition</x:v>
      </x:c>
      <x:c r="I638" s="35" t="str">
        <x:v>Training reconstruction</x:v>
      </x:c>
      <x:c r="J638" s="35" t="str">
        <x:v>PVLA-ST-REC-03</x:v>
      </x:c>
      <x:c r="K638" s="35" t="str"/>
      <x:c r="L638" s="31" t="str">
        <x:v>Put a brown cup in the bowl.</x:v>
      </x:c>
      <x:c r="M638" s="31" t="str">
        <x:v>Put a brown cup in the bowl.</x:v>
      </x:c>
      <x:c r="N638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638" s="31" t="str">
        <x:v>brown cup B</x:v>
      </x:c>
      <x:c r="P638" s="31" t="str"/>
      <x:c r="Q638" s="31" t="str"/>
      <x:c r="R638" s="31" t="str"/>
      <x:c r="S638" s="31" t="str">
        <x:f>IF('Blind Scoring'!I638="","",'Blind Scoring'!I638)</x:f>
      </x:c>
      <x:c r="T638" s="31" t="str">
        <x:f>'Blind Scoring'!J638</x:f>
        <x:v>No</x:v>
      </x:c>
      <x:c r="U638" s="31" t="str">
        <x:f>IF('Blind Scoring'!L638="","",'Blind Scoring'!L638)</x:f>
      </x:c>
    </x:row>
    <x:row r="639" ht="44" customHeight="1">
      <x:c r="A639" s="35" t="str">
        <x:v>Not Started</x:v>
      </x:c>
      <x:c r="B639" s="35" t="n">
        <x:v>637</x:v>
      </x:c>
      <x:c r="C639" s="35" t="str">
        <x:v>P11</x:v>
      </x:c>
      <x:c r="D639" s="35" t="n">
        <x:v>18</x:v>
      </x:c>
      <x:c r="E639" s="35" t="str">
        <x:v>Primary VLA</x:v>
      </x:c>
      <x:c r="F639" s="35" t="str">
        <x:v>VLA-0</x:v>
      </x:c>
      <x:c r="G639" s="35" t="n">
        <x:v>2</x:v>
      </x:c>
      <x:c r="H639" s="35" t="str">
        <x:v>State Recognition</x:v>
      </x:c>
      <x:c r="I639" s="35" t="str">
        <x:v>Exact-scene paraphrase</x:v>
      </x:c>
      <x:c r="J639" s="35" t="str">
        <x:v>PVLA-ST-PAR-02</x:v>
      </x:c>
      <x:c r="K639" s="35" t="str">
        <x:v>S-CF04</x:v>
      </x:c>
      <x:c r="L639" s="31" t="str">
        <x:v>Put the inverted white cup into the bowl.</x:v>
      </x:c>
      <x:c r="M639" s="31" t="str">
        <x:v>Put the inverted white cup into the bowl.</x:v>
      </x:c>
      <x:c r="N639" s="31" t="str">
        <x:v>S-CF04-PARA: P1 white cup A=C/UD [COMPETITOR]; P2 yellow-white striped cup B=O/UR; P3 brown cup A=O/UD; P4 white cup B=C/UR [TARGET].</x:v>
      </x:c>
      <x:c r="O639" s="31" t="str">
        <x:v>white cup A</x:v>
      </x:c>
      <x:c r="P639" s="31" t="str"/>
      <x:c r="Q639" s="31" t="str"/>
      <x:c r="R639" s="31" t="str"/>
      <x:c r="S639" s="31" t="str">
        <x:f>IF('Blind Scoring'!I639="","",'Blind Scoring'!I639)</x:f>
      </x:c>
      <x:c r="T639" s="31" t="str">
        <x:f>'Blind Scoring'!J639</x:f>
        <x:v>No</x:v>
      </x:c>
      <x:c r="U639" s="31" t="str">
        <x:f>IF('Blind Scoring'!L639="","",'Blind Scoring'!L639)</x:f>
      </x:c>
    </x:row>
    <x:row r="640" ht="44" customHeight="1">
      <x:c r="A640" s="35" t="str">
        <x:v>Not Started</x:v>
      </x:c>
      <x:c r="B640" s="35" t="n">
        <x:v>638</x:v>
      </x:c>
      <x:c r="C640" s="35" t="str">
        <x:v>P11</x:v>
      </x:c>
      <x:c r="D640" s="35" t="n">
        <x:v>19</x:v>
      </x:c>
      <x:c r="E640" s="35" t="str">
        <x:v>Primary VLA</x:v>
      </x:c>
      <x:c r="F640" s="35" t="str">
        <x:v>VLA-0</x:v>
      </x:c>
      <x:c r="G640" s="35" t="n">
        <x:v>2</x:v>
      </x:c>
      <x:c r="H640" s="35" t="str">
        <x:v>State Recognition</x:v>
      </x:c>
      <x:c r="I640" s="35" t="str">
        <x:v>Main matched control</x:v>
      </x:c>
      <x:c r="J640" s="35" t="str">
        <x:v>PVLA-ST-CTL-06</x:v>
      </x:c>
      <x:c r="K640" s="35" t="str">
        <x:v>S-CF11</x:v>
      </x:c>
      <x:c r="L640" s="31" t="str">
        <x:v>Place a glass spice container in the bowl.</x:v>
      </x:c>
      <x:c r="M640" s="31" t="str">
        <x:v>Place a glass spice container in the bowl.</x:v>
      </x:c>
      <x:c r="N640" s="31" t="str">
        <x:v>S-CF11-CTRL: P1 white cup A=C/UR; P2 yellow-white striped cup A=O/UR; P3 glass spice container B=C/UD [TARGET].</x:v>
      </x:c>
      <x:c r="O640" s="31" t="str">
        <x:v>glass spice container B</x:v>
      </x:c>
      <x:c r="P640" s="31" t="str"/>
      <x:c r="Q640" s="31" t="str"/>
      <x:c r="R640" s="31" t="str"/>
      <x:c r="S640" s="31" t="str">
        <x:f>IF('Blind Scoring'!I640="","",'Blind Scoring'!I640)</x:f>
      </x:c>
      <x:c r="T640" s="31" t="str">
        <x:f>'Blind Scoring'!J640</x:f>
        <x:v>No</x:v>
      </x:c>
      <x:c r="U640" s="31" t="str">
        <x:f>IF('Blind Scoring'!L640="","",'Blind Scoring'!L640)</x:f>
      </x:c>
    </x:row>
    <x:row r="641" ht="44" customHeight="1">
      <x:c r="A641" s="35" t="str">
        <x:v>Not Started</x:v>
      </x:c>
      <x:c r="B641" s="35" t="n">
        <x:v>639</x:v>
      </x:c>
      <x:c r="C641" s="35" t="str">
        <x:v>P11</x:v>
      </x:c>
      <x:c r="D641" s="35" t="n">
        <x:v>20</x:v>
      </x:c>
      <x:c r="E641" s="35" t="str">
        <x:v>Primary VLA</x:v>
      </x:c>
      <x:c r="F641" s="35" t="str">
        <x:v>VLA-0</x:v>
      </x:c>
      <x:c r="G641" s="35" t="n">
        <x:v>2</x:v>
      </x:c>
      <x:c r="H641" s="35" t="str">
        <x:v>State Recognition</x:v>
      </x:c>
      <x:c r="I641" s="35" t="str">
        <x:v>Language ablation — counterfactual</x:v>
      </x:c>
      <x:c r="J641" s="35" t="str">
        <x:v>PVLA-ST-ABL-CF-03</x:v>
      </x:c>
      <x:c r="K641" s="35" t="str">
        <x:v>S-CF13</x:v>
      </x:c>
      <x:c r="L641" s="31" t="str">
        <x:v>Place the open brown cup in the bowl.</x:v>
      </x:c>
      <x:c r="M641" s="31" t="str">
        <x:v>Place the open brown cup in the bowl.</x:v>
      </x:c>
      <x:c r="N641" s="31" t="str">
        <x:v>S-CF13-HELD: P1 brown cup A=C/UR [TARGET]; P2 brown cup B=O/UR [COMPETITOR]; P3 glass spice container A=C/UD; P4 white cup B=O/UD.</x:v>
      </x:c>
      <x:c r="O641" s="31" t="str">
        <x:v>brown cup B</x:v>
      </x:c>
      <x:c r="P641" s="31" t="str"/>
      <x:c r="Q641" s="31" t="str"/>
      <x:c r="R641" s="31" t="str"/>
      <x:c r="S641" s="31" t="str">
        <x:f>IF('Blind Scoring'!I641="","",'Blind Scoring'!I641)</x:f>
      </x:c>
      <x:c r="T641" s="31" t="str">
        <x:f>'Blind Scoring'!J641</x:f>
        <x:v>No</x:v>
      </x:c>
      <x:c r="U641" s="31" t="str">
        <x:f>IF('Blind Scoring'!L641="","",'Blind Scoring'!L641)</x:f>
      </x:c>
    </x:row>
    <x:row r="642" ht="44" customHeight="1">
      <x:c r="A642" s="35" t="str">
        <x:v>Not Started</x:v>
      </x:c>
      <x:c r="B642" s="35" t="n">
        <x:v>640</x:v>
      </x:c>
      <x:c r="C642" s="35" t="str">
        <x:v>P11</x:v>
      </x:c>
      <x:c r="D642" s="35" t="n">
        <x:v>21</x:v>
      </x:c>
      <x:c r="E642" s="35" t="str">
        <x:v>Primary VLA</x:v>
      </x:c>
      <x:c r="F642" s="35" t="str">
        <x:v>VLA-0</x:v>
      </x:c>
      <x:c r="G642" s="35" t="n">
        <x:v>2</x:v>
      </x:c>
      <x:c r="H642" s="35" t="str">
        <x:v>State Recognition</x:v>
      </x:c>
      <x:c r="I642" s="35" t="str">
        <x:v>Exact-scene paraphrase</x:v>
      </x:c>
      <x:c r="J642" s="35" t="str">
        <x:v>PVLA-ST-PAR-05</x:v>
      </x:c>
      <x:c r="K642" s="35" t="str">
        <x:v>S-CF12</x:v>
      </x:c>
      <x:c r="L642" s="31" t="str">
        <x:v>Move the overturned white cup into the bowl.</x:v>
      </x:c>
      <x:c r="M642" s="31" t="str">
        <x:v>Move the overturned white cup into the bowl.</x:v>
      </x:c>
      <x:c r="N642" s="31" t="str">
        <x:v>S-CF12-PARA: P1 white cup A=C/UD [COMPETITOR]; P2 yellow-white striped cup B=O/UR; P3 brown cup A=O/UD; P4 white cup B=C/UR [TARGET].</x:v>
      </x:c>
      <x:c r="O642" s="31" t="str">
        <x:v>white cup A</x:v>
      </x:c>
      <x:c r="P642" s="31" t="str"/>
      <x:c r="Q642" s="31" t="str"/>
      <x:c r="R642" s="31" t="str"/>
      <x:c r="S642" s="31" t="str">
        <x:f>IF('Blind Scoring'!I642="","",'Blind Scoring'!I642)</x:f>
      </x:c>
      <x:c r="T642" s="31" t="str">
        <x:f>'Blind Scoring'!J642</x:f>
        <x:v>No</x:v>
      </x:c>
      <x:c r="U642" s="31" t="str">
        <x:f>IF('Blind Scoring'!L642="","",'Blind Scoring'!L642)</x:f>
      </x:c>
    </x:row>
    <x:row r="643" ht="44" customHeight="1">
      <x:c r="A643" s="35" t="str">
        <x:v>Not Started</x:v>
      </x:c>
      <x:c r="B643" s="35" t="n">
        <x:v>641</x:v>
      </x:c>
      <x:c r="C643" s="35" t="str">
        <x:v>P11</x:v>
      </x:c>
      <x:c r="D643" s="35" t="n">
        <x:v>22</x:v>
      </x:c>
      <x:c r="E643" s="35" t="str">
        <x:v>Primary VLA</x:v>
      </x:c>
      <x:c r="F643" s="35" t="str">
        <x:v>VLA-0</x:v>
      </x:c>
      <x:c r="G643" s="35" t="n">
        <x:v>2</x:v>
      </x:c>
      <x:c r="H643" s="35" t="str">
        <x:v>State Recognition</x:v>
      </x:c>
      <x:c r="I643" s="35" t="str">
        <x:v>Language ablation — counterfactual</x:v>
      </x:c>
      <x:c r="J643" s="35" t="str">
        <x:v>PVLA-ST-ABL-CF-01</x:v>
      </x:c>
      <x:c r="K643" s="35" t="str">
        <x:v>S-CF09</x:v>
      </x:c>
      <x:c r="L643" s="31" t="str">
        <x:v>Place the open white cup in the bowl.</x:v>
      </x:c>
      <x:c r="M643" s="31" t="str">
        <x:v>Place the open white cup in the bowl.</x:v>
      </x:c>
      <x:c r="N643" s="31" t="str">
        <x:v>S-CF09-HELD: P1 white cup A=C/UR [TARGET]; P2 white cup B=O/UR [COMPETITOR]; P3 yellow-white striped cup A=C/UD; P4 brown cup B=O/UD.</x:v>
      </x:c>
      <x:c r="O643" s="31" t="str">
        <x:v>white cup B</x:v>
      </x:c>
      <x:c r="P643" s="31" t="str"/>
      <x:c r="Q643" s="31" t="str"/>
      <x:c r="R643" s="31" t="str"/>
      <x:c r="S643" s="31" t="str">
        <x:f>IF('Blind Scoring'!I643="","",'Blind Scoring'!I643)</x:f>
      </x:c>
      <x:c r="T643" s="31" t="str">
        <x:f>'Blind Scoring'!J643</x:f>
        <x:v>No</x:v>
      </x:c>
      <x:c r="U643" s="31" t="str">
        <x:f>IF('Blind Scoring'!L643="","",'Blind Scoring'!L643)</x:f>
      </x:c>
    </x:row>
    <x:row r="644" ht="44" customHeight="1">
      <x:c r="A644" s="35" t="str">
        <x:v>Not Started</x:v>
      </x:c>
      <x:c r="B644" s="35" t="n">
        <x:v>642</x:v>
      </x:c>
      <x:c r="C644" s="35" t="str">
        <x:v>P11</x:v>
      </x:c>
      <x:c r="D644" s="35" t="n">
        <x:v>23</x:v>
      </x:c>
      <x:c r="E644" s="35" t="str">
        <x:v>Primary VLA</x:v>
      </x:c>
      <x:c r="F644" s="35" t="str">
        <x:v>VLA-0</x:v>
      </x:c>
      <x:c r="G644" s="35" t="n">
        <x:v>2</x:v>
      </x:c>
      <x:c r="H644" s="35" t="str">
        <x:v>State Recognition</x:v>
      </x:c>
      <x:c r="I644" s="35" t="str">
        <x:v>Main matched control</x:v>
      </x:c>
      <x:c r="J644" s="35" t="str">
        <x:v>PVLA-ST-CTL-04</x:v>
      </x:c>
      <x:c r="K644" s="35" t="str">
        <x:v>S-CF07</x:v>
      </x:c>
      <x:c r="L644" s="31" t="str">
        <x:v>Place a yellow-white striped cup in the bowl.</x:v>
      </x:c>
      <x:c r="M644" s="31" t="str">
        <x:v>Place a yellow-white striped cup in the bowl.</x:v>
      </x:c>
      <x:c r="N644" s="31" t="str">
        <x:v>S-CF07-CTRL: P1 brown cup A=C/UR; P2 glass spice container A=O/UR; P3 yellow-white striped cup A=C/UD [TARGET].</x:v>
      </x:c>
      <x:c r="O644" s="31" t="str">
        <x:v>yellow-white striped cup A</x:v>
      </x:c>
      <x:c r="P644" s="31" t="str"/>
      <x:c r="Q644" s="31" t="str"/>
      <x:c r="R644" s="31" t="str"/>
      <x:c r="S644" s="31" t="str">
        <x:f>IF('Blind Scoring'!I644="","",'Blind Scoring'!I644)</x:f>
      </x:c>
      <x:c r="T644" s="31" t="str">
        <x:f>'Blind Scoring'!J644</x:f>
        <x:v>No</x:v>
      </x:c>
      <x:c r="U644" s="31" t="str">
        <x:f>IF('Blind Scoring'!L644="","",'Blind Scoring'!L644)</x:f>
      </x:c>
    </x:row>
    <x:row r="645" ht="44" customHeight="1">
      <x:c r="A645" s="35" t="str">
        <x:v>Not Started</x:v>
      </x:c>
      <x:c r="B645" s="35" t="n">
        <x:v>643</x:v>
      </x:c>
      <x:c r="C645" s="35" t="str">
        <x:v>P11</x:v>
      </x:c>
      <x:c r="D645" s="35" t="n">
        <x:v>24</x:v>
      </x:c>
      <x:c r="E645" s="35" t="str">
        <x:v>Primary VLA</x:v>
      </x:c>
      <x:c r="F645" s="35" t="str">
        <x:v>VLA-0</x:v>
      </x:c>
      <x:c r="G645" s="35" t="n">
        <x:v>2</x:v>
      </x:c>
      <x:c r="H645" s="35" t="str">
        <x:v>State Recognition</x:v>
      </x:c>
      <x:c r="I645" s="35" t="str">
        <x:v>Main held-out transfer</x:v>
      </x:c>
      <x:c r="J645" s="35" t="str">
        <x:v>PVLA-ST-TR-06</x:v>
      </x:c>
      <x:c r="K645" s="35" t="str">
        <x:v>S-CF11</x:v>
      </x:c>
      <x:c r="L645" s="31" t="str">
        <x:v>Place the closed glass spice container in the bowl.</x:v>
      </x:c>
      <x:c r="M645" s="31" t="str">
        <x:v>Place the closed glass spice container in the bowl.</x:v>
      </x:c>
      <x:c r="N645" s="31" t="str">
        <x:v>S-CF11-HELD: P1 white cup A=C/UR; P2 yellow-white striped cup A=O/UR; P3 glass spice container B=C/UD [TARGET]; P4 glass spice container A=O/UD [COMPETITOR].</x:v>
      </x:c>
      <x:c r="O645" s="31" t="str">
        <x:v>glass spice container B</x:v>
      </x:c>
      <x:c r="P645" s="31" t="str"/>
      <x:c r="Q645" s="31" t="str"/>
      <x:c r="R645" s="31" t="str"/>
      <x:c r="S645" s="31" t="str">
        <x:f>IF('Blind Scoring'!I645="","",'Blind Scoring'!I645)</x:f>
      </x:c>
      <x:c r="T645" s="31" t="str">
        <x:f>'Blind Scoring'!J645</x:f>
        <x:v>No</x:v>
      </x:c>
      <x:c r="U645" s="31" t="str">
        <x:f>IF('Blind Scoring'!L645="","",'Blind Scoring'!L645)</x:f>
      </x:c>
    </x:row>
    <x:row r="646" ht="44" customHeight="1">
      <x:c r="A646" s="35" t="str">
        <x:v>Not Started</x:v>
      </x:c>
      <x:c r="B646" s="35" t="n">
        <x:v>644</x:v>
      </x:c>
      <x:c r="C646" s="35" t="str">
        <x:v>P11</x:v>
      </x:c>
      <x:c r="D646" s="35" t="n">
        <x:v>25</x:v>
      </x:c>
      <x:c r="E646" s="35" t="str">
        <x:v>Primary VLA</x:v>
      </x:c>
      <x:c r="F646" s="35" t="str">
        <x:v>VLA-0</x:v>
      </x:c>
      <x:c r="G646" s="35" t="n">
        <x:v>2</x:v>
      </x:c>
      <x:c r="H646" s="35" t="str">
        <x:v>State Recognition</x:v>
      </x:c>
      <x:c r="I646" s="35" t="str">
        <x:v>Exact-scene paraphrase</x:v>
      </x:c>
      <x:c r="J646" s="35" t="str">
        <x:v>PVLA-ST-PAR-08</x:v>
      </x:c>
      <x:c r="K646" s="35" t="str">
        <x:v>S-CF20</x:v>
      </x:c>
      <x:c r="L646" s="31" t="str">
        <x:v>Find the white cup that is turned upside down and move it into the bowl.</x:v>
      </x:c>
      <x:c r="M646" s="31" t="str">
        <x:v>Find the white cup that is turned upside down and move it into the bowl.</x:v>
      </x:c>
      <x:c r="N646" s="31" t="str">
        <x:v>S-CF20-PARA: P1 white cup A=C/UD [COMPETITOR]; P2 yellow-white striped cup B=O/UR; P3 brown cup A=O/UD; P4 white cup B=C/UR [TARGET].</x:v>
      </x:c>
      <x:c r="O646" s="31" t="str">
        <x:v>white cup A</x:v>
      </x:c>
      <x:c r="P646" s="31" t="str"/>
      <x:c r="Q646" s="31" t="str"/>
      <x:c r="R646" s="31" t="str"/>
      <x:c r="S646" s="31" t="str">
        <x:f>IF('Blind Scoring'!I646="","",'Blind Scoring'!I646)</x:f>
      </x:c>
      <x:c r="T646" s="31" t="str">
        <x:f>'Blind Scoring'!J646</x:f>
        <x:v>No</x:v>
      </x:c>
      <x:c r="U646" s="31" t="str">
        <x:f>IF('Blind Scoring'!L646="","",'Blind Scoring'!L646)</x:f>
      </x:c>
    </x:row>
    <x:row r="647" ht="44" customHeight="1">
      <x:c r="A647" s="35" t="str">
        <x:v>Not Started</x:v>
      </x:c>
      <x:c r="B647" s="35" t="n">
        <x:v>645</x:v>
      </x:c>
      <x:c r="C647" s="35" t="str">
        <x:v>P11</x:v>
      </x:c>
      <x:c r="D647" s="35" t="n">
        <x:v>26</x:v>
      </x:c>
      <x:c r="E647" s="35" t="str">
        <x:v>Primary VLA</x:v>
      </x:c>
      <x:c r="F647" s="35" t="str">
        <x:v>VLA-0</x:v>
      </x:c>
      <x:c r="G647" s="35" t="n">
        <x:v>2</x:v>
      </x:c>
      <x:c r="H647" s="35" t="str">
        <x:v>State Recognition</x:v>
      </x:c>
      <x:c r="I647" s="35" t="str">
        <x:v>Language ablation — blank</x:v>
      </x:c>
      <x:c r="J647" s="35" t="str">
        <x:v>PVLA-ST-ABL-BLK-01</x:v>
      </x:c>
      <x:c r="K647" s="35" t="str">
        <x:v>S-CF01</x:v>
      </x:c>
      <x:c r="L647" s="31" t="str">
        <x:v>[EMPTY STRING — provide no instruction tokens]</x:v>
      </x:c>
      <x:c r="M647" s="31" t="str">
        <x:v>Place the closed white cup in the bowl.</x:v>
      </x:c>
      <x:c r="N647" s="31" t="str">
        <x:v>S-CF01-HELD: P1 white cup A=C/UR [TARGET]; P2 white cup B=O/UR [COMPETITOR]; P3 yellow-white striped cup A=C/UD; P4 brown cup B=O/UD.</x:v>
      </x:c>
      <x:c r="O647" s="31" t="str">
        <x:v>No prespecified task success under blank language; record any action/selected target.</x:v>
      </x:c>
      <x:c r="P647" s="31" t="str"/>
      <x:c r="Q647" s="31" t="str"/>
      <x:c r="R647" s="31" t="str"/>
      <x:c r="S647" s="31" t="str">
        <x:f>IF('Blind Scoring'!I647="","",'Blind Scoring'!I647)</x:f>
      </x:c>
      <x:c r="T647" s="31" t="str">
        <x:f>'Blind Scoring'!J647</x:f>
        <x:v>No</x:v>
      </x:c>
      <x:c r="U647" s="31" t="str">
        <x:f>IF('Blind Scoring'!L647="","",'Blind Scoring'!L647)</x:f>
      </x:c>
    </x:row>
    <x:row r="648" ht="44" customHeight="1">
      <x:c r="A648" s="35" t="str">
        <x:v>Not Started</x:v>
      </x:c>
      <x:c r="B648" s="35" t="n">
        <x:v>646</x:v>
      </x:c>
      <x:c r="C648" s="35" t="str">
        <x:v>P11</x:v>
      </x:c>
      <x:c r="D648" s="35" t="n">
        <x:v>27</x:v>
      </x:c>
      <x:c r="E648" s="35" t="str">
        <x:v>Primary VLA</x:v>
      </x:c>
      <x:c r="F648" s="35" t="str">
        <x:v>VLA-0</x:v>
      </x:c>
      <x:c r="G648" s="35" t="n">
        <x:v>2</x:v>
      </x:c>
      <x:c r="H648" s="35" t="str">
        <x:v>State Recognition</x:v>
      </x:c>
      <x:c r="I648" s="35" t="str">
        <x:v>Exact-scene paraphrase</x:v>
      </x:c>
      <x:c r="J648" s="35" t="str">
        <x:v>PVLA-ST-PAR-01</x:v>
      </x:c>
      <x:c r="K648" s="35" t="str">
        <x:v>S-CF01</x:v>
      </x:c>
      <x:c r="L648" s="31" t="str">
        <x:v>Put the open white cup in the bowl.</x:v>
      </x:c>
      <x:c r="M648" s="31" t="str">
        <x:v>Put the open white cup in the bowl.</x:v>
      </x:c>
      <x:c r="N648" s="31" t="str">
        <x:v>S-CF01-PARA: P1 white cup A=C/UR [TARGET]; P2 white cup B=O/UR [COMPETITOR]; P3 yellow-white striped cup A=C/UD; P4 brown cup B=O/UD.</x:v>
      </x:c>
      <x:c r="O648" s="31" t="str">
        <x:v>white cup B</x:v>
      </x:c>
      <x:c r="P648" s="31" t="str"/>
      <x:c r="Q648" s="31" t="str"/>
      <x:c r="R648" s="31" t="str"/>
      <x:c r="S648" s="31" t="str">
        <x:f>IF('Blind Scoring'!I648="","",'Blind Scoring'!I648)</x:f>
      </x:c>
      <x:c r="T648" s="31" t="str">
        <x:f>'Blind Scoring'!J648</x:f>
        <x:v>No</x:v>
      </x:c>
      <x:c r="U648" s="31" t="str">
        <x:f>IF('Blind Scoring'!L648="","",'Blind Scoring'!L648)</x:f>
      </x:c>
    </x:row>
    <x:row r="649" ht="44" customHeight="1">
      <x:c r="A649" s="35" t="str">
        <x:v>Not Started</x:v>
      </x:c>
      <x:c r="B649" s="35" t="n">
        <x:v>647</x:v>
      </x:c>
      <x:c r="C649" s="35" t="str">
        <x:v>P11</x:v>
      </x:c>
      <x:c r="D649" s="35" t="n">
        <x:v>28</x:v>
      </x:c>
      <x:c r="E649" s="35" t="str">
        <x:v>Primary VLA</x:v>
      </x:c>
      <x:c r="F649" s="35" t="str">
        <x:v>VLA-0</x:v>
      </x:c>
      <x:c r="G649" s="35" t="n">
        <x:v>2</x:v>
      </x:c>
      <x:c r="H649" s="35" t="str">
        <x:v>State Recognition</x:v>
      </x:c>
      <x:c r="I649" s="35" t="str">
        <x:v>Main held-out transfer</x:v>
      </x:c>
      <x:c r="J649" s="35" t="str">
        <x:v>PVLA-ST-TR-12</x:v>
      </x:c>
      <x:c r="K649" s="35" t="str">
        <x:v>S-CF22</x:v>
      </x:c>
      <x:c r="L649" s="31" t="str">
        <x:v>Place the upright glass spice container in the bowl.</x:v>
      </x:c>
      <x:c r="M649" s="31" t="str">
        <x:v>Place the upright glass spice container in the bowl.</x:v>
      </x:c>
      <x:c r="N649" s="31" t="str">
        <x:v>S-CF22-HELD: P1 white cup B=C/UR; P2 glass spice container A=O/UR [TARGET]; P3 glass spice container B=O/UD [COMPETITOR]; P4 yellow-white striped cup B=C/UD.</x:v>
      </x:c>
      <x:c r="O649" s="31" t="str">
        <x:v>glass spice container A</x:v>
      </x:c>
      <x:c r="P649" s="31" t="str"/>
      <x:c r="Q649" s="31" t="str"/>
      <x:c r="R649" s="31" t="str"/>
      <x:c r="S649" s="31" t="str">
        <x:f>IF('Blind Scoring'!I649="","",'Blind Scoring'!I649)</x:f>
      </x:c>
      <x:c r="T649" s="31" t="str">
        <x:f>'Blind Scoring'!J649</x:f>
        <x:v>No</x:v>
      </x:c>
      <x:c r="U649" s="31" t="str">
        <x:f>IF('Blind Scoring'!L649="","",'Blind Scoring'!L649)</x:f>
      </x:c>
    </x:row>
    <x:row r="650" ht="44" customHeight="1">
      <x:c r="A650" s="35" t="str">
        <x:v>Not Started</x:v>
      </x:c>
      <x:c r="B650" s="35" t="n">
        <x:v>648</x:v>
      </x:c>
      <x:c r="C650" s="35" t="str">
        <x:v>P11</x:v>
      </x:c>
      <x:c r="D650" s="35" t="n">
        <x:v>29</x:v>
      </x:c>
      <x:c r="E650" s="35" t="str">
        <x:v>Primary VLA</x:v>
      </x:c>
      <x:c r="F650" s="35" t="str">
        <x:v>VLA-0</x:v>
      </x:c>
      <x:c r="G650" s="35" t="n">
        <x:v>2</x:v>
      </x:c>
      <x:c r="H650" s="35" t="str">
        <x:v>State Recognition</x:v>
      </x:c>
      <x:c r="I650" s="35" t="str">
        <x:v>Exact-scene paraphrase</x:v>
      </x:c>
      <x:c r="J650" s="35" t="str">
        <x:v>PVLA-ST-PAR-06</x:v>
      </x:c>
      <x:c r="K650" s="35" t="str">
        <x:v>S-CF15</x:v>
      </x:c>
      <x:c r="L650" s="31" t="str">
        <x:v>Move the yellow-white striped cup that is open into the bowl.</x:v>
      </x:c>
      <x:c r="M650" s="31" t="str">
        <x:v>Move the yellow-white striped cup that is open into the bowl.</x:v>
      </x:c>
      <x:c r="N650" s="31" t="str">
        <x:v>S-CF15-PARA: P1 brown cup A=C/UR; P2 glass spice container A=O/UR; P3 yellow-white striped cup A=C/UD [TARGET]; P4 yellow-white striped cup B=O/UD [COMPETITOR].</x:v>
      </x:c>
      <x:c r="O650" s="31" t="str">
        <x:v>yellow-white striped cup B</x:v>
      </x:c>
      <x:c r="P650" s="31" t="str"/>
      <x:c r="Q650" s="31" t="str"/>
      <x:c r="R650" s="31" t="str"/>
      <x:c r="S650" s="31" t="str">
        <x:f>IF('Blind Scoring'!I650="","",'Blind Scoring'!I650)</x:f>
      </x:c>
      <x:c r="T650" s="31" t="str">
        <x:f>'Blind Scoring'!J650</x:f>
        <x:v>No</x:v>
      </x:c>
      <x:c r="U650" s="31" t="str">
        <x:f>IF('Blind Scoring'!L650="","",'Blind Scoring'!L650)</x:f>
      </x:c>
    </x:row>
    <x:row r="651" ht="44" customHeight="1">
      <x:c r="A651" s="35" t="str">
        <x:v>Not Started</x:v>
      </x:c>
      <x:c r="B651" s="35" t="n">
        <x:v>649</x:v>
      </x:c>
      <x:c r="C651" s="35" t="str">
        <x:v>P11</x:v>
      </x:c>
      <x:c r="D651" s="35" t="n">
        <x:v>30</x:v>
      </x:c>
      <x:c r="E651" s="35" t="str">
        <x:v>Primary VLA</x:v>
      </x:c>
      <x:c r="F651" s="35" t="str">
        <x:v>VLA-0</x:v>
      </x:c>
      <x:c r="G651" s="35" t="n">
        <x:v>2</x:v>
      </x:c>
      <x:c r="H651" s="35" t="str">
        <x:v>State Recognition</x:v>
      </x:c>
      <x:c r="I651" s="35" t="str">
        <x:v>Main held-out transfer</x:v>
      </x:c>
      <x:c r="J651" s="35" t="str">
        <x:v>PVLA-ST-TR-03</x:v>
      </x:c>
      <x:c r="K651" s="35" t="str">
        <x:v>S-CF05</x:v>
      </x:c>
      <x:c r="L651" s="31" t="str">
        <x:v>Place the closed brown cup in the bowl.</x:v>
      </x:c>
      <x:c r="M651" s="31" t="str">
        <x:v>Place the closed brown cup in the bowl.</x:v>
      </x:c>
      <x:c r="N651" s="31" t="str">
        <x:v>S-CF05-HELD: P1 brown cup A=C/UR [TARGET]; P2 brown cup B=O/UR [COMPETITOR]; P3 glass spice container A=C/UD; P4 white cup B=O/UD.</x:v>
      </x:c>
      <x:c r="O651" s="31" t="str">
        <x:v>brown cup A</x:v>
      </x:c>
      <x:c r="P651" s="31" t="str"/>
      <x:c r="Q651" s="31" t="str"/>
      <x:c r="R651" s="31" t="str"/>
      <x:c r="S651" s="31" t="str">
        <x:f>IF('Blind Scoring'!I651="","",'Blind Scoring'!I651)</x:f>
      </x:c>
      <x:c r="T651" s="31" t="str">
        <x:f>'Blind Scoring'!J651</x:f>
        <x:v>No</x:v>
      </x:c>
      <x:c r="U651" s="31" t="str">
        <x:f>IF('Blind Scoring'!L651="","",'Blind Scoring'!L651)</x:f>
      </x:c>
    </x:row>
    <x:row r="652" ht="44" customHeight="1">
      <x:c r="A652" s="35" t="str">
        <x:v>Not Started</x:v>
      </x:c>
      <x:c r="B652" s="35" t="n">
        <x:v>650</x:v>
      </x:c>
      <x:c r="C652" s="35" t="str">
        <x:v>P11</x:v>
      </x:c>
      <x:c r="D652" s="35" t="n">
        <x:v>31</x:v>
      </x:c>
      <x:c r="E652" s="35" t="str">
        <x:v>Primary VLA</x:v>
      </x:c>
      <x:c r="F652" s="35" t="str">
        <x:v>VLA-0</x:v>
      </x:c>
      <x:c r="G652" s="35" t="n">
        <x:v>2</x:v>
      </x:c>
      <x:c r="H652" s="35" t="str">
        <x:v>State Recognition</x:v>
      </x:c>
      <x:c r="I652" s="35" t="str">
        <x:v>Main matched control</x:v>
      </x:c>
      <x:c r="J652" s="35" t="str">
        <x:v>PVLA-ST-CTL-08</x:v>
      </x:c>
      <x:c r="K652" s="35" t="str">
        <x:v>S-CF15</x:v>
      </x:c>
      <x:c r="L652" s="31" t="str">
        <x:v>Place a yellow-white striped cup in the bowl.</x:v>
      </x:c>
      <x:c r="M652" s="31" t="str">
        <x:v>Place a yellow-white striped cup in the bowl.</x:v>
      </x:c>
      <x:c r="N652" s="31" t="str">
        <x:v>S-CF15-CTRL: P1 brown cup A=C/UR; P2 glass spice container A=O/UR; P3 yellow-white striped cup A=C/UD [TARGET].</x:v>
      </x:c>
      <x:c r="O652" s="31" t="str">
        <x:v>yellow-white striped cup A</x:v>
      </x:c>
      <x:c r="P652" s="31" t="str"/>
      <x:c r="Q652" s="31" t="str"/>
      <x:c r="R652" s="31" t="str"/>
      <x:c r="S652" s="31" t="str">
        <x:f>IF('Blind Scoring'!I652="","",'Blind Scoring'!I652)</x:f>
      </x:c>
      <x:c r="T652" s="31" t="str">
        <x:f>'Blind Scoring'!J652</x:f>
        <x:v>No</x:v>
      </x:c>
      <x:c r="U652" s="31" t="str">
        <x:f>IF('Blind Scoring'!L652="","",'Blind Scoring'!L652)</x:f>
      </x:c>
    </x:row>
    <x:row r="653" ht="44" customHeight="1">
      <x:c r="A653" s="35" t="str">
        <x:v>Not Started</x:v>
      </x:c>
      <x:c r="B653" s="35" t="n">
        <x:v>651</x:v>
      </x:c>
      <x:c r="C653" s="35" t="str">
        <x:v>P11</x:v>
      </x:c>
      <x:c r="D653" s="35" t="n">
        <x:v>32</x:v>
      </x:c>
      <x:c r="E653" s="35" t="str">
        <x:v>Primary VLA</x:v>
      </x:c>
      <x:c r="F653" s="35" t="str">
        <x:v>VLA-0</x:v>
      </x:c>
      <x:c r="G653" s="35" t="n">
        <x:v>2</x:v>
      </x:c>
      <x:c r="H653" s="35" t="str">
        <x:v>State Recognition</x:v>
      </x:c>
      <x:c r="I653" s="35" t="str">
        <x:v>Main held-out transfer</x:v>
      </x:c>
      <x:c r="J653" s="35" t="str">
        <x:v>PVLA-ST-TR-05</x:v>
      </x:c>
      <x:c r="K653" s="35" t="str">
        <x:v>S-CF09</x:v>
      </x:c>
      <x:c r="L653" s="31" t="str">
        <x:v>Place the closed white cup in the bowl.</x:v>
      </x:c>
      <x:c r="M653" s="31" t="str">
        <x:v>Place the closed white cup in the bowl.</x:v>
      </x:c>
      <x:c r="N653" s="31" t="str">
        <x:v>S-CF09-HELD: P1 white cup A=C/UR [TARGET]; P2 white cup B=O/UR [COMPETITOR]; P3 yellow-white striped cup A=C/UD; P4 brown cup B=O/UD.</x:v>
      </x:c>
      <x:c r="O653" s="31" t="str">
        <x:v>white cup A</x:v>
      </x:c>
      <x:c r="P653" s="31" t="str"/>
      <x:c r="Q653" s="31" t="str"/>
      <x:c r="R653" s="31" t="str"/>
      <x:c r="S653" s="31" t="str">
        <x:f>IF('Blind Scoring'!I653="","",'Blind Scoring'!I653)</x:f>
      </x:c>
      <x:c r="T653" s="31" t="str">
        <x:f>'Blind Scoring'!J653</x:f>
        <x:v>No</x:v>
      </x:c>
      <x:c r="U653" s="31" t="str">
        <x:f>IF('Blind Scoring'!L653="","",'Blind Scoring'!L653)</x:f>
      </x:c>
    </x:row>
    <x:row r="654" ht="44" customHeight="1">
      <x:c r="A654" s="35" t="str">
        <x:v>Not Started</x:v>
      </x:c>
      <x:c r="B654" s="35" t="n">
        <x:v>652</x:v>
      </x:c>
      <x:c r="C654" s="35" t="str">
        <x:v>P11</x:v>
      </x:c>
      <x:c r="D654" s="35" t="n">
        <x:v>33</x:v>
      </x:c>
      <x:c r="E654" s="35" t="str">
        <x:v>Primary VLA</x:v>
      </x:c>
      <x:c r="F654" s="35" t="str">
        <x:v>VLA-0</x:v>
      </x:c>
      <x:c r="G654" s="35" t="n">
        <x:v>2</x:v>
      </x:c>
      <x:c r="H654" s="35" t="str">
        <x:v>State Recognition</x:v>
      </x:c>
      <x:c r="I654" s="35" t="str">
        <x:v>Main held-out transfer</x:v>
      </x:c>
      <x:c r="J654" s="35" t="str">
        <x:v>PVLA-ST-TR-15</x:v>
      </x:c>
      <x:c r="K654" s="35" t="str">
        <x:v>S-CF28</x:v>
      </x:c>
      <x:c r="L654" s="31" t="str">
        <x:v>Place the upright white cup in the bowl.</x:v>
      </x:c>
      <x:c r="M654" s="31" t="str">
        <x:v>Place the upright white cup in the bowl.</x:v>
      </x:c>
      <x:c r="N654" s="31" t="str">
        <x:v>S-CF28-HELD: P1 white cup A=C/UD [COMPETITOR]; P2 yellow-white striped cup B=O/UR; P3 brown cup A=O/UD; P4 white cup B=C/UR [TARGET].</x:v>
      </x:c>
      <x:c r="O654" s="31" t="str">
        <x:v>white cup B</x:v>
      </x:c>
      <x:c r="P654" s="31" t="str"/>
      <x:c r="Q654" s="31" t="str"/>
      <x:c r="R654" s="31" t="str"/>
      <x:c r="S654" s="31" t="str">
        <x:f>IF('Blind Scoring'!I654="","",'Blind Scoring'!I654)</x:f>
      </x:c>
      <x:c r="T654" s="31" t="str">
        <x:f>'Blind Scoring'!J654</x:f>
        <x:v>No</x:v>
      </x:c>
      <x:c r="U654" s="31" t="str">
        <x:f>IF('Blind Scoring'!L654="","",'Blind Scoring'!L654)</x:f>
      </x:c>
    </x:row>
    <x:row r="655" ht="44" customHeight="1">
      <x:c r="A655" s="35" t="str">
        <x:v>Not Started</x:v>
      </x:c>
      <x:c r="B655" s="35" t="n">
        <x:v>653</x:v>
      </x:c>
      <x:c r="C655" s="35" t="str">
        <x:v>P11</x:v>
      </x:c>
      <x:c r="D655" s="35" t="n">
        <x:v>34</x:v>
      </x:c>
      <x:c r="E655" s="35" t="str">
        <x:v>Primary VLA</x:v>
      </x:c>
      <x:c r="F655" s="35" t="str">
        <x:v>VLA-0</x:v>
      </x:c>
      <x:c r="G655" s="35" t="n">
        <x:v>2</x:v>
      </x:c>
      <x:c r="H655" s="35" t="str">
        <x:v>State Recognition</x:v>
      </x:c>
      <x:c r="I655" s="35" t="str">
        <x:v>Main held-out transfer</x:v>
      </x:c>
      <x:c r="J655" s="35" t="str">
        <x:v>PVLA-ST-TR-14</x:v>
      </x:c>
      <x:c r="K655" s="35" t="str">
        <x:v>S-CF26</x:v>
      </x:c>
      <x:c r="L655" s="31" t="str">
        <x:v>Place the upright yellow-white striped cup in the bowl.</x:v>
      </x:c>
      <x:c r="M655" s="31" t="str">
        <x:v>Place the upright yellow-white striped cup in the bowl.</x:v>
      </x:c>
      <x:c r="N655" s="31" t="str">
        <x:v>S-CF26-HELD: P1 brown cup B=C/UR; P2 yellow-white striped cup B=O/UR [TARGET]; P3 yellow-white striped cup A=O/UD [COMPETITOR]; P4 glass spice container B=C/UD.</x:v>
      </x:c>
      <x:c r="O655" s="31" t="str">
        <x:v>yellow-white striped cup B</x:v>
      </x:c>
      <x:c r="P655" s="31" t="str"/>
      <x:c r="Q655" s="31" t="str"/>
      <x:c r="R655" s="31" t="str"/>
      <x:c r="S655" s="31" t="str">
        <x:f>IF('Blind Scoring'!I655="","",'Blind Scoring'!I655)</x:f>
      </x:c>
      <x:c r="T655" s="31" t="str">
        <x:f>'Blind Scoring'!J655</x:f>
        <x:v>No</x:v>
      </x:c>
      <x:c r="U655" s="31" t="str">
        <x:f>IF('Blind Scoring'!L655="","",'Blind Scoring'!L655)</x:f>
      </x:c>
    </x:row>
    <x:row r="656" ht="44" customHeight="1">
      <x:c r="A656" s="35" t="str">
        <x:v>Not Started</x:v>
      </x:c>
      <x:c r="B656" s="35" t="n">
        <x:v>654</x:v>
      </x:c>
      <x:c r="C656" s="35" t="str">
        <x:v>P11</x:v>
      </x:c>
      <x:c r="D656" s="35" t="n">
        <x:v>35</x:v>
      </x:c>
      <x:c r="E656" s="35" t="str">
        <x:v>Primary VLA</x:v>
      </x:c>
      <x:c r="F656" s="35" t="str">
        <x:v>VLA-0</x:v>
      </x:c>
      <x:c r="G656" s="35" t="n">
        <x:v>2</x:v>
      </x:c>
      <x:c r="H656" s="35" t="str">
        <x:v>State Recognition</x:v>
      </x:c>
      <x:c r="I656" s="35" t="str">
        <x:v>Main matched control</x:v>
      </x:c>
      <x:c r="J656" s="35" t="str">
        <x:v>PVLA-ST-CTL-10</x:v>
      </x:c>
      <x:c r="K656" s="35" t="str">
        <x:v>S-CF18</x:v>
      </x:c>
      <x:c r="L656" s="31" t="str">
        <x:v>Place a yellow-white striped cup in the bowl.</x:v>
      </x:c>
      <x:c r="M656" s="31" t="str">
        <x:v>Place a yellow-white striped cup in the bowl.</x:v>
      </x:c>
      <x:c r="N656" s="31" t="str">
        <x:v>S-CF18-CTRL: P1 brown cup B=C/UR; P2 yellow-white striped cup B=O/UR [TARGET]; P4 glass spice container B=C/UD.</x:v>
      </x:c>
      <x:c r="O656" s="31" t="str">
        <x:v>yellow-white striped cup B</x:v>
      </x:c>
      <x:c r="P656" s="31" t="str"/>
      <x:c r="Q656" s="31" t="str"/>
      <x:c r="R656" s="31" t="str"/>
      <x:c r="S656" s="31" t="str">
        <x:f>IF('Blind Scoring'!I656="","",'Blind Scoring'!I656)</x:f>
      </x:c>
      <x:c r="T656" s="31" t="str">
        <x:f>'Blind Scoring'!J656</x:f>
        <x:v>No</x:v>
      </x:c>
      <x:c r="U656" s="31" t="str">
        <x:f>IF('Blind Scoring'!L656="","",'Blind Scoring'!L656)</x:f>
      </x:c>
    </x:row>
    <x:row r="657" ht="44" customHeight="1">
      <x:c r="A657" s="35" t="str">
        <x:v>Not Started</x:v>
      </x:c>
      <x:c r="B657" s="35" t="n">
        <x:v>655</x:v>
      </x:c>
      <x:c r="C657" s="35" t="str">
        <x:v>P11</x:v>
      </x:c>
      <x:c r="D657" s="35" t="n">
        <x:v>36</x:v>
      </x:c>
      <x:c r="E657" s="35" t="str">
        <x:v>Primary VLA</x:v>
      </x:c>
      <x:c r="F657" s="35" t="str">
        <x:v>VLA-0</x:v>
      </x:c>
      <x:c r="G657" s="35" t="n">
        <x:v>2</x:v>
      </x:c>
      <x:c r="H657" s="35" t="str">
        <x:v>State Recognition</x:v>
      </x:c>
      <x:c r="I657" s="35" t="str">
        <x:v>Main held-out transfer</x:v>
      </x:c>
      <x:c r="J657" s="35" t="str">
        <x:v>PVLA-ST-TR-02</x:v>
      </x:c>
      <x:c r="K657" s="35" t="str">
        <x:v>S-CF03</x:v>
      </x:c>
      <x:c r="L657" s="31" t="str">
        <x:v>Place the closed glass spice container in the bowl.</x:v>
      </x:c>
      <x:c r="M657" s="31" t="str">
        <x:v>Place the closed glass spice container in the bowl.</x:v>
      </x:c>
      <x:c r="N657" s="31" t="str">
        <x:v>S-CF03-HELD: P1 white cup A=C/UR; P2 yellow-white striped cup A=O/UR; P3 glass spice container B=C/UD [TARGET]; P4 glass spice container A=O/UD [COMPETITOR].</x:v>
      </x:c>
      <x:c r="O657" s="31" t="str">
        <x:v>glass spice container B</x:v>
      </x:c>
      <x:c r="P657" s="31" t="str"/>
      <x:c r="Q657" s="31" t="str"/>
      <x:c r="R657" s="31" t="str"/>
      <x:c r="S657" s="31" t="str">
        <x:f>IF('Blind Scoring'!I657="","",'Blind Scoring'!I657)</x:f>
      </x:c>
      <x:c r="T657" s="31" t="str">
        <x:f>'Blind Scoring'!J657</x:f>
        <x:v>No</x:v>
      </x:c>
      <x:c r="U657" s="31" t="str">
        <x:f>IF('Blind Scoring'!L657="","",'Blind Scoring'!L657)</x:f>
      </x:c>
    </x:row>
    <x:row r="658" ht="44" customHeight="1">
      <x:c r="A658" s="35" t="str">
        <x:v>Not Started</x:v>
      </x:c>
      <x:c r="B658" s="35" t="n">
        <x:v>656</x:v>
      </x:c>
      <x:c r="C658" s="35" t="str">
        <x:v>P11</x:v>
      </x:c>
      <x:c r="D658" s="35" t="n">
        <x:v>37</x:v>
      </x:c>
      <x:c r="E658" s="35" t="str">
        <x:v>Primary VLA</x:v>
      </x:c>
      <x:c r="F658" s="35" t="str">
        <x:v>VLA-0</x:v>
      </x:c>
      <x:c r="G658" s="35" t="n">
        <x:v>2</x:v>
      </x:c>
      <x:c r="H658" s="35" t="str">
        <x:v>State Recognition</x:v>
      </x:c>
      <x:c r="I658" s="35" t="str">
        <x:v>Training reconstruction</x:v>
      </x:c>
      <x:c r="J658" s="35" t="str">
        <x:v>PVLA-ST-REC-05</x:v>
      </x:c>
      <x:c r="K658" s="35" t="str"/>
      <x:c r="L658" s="31" t="str">
        <x:v>Put the open glass spice container in the bowl.</x:v>
      </x:c>
      <x:c r="M658" s="31" t="str">
        <x:v>Put the open glass spice container in the bowl.</x:v>
      </x:c>
      <x:c r="N658" s="31" t="str">
        <x:v>Reconstruct planned final training episode 160: glass spice container B, glass spice container A, yellow-white striped cup B; start=Home. Match camera, calibration, bowl pose, and object geometry exactly.</x:v>
      </x:c>
      <x:c r="O658" s="31" t="str">
        <x:v>glass spice container B</x:v>
      </x:c>
      <x:c r="P658" s="31" t="str"/>
      <x:c r="Q658" s="31" t="str"/>
      <x:c r="R658" s="31" t="str"/>
      <x:c r="S658" s="31" t="str">
        <x:f>IF('Blind Scoring'!I658="","",'Blind Scoring'!I658)</x:f>
      </x:c>
      <x:c r="T658" s="31" t="str">
        <x:f>'Blind Scoring'!J658</x:f>
        <x:v>No</x:v>
      </x:c>
      <x:c r="U658" s="31" t="str">
        <x:f>IF('Blind Scoring'!L658="","",'Blind Scoring'!L658)</x:f>
      </x:c>
    </x:row>
    <x:row r="659" ht="44" customHeight="1">
      <x:c r="A659" s="35" t="str">
        <x:v>Not Started</x:v>
      </x:c>
      <x:c r="B659" s="35" t="n">
        <x:v>657</x:v>
      </x:c>
      <x:c r="C659" s="35" t="str">
        <x:v>P11</x:v>
      </x:c>
      <x:c r="D659" s="35" t="n">
        <x:v>38</x:v>
      </x:c>
      <x:c r="E659" s="35" t="str">
        <x:v>Primary VLA</x:v>
      </x:c>
      <x:c r="F659" s="35" t="str">
        <x:v>VLA-0</x:v>
      </x:c>
      <x:c r="G659" s="35" t="n">
        <x:v>2</x:v>
      </x:c>
      <x:c r="H659" s="35" t="str">
        <x:v>State Recognition</x:v>
      </x:c>
      <x:c r="I659" s="35" t="str">
        <x:v>Main held-out transfer</x:v>
      </x:c>
      <x:c r="J659" s="35" t="str">
        <x:v>PVLA-ST-TR-13</x:v>
      </x:c>
      <x:c r="K659" s="35" t="str">
        <x:v>S-CF24</x:v>
      </x:c>
      <x:c r="L659" s="31" t="str">
        <x:v>Place the upright brown cup in the bowl.</x:v>
      </x:c>
      <x:c r="M659" s="31" t="str">
        <x:v>Place the upright brown cup in the bowl.</x:v>
      </x:c>
      <x:c r="N659" s="31" t="str">
        <x:v>S-CF24-HELD: P1 brown cup A=C/UD [COMPETITOR]; P2 glass spice container B=O/UR; P3 white cup A=O/UD; P4 brown cup B=C/UR [TARGET].</x:v>
      </x:c>
      <x:c r="O659" s="31" t="str">
        <x:v>brown cup B</x:v>
      </x:c>
      <x:c r="P659" s="31" t="str"/>
      <x:c r="Q659" s="31" t="str"/>
      <x:c r="R659" s="31" t="str"/>
      <x:c r="S659" s="31" t="str">
        <x:f>IF('Blind Scoring'!I659="","",'Blind Scoring'!I659)</x:f>
      </x:c>
      <x:c r="T659" s="31" t="str">
        <x:f>'Blind Scoring'!J659</x:f>
        <x:v>No</x:v>
      </x:c>
      <x:c r="U659" s="31" t="str">
        <x:f>IF('Blind Scoring'!L659="","",'Blind Scoring'!L659)</x:f>
      </x:c>
    </x:row>
    <x:row r="660" ht="44" customHeight="1">
      <x:c r="A660" s="35" t="str">
        <x:v>Not Started</x:v>
      </x:c>
      <x:c r="B660" s="35" t="n">
        <x:v>658</x:v>
      </x:c>
      <x:c r="C660" s="35" t="str">
        <x:v>P11</x:v>
      </x:c>
      <x:c r="D660" s="35" t="n">
        <x:v>39</x:v>
      </x:c>
      <x:c r="E660" s="35" t="str">
        <x:v>Primary VLA</x:v>
      </x:c>
      <x:c r="F660" s="35" t="str">
        <x:v>VLA-0</x:v>
      </x:c>
      <x:c r="G660" s="35" t="n">
        <x:v>2</x:v>
      </x:c>
      <x:c r="H660" s="35" t="str">
        <x:v>State Recognition</x:v>
      </x:c>
      <x:c r="I660" s="35" t="str">
        <x:v>Language ablation — blank</x:v>
      </x:c>
      <x:c r="J660" s="35" t="str">
        <x:v>PVLA-ST-ABL-BLK-03</x:v>
      </x:c>
      <x:c r="K660" s="35" t="str">
        <x:v>S-CF05</x:v>
      </x:c>
      <x:c r="L660" s="31" t="str">
        <x:v>[EMPTY STRING — provide no instruction tokens]</x:v>
      </x:c>
      <x:c r="M660" s="31" t="str">
        <x:v>Place the closed brown cup in the bowl.</x:v>
      </x:c>
      <x:c r="N660" s="31" t="str">
        <x:v>S-CF05-HELD: P1 brown cup A=C/UR [TARGET]; P2 brown cup B=O/UR [COMPETITOR]; P3 glass spice container A=C/UD; P4 white cup B=O/UD.</x:v>
      </x:c>
      <x:c r="O660" s="31" t="str">
        <x:v>No prespecified task success under blank language; record any action/selected target.</x:v>
      </x:c>
      <x:c r="P660" s="31" t="str"/>
      <x:c r="Q660" s="31" t="str"/>
      <x:c r="R660" s="31" t="str"/>
      <x:c r="S660" s="31" t="str">
        <x:f>IF('Blind Scoring'!I660="","",'Blind Scoring'!I660)</x:f>
      </x:c>
      <x:c r="T660" s="31" t="str">
        <x:f>'Blind Scoring'!J660</x:f>
        <x:v>No</x:v>
      </x:c>
      <x:c r="U660" s="31" t="str">
        <x:f>IF('Blind Scoring'!L660="","",'Blind Scoring'!L660)</x:f>
      </x:c>
    </x:row>
    <x:row r="661" ht="44" customHeight="1">
      <x:c r="A661" s="35" t="str">
        <x:v>Not Started</x:v>
      </x:c>
      <x:c r="B661" s="35" t="n">
        <x:v>659</x:v>
      </x:c>
      <x:c r="C661" s="35" t="str">
        <x:v>P11</x:v>
      </x:c>
      <x:c r="D661" s="35" t="n">
        <x:v>40</x:v>
      </x:c>
      <x:c r="E661" s="35" t="str">
        <x:v>Primary VLA</x:v>
      </x:c>
      <x:c r="F661" s="35" t="str">
        <x:v>VLA-0</x:v>
      </x:c>
      <x:c r="G661" s="35" t="n">
        <x:v>2</x:v>
      </x:c>
      <x:c r="H661" s="35" t="str">
        <x:v>State Recognition</x:v>
      </x:c>
      <x:c r="I661" s="35" t="str">
        <x:v>Novel layout + seen language</x:v>
      </x:c>
      <x:c r="J661" s="35" t="str">
        <x:v>PVLA-ST-NOV-08</x:v>
      </x:c>
      <x:c r="K661" s="35" t="str">
        <x:v>S-CF20</x:v>
      </x:c>
      <x:c r="L661" s="31" t="str">
        <x:v>Place the upside-down white cup in the bowl.</x:v>
      </x:c>
      <x:c r="M661" s="31" t="str">
        <x:v>Place the upside-down white cup in the bowl.</x:v>
      </x:c>
      <x:c r="N661" s="31" t="str">
        <x:v>S-CF20-SEEN: P1 white cup A=C/UD [COMPETITOR]; P2 yellow-white striped cup B=O/UR; P3 brown cup A=O/UD; P4 white cup B=C/UR [TARGET].</x:v>
      </x:c>
      <x:c r="O661" s="31" t="str">
        <x:v>white cup A</x:v>
      </x:c>
      <x:c r="P661" s="31" t="str"/>
      <x:c r="Q661" s="31" t="str"/>
      <x:c r="R661" s="31" t="str"/>
      <x:c r="S661" s="31" t="str">
        <x:f>IF('Blind Scoring'!I661="","",'Blind Scoring'!I661)</x:f>
      </x:c>
      <x:c r="T661" s="31" t="str">
        <x:f>'Blind Scoring'!J661</x:f>
        <x:v>No</x:v>
      </x:c>
      <x:c r="U661" s="31" t="str">
        <x:f>IF('Blind Scoring'!L661="","",'Blind Scoring'!L661)</x:f>
      </x:c>
    </x:row>
    <x:row r="662" ht="44" customHeight="1">
      <x:c r="A662" s="35" t="str">
        <x:v>Not Started</x:v>
      </x:c>
      <x:c r="B662" s="35" t="n">
        <x:v>660</x:v>
      </x:c>
      <x:c r="C662" s="35" t="str">
        <x:v>P11</x:v>
      </x:c>
      <x:c r="D662" s="35" t="n">
        <x:v>41</x:v>
      </x:c>
      <x:c r="E662" s="35" t="str">
        <x:v>Primary VLA</x:v>
      </x:c>
      <x:c r="F662" s="35" t="str">
        <x:v>VLA-0</x:v>
      </x:c>
      <x:c r="G662" s="35" t="n">
        <x:v>2</x:v>
      </x:c>
      <x:c r="H662" s="35" t="str">
        <x:v>State Recognition</x:v>
      </x:c>
      <x:c r="I662" s="35" t="str">
        <x:v>Novel layout + seen language</x:v>
      </x:c>
      <x:c r="J662" s="35" t="str">
        <x:v>PVLA-ST-NOV-04</x:v>
      </x:c>
      <x:c r="K662" s="35" t="str">
        <x:v>S-CF09</x:v>
      </x:c>
      <x:c r="L662" s="31" t="str">
        <x:v>Place the open white cup in the bowl.</x:v>
      </x:c>
      <x:c r="M662" s="31" t="str">
        <x:v>Place the open white cup in the bowl.</x:v>
      </x:c>
      <x:c r="N662" s="31" t="str">
        <x:v>S-CF09-SEEN: P1 white cup A=C/UR [TARGET]; P2 white cup B=O/UR [COMPETITOR]; P3 yellow-white striped cup A=C/UD; P4 brown cup B=O/UD.</x:v>
      </x:c>
      <x:c r="O662" s="31" t="str">
        <x:v>white cup B</x:v>
      </x:c>
      <x:c r="P662" s="31" t="str"/>
      <x:c r="Q662" s="31" t="str"/>
      <x:c r="R662" s="31" t="str"/>
      <x:c r="S662" s="31" t="str">
        <x:f>IF('Blind Scoring'!I662="","",'Blind Scoring'!I662)</x:f>
      </x:c>
      <x:c r="T662" s="31" t="str">
        <x:f>'Blind Scoring'!J662</x:f>
        <x:v>No</x:v>
      </x:c>
      <x:c r="U662" s="31" t="str">
        <x:f>IF('Blind Scoring'!L662="","",'Blind Scoring'!L662)</x:f>
      </x:c>
    </x:row>
    <x:row r="663" ht="44" customHeight="1">
      <x:c r="A663" s="35" t="str">
        <x:v>Not Started</x:v>
      </x:c>
      <x:c r="B663" s="35" t="n">
        <x:v>661</x:v>
      </x:c>
      <x:c r="C663" s="35" t="str">
        <x:v>P11</x:v>
      </x:c>
      <x:c r="D663" s="35" t="n">
        <x:v>42</x:v>
      </x:c>
      <x:c r="E663" s="35" t="str">
        <x:v>Primary VLA</x:v>
      </x:c>
      <x:c r="F663" s="35" t="str">
        <x:v>VLA-0</x:v>
      </x:c>
      <x:c r="G663" s="35" t="n">
        <x:v>2</x:v>
      </x:c>
      <x:c r="H663" s="35" t="str">
        <x:v>State Recognition</x:v>
      </x:c>
      <x:c r="I663" s="35" t="str">
        <x:v>Main held-out transfer</x:v>
      </x:c>
      <x:c r="J663" s="35" t="str">
        <x:v>PVLA-ST-TR-11</x:v>
      </x:c>
      <x:c r="K663" s="35" t="str">
        <x:v>S-CF20</x:v>
      </x:c>
      <x:c r="L663" s="31" t="str">
        <x:v>Place the upright white cup in the bowl.</x:v>
      </x:c>
      <x:c r="M663" s="31" t="str">
        <x:v>Place the upright white cup in the bowl.</x:v>
      </x:c>
      <x:c r="N663" s="31" t="str">
        <x:v>S-CF20-HELD: P1 white cup A=C/UD [COMPETITOR]; P2 yellow-white striped cup B=O/UR; P3 brown cup A=O/UD; P4 white cup B=C/UR [TARGET].</x:v>
      </x:c>
      <x:c r="O663" s="31" t="str">
        <x:v>white cup B</x:v>
      </x:c>
      <x:c r="P663" s="31" t="str"/>
      <x:c r="Q663" s="31" t="str"/>
      <x:c r="R663" s="31" t="str"/>
      <x:c r="S663" s="31" t="str">
        <x:f>IF('Blind Scoring'!I663="","",'Blind Scoring'!I663)</x:f>
      </x:c>
      <x:c r="T663" s="31" t="str">
        <x:f>'Blind Scoring'!J663</x:f>
        <x:v>No</x:v>
      </x:c>
      <x:c r="U663" s="31" t="str">
        <x:f>IF('Blind Scoring'!L663="","",'Blind Scoring'!L663)</x:f>
      </x:c>
    </x:row>
    <x:row r="664" ht="44" customHeight="1">
      <x:c r="A664" s="35" t="str">
        <x:v>Not Started</x:v>
      </x:c>
      <x:c r="B664" s="35" t="n">
        <x:v>662</x:v>
      </x:c>
      <x:c r="C664" s="35" t="str">
        <x:v>P11</x:v>
      </x:c>
      <x:c r="D664" s="35" t="n">
        <x:v>43</x:v>
      </x:c>
      <x:c r="E664" s="35" t="str">
        <x:v>Primary VLA</x:v>
      </x:c>
      <x:c r="F664" s="35" t="str">
        <x:v>VLA-0</x:v>
      </x:c>
      <x:c r="G664" s="35" t="n">
        <x:v>2</x:v>
      </x:c>
      <x:c r="H664" s="35" t="str">
        <x:v>State Recognition</x:v>
      </x:c>
      <x:c r="I664" s="35" t="str">
        <x:v>Novel layout + seen language</x:v>
      </x:c>
      <x:c r="J664" s="35" t="str">
        <x:v>PVLA-ST-NOV-02</x:v>
      </x:c>
      <x:c r="K664" s="35" t="str">
        <x:v>S-CF04</x:v>
      </x:c>
      <x:c r="L664" s="31" t="str">
        <x:v>Place the upside-down white cup in the bowl.</x:v>
      </x:c>
      <x:c r="M664" s="31" t="str">
        <x:v>Place the upside-down white cup in the bowl.</x:v>
      </x:c>
      <x:c r="N664" s="31" t="str">
        <x:v>S-CF04-SEEN: P1 white cup A=C/UD [COMPETITOR]; P2 yellow-white striped cup B=O/UR; P3 brown cup A=O/UD; P4 white cup B=C/UR [TARGET].</x:v>
      </x:c>
      <x:c r="O664" s="31" t="str">
        <x:v>white cup A</x:v>
      </x:c>
      <x:c r="P664" s="31" t="str"/>
      <x:c r="Q664" s="31" t="str"/>
      <x:c r="R664" s="31" t="str"/>
      <x:c r="S664" s="31" t="str">
        <x:f>IF('Blind Scoring'!I664="","",'Blind Scoring'!I664)</x:f>
      </x:c>
      <x:c r="T664" s="31" t="str">
        <x:f>'Blind Scoring'!J664</x:f>
        <x:v>No</x:v>
      </x:c>
      <x:c r="U664" s="31" t="str">
        <x:f>IF('Blind Scoring'!L664="","",'Blind Scoring'!L664)</x:f>
      </x:c>
    </x:row>
    <x:row r="665" ht="44" customHeight="1">
      <x:c r="A665" s="35" t="str">
        <x:v>Not Started</x:v>
      </x:c>
      <x:c r="B665" s="35" t="n">
        <x:v>663</x:v>
      </x:c>
      <x:c r="C665" s="35" t="str">
        <x:v>P11</x:v>
      </x:c>
      <x:c r="D665" s="35" t="n">
        <x:v>44</x:v>
      </x:c>
      <x:c r="E665" s="35" t="str">
        <x:v>Primary VLA</x:v>
      </x:c>
      <x:c r="F665" s="35" t="str">
        <x:v>VLA-0</x:v>
      </x:c>
      <x:c r="G665" s="35" t="n">
        <x:v>2</x:v>
      </x:c>
      <x:c r="H665" s="35" t="str">
        <x:v>State Recognition</x:v>
      </x:c>
      <x:c r="I665" s="35" t="str">
        <x:v>Main matched control</x:v>
      </x:c>
      <x:c r="J665" s="35" t="str">
        <x:v>PVLA-ST-CTL-12</x:v>
      </x:c>
      <x:c r="K665" s="35" t="str">
        <x:v>S-CF22</x:v>
      </x:c>
      <x:c r="L665" s="31" t="str">
        <x:v>Place a glass spice container in the bowl.</x:v>
      </x:c>
      <x:c r="M665" s="31" t="str">
        <x:v>Place a glass spice container in the bowl.</x:v>
      </x:c>
      <x:c r="N665" s="31" t="str">
        <x:v>S-CF22-CTRL: P1 white cup B=C/UR; P2 glass spice container A=O/UR [TARGET]; P4 yellow-white striped cup B=C/UD.</x:v>
      </x:c>
      <x:c r="O665" s="31" t="str">
        <x:v>glass spice container A</x:v>
      </x:c>
      <x:c r="P665" s="31" t="str"/>
      <x:c r="Q665" s="31" t="str"/>
      <x:c r="R665" s="31" t="str"/>
      <x:c r="S665" s="31" t="str">
        <x:f>IF('Blind Scoring'!I665="","",'Blind Scoring'!I665)</x:f>
      </x:c>
      <x:c r="T665" s="31" t="str">
        <x:f>'Blind Scoring'!J665</x:f>
        <x:v>No</x:v>
      </x:c>
      <x:c r="U665" s="31" t="str">
        <x:f>IF('Blind Scoring'!L665="","",'Blind Scoring'!L665)</x:f>
      </x:c>
    </x:row>
    <x:row r="666" ht="44" customHeight="1">
      <x:c r="A666" s="35" t="str">
        <x:v>Not Started</x:v>
      </x:c>
      <x:c r="B666" s="35" t="n">
        <x:v>664</x:v>
      </x:c>
      <x:c r="C666" s="35" t="str">
        <x:v>P11</x:v>
      </x:c>
      <x:c r="D666" s="35" t="n">
        <x:v>45</x:v>
      </x:c>
      <x:c r="E666" s="35" t="str">
        <x:v>Primary VLA</x:v>
      </x:c>
      <x:c r="F666" s="35" t="str">
        <x:v>VLA-0</x:v>
      </x:c>
      <x:c r="G666" s="35" t="n">
        <x:v>2</x:v>
      </x:c>
      <x:c r="H666" s="35" t="str">
        <x:v>State Recognition</x:v>
      </x:c>
      <x:c r="I666" s="35" t="str">
        <x:v>Main held-out transfer</x:v>
      </x:c>
      <x:c r="J666" s="35" t="str">
        <x:v>PVLA-ST-TR-01</x:v>
      </x:c>
      <x:c r="K666" s="35" t="str">
        <x:v>S-CF01</x:v>
      </x:c>
      <x:c r="L666" s="31" t="str">
        <x:v>Place the closed white cup in the bowl.</x:v>
      </x:c>
      <x:c r="M666" s="31" t="str">
        <x:v>Place the closed white cup in the bowl.</x:v>
      </x:c>
      <x:c r="N666" s="31" t="str">
        <x:v>S-CF01-HELD: P1 white cup A=C/UR [TARGET]; P2 white cup B=O/UR [COMPETITOR]; P3 yellow-white striped cup A=C/UD; P4 brown cup B=O/UD.</x:v>
      </x:c>
      <x:c r="O666" s="31" t="str">
        <x:v>white cup A</x:v>
      </x:c>
      <x:c r="P666" s="31" t="str"/>
      <x:c r="Q666" s="31" t="str"/>
      <x:c r="R666" s="31" t="str"/>
      <x:c r="S666" s="31" t="str">
        <x:f>IF('Blind Scoring'!I666="","",'Blind Scoring'!I666)</x:f>
      </x:c>
      <x:c r="T666" s="31" t="str">
        <x:f>'Blind Scoring'!J666</x:f>
        <x:v>No</x:v>
      </x:c>
      <x:c r="U666" s="31" t="str">
        <x:f>IF('Blind Scoring'!L666="","",'Blind Scoring'!L666)</x:f>
      </x:c>
    </x:row>
    <x:row r="667" ht="44" customHeight="1">
      <x:c r="A667" s="35" t="str">
        <x:v>Not Started</x:v>
      </x:c>
      <x:c r="B667" s="35" t="n">
        <x:v>665</x:v>
      </x:c>
      <x:c r="C667" s="35" t="str">
        <x:v>P11</x:v>
      </x:c>
      <x:c r="D667" s="35" t="n">
        <x:v>46</x:v>
      </x:c>
      <x:c r="E667" s="35" t="str">
        <x:v>Primary VLA</x:v>
      </x:c>
      <x:c r="F667" s="35" t="str">
        <x:v>VLA-0</x:v>
      </x:c>
      <x:c r="G667" s="35" t="n">
        <x:v>2</x:v>
      </x:c>
      <x:c r="H667" s="35" t="str">
        <x:v>State Recognition</x:v>
      </x:c>
      <x:c r="I667" s="35" t="str">
        <x:v>Training reconstruction</x:v>
      </x:c>
      <x:c r="J667" s="35" t="str">
        <x:v>PVLA-ST-REC-04</x:v>
      </x:c>
      <x:c r="K667" s="35" t="str"/>
      <x:c r="L667" s="31" t="str">
        <x:v>Move the open brown cup into the bowl.</x:v>
      </x:c>
      <x:c r="M667" s="31" t="str">
        <x:v>Move the open brown cup into the bowl.</x:v>
      </x:c>
      <x:c r="N667" s="31" t="str">
        <x:v>Reconstruct planned final training episode 104: brown cup B, brown cup A, glass spice container A; start=Recovery. Match camera, calibration, bowl pose, and object geometry exactly.</x:v>
      </x:c>
      <x:c r="O667" s="31" t="str">
        <x:v>brown cup B</x:v>
      </x:c>
      <x:c r="P667" s="31" t="str"/>
      <x:c r="Q667" s="31" t="str"/>
      <x:c r="R667" s="31" t="str"/>
      <x:c r="S667" s="31" t="str">
        <x:f>IF('Blind Scoring'!I667="","",'Blind Scoring'!I667)</x:f>
      </x:c>
      <x:c r="T667" s="31" t="str">
        <x:f>'Blind Scoring'!J667</x:f>
        <x:v>No</x:v>
      </x:c>
      <x:c r="U667" s="31" t="str">
        <x:f>IF('Blind Scoring'!L667="","",'Blind Scoring'!L667)</x:f>
      </x:c>
    </x:row>
    <x:row r="668" ht="44" customHeight="1">
      <x:c r="A668" s="35" t="str">
        <x:v>Not Started</x:v>
      </x:c>
      <x:c r="B668" s="35" t="n">
        <x:v>666</x:v>
      </x:c>
      <x:c r="C668" s="35" t="str">
        <x:v>P11</x:v>
      </x:c>
      <x:c r="D668" s="35" t="n">
        <x:v>47</x:v>
      </x:c>
      <x:c r="E668" s="35" t="str">
        <x:v>Primary VLA</x:v>
      </x:c>
      <x:c r="F668" s="35" t="str">
        <x:v>VLA-0</x:v>
      </x:c>
      <x:c r="G668" s="35" t="n">
        <x:v>2</x:v>
      </x:c>
      <x:c r="H668" s="35" t="str">
        <x:v>State Recognition</x:v>
      </x:c>
      <x:c r="I668" s="35" t="str">
        <x:v>Main held-out transfer</x:v>
      </x:c>
      <x:c r="J668" s="35" t="str">
        <x:v>PVLA-ST-TR-04</x:v>
      </x:c>
      <x:c r="K668" s="35" t="str">
        <x:v>S-CF07</x:v>
      </x:c>
      <x:c r="L668" s="31" t="str">
        <x:v>Place the closed yellow-white striped cup in the bowl.</x:v>
      </x:c>
      <x:c r="M668" s="31" t="str">
        <x:v>Place the closed yellow-white striped cup in the bowl.</x:v>
      </x:c>
      <x:c r="N668" s="31" t="str">
        <x:v>S-CF07-HELD: P1 brown cup A=C/UR; P2 glass spice container A=O/UR; P3 yellow-white striped cup A=C/UD [TARGET]; P4 yellow-white striped cup B=O/UD [COMPETITOR].</x:v>
      </x:c>
      <x:c r="O668" s="31" t="str">
        <x:v>yellow-white striped cup A</x:v>
      </x:c>
      <x:c r="P668" s="31" t="str"/>
      <x:c r="Q668" s="31" t="str"/>
      <x:c r="R668" s="31" t="str"/>
      <x:c r="S668" s="31" t="str">
        <x:f>IF('Blind Scoring'!I668="","",'Blind Scoring'!I668)</x:f>
      </x:c>
      <x:c r="T668" s="31" t="str">
        <x:f>'Blind Scoring'!J668</x:f>
        <x:v>No</x:v>
      </x:c>
      <x:c r="U668" s="31" t="str">
        <x:f>IF('Blind Scoring'!L668="","",'Blind Scoring'!L668)</x:f>
      </x:c>
    </x:row>
    <x:row r="669" ht="44" customHeight="1">
      <x:c r="A669" s="35" t="str">
        <x:v>Not Started</x:v>
      </x:c>
      <x:c r="B669" s="35" t="n">
        <x:v>667</x:v>
      </x:c>
      <x:c r="C669" s="35" t="str">
        <x:v>P11</x:v>
      </x:c>
      <x:c r="D669" s="35" t="n">
        <x:v>48</x:v>
      </x:c>
      <x:c r="E669" s="35" t="str">
        <x:v>Primary VLA</x:v>
      </x:c>
      <x:c r="F669" s="35" t="str">
        <x:v>VLA-0</x:v>
      </x:c>
      <x:c r="G669" s="35" t="n">
        <x:v>2</x:v>
      </x:c>
      <x:c r="H669" s="35" t="str">
        <x:v>State Recognition</x:v>
      </x:c>
      <x:c r="I669" s="35" t="str">
        <x:v>Main matched control</x:v>
      </x:c>
      <x:c r="J669" s="35" t="str">
        <x:v>PVLA-ST-CTL-09</x:v>
      </x:c>
      <x:c r="K669" s="35" t="str">
        <x:v>S-CF16</x:v>
      </x:c>
      <x:c r="L669" s="31" t="str">
        <x:v>Place a brown cup in the bowl.</x:v>
      </x:c>
      <x:c r="M669" s="31" t="str">
        <x:v>Place a brown cup in the bowl.</x:v>
      </x:c>
      <x:c r="N669" s="31" t="str">
        <x:v>S-CF16-CTRL: P2 glass spice container B=O/UR; P3 white cup A=O/UD; P4 brown cup B=C/UR [TARGET].</x:v>
      </x:c>
      <x:c r="O669" s="31" t="str">
        <x:v>brown cup B</x:v>
      </x:c>
      <x:c r="P669" s="31" t="str"/>
      <x:c r="Q669" s="31" t="str"/>
      <x:c r="R669" s="31" t="str"/>
      <x:c r="S669" s="31" t="str">
        <x:f>IF('Blind Scoring'!I669="","",'Blind Scoring'!I669)</x:f>
      </x:c>
      <x:c r="T669" s="31" t="str">
        <x:f>'Blind Scoring'!J669</x:f>
        <x:v>No</x:v>
      </x:c>
      <x:c r="U669" s="31" t="str">
        <x:f>IF('Blind Scoring'!L669="","",'Blind Scoring'!L669)</x:f>
      </x:c>
    </x:row>
    <x:row r="670" ht="44" customHeight="1">
      <x:c r="A670" s="35" t="str">
        <x:v>Not Started</x:v>
      </x:c>
      <x:c r="B670" s="35" t="n">
        <x:v>668</x:v>
      </x:c>
      <x:c r="C670" s="35" t="str">
        <x:v>P11</x:v>
      </x:c>
      <x:c r="D670" s="35" t="n">
        <x:v>49</x:v>
      </x:c>
      <x:c r="E670" s="35" t="str">
        <x:v>Primary VLA</x:v>
      </x:c>
      <x:c r="F670" s="35" t="str">
        <x:v>VLA-0</x:v>
      </x:c>
      <x:c r="G670" s="35" t="n">
        <x:v>2</x:v>
      </x:c>
      <x:c r="H670" s="35" t="str">
        <x:v>State Recognition</x:v>
      </x:c>
      <x:c r="I670" s="35" t="str">
        <x:v>Training reconstruction</x:v>
      </x:c>
      <x:c r="J670" s="35" t="str">
        <x:v>PVLA-ST-REC-06</x:v>
      </x:c>
      <x:c r="K670" s="35" t="str"/>
      <x:c r="L670" s="31" t="str">
        <x:v>Move a glass spice container into the bowl.</x:v>
      </x:c>
      <x:c r="M670" s="31" t="str">
        <x:v>Move a glass spice container into the bowl.</x:v>
      </x:c>
      <x:c r="N670" s="31" t="str">
        <x:v>Reconstruct planned final training episode 191: glass spice container A, brown cup A, white cup B; start=Home. Match camera, calibration, bowl pose, and object geometry exactly.</x:v>
      </x:c>
      <x:c r="O670" s="31" t="str">
        <x:v>glass spice container A</x:v>
      </x:c>
      <x:c r="P670" s="31" t="str"/>
      <x:c r="Q670" s="31" t="str"/>
      <x:c r="R670" s="31" t="str"/>
      <x:c r="S670" s="31" t="str">
        <x:f>IF('Blind Scoring'!I670="","",'Blind Scoring'!I670)</x:f>
      </x:c>
      <x:c r="T670" s="31" t="str">
        <x:f>'Blind Scoring'!J670</x:f>
        <x:v>No</x:v>
      </x:c>
      <x:c r="U670" s="31" t="str">
        <x:f>IF('Blind Scoring'!L670="","",'Blind Scoring'!L670)</x:f>
      </x:c>
    </x:row>
    <x:row r="671" ht="44" customHeight="1">
      <x:c r="A671" s="35" t="str">
        <x:v>Not Started</x:v>
      </x:c>
      <x:c r="B671" s="35" t="n">
        <x:v>669</x:v>
      </x:c>
      <x:c r="C671" s="35" t="str">
        <x:v>P11</x:v>
      </x:c>
      <x:c r="D671" s="35" t="n">
        <x:v>50</x:v>
      </x:c>
      <x:c r="E671" s="35" t="str">
        <x:v>Primary VLA</x:v>
      </x:c>
      <x:c r="F671" s="35" t="str">
        <x:v>VLA-0</x:v>
      </x:c>
      <x:c r="G671" s="35" t="n">
        <x:v>2</x:v>
      </x:c>
      <x:c r="H671" s="35" t="str">
        <x:v>State Recognition</x:v>
      </x:c>
      <x:c r="I671" s="35" t="str">
        <x:v>Main matched control</x:v>
      </x:c>
      <x:c r="J671" s="35" t="str">
        <x:v>PVLA-ST-CTL-16</x:v>
      </x:c>
      <x:c r="K671" s="35" t="str">
        <x:v>S-CF30</x:v>
      </x:c>
      <x:c r="L671" s="31" t="str">
        <x:v>Place a glass spice container in the bowl.</x:v>
      </x:c>
      <x:c r="M671" s="31" t="str">
        <x:v>Place a glass spice container in the bowl.</x:v>
      </x:c>
      <x:c r="N671" s="31" t="str">
        <x:v>S-CF30-CTRL: P1 white cup B=C/UR; P2 glass spice container A=O/UR [TARGET]; P4 yellow-white striped cup B=C/UD.</x:v>
      </x:c>
      <x:c r="O671" s="31" t="str">
        <x:v>glass spice container A</x:v>
      </x:c>
      <x:c r="P671" s="31" t="str"/>
      <x:c r="Q671" s="31" t="str"/>
      <x:c r="R671" s="31" t="str"/>
      <x:c r="S671" s="31" t="str">
        <x:f>IF('Blind Scoring'!I671="","",'Blind Scoring'!I671)</x:f>
      </x:c>
      <x:c r="T671" s="31" t="str">
        <x:f>'Blind Scoring'!J671</x:f>
        <x:v>No</x:v>
      </x:c>
      <x:c r="U671" s="31" t="str">
        <x:f>IF('Blind Scoring'!L671="","",'Blind Scoring'!L671)</x:f>
      </x:c>
    </x:row>
    <x:row r="672" ht="44" customHeight="1">
      <x:c r="A672" s="35" t="str">
        <x:v>Not Started</x:v>
      </x:c>
      <x:c r="B672" s="35" t="n">
        <x:v>670</x:v>
      </x:c>
      <x:c r="C672" s="35" t="str">
        <x:v>P11</x:v>
      </x:c>
      <x:c r="D672" s="35" t="n">
        <x:v>51</x:v>
      </x:c>
      <x:c r="E672" s="35" t="str">
        <x:v>Primary VLA</x:v>
      </x:c>
      <x:c r="F672" s="35" t="str">
        <x:v>VLA-0</x:v>
      </x:c>
      <x:c r="G672" s="35" t="n">
        <x:v>2</x:v>
      </x:c>
      <x:c r="H672" s="35" t="str">
        <x:v>State Recognition</x:v>
      </x:c>
      <x:c r="I672" s="35" t="str">
        <x:v>Exact-scene paraphrase</x:v>
      </x:c>
      <x:c r="J672" s="35" t="str">
        <x:v>PVLA-ST-PAR-03</x:v>
      </x:c>
      <x:c r="K672" s="35" t="str">
        <x:v>S-CF06</x:v>
      </x:c>
      <x:c r="L672" s="31" t="str">
        <x:v>Move the overturned glass spice container into the bowl.</x:v>
      </x:c>
      <x:c r="M672" s="31" t="str">
        <x:v>Move the overturned glass spice container into the bowl.</x:v>
      </x:c>
      <x:c r="N672" s="31" t="str">
        <x:v>S-CF06-PARA: P1 white cup B=C/UR; P2 glass spice container A=O/UR [TARGET]; P3 glass spice container B=O/UD [COMPETITOR]; P4 yellow-white striped cup B=C/UD.</x:v>
      </x:c>
      <x:c r="O672" s="31" t="str">
        <x:v>glass spice container B</x:v>
      </x:c>
      <x:c r="P672" s="31" t="str"/>
      <x:c r="Q672" s="31" t="str"/>
      <x:c r="R672" s="31" t="str"/>
      <x:c r="S672" s="31" t="str">
        <x:f>IF('Blind Scoring'!I672="","",'Blind Scoring'!I672)</x:f>
      </x:c>
      <x:c r="T672" s="31" t="str">
        <x:f>'Blind Scoring'!J672</x:f>
        <x:v>No</x:v>
      </x:c>
      <x:c r="U672" s="31" t="str">
        <x:f>IF('Blind Scoring'!L672="","",'Blind Scoring'!L672)</x:f>
      </x:c>
    </x:row>
    <x:row r="673" ht="44" customHeight="1">
      <x:c r="A673" s="35" t="str">
        <x:v>Not Started</x:v>
      </x:c>
      <x:c r="B673" s="35" t="n">
        <x:v>671</x:v>
      </x:c>
      <x:c r="C673" s="35" t="str">
        <x:v>P11</x:v>
      </x:c>
      <x:c r="D673" s="35" t="n">
        <x:v>52</x:v>
      </x:c>
      <x:c r="E673" s="35" t="str">
        <x:v>Primary VLA</x:v>
      </x:c>
      <x:c r="F673" s="35" t="str">
        <x:v>VLA-0</x:v>
      </x:c>
      <x:c r="G673" s="35" t="n">
        <x:v>2</x:v>
      </x:c>
      <x:c r="H673" s="35" t="str">
        <x:v>State Recognition</x:v>
      </x:c>
      <x:c r="I673" s="35" t="str">
        <x:v>Main matched control</x:v>
      </x:c>
      <x:c r="J673" s="35" t="str">
        <x:v>PVLA-ST-CTL-15</x:v>
      </x:c>
      <x:c r="K673" s="35" t="str">
        <x:v>S-CF28</x:v>
      </x:c>
      <x:c r="L673" s="31" t="str">
        <x:v>Place a white cup in the bowl.</x:v>
      </x:c>
      <x:c r="M673" s="31" t="str">
        <x:v>Place a white cup in the bowl.</x:v>
      </x:c>
      <x:c r="N673" s="31" t="str">
        <x:v>S-CF28-CTRL: P2 yellow-white striped cup B=O/UR; P3 brown cup A=O/UD; P4 white cup B=C/UR [TARGET].</x:v>
      </x:c>
      <x:c r="O673" s="31" t="str">
        <x:v>white cup B</x:v>
      </x:c>
      <x:c r="P673" s="31" t="str"/>
      <x:c r="Q673" s="31" t="str"/>
      <x:c r="R673" s="31" t="str"/>
      <x:c r="S673" s="31" t="str">
        <x:f>IF('Blind Scoring'!I673="","",'Blind Scoring'!I673)</x:f>
      </x:c>
      <x:c r="T673" s="31" t="str">
        <x:f>'Blind Scoring'!J673</x:f>
        <x:v>No</x:v>
      </x:c>
      <x:c r="U673" s="31" t="str">
        <x:f>IF('Blind Scoring'!L673="","",'Blind Scoring'!L673)</x:f>
      </x:c>
    </x:row>
    <x:row r="674" ht="44" customHeight="1">
      <x:c r="A674" s="35" t="str">
        <x:v>Not Started</x:v>
      </x:c>
      <x:c r="B674" s="35" t="n">
        <x:v>672</x:v>
      </x:c>
      <x:c r="C674" s="35" t="str">
        <x:v>P11</x:v>
      </x:c>
      <x:c r="D674" s="35" t="n">
        <x:v>53</x:v>
      </x:c>
      <x:c r="E674" s="35" t="str">
        <x:v>Primary VLA</x:v>
      </x:c>
      <x:c r="F674" s="35" t="str">
        <x:v>VLA-0</x:v>
      </x:c>
      <x:c r="G674" s="35" t="n">
        <x:v>2</x:v>
      </x:c>
      <x:c r="H674" s="35" t="str">
        <x:v>State Recognition</x:v>
      </x:c>
      <x:c r="I674" s="35" t="str">
        <x:v>Main matched control</x:v>
      </x:c>
      <x:c r="J674" s="35" t="str">
        <x:v>PVLA-ST-CTL-02</x:v>
      </x:c>
      <x:c r="K674" s="35" t="str">
        <x:v>S-CF03</x:v>
      </x:c>
      <x:c r="L674" s="31" t="str">
        <x:v>Place a glass spice container in the bowl.</x:v>
      </x:c>
      <x:c r="M674" s="31" t="str">
        <x:v>Place a glass spice container in the bowl.</x:v>
      </x:c>
      <x:c r="N674" s="31" t="str">
        <x:v>S-CF03-CTRL: P1 white cup A=C/UR; P2 yellow-white striped cup A=O/UR; P3 glass spice container B=C/UD [TARGET].</x:v>
      </x:c>
      <x:c r="O674" s="31" t="str">
        <x:v>glass spice container B</x:v>
      </x:c>
      <x:c r="P674" s="31" t="str"/>
      <x:c r="Q674" s="31" t="str"/>
      <x:c r="R674" s="31" t="str"/>
      <x:c r="S674" s="31" t="str">
        <x:f>IF('Blind Scoring'!I674="","",'Blind Scoring'!I674)</x:f>
      </x:c>
      <x:c r="T674" s="31" t="str">
        <x:f>'Blind Scoring'!J674</x:f>
        <x:v>No</x:v>
      </x:c>
      <x:c r="U674" s="31" t="str">
        <x:f>IF('Blind Scoring'!L674="","",'Blind Scoring'!L674)</x:f>
      </x:c>
    </x:row>
    <x:row r="675" ht="44" customHeight="1">
      <x:c r="A675" s="35" t="str">
        <x:v>Not Started</x:v>
      </x:c>
      <x:c r="B675" s="35" t="n">
        <x:v>673</x:v>
      </x:c>
      <x:c r="C675" s="35" t="str">
        <x:v>P11</x:v>
      </x:c>
      <x:c r="D675" s="35" t="n">
        <x:v>54</x:v>
      </x:c>
      <x:c r="E675" s="35" t="str">
        <x:v>Primary VLA</x:v>
      </x:c>
      <x:c r="F675" s="35" t="str">
        <x:v>VLA-0</x:v>
      </x:c>
      <x:c r="G675" s="35" t="n">
        <x:v>2</x:v>
      </x:c>
      <x:c r="H675" s="35" t="str">
        <x:v>State Recognition</x:v>
      </x:c>
      <x:c r="I675" s="35" t="str">
        <x:v>Novel layout + seen language</x:v>
      </x:c>
      <x:c r="J675" s="35" t="str">
        <x:v>PVLA-ST-NOV-05</x:v>
      </x:c>
      <x:c r="K675" s="35" t="str">
        <x:v>S-CF12</x:v>
      </x:c>
      <x:c r="L675" s="31" t="str">
        <x:v>Place the upside-down white cup in the bowl.</x:v>
      </x:c>
      <x:c r="M675" s="31" t="str">
        <x:v>Place the upside-down white cup in the bowl.</x:v>
      </x:c>
      <x:c r="N675" s="31" t="str">
        <x:v>S-CF12-SEEN: P1 white cup A=C/UD [COMPETITOR]; P2 yellow-white striped cup B=O/UR; P3 brown cup A=O/UD; P4 white cup B=C/UR [TARGET].</x:v>
      </x:c>
      <x:c r="O675" s="31" t="str">
        <x:v>white cup A</x:v>
      </x:c>
      <x:c r="P675" s="31" t="str"/>
      <x:c r="Q675" s="31" t="str"/>
      <x:c r="R675" s="31" t="str"/>
      <x:c r="S675" s="31" t="str">
        <x:f>IF('Blind Scoring'!I675="","",'Blind Scoring'!I675)</x:f>
      </x:c>
      <x:c r="T675" s="31" t="str">
        <x:f>'Blind Scoring'!J675</x:f>
        <x:v>No</x:v>
      </x:c>
      <x:c r="U675" s="31" t="str">
        <x:f>IF('Blind Scoring'!L675="","",'Blind Scoring'!L675)</x:f>
      </x:c>
    </x:row>
    <x:row r="676" ht="44" customHeight="1">
      <x:c r="A676" s="35" t="str">
        <x:v>Not Started</x:v>
      </x:c>
      <x:c r="B676" s="35" t="n">
        <x:v>674</x:v>
      </x:c>
      <x:c r="C676" s="35" t="str">
        <x:v>P11</x:v>
      </x:c>
      <x:c r="D676" s="35" t="n">
        <x:v>55</x:v>
      </x:c>
      <x:c r="E676" s="35" t="str">
        <x:v>Primary VLA</x:v>
      </x:c>
      <x:c r="F676" s="35" t="str">
        <x:v>VLA-0</x:v>
      </x:c>
      <x:c r="G676" s="35" t="n">
        <x:v>2</x:v>
      </x:c>
      <x:c r="H676" s="35" t="str">
        <x:v>State Recognition</x:v>
      </x:c>
      <x:c r="I676" s="35" t="str">
        <x:v>Novel layout + seen language</x:v>
      </x:c>
      <x:c r="J676" s="35" t="str">
        <x:v>PVLA-ST-NOV-03</x:v>
      </x:c>
      <x:c r="K676" s="35" t="str">
        <x:v>S-CF06</x:v>
      </x:c>
      <x:c r="L676" s="31" t="str">
        <x:v>Place the upside-down glass spice container in the bowl.</x:v>
      </x:c>
      <x:c r="M676" s="31" t="str">
        <x:v>Place the upside-down glass spice container in the bowl.</x:v>
      </x:c>
      <x:c r="N676" s="31" t="str">
        <x:v>S-CF06-SEEN: P1 white cup B=C/UR; P2 glass spice container A=O/UR [TARGET]; P3 glass spice container B=O/UD [COMPETITOR]; P4 yellow-white striped cup B=C/UD.</x:v>
      </x:c>
      <x:c r="O676" s="31" t="str">
        <x:v>glass spice container B</x:v>
      </x:c>
      <x:c r="P676" s="31" t="str"/>
      <x:c r="Q676" s="31" t="str"/>
      <x:c r="R676" s="31" t="str"/>
      <x:c r="S676" s="31" t="str">
        <x:f>IF('Blind Scoring'!I676="","",'Blind Scoring'!I676)</x:f>
      </x:c>
      <x:c r="T676" s="31" t="str">
        <x:f>'Blind Scoring'!J676</x:f>
        <x:v>No</x:v>
      </x:c>
      <x:c r="U676" s="31" t="str">
        <x:f>IF('Blind Scoring'!L676="","",'Blind Scoring'!L676)</x:f>
      </x:c>
    </x:row>
    <x:row r="677" ht="44" customHeight="1">
      <x:c r="A677" s="35" t="str">
        <x:v>Not Started</x:v>
      </x:c>
      <x:c r="B677" s="35" t="n">
        <x:v>675</x:v>
      </x:c>
      <x:c r="C677" s="35" t="str">
        <x:v>P11</x:v>
      </x:c>
      <x:c r="D677" s="35" t="n">
        <x:v>56</x:v>
      </x:c>
      <x:c r="E677" s="35" t="str">
        <x:v>Primary VLA</x:v>
      </x:c>
      <x:c r="F677" s="35" t="str">
        <x:v>VLA-0</x:v>
      </x:c>
      <x:c r="G677" s="35" t="n">
        <x:v>2</x:v>
      </x:c>
      <x:c r="H677" s="35" t="str">
        <x:v>State Recognition</x:v>
      </x:c>
      <x:c r="I677" s="35" t="str">
        <x:v>Main matched control</x:v>
      </x:c>
      <x:c r="J677" s="35" t="str">
        <x:v>PVLA-ST-CTL-11</x:v>
      </x:c>
      <x:c r="K677" s="35" t="str">
        <x:v>S-CF20</x:v>
      </x:c>
      <x:c r="L677" s="31" t="str">
        <x:v>Place a white cup in the bowl.</x:v>
      </x:c>
      <x:c r="M677" s="31" t="str">
        <x:v>Place a white cup in the bowl.</x:v>
      </x:c>
      <x:c r="N677" s="31" t="str">
        <x:v>S-CF20-CTRL: P2 yellow-white striped cup B=O/UR; P3 brown cup A=O/UD; P4 white cup B=C/UR [TARGET].</x:v>
      </x:c>
      <x:c r="O677" s="31" t="str">
        <x:v>white cup B</x:v>
      </x:c>
      <x:c r="P677" s="31" t="str"/>
      <x:c r="Q677" s="31" t="str"/>
      <x:c r="R677" s="31" t="str"/>
      <x:c r="S677" s="31" t="str">
        <x:f>IF('Blind Scoring'!I677="","",'Blind Scoring'!I677)</x:f>
      </x:c>
      <x:c r="T677" s="31" t="str">
        <x:f>'Blind Scoring'!J677</x:f>
        <x:v>No</x:v>
      </x:c>
      <x:c r="U677" s="31" t="str">
        <x:f>IF('Blind Scoring'!L677="","",'Blind Scoring'!L677)</x:f>
      </x:c>
    </x:row>
    <x:row r="678" ht="44" customHeight="1">
      <x:c r="A678" s="35" t="str">
        <x:v>Not Started</x:v>
      </x:c>
      <x:c r="B678" s="35" t="n">
        <x:v>676</x:v>
      </x:c>
      <x:c r="C678" s="35" t="str">
        <x:v>P11</x:v>
      </x:c>
      <x:c r="D678" s="35" t="n">
        <x:v>57</x:v>
      </x:c>
      <x:c r="E678" s="35" t="str">
        <x:v>Primary VLA</x:v>
      </x:c>
      <x:c r="F678" s="35" t="str">
        <x:v>VLA-0</x:v>
      </x:c>
      <x:c r="G678" s="35" t="n">
        <x:v>2</x:v>
      </x:c>
      <x:c r="H678" s="35" t="str">
        <x:v>State Recognition</x:v>
      </x:c>
      <x:c r="I678" s="35" t="str">
        <x:v>Exact-scene paraphrase</x:v>
      </x:c>
      <x:c r="J678" s="35" t="str">
        <x:v>PVLA-ST-PAR-04</x:v>
      </x:c>
      <x:c r="K678" s="35" t="str">
        <x:v>S-CF09</x:v>
      </x:c>
      <x:c r="L678" s="31" t="str">
        <x:v>Move the white cup that is open into the bowl.</x:v>
      </x:c>
      <x:c r="M678" s="31" t="str">
        <x:v>Move the white cup that is open into the bowl.</x:v>
      </x:c>
      <x:c r="N678" s="31" t="str">
        <x:v>S-CF09-PARA: P1 white cup A=C/UR [TARGET]; P2 white cup B=O/UR [COMPETITOR]; P3 yellow-white striped cup A=C/UD; P4 brown cup B=O/UD.</x:v>
      </x:c>
      <x:c r="O678" s="31" t="str">
        <x:v>white cup B</x:v>
      </x:c>
      <x:c r="P678" s="31" t="str"/>
      <x:c r="Q678" s="31" t="str"/>
      <x:c r="R678" s="31" t="str"/>
      <x:c r="S678" s="31" t="str">
        <x:f>IF('Blind Scoring'!I678="","",'Blind Scoring'!I678)</x:f>
      </x:c>
      <x:c r="T678" s="31" t="str">
        <x:f>'Blind Scoring'!J678</x:f>
        <x:v>No</x:v>
      </x:c>
      <x:c r="U678" s="31" t="str">
        <x:f>IF('Blind Scoring'!L678="","",'Blind Scoring'!L678)</x:f>
      </x:c>
    </x:row>
    <x:row r="679" ht="44" customHeight="1">
      <x:c r="A679" s="35" t="str">
        <x:v>Not Started</x:v>
      </x:c>
      <x:c r="B679" s="35" t="n">
        <x:v>677</x:v>
      </x:c>
      <x:c r="C679" s="35" t="str">
        <x:v>P11</x:v>
      </x:c>
      <x:c r="D679" s="35" t="n">
        <x:v>58</x:v>
      </x:c>
      <x:c r="E679" s="35" t="str">
        <x:v>Primary VLA</x:v>
      </x:c>
      <x:c r="F679" s="35" t="str">
        <x:v>VLA-0</x:v>
      </x:c>
      <x:c r="G679" s="35" t="n">
        <x:v>2</x:v>
      </x:c>
      <x:c r="H679" s="35" t="str">
        <x:v>State Recognition</x:v>
      </x:c>
      <x:c r="I679" s="35" t="str">
        <x:v>Language ablation — blank</x:v>
      </x:c>
      <x:c r="J679" s="35" t="str">
        <x:v>PVLA-ST-ABL-BLK-02</x:v>
      </x:c>
      <x:c r="K679" s="35" t="str">
        <x:v>S-CF03</x:v>
      </x:c>
      <x:c r="L679" s="31" t="str">
        <x:v>[EMPTY STRING — provide no instruction tokens]</x:v>
      </x:c>
      <x:c r="M679" s="31" t="str">
        <x:v>Place the closed glass spice container in the bowl.</x:v>
      </x:c>
      <x:c r="N679" s="31" t="str">
        <x:v>S-CF03-HELD: P1 white cup A=C/UR; P2 yellow-white striped cup A=O/UR; P3 glass spice container B=C/UD [TARGET]; P4 glass spice container A=O/UD [COMPETITOR].</x:v>
      </x:c>
      <x:c r="O679" s="31" t="str">
        <x:v>No prespecified task success under blank language; record any action/selected target.</x:v>
      </x:c>
      <x:c r="P679" s="31" t="str"/>
      <x:c r="Q679" s="31" t="str"/>
      <x:c r="R679" s="31" t="str"/>
      <x:c r="S679" s="31" t="str">
        <x:f>IF('Blind Scoring'!I679="","",'Blind Scoring'!I679)</x:f>
      </x:c>
      <x:c r="T679" s="31" t="str">
        <x:f>'Blind Scoring'!J679</x:f>
        <x:v>No</x:v>
      </x:c>
      <x:c r="U679" s="31" t="str">
        <x:f>IF('Blind Scoring'!L679="","",'Blind Scoring'!L679)</x:f>
      </x:c>
    </x:row>
    <x:row r="680" ht="44" customHeight="1">
      <x:c r="A680" s="35" t="str">
        <x:v>Not Started</x:v>
      </x:c>
      <x:c r="B680" s="35" t="n">
        <x:v>678</x:v>
      </x:c>
      <x:c r="C680" s="35" t="str">
        <x:v>P11</x:v>
      </x:c>
      <x:c r="D680" s="35" t="n">
        <x:v>59</x:v>
      </x:c>
      <x:c r="E680" s="35" t="str">
        <x:v>Primary VLA</x:v>
      </x:c>
      <x:c r="F680" s="35" t="str">
        <x:v>VLA-0</x:v>
      </x:c>
      <x:c r="G680" s="35" t="n">
        <x:v>2</x:v>
      </x:c>
      <x:c r="H680" s="35" t="str">
        <x:v>State Recognition</x:v>
      </x:c>
      <x:c r="I680" s="35" t="str">
        <x:v>Training reconstruction</x:v>
      </x:c>
      <x:c r="J680" s="35" t="str">
        <x:v>PVLA-ST-REC-02</x:v>
      </x:c>
      <x:c r="K680" s="35" t="str"/>
      <x:c r="L680" s="31" t="str">
        <x:v>Put a yellow-white striped cup in the bowl.</x:v>
      </x:c>
      <x:c r="M680" s="31" t="str">
        <x:v>Put a yellow-white striped cup in the bowl.</x:v>
      </x:c>
      <x:c r="N680" s="31" t="str">
        <x:v>Reconstruct planned final training episode 52: yellow-white striped cup A, white cup A, brown cup B; start=Home. Match camera, calibration, bowl pose, and object geometry exactly.</x:v>
      </x:c>
      <x:c r="O680" s="31" t="str">
        <x:v>yellow-white striped cup A</x:v>
      </x:c>
      <x:c r="P680" s="31" t="str"/>
      <x:c r="Q680" s="31" t="str"/>
      <x:c r="R680" s="31" t="str"/>
      <x:c r="S680" s="31" t="str">
        <x:f>IF('Blind Scoring'!I680="","",'Blind Scoring'!I680)</x:f>
      </x:c>
      <x:c r="T680" s="31" t="str">
        <x:f>'Blind Scoring'!J680</x:f>
        <x:v>No</x:v>
      </x:c>
      <x:c r="U680" s="31" t="str">
        <x:f>IF('Blind Scoring'!L680="","",'Blind Scoring'!L680)</x:f>
      </x:c>
    </x:row>
    <x:row r="681" ht="44" customHeight="1">
      <x:c r="A681" s="35" t="str">
        <x:v>Not Started</x:v>
      </x:c>
      <x:c r="B681" s="35" t="n">
        <x:v>679</x:v>
      </x:c>
      <x:c r="C681" s="35" t="str">
        <x:v>P11</x:v>
      </x:c>
      <x:c r="D681" s="35" t="n">
        <x:v>60</x:v>
      </x:c>
      <x:c r="E681" s="35" t="str">
        <x:v>Primary VLA</x:v>
      </x:c>
      <x:c r="F681" s="35" t="str">
        <x:v>VLA-0</x:v>
      </x:c>
      <x:c r="G681" s="35" t="n">
        <x:v>2</x:v>
      </x:c>
      <x:c r="H681" s="35" t="str">
        <x:v>State Recognition</x:v>
      </x:c>
      <x:c r="I681" s="35" t="str">
        <x:v>Main held-out transfer</x:v>
      </x:c>
      <x:c r="J681" s="35" t="str">
        <x:v>PVLA-ST-TR-08</x:v>
      </x:c>
      <x:c r="K681" s="35" t="str">
        <x:v>S-CF15</x:v>
      </x:c>
      <x:c r="L681" s="31" t="str">
        <x:v>Place the closed yellow-white striped cup in the bowl.</x:v>
      </x:c>
      <x:c r="M681" s="31" t="str">
        <x:v>Place the closed yellow-white striped cup in the bowl.</x:v>
      </x:c>
      <x:c r="N681" s="31" t="str">
        <x:v>S-CF15-HELD: P1 brown cup A=C/UR; P2 glass spice container A=O/UR; P3 yellow-white striped cup A=C/UD [TARGET]; P4 yellow-white striped cup B=O/UD [COMPETITOR].</x:v>
      </x:c>
      <x:c r="O681" s="31" t="str">
        <x:v>yellow-white striped cup A</x:v>
      </x:c>
      <x:c r="P681" s="31" t="str"/>
      <x:c r="Q681" s="31" t="str"/>
      <x:c r="R681" s="31" t="str"/>
      <x:c r="S681" s="31" t="str">
        <x:f>IF('Blind Scoring'!I681="","",'Blind Scoring'!I681)</x:f>
      </x:c>
      <x:c r="T681" s="31" t="str">
        <x:f>'Blind Scoring'!J681</x:f>
        <x:v>No</x:v>
      </x:c>
      <x:c r="U681" s="31" t="str">
        <x:f>IF('Blind Scoring'!L681="","",'Blind Scoring'!L681)</x:f>
      </x:c>
    </x:row>
    <x:row r="682" ht="44" customHeight="1">
      <x:c r="A682" s="35" t="str">
        <x:v>Not Started</x:v>
      </x:c>
      <x:c r="B682" s="35" t="n">
        <x:v>680</x:v>
      </x:c>
      <x:c r="C682" s="35" t="str">
        <x:v>P11</x:v>
      </x:c>
      <x:c r="D682" s="35" t="n">
        <x:v>61</x:v>
      </x:c>
      <x:c r="E682" s="35" t="str">
        <x:v>Primary VLA</x:v>
      </x:c>
      <x:c r="F682" s="35" t="str">
        <x:v>VLA-0</x:v>
      </x:c>
      <x:c r="G682" s="35" t="n">
        <x:v>2</x:v>
      </x:c>
      <x:c r="H682" s="35" t="str">
        <x:v>State Recognition</x:v>
      </x:c>
      <x:c r="I682" s="35" t="str">
        <x:v>Main matched control</x:v>
      </x:c>
      <x:c r="J682" s="35" t="str">
        <x:v>PVLA-ST-CTL-07</x:v>
      </x:c>
      <x:c r="K682" s="35" t="str">
        <x:v>S-CF13</x:v>
      </x:c>
      <x:c r="L682" s="31" t="str">
        <x:v>Place a brown cup in the bowl.</x:v>
      </x:c>
      <x:c r="M682" s="31" t="str">
        <x:v>Place a brown cup in the bowl.</x:v>
      </x:c>
      <x:c r="N682" s="31" t="str">
        <x:v>S-CF13-CTRL: P1 brown cup A=C/UR [TARGET]; P3 glass spice container A=C/UD; P4 white cup B=O/UD.</x:v>
      </x:c>
      <x:c r="O682" s="31" t="str">
        <x:v>brown cup A</x:v>
      </x:c>
      <x:c r="P682" s="31" t="str"/>
      <x:c r="Q682" s="31" t="str"/>
      <x:c r="R682" s="31" t="str"/>
      <x:c r="S682" s="31" t="str">
        <x:f>IF('Blind Scoring'!I682="","",'Blind Scoring'!I682)</x:f>
      </x:c>
      <x:c r="T682" s="31" t="str">
        <x:f>'Blind Scoring'!J682</x:f>
        <x:v>No</x:v>
      </x:c>
      <x:c r="U682" s="31" t="str">
        <x:f>IF('Blind Scoring'!L682="","",'Blind Scoring'!L682)</x:f>
      </x:c>
    </x:row>
    <x:row r="683" ht="44" customHeight="1">
      <x:c r="A683" s="35" t="str">
        <x:v>Not Started</x:v>
      </x:c>
      <x:c r="B683" s="35" t="n">
        <x:v>681</x:v>
      </x:c>
      <x:c r="C683" s="35" t="str">
        <x:v>P11</x:v>
      </x:c>
      <x:c r="D683" s="35" t="n">
        <x:v>62</x:v>
      </x:c>
      <x:c r="E683" s="35" t="str">
        <x:v>Primary VLA</x:v>
      </x:c>
      <x:c r="F683" s="35" t="str">
        <x:v>VLA-0</x:v>
      </x:c>
      <x:c r="G683" s="35" t="n">
        <x:v>2</x:v>
      </x:c>
      <x:c r="H683" s="35" t="str">
        <x:v>State Recognition</x:v>
      </x:c>
      <x:c r="I683" s="35" t="str">
        <x:v>Language ablation — blank</x:v>
      </x:c>
      <x:c r="J683" s="35" t="str">
        <x:v>PVLA-ST-ABL-BLK-04</x:v>
      </x:c>
      <x:c r="K683" s="35" t="str">
        <x:v>S-CF07</x:v>
      </x:c>
      <x:c r="L683" s="31" t="str">
        <x:v>[EMPTY STRING — provide no instruction tokens]</x:v>
      </x:c>
      <x:c r="M683" s="31" t="str">
        <x:v>Place the closed yellow-white striped cup in the bowl.</x:v>
      </x:c>
      <x:c r="N683" s="31" t="str">
        <x:v>S-CF07-HELD: P1 brown cup A=C/UR; P2 glass spice container A=O/UR; P3 yellow-white striped cup A=C/UD [TARGET]; P4 yellow-white striped cup B=O/UD [COMPETITOR].</x:v>
      </x:c>
      <x:c r="O683" s="31" t="str">
        <x:v>No prespecified task success under blank language; record any action/selected target.</x:v>
      </x:c>
      <x:c r="P683" s="31" t="str"/>
      <x:c r="Q683" s="31" t="str"/>
      <x:c r="R683" s="31" t="str"/>
      <x:c r="S683" s="31" t="str">
        <x:f>IF('Blind Scoring'!I683="","",'Blind Scoring'!I683)</x:f>
      </x:c>
      <x:c r="T683" s="31" t="str">
        <x:f>'Blind Scoring'!J683</x:f>
        <x:v>No</x:v>
      </x:c>
      <x:c r="U683" s="31" t="str">
        <x:f>IF('Blind Scoring'!L683="","",'Blind Scoring'!L683)</x:f>
      </x:c>
    </x:row>
    <x:row r="684" ht="44" customHeight="1">
      <x:c r="A684" s="35" t="str">
        <x:v>Not Started</x:v>
      </x:c>
      <x:c r="B684" s="35" t="n">
        <x:v>682</x:v>
      </x:c>
      <x:c r="C684" s="35" t="str">
        <x:v>P12</x:v>
      </x:c>
      <x:c r="D684" s="35" t="n">
        <x:v>1</x:v>
      </x:c>
      <x:c r="E684" s="35" t="str">
        <x:v>Primary VLA</x:v>
      </x:c>
      <x:c r="F684" s="35" t="str">
        <x:v>VLA-0</x:v>
      </x:c>
      <x:c r="G684" s="35" t="n">
        <x:v>2</x:v>
      </x:c>
      <x:c r="H684" s="35" t="str">
        <x:v>Relational Placement</x:v>
      </x:c>
      <x:c r="I684" s="35" t="str">
        <x:v>Main held-out transfer</x:v>
      </x:c>
      <x:c r="J684" s="35" t="str">
        <x:v>PVLA-RP-TR-09</x:v>
      </x:c>
      <x:c r="K684" s="35" t="str">
        <x:v>R-CF16</x:v>
      </x:c>
      <x:c r="L684" s="31" t="str">
        <x:v>Place the red block to the left of the green pen.</x:v>
      </x:c>
      <x:c r="M684" s="31" t="str">
        <x:v>Place the red block to the left of the green pen.</x:v>
      </x:c>
      <x:c r="N684" s="31" t="str">
        <x:v>R-CF16-HELD: green pen at center [REFERENCE]; red block starts 18 cm to the right of the reference [TARGET START]; blue block and pink marker are distractors outside the commanded goal sector.</x:v>
      </x:c>
      <x:c r="O684" s="31" t="str">
        <x:v>red block → to the left of green pen</x:v>
      </x:c>
      <x:c r="P684" s="31" t="str"/>
      <x:c r="Q684" s="31" t="str"/>
      <x:c r="R684" s="31" t="str"/>
      <x:c r="S684" s="31" t="str">
        <x:f>IF('Blind Scoring'!I684="","",'Blind Scoring'!I684)</x:f>
      </x:c>
      <x:c r="T684" s="31" t="str">
        <x:f>'Blind Scoring'!J684</x:f>
        <x:v>No</x:v>
      </x:c>
      <x:c r="U684" s="31" t="str">
        <x:f>IF('Blind Scoring'!L684="","",'Blind Scoring'!L684)</x:f>
      </x:c>
    </x:row>
    <x:row r="685" ht="44" customHeight="1">
      <x:c r="A685" s="35" t="str">
        <x:v>Not Started</x:v>
      </x:c>
      <x:c r="B685" s="35" t="n">
        <x:v>683</x:v>
      </x:c>
      <x:c r="C685" s="35" t="str">
        <x:v>P12</x:v>
      </x:c>
      <x:c r="D685" s="35" t="n">
        <x:v>2</x:v>
      </x:c>
      <x:c r="E685" s="35" t="str">
        <x:v>Primary VLA</x:v>
      </x:c>
      <x:c r="F685" s="35" t="str">
        <x:v>VLA-0</x:v>
      </x:c>
      <x:c r="G685" s="35" t="n">
        <x:v>2</x:v>
      </x:c>
      <x:c r="H685" s="35" t="str">
        <x:v>Relational Placement</x:v>
      </x:c>
      <x:c r="I685" s="35" t="str">
        <x:v>Language ablation — counterfactual</x:v>
      </x:c>
      <x:c r="J685" s="35" t="str">
        <x:v>PVLA-RP-ABL-CF-02</x:v>
      </x:c>
      <x:c r="K685" s="35" t="str">
        <x:v>R-CF11</x:v>
      </x:c>
      <x:c r="L685" s="31" t="str">
        <x:v>Place the green pen to the left of the red block.</x:v>
      </x:c>
      <x:c r="M685" s="31" t="str">
        <x:v>Place the green pen to the left of the red block.</x:v>
      </x:c>
      <x:c r="N685" s="31" t="str">
        <x:v>R-CF11-HELD: red block at center [REFERENCE]; green pen starts 21 cm to the left of the reference [TARGET START]; pink marker and blue block are distractors outside the commanded goal sector.</x:v>
      </x:c>
      <x:c r="O685" s="31" t="str">
        <x:v>green pen → to the left of red block</x:v>
      </x:c>
      <x:c r="P685" s="31" t="str"/>
      <x:c r="Q685" s="31" t="str"/>
      <x:c r="R685" s="31" t="str"/>
      <x:c r="S685" s="31" t="str">
        <x:f>IF('Blind Scoring'!I685="","",'Blind Scoring'!I685)</x:f>
      </x:c>
      <x:c r="T685" s="31" t="str">
        <x:f>'Blind Scoring'!J685</x:f>
        <x:v>No</x:v>
      </x:c>
      <x:c r="U685" s="31" t="str">
        <x:f>IF('Blind Scoring'!L685="","",'Blind Scoring'!L685)</x:f>
      </x:c>
    </x:row>
    <x:row r="686" ht="44" customHeight="1">
      <x:c r="A686" s="35" t="str">
        <x:v>Not Started</x:v>
      </x:c>
      <x:c r="B686" s="35" t="n">
        <x:v>684</x:v>
      </x:c>
      <x:c r="C686" s="35" t="str">
        <x:v>P12</x:v>
      </x:c>
      <x:c r="D686" s="35" t="n">
        <x:v>3</x:v>
      </x:c>
      <x:c r="E686" s="35" t="str">
        <x:v>Primary VLA</x:v>
      </x:c>
      <x:c r="F686" s="35" t="str">
        <x:v>VLA-0</x:v>
      </x:c>
      <x:c r="G686" s="35" t="n">
        <x:v>2</x:v>
      </x:c>
      <x:c r="H686" s="35" t="str">
        <x:v>Relational Placement</x:v>
      </x:c>
      <x:c r="I686" s="35" t="str">
        <x:v>Exact-scene paraphrase</x:v>
      </x:c>
      <x:c r="J686" s="35" t="str">
        <x:v>PVLA-RP-PAR-04</x:v>
      </x:c>
      <x:c r="K686" s="35" t="str"/>
      <x:c r="L686" s="31" t="str">
        <x:v>Move the red block to the side of the pink marker facing the robot.</x:v>
      </x:c>
      <x:c r="M686" s="31" t="str">
        <x:v>Move the red block to the side of the pink marker facing the robot.</x:v>
      </x:c>
      <x:c r="N686" s="31" t="str">
        <x:v>R-P01: pink marker at center [REFERENCE]; red block starts 21 cm behind the reference [TARGET START]; remaining objects are distractors with ≥12 cm clearance from the target path and commanded goal sector.</x:v>
      </x:c>
      <x:c r="O686" s="31" t="str">
        <x:v>red block</x:v>
      </x:c>
      <x:c r="P686" s="31" t="str"/>
      <x:c r="Q686" s="31" t="str"/>
      <x:c r="R686" s="31" t="str"/>
      <x:c r="S686" s="31" t="str">
        <x:f>IF('Blind Scoring'!I686="","",'Blind Scoring'!I686)</x:f>
      </x:c>
      <x:c r="T686" s="31" t="str">
        <x:f>'Blind Scoring'!J686</x:f>
        <x:v>No</x:v>
      </x:c>
      <x:c r="U686" s="31" t="str">
        <x:f>IF('Blind Scoring'!L686="","",'Blind Scoring'!L686)</x:f>
      </x:c>
    </x:row>
    <x:row r="687" ht="44" customHeight="1">
      <x:c r="A687" s="35" t="str">
        <x:v>Not Started</x:v>
      </x:c>
      <x:c r="B687" s="35" t="n">
        <x:v>685</x:v>
      </x:c>
      <x:c r="C687" s="35" t="str">
        <x:v>P12</x:v>
      </x:c>
      <x:c r="D687" s="35" t="n">
        <x:v>4</x:v>
      </x:c>
      <x:c r="E687" s="35" t="str">
        <x:v>Primary VLA</x:v>
      </x:c>
      <x:c r="F687" s="35" t="str">
        <x:v>VLA-0</x:v>
      </x:c>
      <x:c r="G687" s="35" t="n">
        <x:v>2</x:v>
      </x:c>
      <x:c r="H687" s="35" t="str">
        <x:v>Relational Placement</x:v>
      </x:c>
      <x:c r="I687" s="35" t="str">
        <x:v>Main held-out transfer</x:v>
      </x:c>
      <x:c r="J687" s="35" t="str">
        <x:v>PVLA-RP-TR-11</x:v>
      </x:c>
      <x:c r="K687" s="35" t="str">
        <x:v>R-CF20</x:v>
      </x:c>
      <x:c r="L687" s="31" t="str">
        <x:v>Place the red block in front of the green pen.</x:v>
      </x:c>
      <x:c r="M687" s="31" t="str">
        <x:v>Place the red block in front of the green pen.</x:v>
      </x:c>
      <x:c r="N687" s="31" t="str">
        <x:v>R-CF20-HELD: green pen at front-right [REFERENCE]; red block starts 21 cm behind the reference [TARGET START]; blue block and pink marker are distractors outside the commanded goal sector.</x:v>
      </x:c>
      <x:c r="O687" s="31" t="str">
        <x:v>red block → in front of green pen</x:v>
      </x:c>
      <x:c r="P687" s="31" t="str"/>
      <x:c r="Q687" s="31" t="str"/>
      <x:c r="R687" s="31" t="str"/>
      <x:c r="S687" s="31" t="str">
        <x:f>IF('Blind Scoring'!I687="","",'Blind Scoring'!I687)</x:f>
      </x:c>
      <x:c r="T687" s="31" t="str">
        <x:f>'Blind Scoring'!J687</x:f>
        <x:v>No</x:v>
      </x:c>
      <x:c r="U687" s="31" t="str">
        <x:f>IF('Blind Scoring'!L687="","",'Blind Scoring'!L687)</x:f>
      </x:c>
    </x:row>
    <x:row r="688" ht="44" customHeight="1">
      <x:c r="A688" s="35" t="str">
        <x:v>Not Started</x:v>
      </x:c>
      <x:c r="B688" s="35" t="n">
        <x:v>686</x:v>
      </x:c>
      <x:c r="C688" s="35" t="str">
        <x:v>P12</x:v>
      </x:c>
      <x:c r="D688" s="35" t="n">
        <x:v>5</x:v>
      </x:c>
      <x:c r="E688" s="35" t="str">
        <x:v>Primary VLA</x:v>
      </x:c>
      <x:c r="F688" s="35" t="str">
        <x:v>VLA-0</x:v>
      </x:c>
      <x:c r="G688" s="35" t="n">
        <x:v>2</x:v>
      </x:c>
      <x:c r="H688" s="35" t="str">
        <x:v>Relational Placement</x:v>
      </x:c>
      <x:c r="I688" s="35" t="str">
        <x:v>Main matched control</x:v>
      </x:c>
      <x:c r="J688" s="35" t="str">
        <x:v>PVLA-RP-CTL-04</x:v>
      </x:c>
      <x:c r="K688" s="35" t="str">
        <x:v>R-CF07</x:v>
      </x:c>
      <x:c r="L688" s="31" t="str">
        <x:v>Place the green pen near the red block.</x:v>
      </x:c>
      <x:c r="M688" s="31" t="str">
        <x:v>Place the green pen near the red block.</x:v>
      </x:c>
      <x:c r="N688" s="31" t="str">
        <x:v>R-CF07-CTRL: red block at back-left [REFERENCE]; green pen starts 18 cm in front of the reference [TARGET START]; pink marker and blue block are distractors outside the commanded goal sector.</x:v>
      </x:c>
      <x:c r="O688" s="31" t="str">
        <x:v>green pen near red block</x:v>
      </x:c>
      <x:c r="P688" s="31" t="str"/>
      <x:c r="Q688" s="31" t="str"/>
      <x:c r="R688" s="31" t="str"/>
      <x:c r="S688" s="31" t="str">
        <x:f>IF('Blind Scoring'!I688="","",'Blind Scoring'!I688)</x:f>
      </x:c>
      <x:c r="T688" s="31" t="str">
        <x:f>'Blind Scoring'!J688</x:f>
        <x:v>No</x:v>
      </x:c>
      <x:c r="U688" s="31" t="str">
        <x:f>IF('Blind Scoring'!L688="","",'Blind Scoring'!L688)</x:f>
      </x:c>
    </x:row>
    <x:row r="689" ht="44" customHeight="1">
      <x:c r="A689" s="35" t="str">
        <x:v>Not Started</x:v>
      </x:c>
      <x:c r="B689" s="35" t="n">
        <x:v>687</x:v>
      </x:c>
      <x:c r="C689" s="35" t="str">
        <x:v>P12</x:v>
      </x:c>
      <x:c r="D689" s="35" t="n">
        <x:v>6</x:v>
      </x:c>
      <x:c r="E689" s="35" t="str">
        <x:v>Primary VLA</x:v>
      </x:c>
      <x:c r="F689" s="35" t="str">
        <x:v>VLA-0</x:v>
      </x:c>
      <x:c r="G689" s="35" t="n">
        <x:v>2</x:v>
      </x:c>
      <x:c r="H689" s="35" t="str">
        <x:v>Relational Placement</x:v>
      </x:c>
      <x:c r="I689" s="35" t="str">
        <x:v>Main held-out transfer</x:v>
      </x:c>
      <x:c r="J689" s="35" t="str">
        <x:v>PVLA-RP-TR-02</x:v>
      </x:c>
      <x:c r="K689" s="35" t="str">
        <x:v>R-CF03</x:v>
      </x:c>
      <x:c r="L689" s="31" t="str">
        <x:v>Place the green pen to the right of the red block.</x:v>
      </x:c>
      <x:c r="M689" s="31" t="str">
        <x:v>Place the green pen to the right of the red block.</x:v>
      </x:c>
      <x:c r="N689" s="31" t="str">
        <x:v>R-CF03-HELD: red block at back-right [REFERENCE]; green pen starts 24 cm to the left of the reference [TARGET START]; pink marker and blue block are distractors outside the commanded goal sector.</x:v>
      </x:c>
      <x:c r="O689" s="31" t="str">
        <x:v>green pen → to the right of red block</x:v>
      </x:c>
      <x:c r="P689" s="31" t="str"/>
      <x:c r="Q689" s="31" t="str"/>
      <x:c r="R689" s="31" t="str"/>
      <x:c r="S689" s="31" t="str">
        <x:f>IF('Blind Scoring'!I689="","",'Blind Scoring'!I689)</x:f>
      </x:c>
      <x:c r="T689" s="31" t="str">
        <x:f>'Blind Scoring'!J689</x:f>
        <x:v>No</x:v>
      </x:c>
      <x:c r="U689" s="31" t="str">
        <x:f>IF('Blind Scoring'!L689="","",'Blind Scoring'!L689)</x:f>
      </x:c>
    </x:row>
    <x:row r="690" ht="44" customHeight="1">
      <x:c r="A690" s="35" t="str">
        <x:v>Not Started</x:v>
      </x:c>
      <x:c r="B690" s="35" t="n">
        <x:v>688</x:v>
      </x:c>
      <x:c r="C690" s="35" t="str">
        <x:v>P12</x:v>
      </x:c>
      <x:c r="D690" s="35" t="n">
        <x:v>7</x:v>
      </x:c>
      <x:c r="E690" s="35" t="str">
        <x:v>Primary VLA</x:v>
      </x:c>
      <x:c r="F690" s="35" t="str">
        <x:v>VLA-0</x:v>
      </x:c>
      <x:c r="G690" s="35" t="n">
        <x:v>2</x:v>
      </x:c>
      <x:c r="H690" s="35" t="str">
        <x:v>Relational Placement</x:v>
      </x:c>
      <x:c r="I690" s="35" t="str">
        <x:v>Main matched control</x:v>
      </x:c>
      <x:c r="J690" s="35" t="str">
        <x:v>PVLA-RP-CTL-08</x:v>
      </x:c>
      <x:c r="K690" s="35" t="str">
        <x:v>R-CF15</x:v>
      </x:c>
      <x:c r="L690" s="31" t="str">
        <x:v>Place the green pen beside the red block.</x:v>
      </x:c>
      <x:c r="M690" s="31" t="str">
        <x:v>Place the green pen beside the red block.</x:v>
      </x:c>
      <x:c r="N690" s="31" t="str">
        <x:v>R-CF15-CTRL: red block at front-right [REFERENCE]; green pen starts 24 cm in front of the reference [TARGET START]; pink marker and blue block are distractors outside the commanded goal sector.</x:v>
      </x:c>
      <x:c r="O690" s="31" t="str">
        <x:v>green pen near red block</x:v>
      </x:c>
      <x:c r="P690" s="31" t="str"/>
      <x:c r="Q690" s="31" t="str"/>
      <x:c r="R690" s="31" t="str"/>
      <x:c r="S690" s="31" t="str">
        <x:f>IF('Blind Scoring'!I690="","",'Blind Scoring'!I690)</x:f>
      </x:c>
      <x:c r="T690" s="31" t="str">
        <x:f>'Blind Scoring'!J690</x:f>
        <x:v>No</x:v>
      </x:c>
      <x:c r="U690" s="31" t="str">
        <x:f>IF('Blind Scoring'!L690="","",'Blind Scoring'!L690)</x:f>
      </x:c>
    </x:row>
    <x:row r="691" ht="44" customHeight="1">
      <x:c r="A691" s="35" t="str">
        <x:v>Not Started</x:v>
      </x:c>
      <x:c r="B691" s="35" t="n">
        <x:v>689</x:v>
      </x:c>
      <x:c r="C691" s="35" t="str">
        <x:v>P12</x:v>
      </x:c>
      <x:c r="D691" s="35" t="n">
        <x:v>8</x:v>
      </x:c>
      <x:c r="E691" s="35" t="str">
        <x:v>Primary VLA</x:v>
      </x:c>
      <x:c r="F691" s="35" t="str">
        <x:v>VLA-0</x:v>
      </x:c>
      <x:c r="G691" s="35" t="n">
        <x:v>2</x:v>
      </x:c>
      <x:c r="H691" s="35" t="str">
        <x:v>Relational Placement</x:v>
      </x:c>
      <x:c r="I691" s="35" t="str">
        <x:v>Main matched control</x:v>
      </x:c>
      <x:c r="J691" s="35" t="str">
        <x:v>PVLA-RP-CTL-02</x:v>
      </x:c>
      <x:c r="K691" s="35" t="str">
        <x:v>R-CF03</x:v>
      </x:c>
      <x:c r="L691" s="31" t="str">
        <x:v>Place the green pen beside the red block.</x:v>
      </x:c>
      <x:c r="M691" s="31" t="str">
        <x:v>Place the green pen beside the red block.</x:v>
      </x:c>
      <x:c r="N691" s="31" t="str">
        <x:v>R-CF03-CTRL: red block at back-right [REFERENCE]; green pen starts 24 cm to the left of the reference [TARGET START]; pink marker and blue block are distractors outside the commanded goal sector.</x:v>
      </x:c>
      <x:c r="O691" s="31" t="str">
        <x:v>green pen near red block</x:v>
      </x:c>
      <x:c r="P691" s="31" t="str"/>
      <x:c r="Q691" s="31" t="str"/>
      <x:c r="R691" s="31" t="str"/>
      <x:c r="S691" s="31" t="str">
        <x:f>IF('Blind Scoring'!I691="","",'Blind Scoring'!I691)</x:f>
      </x:c>
      <x:c r="T691" s="31" t="str">
        <x:f>'Blind Scoring'!J691</x:f>
        <x:v>No</x:v>
      </x:c>
      <x:c r="U691" s="31" t="str">
        <x:f>IF('Blind Scoring'!L691="","",'Blind Scoring'!L691)</x:f>
      </x:c>
    </x:row>
    <x:row r="692" ht="44" customHeight="1">
      <x:c r="A692" s="35" t="str">
        <x:v>Not Started</x:v>
      </x:c>
      <x:c r="B692" s="35" t="n">
        <x:v>690</x:v>
      </x:c>
      <x:c r="C692" s="35" t="str">
        <x:v>P12</x:v>
      </x:c>
      <x:c r="D692" s="35" t="n">
        <x:v>9</x:v>
      </x:c>
      <x:c r="E692" s="35" t="str">
        <x:v>Primary VLA</x:v>
      </x:c>
      <x:c r="F692" s="35" t="str">
        <x:v>VLA-0</x:v>
      </x:c>
      <x:c r="G692" s="35" t="n">
        <x:v>2</x:v>
      </x:c>
      <x:c r="H692" s="35" t="str">
        <x:v>Relational Placement</x:v>
      </x:c>
      <x:c r="I692" s="35" t="str">
        <x:v>Language ablation — counterfactual</x:v>
      </x:c>
      <x:c r="J692" s="35" t="str">
        <x:v>PVLA-RP-ABL-CF-04</x:v>
      </x:c>
      <x:c r="K692" s="35" t="str">
        <x:v>R-CF15</x:v>
      </x:c>
      <x:c r="L692" s="31" t="str">
        <x:v>Place the green pen in front of the red block.</x:v>
      </x:c>
      <x:c r="M692" s="31" t="str">
        <x:v>Place the green pen in front of the red block.</x:v>
      </x:c>
      <x:c r="N692" s="31" t="str">
        <x:v>R-CF15-HELD: red block at front-right [REFERENCE]; green pen starts 24 cm in front of the reference [TARGET START]; pink marker and blue block are distractors outside the commanded goal sector.</x:v>
      </x:c>
      <x:c r="O692" s="31" t="str">
        <x:v>green pen → in front of red block</x:v>
      </x:c>
      <x:c r="P692" s="31" t="str"/>
      <x:c r="Q692" s="31" t="str"/>
      <x:c r="R692" s="31" t="str"/>
      <x:c r="S692" s="31" t="str">
        <x:f>IF('Blind Scoring'!I692="","",'Blind Scoring'!I692)</x:f>
      </x:c>
      <x:c r="T692" s="31" t="str">
        <x:f>'Blind Scoring'!J692</x:f>
        <x:v>No</x:v>
      </x:c>
      <x:c r="U692" s="31" t="str">
        <x:f>IF('Blind Scoring'!L692="","",'Blind Scoring'!L692)</x:f>
      </x:c>
    </x:row>
    <x:row r="693" ht="44" customHeight="1">
      <x:c r="A693" s="35" t="str">
        <x:v>Not Started</x:v>
      </x:c>
      <x:c r="B693" s="35" t="n">
        <x:v>691</x:v>
      </x:c>
      <x:c r="C693" s="35" t="str">
        <x:v>P12</x:v>
      </x:c>
      <x:c r="D693" s="35" t="n">
        <x:v>10</x:v>
      </x:c>
      <x:c r="E693" s="35" t="str">
        <x:v>Primary VLA</x:v>
      </x:c>
      <x:c r="F693" s="35" t="str">
        <x:v>VLA-0</x:v>
      </x:c>
      <x:c r="G693" s="35" t="n">
        <x:v>2</x:v>
      </x:c>
      <x:c r="H693" s="35" t="str">
        <x:v>Relational Placement</x:v>
      </x:c>
      <x:c r="I693" s="35" t="str">
        <x:v>Language ablation — blank</x:v>
      </x:c>
      <x:c r="J693" s="35" t="str">
        <x:v>PVLA-RP-ABL-BLK-01</x:v>
      </x:c>
      <x:c r="K693" s="35" t="str">
        <x:v>R-CF01</x:v>
      </x:c>
      <x:c r="L693" s="31" t="str">
        <x:v>[EMPTY STRING — provide no instruction tokens]</x:v>
      </x:c>
      <x:c r="M693" s="31" t="str">
        <x:v>Place the green pen in front of the red block.</x:v>
      </x:c>
      <x:c r="N693" s="31" t="str">
        <x:v>R-CF01-HELD: red block at center [REFERENCE]; green pen starts 18 cm behind the reference [TARGET START]; pink marker and blue block are distractors outside the commanded goal sector.</x:v>
      </x:c>
      <x:c r="O693" s="31" t="str">
        <x:v>No prespecified task success under blank language; record any action/selected target.</x:v>
      </x:c>
      <x:c r="P693" s="31" t="str"/>
      <x:c r="Q693" s="31" t="str"/>
      <x:c r="R693" s="31" t="str"/>
      <x:c r="S693" s="31" t="str">
        <x:f>IF('Blind Scoring'!I693="","",'Blind Scoring'!I693)</x:f>
      </x:c>
      <x:c r="T693" s="31" t="str">
        <x:f>'Blind Scoring'!J693</x:f>
        <x:v>No</x:v>
      </x:c>
      <x:c r="U693" s="31" t="str">
        <x:f>IF('Blind Scoring'!L693="","",'Blind Scoring'!L693)</x:f>
      </x:c>
    </x:row>
    <x:row r="694" ht="44" customHeight="1">
      <x:c r="A694" s="35" t="str">
        <x:v>Not Started</x:v>
      </x:c>
      <x:c r="B694" s="35" t="n">
        <x:v>692</x:v>
      </x:c>
      <x:c r="C694" s="35" t="str">
        <x:v>P12</x:v>
      </x:c>
      <x:c r="D694" s="35" t="n">
        <x:v>11</x:v>
      </x:c>
      <x:c r="E694" s="35" t="str">
        <x:v>Primary VLA</x:v>
      </x:c>
      <x:c r="F694" s="35" t="str">
        <x:v>VLA-0</x:v>
      </x:c>
      <x:c r="G694" s="35" t="n">
        <x:v>2</x:v>
      </x:c>
      <x:c r="H694" s="35" t="str">
        <x:v>Relational Placement</x:v>
      </x:c>
      <x:c r="I694" s="35" t="str">
        <x:v>Main matched control</x:v>
      </x:c>
      <x:c r="J694" s="35" t="str">
        <x:v>PVLA-RP-CTL-12</x:v>
      </x:c>
      <x:c r="K694" s="35" t="str">
        <x:v>R-CF22</x:v>
      </x:c>
      <x:c r="L694" s="31" t="str">
        <x:v>Place the red block near the green pen.</x:v>
      </x:c>
      <x:c r="M694" s="31" t="str">
        <x:v>Place the red block near the green pen.</x:v>
      </x:c>
      <x:c r="N694" s="31" t="str">
        <x:v>R-CF22-CTRL: green pen at back-left [REFERENCE]; red block starts 18 cm to the left of the reference [TARGET START]; blue block and pink marker are distractors outside the commanded goal sector.</x:v>
      </x:c>
      <x:c r="O694" s="31" t="str">
        <x:v>red block near green pen</x:v>
      </x:c>
      <x:c r="P694" s="31" t="str"/>
      <x:c r="Q694" s="31" t="str"/>
      <x:c r="R694" s="31" t="str"/>
      <x:c r="S694" s="31" t="str">
        <x:f>IF('Blind Scoring'!I694="","",'Blind Scoring'!I694)</x:f>
      </x:c>
      <x:c r="T694" s="31" t="str">
        <x:f>'Blind Scoring'!J694</x:f>
        <x:v>No</x:v>
      </x:c>
      <x:c r="U694" s="31" t="str">
        <x:f>IF('Blind Scoring'!L694="","",'Blind Scoring'!L694)</x:f>
      </x:c>
    </x:row>
    <x:row r="695" ht="44" customHeight="1">
      <x:c r="A695" s="35" t="str">
        <x:v>Not Started</x:v>
      </x:c>
      <x:c r="B695" s="35" t="n">
        <x:v>693</x:v>
      </x:c>
      <x:c r="C695" s="35" t="str">
        <x:v>P12</x:v>
      </x:c>
      <x:c r="D695" s="35" t="n">
        <x:v>12</x:v>
      </x:c>
      <x:c r="E695" s="35" t="str">
        <x:v>Primary VLA</x:v>
      </x:c>
      <x:c r="F695" s="35" t="str">
        <x:v>VLA-0</x:v>
      </x:c>
      <x:c r="G695" s="35" t="n">
        <x:v>2</x:v>
      </x:c>
      <x:c r="H695" s="35" t="str">
        <x:v>Relational Placement</x:v>
      </x:c>
      <x:c r="I695" s="35" t="str">
        <x:v>Main matched control</x:v>
      </x:c>
      <x:c r="J695" s="35" t="str">
        <x:v>PVLA-RP-CTL-01</x:v>
      </x:c>
      <x:c r="K695" s="35" t="str">
        <x:v>R-CF01</x:v>
      </x:c>
      <x:c r="L695" s="31" t="str">
        <x:v>Place the green pen near the red block.</x:v>
      </x:c>
      <x:c r="M695" s="31" t="str">
        <x:v>Place the green pen near the red block.</x:v>
      </x:c>
      <x:c r="N695" s="31" t="str">
        <x:v>R-CF01-CTRL: red block at center [REFERENCE]; green pen starts 18 cm behind the reference [TARGET START]; pink marker and blue block are distractors outside the commanded goal sector.</x:v>
      </x:c>
      <x:c r="O695" s="31" t="str">
        <x:v>green pen near red block</x:v>
      </x:c>
      <x:c r="P695" s="31" t="str"/>
      <x:c r="Q695" s="31" t="str"/>
      <x:c r="R695" s="31" t="str"/>
      <x:c r="S695" s="31" t="str">
        <x:f>IF('Blind Scoring'!I695="","",'Blind Scoring'!I695)</x:f>
      </x:c>
      <x:c r="T695" s="31" t="str">
        <x:f>'Blind Scoring'!J695</x:f>
        <x:v>No</x:v>
      </x:c>
      <x:c r="U695" s="31" t="str">
        <x:f>IF('Blind Scoring'!L695="","",'Blind Scoring'!L695)</x:f>
      </x:c>
    </x:row>
    <x:row r="696" ht="44" customHeight="1">
      <x:c r="A696" s="35" t="str">
        <x:v>Not Started</x:v>
      </x:c>
      <x:c r="B696" s="35" t="n">
        <x:v>694</x:v>
      </x:c>
      <x:c r="C696" s="35" t="str">
        <x:v>P12</x:v>
      </x:c>
      <x:c r="D696" s="35" t="n">
        <x:v>13</x:v>
      </x:c>
      <x:c r="E696" s="35" t="str">
        <x:v>Primary VLA</x:v>
      </x:c>
      <x:c r="F696" s="35" t="str">
        <x:v>VLA-0</x:v>
      </x:c>
      <x:c r="G696" s="35" t="n">
        <x:v>2</x:v>
      </x:c>
      <x:c r="H696" s="35" t="str">
        <x:v>Relational Placement</x:v>
      </x:c>
      <x:c r="I696" s="35" t="str">
        <x:v>Exact-scene paraphrase</x:v>
      </x:c>
      <x:c r="J696" s="35" t="str">
        <x:v>PVLA-RP-PAR-08</x:v>
      </x:c>
      <x:c r="K696" s="35" t="str"/>
      <x:c r="L696" s="31" t="str">
        <x:v>Move the red block to the side of the pink marker facing the robot.</x:v>
      </x:c>
      <x:c r="M696" s="31" t="str">
        <x:v>Move the red block to the side of the pink marker facing the robot.</x:v>
      </x:c>
      <x:c r="N696" s="31" t="str">
        <x:v>R-P01: pink marker at center [REFERENCE]; red block starts 21 cm behind the reference [TARGET START]; remaining objects are distractors with ≥12 cm clearance from the target path and commanded goal sector.</x:v>
      </x:c>
      <x:c r="O696" s="31" t="str">
        <x:v>red block</x:v>
      </x:c>
      <x:c r="P696" s="31" t="str"/>
      <x:c r="Q696" s="31" t="str"/>
      <x:c r="R696" s="31" t="str"/>
      <x:c r="S696" s="31" t="str">
        <x:f>IF('Blind Scoring'!I696="","",'Blind Scoring'!I696)</x:f>
      </x:c>
      <x:c r="T696" s="31" t="str">
        <x:f>'Blind Scoring'!J696</x:f>
        <x:v>No</x:v>
      </x:c>
      <x:c r="U696" s="31" t="str">
        <x:f>IF('Blind Scoring'!L696="","",'Blind Scoring'!L696)</x:f>
      </x:c>
    </x:row>
    <x:row r="697" ht="44" customHeight="1">
      <x:c r="A697" s="35" t="str">
        <x:v>Not Started</x:v>
      </x:c>
      <x:c r="B697" s="35" t="n">
        <x:v>695</x:v>
      </x:c>
      <x:c r="C697" s="35" t="str">
        <x:v>P12</x:v>
      </x:c>
      <x:c r="D697" s="35" t="n">
        <x:v>14</x:v>
      </x:c>
      <x:c r="E697" s="35" t="str">
        <x:v>Primary VLA</x:v>
      </x:c>
      <x:c r="F697" s="35" t="str">
        <x:v>VLA-0</x:v>
      </x:c>
      <x:c r="G697" s="35" t="n">
        <x:v>2</x:v>
      </x:c>
      <x:c r="H697" s="35" t="str">
        <x:v>Relational Placement</x:v>
      </x:c>
      <x:c r="I697" s="35" t="str">
        <x:v>Language ablation — blank</x:v>
      </x:c>
      <x:c r="J697" s="35" t="str">
        <x:v>PVLA-RP-ABL-BLK-03</x:v>
      </x:c>
      <x:c r="K697" s="35" t="str">
        <x:v>R-CF05</x:v>
      </x:c>
      <x:c r="L697" s="31" t="str">
        <x:v>[EMPTY STRING — provide no instruction tokens]</x:v>
      </x:c>
      <x:c r="M697" s="31" t="str">
        <x:v>Place the green pen to the left of the red block.</x:v>
      </x:c>
      <x:c r="N697" s="31" t="str">
        <x:v>R-CF05-HELD: red block at front-right [REFERENCE]; green pen starts 21 cm to the right of the reference [TARGET START]; pink marker and blue block are distractors outside the commanded goal sector.</x:v>
      </x:c>
      <x:c r="O697" s="31" t="str">
        <x:v>No prespecified task success under blank language; record any action/selected target.</x:v>
      </x:c>
      <x:c r="P697" s="31" t="str"/>
      <x:c r="Q697" s="31" t="str"/>
      <x:c r="R697" s="31" t="str"/>
      <x:c r="S697" s="31" t="str">
        <x:f>IF('Blind Scoring'!I697="","",'Blind Scoring'!I697)</x:f>
      </x:c>
      <x:c r="T697" s="31" t="str">
        <x:f>'Blind Scoring'!J697</x:f>
        <x:v>No</x:v>
      </x:c>
      <x:c r="U697" s="31" t="str">
        <x:f>IF('Blind Scoring'!L697="","",'Blind Scoring'!L697)</x:f>
      </x:c>
    </x:row>
    <x:row r="698" ht="44" customHeight="1">
      <x:c r="A698" s="35" t="str">
        <x:v>Not Started</x:v>
      </x:c>
      <x:c r="B698" s="35" t="n">
        <x:v>696</x:v>
      </x:c>
      <x:c r="C698" s="35" t="str">
        <x:v>P12</x:v>
      </x:c>
      <x:c r="D698" s="35" t="n">
        <x:v>15</x:v>
      </x:c>
      <x:c r="E698" s="35" t="str">
        <x:v>Primary VLA</x:v>
      </x:c>
      <x:c r="F698" s="35" t="str">
        <x:v>VLA-0</x:v>
      </x:c>
      <x:c r="G698" s="35" t="n">
        <x:v>2</x:v>
      </x:c>
      <x:c r="H698" s="35" t="str">
        <x:v>Relational Placement</x:v>
      </x:c>
      <x:c r="I698" s="35" t="str">
        <x:v>Main matched control</x:v>
      </x:c>
      <x:c r="J698" s="35" t="str">
        <x:v>PVLA-RP-CTL-09</x:v>
      </x:c>
      <x:c r="K698" s="35" t="str">
        <x:v>R-CF16</x:v>
      </x:c>
      <x:c r="L698" s="31" t="str">
        <x:v>Place the red block near the green pen.</x:v>
      </x:c>
      <x:c r="M698" s="31" t="str">
        <x:v>Place the red block near the green pen.</x:v>
      </x:c>
      <x:c r="N698" s="31" t="str">
        <x:v>R-CF16-CTRL: green pen at center [REFERENCE]; red block starts 18 cm to the right of the reference [TARGET START]; blue block and pink marker are distractors outside the commanded goal sector.</x:v>
      </x:c>
      <x:c r="O698" s="31" t="str">
        <x:v>red block near green pen</x:v>
      </x:c>
      <x:c r="P698" s="31" t="str"/>
      <x:c r="Q698" s="31" t="str"/>
      <x:c r="R698" s="31" t="str"/>
      <x:c r="S698" s="31" t="str">
        <x:f>IF('Blind Scoring'!I698="","",'Blind Scoring'!I698)</x:f>
      </x:c>
      <x:c r="T698" s="31" t="str">
        <x:f>'Blind Scoring'!J698</x:f>
        <x:v>No</x:v>
      </x:c>
      <x:c r="U698" s="31" t="str">
        <x:f>IF('Blind Scoring'!L698="","",'Blind Scoring'!L698)</x:f>
      </x:c>
    </x:row>
    <x:row r="699" ht="44" customHeight="1">
      <x:c r="A699" s="35" t="str">
        <x:v>Not Started</x:v>
      </x:c>
      <x:c r="B699" s="35" t="n">
        <x:v>697</x:v>
      </x:c>
      <x:c r="C699" s="35" t="str">
        <x:v>P12</x:v>
      </x:c>
      <x:c r="D699" s="35" t="n">
        <x:v>16</x:v>
      </x:c>
      <x:c r="E699" s="35" t="str">
        <x:v>Primary VLA</x:v>
      </x:c>
      <x:c r="F699" s="35" t="str">
        <x:v>VLA-0</x:v>
      </x:c>
      <x:c r="G699" s="35" t="n">
        <x:v>2</x:v>
      </x:c>
      <x:c r="H699" s="35" t="str">
        <x:v>Relational Placement</x:v>
      </x:c>
      <x:c r="I699" s="35" t="str">
        <x:v>Main matched control</x:v>
      </x:c>
      <x:c r="J699" s="35" t="str">
        <x:v>PVLA-RP-CTL-16</x:v>
      </x:c>
      <x:c r="K699" s="35" t="str">
        <x:v>R-CF30</x:v>
      </x:c>
      <x:c r="L699" s="31" t="str">
        <x:v>Place the red block beside the green pen.</x:v>
      </x:c>
      <x:c r="M699" s="31" t="str">
        <x:v>Place the red block beside the green pen.</x:v>
      </x:c>
      <x:c r="N699" s="31" t="str">
        <x:v>R-CF30-CTRL: green pen at front-right [REFERENCE]; red block starts 24 cm to the left of the reference [TARGET START]; blue block and pink marker are distractors outside the commanded goal sector.</x:v>
      </x:c>
      <x:c r="O699" s="31" t="str">
        <x:v>red block near green pen</x:v>
      </x:c>
      <x:c r="P699" s="31" t="str"/>
      <x:c r="Q699" s="31" t="str"/>
      <x:c r="R699" s="31" t="str"/>
      <x:c r="S699" s="31" t="str">
        <x:f>IF('Blind Scoring'!I699="","",'Blind Scoring'!I699)</x:f>
      </x:c>
      <x:c r="T699" s="31" t="str">
        <x:f>'Blind Scoring'!J699</x:f>
        <x:v>No</x:v>
      </x:c>
      <x:c r="U699" s="31" t="str">
        <x:f>IF('Blind Scoring'!L699="","",'Blind Scoring'!L699)</x:f>
      </x:c>
    </x:row>
    <x:row r="700" ht="44" customHeight="1">
      <x:c r="A700" s="35" t="str">
        <x:v>Not Started</x:v>
      </x:c>
      <x:c r="B700" s="35" t="n">
        <x:v>698</x:v>
      </x:c>
      <x:c r="C700" s="35" t="str">
        <x:v>P12</x:v>
      </x:c>
      <x:c r="D700" s="35" t="n">
        <x:v>17</x:v>
      </x:c>
      <x:c r="E700" s="35" t="str">
        <x:v>Primary VLA</x:v>
      </x:c>
      <x:c r="F700" s="35" t="str">
        <x:v>VLA-0</x:v>
      </x:c>
      <x:c r="G700" s="35" t="n">
        <x:v>2</x:v>
      </x:c>
      <x:c r="H700" s="35" t="str">
        <x:v>Relational Placement</x:v>
      </x:c>
      <x:c r="I700" s="35" t="str">
        <x:v>Language ablation — counterfactual</x:v>
      </x:c>
      <x:c r="J700" s="35" t="str">
        <x:v>PVLA-RP-ABL-CF-03</x:v>
      </x:c>
      <x:c r="K700" s="35" t="str">
        <x:v>R-CF13</x:v>
      </x:c>
      <x:c r="L700" s="31" t="str">
        <x:v>Place the green pen to the right of the red block.</x:v>
      </x:c>
      <x:c r="M700" s="31" t="str">
        <x:v>Place the green pen to the right of the red block.</x:v>
      </x:c>
      <x:c r="N700" s="31" t="str">
        <x:v>R-CF13-HELD: red block at back-right [REFERENCE]; green pen starts 18 cm to the right of the reference [TARGET START]; pink marker and blue block are distractors outside the commanded goal sector.</x:v>
      </x:c>
      <x:c r="O700" s="31" t="str">
        <x:v>green pen → to the right of red block</x:v>
      </x:c>
      <x:c r="P700" s="31" t="str"/>
      <x:c r="Q700" s="31" t="str"/>
      <x:c r="R700" s="31" t="str"/>
      <x:c r="S700" s="31" t="str">
        <x:f>IF('Blind Scoring'!I700="","",'Blind Scoring'!I700)</x:f>
      </x:c>
      <x:c r="T700" s="31" t="str">
        <x:f>'Blind Scoring'!J700</x:f>
        <x:v>No</x:v>
      </x:c>
      <x:c r="U700" s="31" t="str">
        <x:f>IF('Blind Scoring'!L700="","",'Blind Scoring'!L700)</x:f>
      </x:c>
    </x:row>
    <x:row r="701" ht="44" customHeight="1">
      <x:c r="A701" s="35" t="str">
        <x:v>Not Started</x:v>
      </x:c>
      <x:c r="B701" s="35" t="n">
        <x:v>699</x:v>
      </x:c>
      <x:c r="C701" s="35" t="str">
        <x:v>P12</x:v>
      </x:c>
      <x:c r="D701" s="35" t="n">
        <x:v>18</x:v>
      </x:c>
      <x:c r="E701" s="35" t="str">
        <x:v>Primary VLA</x:v>
      </x:c>
      <x:c r="F701" s="35" t="str">
        <x:v>VLA-0</x:v>
      </x:c>
      <x:c r="G701" s="35" t="n">
        <x:v>2</x:v>
      </x:c>
      <x:c r="H701" s="35" t="str">
        <x:v>Relational Placement</x:v>
      </x:c>
      <x:c r="I701" s="35" t="str">
        <x:v>Exact-scene paraphrase</x:v>
      </x:c>
      <x:c r="J701" s="35" t="str">
        <x:v>PVLA-RP-PAR-03</x:v>
      </x:c>
      <x:c r="K701" s="35" t="str"/>
      <x:c r="L701" s="31" t="str">
        <x:v>Move the red block to the side of the pink marker facing the robot.</x:v>
      </x:c>
      <x:c r="M701" s="31" t="str">
        <x:v>Move the red block to the side of the pink marker facing the robot.</x:v>
      </x:c>
      <x:c r="N701" s="31" t="str">
        <x:v>R-P01: pink marker at center [REFERENCE]; red block starts 21 cm behind the reference [TARGET START]; remaining objects are distractors with ≥12 cm clearance from the target path and commanded goal sector.</x:v>
      </x:c>
      <x:c r="O701" s="31" t="str">
        <x:v>red block</x:v>
      </x:c>
      <x:c r="P701" s="31" t="str"/>
      <x:c r="Q701" s="31" t="str"/>
      <x:c r="R701" s="31" t="str"/>
      <x:c r="S701" s="31" t="str">
        <x:f>IF('Blind Scoring'!I701="","",'Blind Scoring'!I701)</x:f>
      </x:c>
      <x:c r="T701" s="31" t="str">
        <x:f>'Blind Scoring'!J701</x:f>
        <x:v>No</x:v>
      </x:c>
      <x:c r="U701" s="31" t="str">
        <x:f>IF('Blind Scoring'!L701="","",'Blind Scoring'!L701)</x:f>
      </x:c>
    </x:row>
    <x:row r="702" ht="44" customHeight="1">
      <x:c r="A702" s="35" t="str">
        <x:v>Not Started</x:v>
      </x:c>
      <x:c r="B702" s="35" t="n">
        <x:v>700</x:v>
      </x:c>
      <x:c r="C702" s="35" t="str">
        <x:v>P12</x:v>
      </x:c>
      <x:c r="D702" s="35" t="n">
        <x:v>19</x:v>
      </x:c>
      <x:c r="E702" s="35" t="str">
        <x:v>Primary VLA</x:v>
      </x:c>
      <x:c r="F702" s="35" t="str">
        <x:v>VLA-0</x:v>
      </x:c>
      <x:c r="G702" s="35" t="n">
        <x:v>2</x:v>
      </x:c>
      <x:c r="H702" s="35" t="str">
        <x:v>Relational Placement</x:v>
      </x:c>
      <x:c r="I702" s="35" t="str">
        <x:v>Main held-out transfer</x:v>
      </x:c>
      <x:c r="J702" s="35" t="str">
        <x:v>PVLA-RP-TR-12</x:v>
      </x:c>
      <x:c r="K702" s="35" t="str">
        <x:v>R-CF22</x:v>
      </x:c>
      <x:c r="L702" s="31" t="str">
        <x:v>Place the red block to the right of the green pen.</x:v>
      </x:c>
      <x:c r="M702" s="31" t="str">
        <x:v>Place the red block to the right of the green pen.</x:v>
      </x:c>
      <x:c r="N702" s="31" t="str">
        <x:v>R-CF22-HELD: green pen at back-left [REFERENCE]; red block starts 18 cm to the left of the reference [TARGET START]; blue block and pink marker are distractors outside the commanded goal sector.</x:v>
      </x:c>
      <x:c r="O702" s="31" t="str">
        <x:v>red block → to the right of green pen</x:v>
      </x:c>
      <x:c r="P702" s="31" t="str"/>
      <x:c r="Q702" s="31" t="str"/>
      <x:c r="R702" s="31" t="str"/>
      <x:c r="S702" s="31" t="str">
        <x:f>IF('Blind Scoring'!I702="","",'Blind Scoring'!I702)</x:f>
      </x:c>
      <x:c r="T702" s="31" t="str">
        <x:f>'Blind Scoring'!J702</x:f>
        <x:v>No</x:v>
      </x:c>
      <x:c r="U702" s="31" t="str">
        <x:f>IF('Blind Scoring'!L702="","",'Blind Scoring'!L702)</x:f>
      </x:c>
    </x:row>
    <x:row r="703" ht="44" customHeight="1">
      <x:c r="A703" s="35" t="str">
        <x:v>Not Started</x:v>
      </x:c>
      <x:c r="B703" s="35" t="n">
        <x:v>701</x:v>
      </x:c>
      <x:c r="C703" s="35" t="str">
        <x:v>P12</x:v>
      </x:c>
      <x:c r="D703" s="35" t="n">
        <x:v>20</x:v>
      </x:c>
      <x:c r="E703" s="35" t="str">
        <x:v>Primary VLA</x:v>
      </x:c>
      <x:c r="F703" s="35" t="str">
        <x:v>VLA-0</x:v>
      </x:c>
      <x:c r="G703" s="35" t="n">
        <x:v>2</x:v>
      </x:c>
      <x:c r="H703" s="35" t="str">
        <x:v>Relational Placement</x:v>
      </x:c>
      <x:c r="I703" s="35" t="str">
        <x:v>Language ablation — blank</x:v>
      </x:c>
      <x:c r="J703" s="35" t="str">
        <x:v>PVLA-RP-ABL-BLK-04</x:v>
      </x:c>
      <x:c r="K703" s="35" t="str">
        <x:v>R-CF07</x:v>
      </x:c>
      <x:c r="L703" s="31" t="str">
        <x:v>[EMPTY STRING — provide no instruction tokens]</x:v>
      </x:c>
      <x:c r="M703" s="31" t="str">
        <x:v>Place the green pen behind the red block.</x:v>
      </x:c>
      <x:c r="N703" s="31" t="str">
        <x:v>R-CF07-HELD: red block at back-left [REFERENCE]; green pen starts 18 cm in front of the reference [TARGET START]; pink marker and blue block are distractors outside the commanded goal sector.</x:v>
      </x:c>
      <x:c r="O703" s="31" t="str">
        <x:v>No prespecified task success under blank language; record any action/selected target.</x:v>
      </x:c>
      <x:c r="P703" s="31" t="str"/>
      <x:c r="Q703" s="31" t="str"/>
      <x:c r="R703" s="31" t="str"/>
      <x:c r="S703" s="31" t="str">
        <x:f>IF('Blind Scoring'!I703="","",'Blind Scoring'!I703)</x:f>
      </x:c>
      <x:c r="T703" s="31" t="str">
        <x:f>'Blind Scoring'!J703</x:f>
        <x:v>No</x:v>
      </x:c>
      <x:c r="U703" s="31" t="str">
        <x:f>IF('Blind Scoring'!L703="","",'Blind Scoring'!L703)</x:f>
      </x:c>
    </x:row>
    <x:row r="704" ht="44" customHeight="1">
      <x:c r="A704" s="35" t="str">
        <x:v>Not Started</x:v>
      </x:c>
      <x:c r="B704" s="35" t="n">
        <x:v>702</x:v>
      </x:c>
      <x:c r="C704" s="35" t="str">
        <x:v>P12</x:v>
      </x:c>
      <x:c r="D704" s="35" t="n">
        <x:v>21</x:v>
      </x:c>
      <x:c r="E704" s="35" t="str">
        <x:v>Primary VLA</x:v>
      </x:c>
      <x:c r="F704" s="35" t="str">
        <x:v>VLA-0</x:v>
      </x:c>
      <x:c r="G704" s="35" t="n">
        <x:v>2</x:v>
      </x:c>
      <x:c r="H704" s="35" t="str">
        <x:v>Relational Placement</x:v>
      </x:c>
      <x:c r="I704" s="35" t="str">
        <x:v>Training reconstruction</x:v>
      </x:c>
      <x:c r="J704" s="35" t="str">
        <x:v>PVLA-RP-REC-04</x:v>
      </x:c>
      <x:c r="K704" s="35" t="str"/>
      <x:c r="L704" s="31" t="str">
        <x:v>Place the green pen behind the pink marker.</x:v>
      </x:c>
      <x:c r="M704" s="31" t="str">
        <x:v>Place the green pen behind the pink marker.</x:v>
      </x:c>
      <x:c r="N704" s="31" t="str">
        <x:v>Reconstruct planned final training episode 219: green pen, red block, pink marker, blue block; start=Home. Match camera, calibration, bowl pose, and object geometry exactly.</x:v>
      </x:c>
      <x:c r="O704" s="31" t="str">
        <x:v>green pen</x:v>
      </x:c>
      <x:c r="P704" s="31" t="str"/>
      <x:c r="Q704" s="31" t="str"/>
      <x:c r="R704" s="31" t="str"/>
      <x:c r="S704" s="31" t="str">
        <x:f>IF('Blind Scoring'!I704="","",'Blind Scoring'!I704)</x:f>
      </x:c>
      <x:c r="T704" s="31" t="str">
        <x:f>'Blind Scoring'!J704</x:f>
        <x:v>No</x:v>
      </x:c>
      <x:c r="U704" s="31" t="str">
        <x:f>IF('Blind Scoring'!L704="","",'Blind Scoring'!L704)</x:f>
      </x:c>
    </x:row>
    <x:row r="705" ht="44" customHeight="1">
      <x:c r="A705" s="35" t="str">
        <x:v>Not Started</x:v>
      </x:c>
      <x:c r="B705" s="35" t="n">
        <x:v>703</x:v>
      </x:c>
      <x:c r="C705" s="35" t="str">
        <x:v>P12</x:v>
      </x:c>
      <x:c r="D705" s="35" t="n">
        <x:v>22</x:v>
      </x:c>
      <x:c r="E705" s="35" t="str">
        <x:v>Primary VLA</x:v>
      </x:c>
      <x:c r="F705" s="35" t="str">
        <x:v>VLA-0</x:v>
      </x:c>
      <x:c r="G705" s="35" t="n">
        <x:v>2</x:v>
      </x:c>
      <x:c r="H705" s="35" t="str">
        <x:v>Relational Placement</x:v>
      </x:c>
      <x:c r="I705" s="35" t="str">
        <x:v>Main matched control</x:v>
      </x:c>
      <x:c r="J705" s="35" t="str">
        <x:v>PVLA-RP-CTL-15</x:v>
      </x:c>
      <x:c r="K705" s="35" t="str">
        <x:v>R-CF28</x:v>
      </x:c>
      <x:c r="L705" s="31" t="str">
        <x:v>Place the red block near the green pen.</x:v>
      </x:c>
      <x:c r="M705" s="31" t="str">
        <x:v>Place the red block near the green pen.</x:v>
      </x:c>
      <x:c r="N705" s="31" t="str">
        <x:v>R-CF28-CTRL: green pen at back-right [REFERENCE]; red block starts 18 cm behind the reference [TARGET START]; blue block and pink marker are distractors outside the commanded goal sector.</x:v>
      </x:c>
      <x:c r="O705" s="31" t="str">
        <x:v>red block near green pen</x:v>
      </x:c>
      <x:c r="P705" s="31" t="str"/>
      <x:c r="Q705" s="31" t="str"/>
      <x:c r="R705" s="31" t="str"/>
      <x:c r="S705" s="31" t="str">
        <x:f>IF('Blind Scoring'!I705="","",'Blind Scoring'!I705)</x:f>
      </x:c>
      <x:c r="T705" s="31" t="str">
        <x:f>'Blind Scoring'!J705</x:f>
        <x:v>No</x:v>
      </x:c>
      <x:c r="U705" s="31" t="str">
        <x:f>IF('Blind Scoring'!L705="","",'Blind Scoring'!L705)</x:f>
      </x:c>
    </x:row>
    <x:row r="706" ht="44" customHeight="1">
      <x:c r="A706" s="35" t="str">
        <x:v>Not Started</x:v>
      </x:c>
      <x:c r="B706" s="35" t="n">
        <x:v>704</x:v>
      </x:c>
      <x:c r="C706" s="35" t="str">
        <x:v>P12</x:v>
      </x:c>
      <x:c r="D706" s="35" t="n">
        <x:v>23</x:v>
      </x:c>
      <x:c r="E706" s="35" t="str">
        <x:v>Primary VLA</x:v>
      </x:c>
      <x:c r="F706" s="35" t="str">
        <x:v>VLA-0</x:v>
      </x:c>
      <x:c r="G706" s="35" t="n">
        <x:v>2</x:v>
      </x:c>
      <x:c r="H706" s="35" t="str">
        <x:v>Relational Placement</x:v>
      </x:c>
      <x:c r="I706" s="35" t="str">
        <x:v>Exact-scene paraphrase</x:v>
      </x:c>
      <x:c r="J706" s="35" t="str">
        <x:v>PVLA-RP-PAR-01</x:v>
      </x:c>
      <x:c r="K706" s="35" t="str"/>
      <x:c r="L706" s="31" t="str">
        <x:v>Move the red block to the side of the pink marker facing the robot.</x:v>
      </x:c>
      <x:c r="M706" s="31" t="str">
        <x:v>Move the red block to the side of the pink marker facing the robot.</x:v>
      </x:c>
      <x:c r="N706" s="31" t="str">
        <x:v>R-P01: pink marker at center [REFERENCE]; red block starts 21 cm behind the reference [TARGET START]; remaining objects are distractors with ≥12 cm clearance from the target path and commanded goal sector.</x:v>
      </x:c>
      <x:c r="O706" s="31" t="str">
        <x:v>red block</x:v>
      </x:c>
      <x:c r="P706" s="31" t="str"/>
      <x:c r="Q706" s="31" t="str"/>
      <x:c r="R706" s="31" t="str"/>
      <x:c r="S706" s="31" t="str">
        <x:f>IF('Blind Scoring'!I706="","",'Blind Scoring'!I706)</x:f>
      </x:c>
      <x:c r="T706" s="31" t="str">
        <x:f>'Blind Scoring'!J706</x:f>
        <x:v>No</x:v>
      </x:c>
      <x:c r="U706" s="31" t="str">
        <x:f>IF('Blind Scoring'!L706="","",'Blind Scoring'!L706)</x:f>
      </x:c>
    </x:row>
    <x:row r="707" ht="44" customHeight="1">
      <x:c r="A707" s="35" t="str">
        <x:v>Not Started</x:v>
      </x:c>
      <x:c r="B707" s="35" t="n">
        <x:v>705</x:v>
      </x:c>
      <x:c r="C707" s="35" t="str">
        <x:v>P12</x:v>
      </x:c>
      <x:c r="D707" s="35" t="n">
        <x:v>24</x:v>
      </x:c>
      <x:c r="E707" s="35" t="str">
        <x:v>Primary VLA</x:v>
      </x:c>
      <x:c r="F707" s="35" t="str">
        <x:v>VLA-0</x:v>
      </x:c>
      <x:c r="G707" s="35" t="n">
        <x:v>2</x:v>
      </x:c>
      <x:c r="H707" s="35" t="str">
        <x:v>Relational Placement</x:v>
      </x:c>
      <x:c r="I707" s="35" t="str">
        <x:v>Training reconstruction</x:v>
      </x:c>
      <x:c r="J707" s="35" t="str">
        <x:v>PVLA-RP-REC-05</x:v>
      </x:c>
      <x:c r="K707" s="35" t="str"/>
      <x:c r="L707" s="31" t="str">
        <x:v>Place the green pen to the left of the pink marker.</x:v>
      </x:c>
      <x:c r="M707" s="31" t="str">
        <x:v>Place the green pen to the left of the pink marker.</x:v>
      </x:c>
      <x:c r="N707" s="31" t="str">
        <x:v>Reconstruct planned final training episode 230: green pen, pink marker, red block; start=Home. Match camera, calibration, bowl pose, and object geometry exactly.</x:v>
      </x:c>
      <x:c r="O707" s="31" t="str">
        <x:v>green pen</x:v>
      </x:c>
      <x:c r="P707" s="31" t="str"/>
      <x:c r="Q707" s="31" t="str"/>
      <x:c r="R707" s="31" t="str"/>
      <x:c r="S707" s="31" t="str">
        <x:f>IF('Blind Scoring'!I707="","",'Blind Scoring'!I707)</x:f>
      </x:c>
      <x:c r="T707" s="31" t="str">
        <x:f>'Blind Scoring'!J707</x:f>
        <x:v>No</x:v>
      </x:c>
      <x:c r="U707" s="31" t="str">
        <x:f>IF('Blind Scoring'!L707="","",'Blind Scoring'!L707)</x:f>
      </x:c>
    </x:row>
    <x:row r="708" ht="44" customHeight="1">
      <x:c r="A708" s="35" t="str">
        <x:v>Not Started</x:v>
      </x:c>
      <x:c r="B708" s="35" t="n">
        <x:v>706</x:v>
      </x:c>
      <x:c r="C708" s="35" t="str">
        <x:v>P12</x:v>
      </x:c>
      <x:c r="D708" s="35" t="n">
        <x:v>25</x:v>
      </x:c>
      <x:c r="E708" s="35" t="str">
        <x:v>Primary VLA</x:v>
      </x:c>
      <x:c r="F708" s="35" t="str">
        <x:v>VLA-0</x:v>
      </x:c>
      <x:c r="G708" s="35" t="n">
        <x:v>2</x:v>
      </x:c>
      <x:c r="H708" s="35" t="str">
        <x:v>Relational Placement</x:v>
      </x:c>
      <x:c r="I708" s="35" t="str">
        <x:v>Main matched control</x:v>
      </x:c>
      <x:c r="J708" s="35" t="str">
        <x:v>PVLA-RP-CTL-03</x:v>
      </x:c>
      <x:c r="K708" s="35" t="str">
        <x:v>R-CF05</x:v>
      </x:c>
      <x:c r="L708" s="31" t="str">
        <x:v>Place the green pen next to the red block.</x:v>
      </x:c>
      <x:c r="M708" s="31" t="str">
        <x:v>Place the green pen next to the red block.</x:v>
      </x:c>
      <x:c r="N708" s="31" t="str">
        <x:v>R-CF05-CTRL: red block at front-right [REFERENCE]; green pen starts 21 cm to the right of the reference [TARGET START]; pink marker and blue block are distractors outside the commanded goal sector.</x:v>
      </x:c>
      <x:c r="O708" s="31" t="str">
        <x:v>green pen near red block</x:v>
      </x:c>
      <x:c r="P708" s="31" t="str"/>
      <x:c r="Q708" s="31" t="str"/>
      <x:c r="R708" s="31" t="str"/>
      <x:c r="S708" s="31" t="str">
        <x:f>IF('Blind Scoring'!I708="","",'Blind Scoring'!I708)</x:f>
      </x:c>
      <x:c r="T708" s="31" t="str">
        <x:f>'Blind Scoring'!J708</x:f>
        <x:v>No</x:v>
      </x:c>
      <x:c r="U708" s="31" t="str">
        <x:f>IF('Blind Scoring'!L708="","",'Blind Scoring'!L708)</x:f>
      </x:c>
    </x:row>
    <x:row r="709" ht="44" customHeight="1">
      <x:c r="A709" s="35" t="str">
        <x:v>Not Started</x:v>
      </x:c>
      <x:c r="B709" s="35" t="n">
        <x:v>707</x:v>
      </x:c>
      <x:c r="C709" s="35" t="str">
        <x:v>P12</x:v>
      </x:c>
      <x:c r="D709" s="35" t="n">
        <x:v>26</x:v>
      </x:c>
      <x:c r="E709" s="35" t="str">
        <x:v>Primary VLA</x:v>
      </x:c>
      <x:c r="F709" s="35" t="str">
        <x:v>VLA-0</x:v>
      </x:c>
      <x:c r="G709" s="35" t="n">
        <x:v>2</x:v>
      </x:c>
      <x:c r="H709" s="35" t="str">
        <x:v>Relational Placement</x:v>
      </x:c>
      <x:c r="I709" s="35" t="str">
        <x:v>Novel layout + seen language</x:v>
      </x:c>
      <x:c r="J709" s="35" t="str">
        <x:v>PVLA-RP-NOV-05</x:v>
      </x:c>
      <x:c r="K709" s="35" t="str"/>
      <x:c r="L709" s="31" t="str">
        <x:v>Place the pink marker to the right of the blue block.</x:v>
      </x:c>
      <x:c r="M709" s="31" t="str">
        <x:v>Place the pink marker to the right of the blue block.</x:v>
      </x:c>
      <x:c r="N709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709" s="31" t="str">
        <x:v>pink marker</x:v>
      </x:c>
      <x:c r="P709" s="31" t="str"/>
      <x:c r="Q709" s="31" t="str"/>
      <x:c r="R709" s="31" t="str"/>
      <x:c r="S709" s="31" t="str">
        <x:f>IF('Blind Scoring'!I709="","",'Blind Scoring'!I709)</x:f>
      </x:c>
      <x:c r="T709" s="31" t="str">
        <x:f>'Blind Scoring'!J709</x:f>
        <x:v>No</x:v>
      </x:c>
      <x:c r="U709" s="31" t="str">
        <x:f>IF('Blind Scoring'!L709="","",'Blind Scoring'!L709)</x:f>
      </x:c>
    </x:row>
    <x:row r="710" ht="44" customHeight="1">
      <x:c r="A710" s="35" t="str">
        <x:v>Not Started</x:v>
      </x:c>
      <x:c r="B710" s="35" t="n">
        <x:v>708</x:v>
      </x:c>
      <x:c r="C710" s="35" t="str">
        <x:v>P12</x:v>
      </x:c>
      <x:c r="D710" s="35" t="n">
        <x:v>27</x:v>
      </x:c>
      <x:c r="E710" s="35" t="str">
        <x:v>Primary VLA</x:v>
      </x:c>
      <x:c r="F710" s="35" t="str">
        <x:v>VLA-0</x:v>
      </x:c>
      <x:c r="G710" s="35" t="n">
        <x:v>2</x:v>
      </x:c>
      <x:c r="H710" s="35" t="str">
        <x:v>Relational Placement</x:v>
      </x:c>
      <x:c r="I710" s="35" t="str">
        <x:v>Main held-out transfer</x:v>
      </x:c>
      <x:c r="J710" s="35" t="str">
        <x:v>PVLA-RP-TR-03</x:v>
      </x:c>
      <x:c r="K710" s="35" t="str">
        <x:v>R-CF05</x:v>
      </x:c>
      <x:c r="L710" s="31" t="str">
        <x:v>Place the green pen to the left of the red block.</x:v>
      </x:c>
      <x:c r="M710" s="31" t="str">
        <x:v>Place the green pen to the left of the red block.</x:v>
      </x:c>
      <x:c r="N710" s="31" t="str">
        <x:v>R-CF05-HELD: red block at front-right [REFERENCE]; green pen starts 21 cm to the right of the reference [TARGET START]; pink marker and blue block are distractors outside the commanded goal sector.</x:v>
      </x:c>
      <x:c r="O710" s="31" t="str">
        <x:v>green pen → to the left of red block</x:v>
      </x:c>
      <x:c r="P710" s="31" t="str"/>
      <x:c r="Q710" s="31" t="str"/>
      <x:c r="R710" s="31" t="str"/>
      <x:c r="S710" s="31" t="str">
        <x:f>IF('Blind Scoring'!I710="","",'Blind Scoring'!I710)</x:f>
      </x:c>
      <x:c r="T710" s="31" t="str">
        <x:f>'Blind Scoring'!J710</x:f>
        <x:v>No</x:v>
      </x:c>
      <x:c r="U710" s="31" t="str">
        <x:f>IF('Blind Scoring'!L710="","",'Blind Scoring'!L710)</x:f>
      </x:c>
    </x:row>
    <x:row r="711" ht="44" customHeight="1">
      <x:c r="A711" s="35" t="str">
        <x:v>Not Started</x:v>
      </x:c>
      <x:c r="B711" s="35" t="n">
        <x:v>709</x:v>
      </x:c>
      <x:c r="C711" s="35" t="str">
        <x:v>P12</x:v>
      </x:c>
      <x:c r="D711" s="35" t="n">
        <x:v>28</x:v>
      </x:c>
      <x:c r="E711" s="35" t="str">
        <x:v>Primary VLA</x:v>
      </x:c>
      <x:c r="F711" s="35" t="str">
        <x:v>VLA-0</x:v>
      </x:c>
      <x:c r="G711" s="35" t="n">
        <x:v>2</x:v>
      </x:c>
      <x:c r="H711" s="35" t="str">
        <x:v>Relational Placement</x:v>
      </x:c>
      <x:c r="I711" s="35" t="str">
        <x:v>Main held-out transfer</x:v>
      </x:c>
      <x:c r="J711" s="35" t="str">
        <x:v>PVLA-RP-TR-06</x:v>
      </x:c>
      <x:c r="K711" s="35" t="str">
        <x:v>R-CF11</x:v>
      </x:c>
      <x:c r="L711" s="31" t="str">
        <x:v>Place the green pen to the right of the red block.</x:v>
      </x:c>
      <x:c r="M711" s="31" t="str">
        <x:v>Place the green pen to the right of the red block.</x:v>
      </x:c>
      <x:c r="N711" s="31" t="str">
        <x:v>R-CF11-HELD: red block at center [REFERENCE]; green pen starts 21 cm to the left of the reference [TARGET START]; pink marker and blue block are distractors outside the commanded goal sector.</x:v>
      </x:c>
      <x:c r="O711" s="31" t="str">
        <x:v>green pen → to the right of red block</x:v>
      </x:c>
      <x:c r="P711" s="31" t="str"/>
      <x:c r="Q711" s="31" t="str"/>
      <x:c r="R711" s="31" t="str"/>
      <x:c r="S711" s="31" t="str">
        <x:f>IF('Blind Scoring'!I711="","",'Blind Scoring'!I711)</x:f>
      </x:c>
      <x:c r="T711" s="31" t="str">
        <x:f>'Blind Scoring'!J711</x:f>
        <x:v>No</x:v>
      </x:c>
      <x:c r="U711" s="31" t="str">
        <x:f>IF('Blind Scoring'!L711="","",'Blind Scoring'!L711)</x:f>
      </x:c>
    </x:row>
    <x:row r="712" ht="44" customHeight="1">
      <x:c r="A712" s="35" t="str">
        <x:v>Not Started</x:v>
      </x:c>
      <x:c r="B712" s="35" t="n">
        <x:v>710</x:v>
      </x:c>
      <x:c r="C712" s="35" t="str">
        <x:v>P12</x:v>
      </x:c>
      <x:c r="D712" s="35" t="n">
        <x:v>29</x:v>
      </x:c>
      <x:c r="E712" s="35" t="str">
        <x:v>Primary VLA</x:v>
      </x:c>
      <x:c r="F712" s="35" t="str">
        <x:v>VLA-0</x:v>
      </x:c>
      <x:c r="G712" s="35" t="n">
        <x:v>2</x:v>
      </x:c>
      <x:c r="H712" s="35" t="str">
        <x:v>Relational Placement</x:v>
      </x:c>
      <x:c r="I712" s="35" t="str">
        <x:v>Novel layout + seen language</x:v>
      </x:c>
      <x:c r="J712" s="35" t="str">
        <x:v>PVLA-RP-NOV-07</x:v>
      </x:c>
      <x:c r="K712" s="35" t="str"/>
      <x:c r="L712" s="31" t="str">
        <x:v>Place the pink marker in front of the blue block.</x:v>
      </x:c>
      <x:c r="M712" s="31" t="str">
        <x:v>Place the pink marker in front of the blue block.</x:v>
      </x:c>
      <x:c r="N712" s="31" t="str">
        <x:v>R-S17: blue block at center [REFERENCE]; pink marker starts 18 cm behind the reference [TARGET START]; remaining objects are distractors with ≥12 cm clearance from the target path and commanded goal sector.</x:v>
      </x:c>
      <x:c r="O712" s="31" t="str">
        <x:v>pink marker</x:v>
      </x:c>
      <x:c r="P712" s="31" t="str"/>
      <x:c r="Q712" s="31" t="str"/>
      <x:c r="R712" s="31" t="str"/>
      <x:c r="S712" s="31" t="str">
        <x:f>IF('Blind Scoring'!I712="","",'Blind Scoring'!I712)</x:f>
      </x:c>
      <x:c r="T712" s="31" t="str">
        <x:f>'Blind Scoring'!J712</x:f>
        <x:v>No</x:v>
      </x:c>
      <x:c r="U712" s="31" t="str">
        <x:f>IF('Blind Scoring'!L712="","",'Blind Scoring'!L712)</x:f>
      </x:c>
    </x:row>
    <x:row r="713" ht="44" customHeight="1">
      <x:c r="A713" s="35" t="str">
        <x:v>Not Started</x:v>
      </x:c>
      <x:c r="B713" s="35" t="n">
        <x:v>711</x:v>
      </x:c>
      <x:c r="C713" s="35" t="str">
        <x:v>P12</x:v>
      </x:c>
      <x:c r="D713" s="35" t="n">
        <x:v>30</x:v>
      </x:c>
      <x:c r="E713" s="35" t="str">
        <x:v>Primary VLA</x:v>
      </x:c>
      <x:c r="F713" s="35" t="str">
        <x:v>VLA-0</x:v>
      </x:c>
      <x:c r="G713" s="35" t="n">
        <x:v>2</x:v>
      </x:c>
      <x:c r="H713" s="35" t="str">
        <x:v>Relational Placement</x:v>
      </x:c>
      <x:c r="I713" s="35" t="str">
        <x:v>Main matched control</x:v>
      </x:c>
      <x:c r="J713" s="35" t="str">
        <x:v>PVLA-RP-CTL-10</x:v>
      </x:c>
      <x:c r="K713" s="35" t="str">
        <x:v>R-CF18</x:v>
      </x:c>
      <x:c r="L713" s="31" t="str">
        <x:v>Place the red block beside the green pen.</x:v>
      </x:c>
      <x:c r="M713" s="31" t="str">
        <x:v>Place the red block beside the green pen.</x:v>
      </x:c>
      <x:c r="N713" s="31" t="str">
        <x:v>R-CF18-CTRL: green pen at back-right [REFERENCE]; red block starts 24 cm in front of the reference [TARGET START]; blue block and pink marker are distractors outside the commanded goal sector.</x:v>
      </x:c>
      <x:c r="O713" s="31" t="str">
        <x:v>red block near green pen</x:v>
      </x:c>
      <x:c r="P713" s="31" t="str"/>
      <x:c r="Q713" s="31" t="str"/>
      <x:c r="R713" s="31" t="str"/>
      <x:c r="S713" s="31" t="str">
        <x:f>IF('Blind Scoring'!I713="","",'Blind Scoring'!I713)</x:f>
      </x:c>
      <x:c r="T713" s="31" t="str">
        <x:f>'Blind Scoring'!J713</x:f>
        <x:v>No</x:v>
      </x:c>
      <x:c r="U713" s="31" t="str">
        <x:f>IF('Blind Scoring'!L713="","",'Blind Scoring'!L713)</x:f>
      </x:c>
    </x:row>
    <x:row r="714" ht="44" customHeight="1">
      <x:c r="A714" s="35" t="str">
        <x:v>Not Started</x:v>
      </x:c>
      <x:c r="B714" s="35" t="n">
        <x:v>712</x:v>
      </x:c>
      <x:c r="C714" s="35" t="str">
        <x:v>P12</x:v>
      </x:c>
      <x:c r="D714" s="35" t="n">
        <x:v>31</x:v>
      </x:c>
      <x:c r="E714" s="35" t="str">
        <x:v>Primary VLA</x:v>
      </x:c>
      <x:c r="F714" s="35" t="str">
        <x:v>VLA-0</x:v>
      </x:c>
      <x:c r="G714" s="35" t="n">
        <x:v>2</x:v>
      </x:c>
      <x:c r="H714" s="35" t="str">
        <x:v>Relational Placement</x:v>
      </x:c>
      <x:c r="I714" s="35" t="str">
        <x:v>Main held-out transfer</x:v>
      </x:c>
      <x:c r="J714" s="35" t="str">
        <x:v>PVLA-RP-TR-07</x:v>
      </x:c>
      <x:c r="K714" s="35" t="str">
        <x:v>R-CF13</x:v>
      </x:c>
      <x:c r="L714" s="31" t="str">
        <x:v>Place the green pen to the left of the red block.</x:v>
      </x:c>
      <x:c r="M714" s="31" t="str">
        <x:v>Place the green pen to the left of the red block.</x:v>
      </x:c>
      <x:c r="N714" s="31" t="str">
        <x:v>R-CF13-HELD: red block at back-right [REFERENCE]; green pen starts 18 cm to the right of the reference [TARGET START]; pink marker and blue block are distractors outside the commanded goal sector.</x:v>
      </x:c>
      <x:c r="O714" s="31" t="str">
        <x:v>green pen → to the left of red block</x:v>
      </x:c>
      <x:c r="P714" s="31" t="str"/>
      <x:c r="Q714" s="31" t="str"/>
      <x:c r="R714" s="31" t="str"/>
      <x:c r="S714" s="31" t="str">
        <x:f>IF('Blind Scoring'!I714="","",'Blind Scoring'!I714)</x:f>
      </x:c>
      <x:c r="T714" s="31" t="str">
        <x:f>'Blind Scoring'!J714</x:f>
        <x:v>No</x:v>
      </x:c>
      <x:c r="U714" s="31" t="str">
        <x:f>IF('Blind Scoring'!L714="","",'Blind Scoring'!L714)</x:f>
      </x:c>
    </x:row>
    <x:row r="715" ht="44" customHeight="1">
      <x:c r="A715" s="35" t="str">
        <x:v>Not Started</x:v>
      </x:c>
      <x:c r="B715" s="35" t="n">
        <x:v>713</x:v>
      </x:c>
      <x:c r="C715" s="35" t="str">
        <x:v>P12</x:v>
      </x:c>
      <x:c r="D715" s="35" t="n">
        <x:v>32</x:v>
      </x:c>
      <x:c r="E715" s="35" t="str">
        <x:v>Primary VLA</x:v>
      </x:c>
      <x:c r="F715" s="35" t="str">
        <x:v>VLA-0</x:v>
      </x:c>
      <x:c r="G715" s="35" t="n">
        <x:v>2</x:v>
      </x:c>
      <x:c r="H715" s="35" t="str">
        <x:v>Relational Placement</x:v>
      </x:c>
      <x:c r="I715" s="35" t="str">
        <x:v>Main matched control</x:v>
      </x:c>
      <x:c r="J715" s="35" t="str">
        <x:v>PVLA-RP-CTL-13</x:v>
      </x:c>
      <x:c r="K715" s="35" t="str">
        <x:v>R-CF24</x:v>
      </x:c>
      <x:c r="L715" s="31" t="str">
        <x:v>Place the red block beside the green pen.</x:v>
      </x:c>
      <x:c r="M715" s="31" t="str">
        <x:v>Place the red block beside the green pen.</x:v>
      </x:c>
      <x:c r="N715" s="31" t="str">
        <x:v>R-CF24-CTRL: green pen at front-left [REFERENCE]; red block starts 24 cm to the right of the reference [TARGET START]; blue block and pink marker are distractors outside the commanded goal sector.</x:v>
      </x:c>
      <x:c r="O715" s="31" t="str">
        <x:v>red block near green pen</x:v>
      </x:c>
      <x:c r="P715" s="31" t="str"/>
      <x:c r="Q715" s="31" t="str"/>
      <x:c r="R715" s="31" t="str"/>
      <x:c r="S715" s="31" t="str">
        <x:f>IF('Blind Scoring'!I715="","",'Blind Scoring'!I715)</x:f>
      </x:c>
      <x:c r="T715" s="31" t="str">
        <x:f>'Blind Scoring'!J715</x:f>
        <x:v>No</x:v>
      </x:c>
      <x:c r="U715" s="31" t="str">
        <x:f>IF('Blind Scoring'!L715="","",'Blind Scoring'!L715)</x:f>
      </x:c>
    </x:row>
    <x:row r="716" ht="44" customHeight="1">
      <x:c r="A716" s="35" t="str">
        <x:v>Not Started</x:v>
      </x:c>
      <x:c r="B716" s="35" t="n">
        <x:v>714</x:v>
      </x:c>
      <x:c r="C716" s="35" t="str">
        <x:v>P12</x:v>
      </x:c>
      <x:c r="D716" s="35" t="n">
        <x:v>33</x:v>
      </x:c>
      <x:c r="E716" s="35" t="str">
        <x:v>Primary VLA</x:v>
      </x:c>
      <x:c r="F716" s="35" t="str">
        <x:v>VLA-0</x:v>
      </x:c>
      <x:c r="G716" s="35" t="n">
        <x:v>2</x:v>
      </x:c>
      <x:c r="H716" s="35" t="str">
        <x:v>Relational Placement</x:v>
      </x:c>
      <x:c r="I716" s="35" t="str">
        <x:v>Novel layout + seen language</x:v>
      </x:c>
      <x:c r="J716" s="35" t="str">
        <x:v>PVLA-RP-NOV-01</x:v>
      </x:c>
      <x:c r="K716" s="35" t="str"/>
      <x:c r="L716" s="31" t="str">
        <x:v>Place the blue block in front of the green pen.</x:v>
      </x:c>
      <x:c r="M716" s="31" t="str">
        <x:v>Place the blue block in front of the green pen.</x:v>
      </x:c>
      <x:c r="N716" s="31" t="str">
        <x:v>R-S01: green pen at center [REFERENCE]; blue block starts 24 cm behind the reference [TARGET START]; remaining objects are distractors with ≥12 cm clearance from the target path and commanded goal sector.</x:v>
      </x:c>
      <x:c r="O716" s="31" t="str">
        <x:v>blue block</x:v>
      </x:c>
      <x:c r="P716" s="31" t="str"/>
      <x:c r="Q716" s="31" t="str"/>
      <x:c r="R716" s="31" t="str"/>
      <x:c r="S716" s="31" t="str">
        <x:f>IF('Blind Scoring'!I716="","",'Blind Scoring'!I716)</x:f>
      </x:c>
      <x:c r="T716" s="31" t="str">
        <x:f>'Blind Scoring'!J716</x:f>
        <x:v>No</x:v>
      </x:c>
      <x:c r="U716" s="31" t="str">
        <x:f>IF('Blind Scoring'!L716="","",'Blind Scoring'!L716)</x:f>
      </x:c>
    </x:row>
    <x:row r="717" ht="44" customHeight="1">
      <x:c r="A717" s="35" t="str">
        <x:v>Not Started</x:v>
      </x:c>
      <x:c r="B717" s="35" t="n">
        <x:v>715</x:v>
      </x:c>
      <x:c r="C717" s="35" t="str">
        <x:v>P12</x:v>
      </x:c>
      <x:c r="D717" s="35" t="n">
        <x:v>34</x:v>
      </x:c>
      <x:c r="E717" s="35" t="str">
        <x:v>Primary VLA</x:v>
      </x:c>
      <x:c r="F717" s="35" t="str">
        <x:v>VLA-0</x:v>
      </x:c>
      <x:c r="G717" s="35" t="n">
        <x:v>2</x:v>
      </x:c>
      <x:c r="H717" s="35" t="str">
        <x:v>Relational Placement</x:v>
      </x:c>
      <x:c r="I717" s="35" t="str">
        <x:v>Main matched control</x:v>
      </x:c>
      <x:c r="J717" s="35" t="str">
        <x:v>PVLA-RP-CTL-05</x:v>
      </x:c>
      <x:c r="K717" s="35" t="str">
        <x:v>R-CF09</x:v>
      </x:c>
      <x:c r="L717" s="31" t="str">
        <x:v>Place the green pen beside the red block.</x:v>
      </x:c>
      <x:c r="M717" s="31" t="str">
        <x:v>Place the green pen beside the red block.</x:v>
      </x:c>
      <x:c r="N717" s="31" t="str">
        <x:v>R-CF09-CTRL: red block at front-left [REFERENCE]; green pen starts 24 cm behind the reference [TARGET START]; pink marker and blue block are distractors outside the commanded goal sector.</x:v>
      </x:c>
      <x:c r="O717" s="31" t="str">
        <x:v>green pen near red block</x:v>
      </x:c>
      <x:c r="P717" s="31" t="str"/>
      <x:c r="Q717" s="31" t="str"/>
      <x:c r="R717" s="31" t="str"/>
      <x:c r="S717" s="31" t="str">
        <x:f>IF('Blind Scoring'!I717="","",'Blind Scoring'!I717)</x:f>
      </x:c>
      <x:c r="T717" s="31" t="str">
        <x:f>'Blind Scoring'!J717</x:f>
        <x:v>No</x:v>
      </x:c>
      <x:c r="U717" s="31" t="str">
        <x:f>IF('Blind Scoring'!L717="","",'Blind Scoring'!L717)</x:f>
      </x:c>
    </x:row>
    <x:row r="718" ht="44" customHeight="1">
      <x:c r="A718" s="35" t="str">
        <x:v>Not Started</x:v>
      </x:c>
      <x:c r="B718" s="35" t="n">
        <x:v>716</x:v>
      </x:c>
      <x:c r="C718" s="35" t="str">
        <x:v>P12</x:v>
      </x:c>
      <x:c r="D718" s="35" t="n">
        <x:v>35</x:v>
      </x:c>
      <x:c r="E718" s="35" t="str">
        <x:v>Primary VLA</x:v>
      </x:c>
      <x:c r="F718" s="35" t="str">
        <x:v>VLA-0</x:v>
      </x:c>
      <x:c r="G718" s="35" t="n">
        <x:v>2</x:v>
      </x:c>
      <x:c r="H718" s="35" t="str">
        <x:v>Relational Placement</x:v>
      </x:c>
      <x:c r="I718" s="35" t="str">
        <x:v>Novel layout + seen language</x:v>
      </x:c>
      <x:c r="J718" s="35" t="str">
        <x:v>PVLA-RP-NOV-06</x:v>
      </x:c>
      <x:c r="K718" s="35" t="str"/>
      <x:c r="L718" s="31" t="str">
        <x:v>Place the red block to the left of the blue block.</x:v>
      </x:c>
      <x:c r="M718" s="31" t="str">
        <x:v>Place the red block to the left of the blue block.</x:v>
      </x:c>
      <x:c r="N718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718" s="31" t="str">
        <x:v>red block</x:v>
      </x:c>
      <x:c r="P718" s="31" t="str"/>
      <x:c r="Q718" s="31" t="str"/>
      <x:c r="R718" s="31" t="str"/>
      <x:c r="S718" s="31" t="str">
        <x:f>IF('Blind Scoring'!I718="","",'Blind Scoring'!I718)</x:f>
      </x:c>
      <x:c r="T718" s="31" t="str">
        <x:f>'Blind Scoring'!J718</x:f>
        <x:v>No</x:v>
      </x:c>
      <x:c r="U718" s="31" t="str">
        <x:f>IF('Blind Scoring'!L718="","",'Blind Scoring'!L718)</x:f>
      </x:c>
    </x:row>
    <x:row r="719" ht="44" customHeight="1">
      <x:c r="A719" s="35" t="str">
        <x:v>Not Started</x:v>
      </x:c>
      <x:c r="B719" s="35" t="n">
        <x:v>717</x:v>
      </x:c>
      <x:c r="C719" s="35" t="str">
        <x:v>P12</x:v>
      </x:c>
      <x:c r="D719" s="35" t="n">
        <x:v>36</x:v>
      </x:c>
      <x:c r="E719" s="35" t="str">
        <x:v>Primary VLA</x:v>
      </x:c>
      <x:c r="F719" s="35" t="str">
        <x:v>VLA-0</x:v>
      </x:c>
      <x:c r="G719" s="35" t="n">
        <x:v>2</x:v>
      </x:c>
      <x:c r="H719" s="35" t="str">
        <x:v>Relational Placement</x:v>
      </x:c>
      <x:c r="I719" s="35" t="str">
        <x:v>Main held-out transfer</x:v>
      </x:c>
      <x:c r="J719" s="35" t="str">
        <x:v>PVLA-RP-TR-05</x:v>
      </x:c>
      <x:c r="K719" s="35" t="str">
        <x:v>R-CF09</x:v>
      </x:c>
      <x:c r="L719" s="31" t="str">
        <x:v>Place the green pen in front of the red block.</x:v>
      </x:c>
      <x:c r="M719" s="31" t="str">
        <x:v>Place the green pen in front of the red block.</x:v>
      </x:c>
      <x:c r="N719" s="31" t="str">
        <x:v>R-CF09-HELD: red block at front-left [REFERENCE]; green pen starts 24 cm behind the reference [TARGET START]; pink marker and blue block are distractors outside the commanded goal sector.</x:v>
      </x:c>
      <x:c r="O719" s="31" t="str">
        <x:v>green pen → in front of red block</x:v>
      </x:c>
      <x:c r="P719" s="31" t="str"/>
      <x:c r="Q719" s="31" t="str"/>
      <x:c r="R719" s="31" t="str"/>
      <x:c r="S719" s="31" t="str">
        <x:f>IF('Blind Scoring'!I719="","",'Blind Scoring'!I719)</x:f>
      </x:c>
      <x:c r="T719" s="31" t="str">
        <x:f>'Blind Scoring'!J719</x:f>
        <x:v>No</x:v>
      </x:c>
      <x:c r="U719" s="31" t="str">
        <x:f>IF('Blind Scoring'!L719="","",'Blind Scoring'!L719)</x:f>
      </x:c>
    </x:row>
    <x:row r="720" ht="44" customHeight="1">
      <x:c r="A720" s="35" t="str">
        <x:v>Not Started</x:v>
      </x:c>
      <x:c r="B720" s="35" t="n">
        <x:v>718</x:v>
      </x:c>
      <x:c r="C720" s="35" t="str">
        <x:v>P12</x:v>
      </x:c>
      <x:c r="D720" s="35" t="n">
        <x:v>37</x:v>
      </x:c>
      <x:c r="E720" s="35" t="str">
        <x:v>Primary VLA</x:v>
      </x:c>
      <x:c r="F720" s="35" t="str">
        <x:v>VLA-0</x:v>
      </x:c>
      <x:c r="G720" s="35" t="n">
        <x:v>2</x:v>
      </x:c>
      <x:c r="H720" s="35" t="str">
        <x:v>Relational Placement</x:v>
      </x:c>
      <x:c r="I720" s="35" t="str">
        <x:v>Main matched control</x:v>
      </x:c>
      <x:c r="J720" s="35" t="str">
        <x:v>PVLA-RP-CTL-06</x:v>
      </x:c>
      <x:c r="K720" s="35" t="str">
        <x:v>R-CF11</x:v>
      </x:c>
      <x:c r="L720" s="31" t="str">
        <x:v>Place the green pen next to the red block.</x:v>
      </x:c>
      <x:c r="M720" s="31" t="str">
        <x:v>Place the green pen next to the red block.</x:v>
      </x:c>
      <x:c r="N720" s="31" t="str">
        <x:v>R-CF11-CTRL: red block at center [REFERENCE]; green pen starts 21 cm to the left of the reference [TARGET START]; pink marker and blue block are distractors outside the commanded goal sector.</x:v>
      </x:c>
      <x:c r="O720" s="31" t="str">
        <x:v>green pen near red block</x:v>
      </x:c>
      <x:c r="P720" s="31" t="str"/>
      <x:c r="Q720" s="31" t="str"/>
      <x:c r="R720" s="31" t="str"/>
      <x:c r="S720" s="31" t="str">
        <x:f>IF('Blind Scoring'!I720="","",'Blind Scoring'!I720)</x:f>
      </x:c>
      <x:c r="T720" s="31" t="str">
        <x:f>'Blind Scoring'!J720</x:f>
        <x:v>No</x:v>
      </x:c>
      <x:c r="U720" s="31" t="str">
        <x:f>IF('Blind Scoring'!L720="","",'Blind Scoring'!L720)</x:f>
      </x:c>
    </x:row>
    <x:row r="721" ht="44" customHeight="1">
      <x:c r="A721" s="35" t="str">
        <x:v>Not Started</x:v>
      </x:c>
      <x:c r="B721" s="35" t="n">
        <x:v>719</x:v>
      </x:c>
      <x:c r="C721" s="35" t="str">
        <x:v>P12</x:v>
      </x:c>
      <x:c r="D721" s="35" t="n">
        <x:v>38</x:v>
      </x:c>
      <x:c r="E721" s="35" t="str">
        <x:v>Primary VLA</x:v>
      </x:c>
      <x:c r="F721" s="35" t="str">
        <x:v>VLA-0</x:v>
      </x:c>
      <x:c r="G721" s="35" t="n">
        <x:v>2</x:v>
      </x:c>
      <x:c r="H721" s="35" t="str">
        <x:v>Relational Placement</x:v>
      </x:c>
      <x:c r="I721" s="35" t="str">
        <x:v>Language ablation — counterfactual</x:v>
      </x:c>
      <x:c r="J721" s="35" t="str">
        <x:v>PVLA-RP-ABL-CF-01</x:v>
      </x:c>
      <x:c r="K721" s="35" t="str">
        <x:v>R-CF09</x:v>
      </x:c>
      <x:c r="L721" s="31" t="str">
        <x:v>Place the green pen behind the red block.</x:v>
      </x:c>
      <x:c r="M721" s="31" t="str">
        <x:v>Place the green pen behind the red block.</x:v>
      </x:c>
      <x:c r="N721" s="31" t="str">
        <x:v>R-CF09-HELD: red block at front-left [REFERENCE]; green pen starts 24 cm behind the reference [TARGET START]; pink marker and blue block are distractors outside the commanded goal sector.</x:v>
      </x:c>
      <x:c r="O721" s="31" t="str">
        <x:v>green pen → behind red block</x:v>
      </x:c>
      <x:c r="P721" s="31" t="str"/>
      <x:c r="Q721" s="31" t="str"/>
      <x:c r="R721" s="31" t="str"/>
      <x:c r="S721" s="31" t="str">
        <x:f>IF('Blind Scoring'!I721="","",'Blind Scoring'!I721)</x:f>
      </x:c>
      <x:c r="T721" s="31" t="str">
        <x:f>'Blind Scoring'!J721</x:f>
        <x:v>No</x:v>
      </x:c>
      <x:c r="U721" s="31" t="str">
        <x:f>IF('Blind Scoring'!L721="","",'Blind Scoring'!L721)</x:f>
      </x:c>
    </x:row>
    <x:row r="722" ht="44" customHeight="1">
      <x:c r="A722" s="35" t="str">
        <x:v>Not Started</x:v>
      </x:c>
      <x:c r="B722" s="35" t="n">
        <x:v>720</x:v>
      </x:c>
      <x:c r="C722" s="35" t="str">
        <x:v>P12</x:v>
      </x:c>
      <x:c r="D722" s="35" t="n">
        <x:v>39</x:v>
      </x:c>
      <x:c r="E722" s="35" t="str">
        <x:v>Primary VLA</x:v>
      </x:c>
      <x:c r="F722" s="35" t="str">
        <x:v>VLA-0</x:v>
      </x:c>
      <x:c r="G722" s="35" t="n">
        <x:v>2</x:v>
      </x:c>
      <x:c r="H722" s="35" t="str">
        <x:v>Relational Placement</x:v>
      </x:c>
      <x:c r="I722" s="35" t="str">
        <x:v>Training reconstruction</x:v>
      </x:c>
      <x:c r="J722" s="35" t="str">
        <x:v>PVLA-RP-REC-01</x:v>
      </x:c>
      <x:c r="K722" s="35" t="str"/>
      <x:c r="L722" s="31" t="str">
        <x:v>Move the green pen to the front of the pink marker.</x:v>
      </x:c>
      <x:c r="M722" s="31" t="str">
        <x:v>Move the green pen to the front of the pink marker.</x:v>
      </x:c>
      <x:c r="N722" s="31" t="str">
        <x:v>Reconstruct planned final training episode 204: green pen, pink marker; start=Home. Match camera, calibration, bowl pose, and object geometry exactly.</x:v>
      </x:c>
      <x:c r="O722" s="31" t="str">
        <x:v>green pen</x:v>
      </x:c>
      <x:c r="P722" s="31" t="str"/>
      <x:c r="Q722" s="31" t="str"/>
      <x:c r="R722" s="31" t="str"/>
      <x:c r="S722" s="31" t="str">
        <x:f>IF('Blind Scoring'!I722="","",'Blind Scoring'!I722)</x:f>
      </x:c>
      <x:c r="T722" s="31" t="str">
        <x:f>'Blind Scoring'!J722</x:f>
        <x:v>No</x:v>
      </x:c>
      <x:c r="U722" s="31" t="str">
        <x:f>IF('Blind Scoring'!L722="","",'Blind Scoring'!L722)</x:f>
      </x:c>
    </x:row>
    <x:row r="723" ht="44" customHeight="1">
      <x:c r="A723" s="35" t="str">
        <x:v>Not Started</x:v>
      </x:c>
      <x:c r="B723" s="35" t="n">
        <x:v>721</x:v>
      </x:c>
      <x:c r="C723" s="35" t="str">
        <x:v>P12</x:v>
      </x:c>
      <x:c r="D723" s="35" t="n">
        <x:v>40</x:v>
      </x:c>
      <x:c r="E723" s="35" t="str">
        <x:v>Primary VLA</x:v>
      </x:c>
      <x:c r="F723" s="35" t="str">
        <x:v>VLA-0</x:v>
      </x:c>
      <x:c r="G723" s="35" t="n">
        <x:v>2</x:v>
      </x:c>
      <x:c r="H723" s="35" t="str">
        <x:v>Relational Placement</x:v>
      </x:c>
      <x:c r="I723" s="35" t="str">
        <x:v>Main held-out transfer</x:v>
      </x:c>
      <x:c r="J723" s="35" t="str">
        <x:v>PVLA-RP-TR-13</x:v>
      </x:c>
      <x:c r="K723" s="35" t="str">
        <x:v>R-CF24</x:v>
      </x:c>
      <x:c r="L723" s="31" t="str">
        <x:v>Place the red block to the left of the green pen.</x:v>
      </x:c>
      <x:c r="M723" s="31" t="str">
        <x:v>Place the red block to the left of the green pen.</x:v>
      </x:c>
      <x:c r="N723" s="31" t="str">
        <x:v>R-CF24-HELD: green pen at front-left [REFERENCE]; red block starts 24 cm to the right of the reference [TARGET START]; blue block and pink marker are distractors outside the commanded goal sector.</x:v>
      </x:c>
      <x:c r="O723" s="31" t="str">
        <x:v>red block → to the left of green pen</x:v>
      </x:c>
      <x:c r="P723" s="31" t="str"/>
      <x:c r="Q723" s="31" t="str"/>
      <x:c r="R723" s="31" t="str"/>
      <x:c r="S723" s="31" t="str">
        <x:f>IF('Blind Scoring'!I723="","",'Blind Scoring'!I723)</x:f>
      </x:c>
      <x:c r="T723" s="31" t="str">
        <x:f>'Blind Scoring'!J723</x:f>
        <x:v>No</x:v>
      </x:c>
      <x:c r="U723" s="31" t="str">
        <x:f>IF('Blind Scoring'!L723="","",'Blind Scoring'!L723)</x:f>
      </x:c>
    </x:row>
    <x:row r="724" ht="44" customHeight="1">
      <x:c r="A724" s="35" t="str">
        <x:v>Not Started</x:v>
      </x:c>
      <x:c r="B724" s="35" t="n">
        <x:v>722</x:v>
      </x:c>
      <x:c r="C724" s="35" t="str">
        <x:v>P12</x:v>
      </x:c>
      <x:c r="D724" s="35" t="n">
        <x:v>41</x:v>
      </x:c>
      <x:c r="E724" s="35" t="str">
        <x:v>Primary VLA</x:v>
      </x:c>
      <x:c r="F724" s="35" t="str">
        <x:v>VLA-0</x:v>
      </x:c>
      <x:c r="G724" s="35" t="n">
        <x:v>2</x:v>
      </x:c>
      <x:c r="H724" s="35" t="str">
        <x:v>Relational Placement</x:v>
      </x:c>
      <x:c r="I724" s="35" t="str">
        <x:v>Exact-scene paraphrase</x:v>
      </x:c>
      <x:c r="J724" s="35" t="str">
        <x:v>PVLA-RP-PAR-07</x:v>
      </x:c>
      <x:c r="K724" s="35" t="str"/>
      <x:c r="L724" s="31" t="str">
        <x:v>Move the red block to the side of the pink marker facing the robot.</x:v>
      </x:c>
      <x:c r="M724" s="31" t="str">
        <x:v>Move the red block to the side of the pink marker facing the robot.</x:v>
      </x:c>
      <x:c r="N724" s="31" t="str">
        <x:v>R-P01: pink marker at center [REFERENCE]; red block starts 21 cm behind the reference [TARGET START]; remaining objects are distractors with ≥12 cm clearance from the target path and commanded goal sector.</x:v>
      </x:c>
      <x:c r="O724" s="31" t="str">
        <x:v>red block</x:v>
      </x:c>
      <x:c r="P724" s="31" t="str"/>
      <x:c r="Q724" s="31" t="str"/>
      <x:c r="R724" s="31" t="str"/>
      <x:c r="S724" s="31" t="str">
        <x:f>IF('Blind Scoring'!I724="","",'Blind Scoring'!I724)</x:f>
      </x:c>
      <x:c r="T724" s="31" t="str">
        <x:f>'Blind Scoring'!J724</x:f>
        <x:v>No</x:v>
      </x:c>
      <x:c r="U724" s="31" t="str">
        <x:f>IF('Blind Scoring'!L724="","",'Blind Scoring'!L724)</x:f>
      </x:c>
    </x:row>
    <x:row r="725" ht="44" customHeight="1">
      <x:c r="A725" s="35" t="str">
        <x:v>Not Started</x:v>
      </x:c>
      <x:c r="B725" s="35" t="n">
        <x:v>723</x:v>
      </x:c>
      <x:c r="C725" s="35" t="str">
        <x:v>P12</x:v>
      </x:c>
      <x:c r="D725" s="35" t="n">
        <x:v>42</x:v>
      </x:c>
      <x:c r="E725" s="35" t="str">
        <x:v>Primary VLA</x:v>
      </x:c>
      <x:c r="F725" s="35" t="str">
        <x:v>VLA-0</x:v>
      </x:c>
      <x:c r="G725" s="35" t="n">
        <x:v>2</x:v>
      </x:c>
      <x:c r="H725" s="35" t="str">
        <x:v>Relational Placement</x:v>
      </x:c>
      <x:c r="I725" s="35" t="str">
        <x:v>Main held-out transfer</x:v>
      </x:c>
      <x:c r="J725" s="35" t="str">
        <x:v>PVLA-RP-TR-16</x:v>
      </x:c>
      <x:c r="K725" s="35" t="str">
        <x:v>R-CF30</x:v>
      </x:c>
      <x:c r="L725" s="31" t="str">
        <x:v>Place the red block to the right of the green pen.</x:v>
      </x:c>
      <x:c r="M725" s="31" t="str">
        <x:v>Place the red block to the right of the green pen.</x:v>
      </x:c>
      <x:c r="N725" s="31" t="str">
        <x:v>R-CF30-HELD: green pen at front-right [REFERENCE]; red block starts 24 cm to the left of the reference [TARGET START]; blue block and pink marker are distractors outside the commanded goal sector.</x:v>
      </x:c>
      <x:c r="O725" s="31" t="str">
        <x:v>red block → to the right of green pen</x:v>
      </x:c>
      <x:c r="P725" s="31" t="str"/>
      <x:c r="Q725" s="31" t="str"/>
      <x:c r="R725" s="31" t="str"/>
      <x:c r="S725" s="31" t="str">
        <x:f>IF('Blind Scoring'!I725="","",'Blind Scoring'!I725)</x:f>
      </x:c>
      <x:c r="T725" s="31" t="str">
        <x:f>'Blind Scoring'!J725</x:f>
        <x:v>No</x:v>
      </x:c>
      <x:c r="U725" s="31" t="str">
        <x:f>IF('Blind Scoring'!L725="","",'Blind Scoring'!L725)</x:f>
      </x:c>
    </x:row>
    <x:row r="726" ht="44" customHeight="1">
      <x:c r="A726" s="35" t="str">
        <x:v>Not Started</x:v>
      </x:c>
      <x:c r="B726" s="35" t="n">
        <x:v>724</x:v>
      </x:c>
      <x:c r="C726" s="35" t="str">
        <x:v>P12</x:v>
      </x:c>
      <x:c r="D726" s="35" t="n">
        <x:v>43</x:v>
      </x:c>
      <x:c r="E726" s="35" t="str">
        <x:v>Primary VLA</x:v>
      </x:c>
      <x:c r="F726" s="35" t="str">
        <x:v>VLA-0</x:v>
      </x:c>
      <x:c r="G726" s="35" t="n">
        <x:v>2</x:v>
      </x:c>
      <x:c r="H726" s="35" t="str">
        <x:v>Relational Placement</x:v>
      </x:c>
      <x:c r="I726" s="35" t="str">
        <x:v>Novel layout + seen language</x:v>
      </x:c>
      <x:c r="J726" s="35" t="str">
        <x:v>PVLA-RP-NOV-08</x:v>
      </x:c>
      <x:c r="K726" s="35" t="str"/>
      <x:c r="L726" s="31" t="str">
        <x:v>Place the red block to the right of the blue block.</x:v>
      </x:c>
      <x:c r="M726" s="31" t="str">
        <x:v>Place the red block to the right of the blue block.</x:v>
      </x:c>
      <x:c r="N726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726" s="31" t="str">
        <x:v>red block</x:v>
      </x:c>
      <x:c r="P726" s="31" t="str"/>
      <x:c r="Q726" s="31" t="str"/>
      <x:c r="R726" s="31" t="str"/>
      <x:c r="S726" s="31" t="str">
        <x:f>IF('Blind Scoring'!I726="","",'Blind Scoring'!I726)</x:f>
      </x:c>
      <x:c r="T726" s="31" t="str">
        <x:f>'Blind Scoring'!J726</x:f>
        <x:v>No</x:v>
      </x:c>
      <x:c r="U726" s="31" t="str">
        <x:f>IF('Blind Scoring'!L726="","",'Blind Scoring'!L726)</x:f>
      </x:c>
    </x:row>
    <x:row r="727" ht="44" customHeight="1">
      <x:c r="A727" s="35" t="str">
        <x:v>Not Started</x:v>
      </x:c>
      <x:c r="B727" s="35" t="n">
        <x:v>725</x:v>
      </x:c>
      <x:c r="C727" s="35" t="str">
        <x:v>P12</x:v>
      </x:c>
      <x:c r="D727" s="35" t="n">
        <x:v>44</x:v>
      </x:c>
      <x:c r="E727" s="35" t="str">
        <x:v>Primary VLA</x:v>
      </x:c>
      <x:c r="F727" s="35" t="str">
        <x:v>VLA-0</x:v>
      </x:c>
      <x:c r="G727" s="35" t="n">
        <x:v>2</x:v>
      </x:c>
      <x:c r="H727" s="35" t="str">
        <x:v>Relational Placement</x:v>
      </x:c>
      <x:c r="I727" s="35" t="str">
        <x:v>Exact-scene paraphrase</x:v>
      </x:c>
      <x:c r="J727" s="35" t="str">
        <x:v>PVLA-RP-PAR-05</x:v>
      </x:c>
      <x:c r="K727" s="35" t="str"/>
      <x:c r="L727" s="31" t="str">
        <x:v>Move the red block to the side of the pink marker facing the robot.</x:v>
      </x:c>
      <x:c r="M727" s="31" t="str">
        <x:v>Move the red block to the side of the pink marker facing the robot.</x:v>
      </x:c>
      <x:c r="N727" s="31" t="str">
        <x:v>R-P01: pink marker at center [REFERENCE]; red block starts 21 cm behind the reference [TARGET START]; remaining objects are distractors with ≥12 cm clearance from the target path and commanded goal sector.</x:v>
      </x:c>
      <x:c r="O727" s="31" t="str">
        <x:v>red block</x:v>
      </x:c>
      <x:c r="P727" s="31" t="str"/>
      <x:c r="Q727" s="31" t="str"/>
      <x:c r="R727" s="31" t="str"/>
      <x:c r="S727" s="31" t="str">
        <x:f>IF('Blind Scoring'!I727="","",'Blind Scoring'!I727)</x:f>
      </x:c>
      <x:c r="T727" s="31" t="str">
        <x:f>'Blind Scoring'!J727</x:f>
        <x:v>No</x:v>
      </x:c>
      <x:c r="U727" s="31" t="str">
        <x:f>IF('Blind Scoring'!L727="","",'Blind Scoring'!L727)</x:f>
      </x:c>
    </x:row>
    <x:row r="728" ht="44" customHeight="1">
      <x:c r="A728" s="35" t="str">
        <x:v>Not Started</x:v>
      </x:c>
      <x:c r="B728" s="35" t="n">
        <x:v>726</x:v>
      </x:c>
      <x:c r="C728" s="35" t="str">
        <x:v>P12</x:v>
      </x:c>
      <x:c r="D728" s="35" t="n">
        <x:v>45</x:v>
      </x:c>
      <x:c r="E728" s="35" t="str">
        <x:v>Primary VLA</x:v>
      </x:c>
      <x:c r="F728" s="35" t="str">
        <x:v>VLA-0</x:v>
      </x:c>
      <x:c r="G728" s="35" t="n">
        <x:v>2</x:v>
      </x:c>
      <x:c r="H728" s="35" t="str">
        <x:v>Relational Placement</x:v>
      </x:c>
      <x:c r="I728" s="35" t="str">
        <x:v>Main matched control</x:v>
      </x:c>
      <x:c r="J728" s="35" t="str">
        <x:v>PVLA-RP-CTL-11</x:v>
      </x:c>
      <x:c r="K728" s="35" t="str">
        <x:v>R-CF20</x:v>
      </x:c>
      <x:c r="L728" s="31" t="str">
        <x:v>Place the red block next to the green pen.</x:v>
      </x:c>
      <x:c r="M728" s="31" t="str">
        <x:v>Place the red block next to the green pen.</x:v>
      </x:c>
      <x:c r="N728" s="31" t="str">
        <x:v>R-CF20-CTRL: green pen at front-right [REFERENCE]; red block starts 21 cm behind the reference [TARGET START]; blue block and pink marker are distractors outside the commanded goal sector.</x:v>
      </x:c>
      <x:c r="O728" s="31" t="str">
        <x:v>red block near green pen</x:v>
      </x:c>
      <x:c r="P728" s="31" t="str"/>
      <x:c r="Q728" s="31" t="str"/>
      <x:c r="R728" s="31" t="str"/>
      <x:c r="S728" s="31" t="str">
        <x:f>IF('Blind Scoring'!I728="","",'Blind Scoring'!I728)</x:f>
      </x:c>
      <x:c r="T728" s="31" t="str">
        <x:f>'Blind Scoring'!J728</x:f>
        <x:v>No</x:v>
      </x:c>
      <x:c r="U728" s="31" t="str">
        <x:f>IF('Blind Scoring'!L728="","",'Blind Scoring'!L728)</x:f>
      </x:c>
    </x:row>
    <x:row r="729" ht="44" customHeight="1">
      <x:c r="A729" s="35" t="str">
        <x:v>Not Started</x:v>
      </x:c>
      <x:c r="B729" s="35" t="n">
        <x:v>727</x:v>
      </x:c>
      <x:c r="C729" s="35" t="str">
        <x:v>P12</x:v>
      </x:c>
      <x:c r="D729" s="35" t="n">
        <x:v>46</x:v>
      </x:c>
      <x:c r="E729" s="35" t="str">
        <x:v>Primary VLA</x:v>
      </x:c>
      <x:c r="F729" s="35" t="str">
        <x:v>VLA-0</x:v>
      </x:c>
      <x:c r="G729" s="35" t="n">
        <x:v>2</x:v>
      </x:c>
      <x:c r="H729" s="35" t="str">
        <x:v>Relational Placement</x:v>
      </x:c>
      <x:c r="I729" s="35" t="str">
        <x:v>Exact-scene paraphrase</x:v>
      </x:c>
      <x:c r="J729" s="35" t="str">
        <x:v>PVLA-RP-PAR-02</x:v>
      </x:c>
      <x:c r="K729" s="35" t="str"/>
      <x:c r="L729" s="31" t="str">
        <x:v>Move the red block to the side of the pink marker facing the robot.</x:v>
      </x:c>
      <x:c r="M729" s="31" t="str">
        <x:v>Move the red block to the side of the pink marker facing the robot.</x:v>
      </x:c>
      <x:c r="N729" s="31" t="str">
        <x:v>R-P01: pink marker at center [REFERENCE]; red block starts 21 cm behind the reference [TARGET START]; remaining objects are distractors with ≥12 cm clearance from the target path and commanded goal sector.</x:v>
      </x:c>
      <x:c r="O729" s="31" t="str">
        <x:v>red block</x:v>
      </x:c>
      <x:c r="P729" s="31" t="str"/>
      <x:c r="Q729" s="31" t="str"/>
      <x:c r="R729" s="31" t="str"/>
      <x:c r="S729" s="31" t="str">
        <x:f>IF('Blind Scoring'!I729="","",'Blind Scoring'!I729)</x:f>
      </x:c>
      <x:c r="T729" s="31" t="str">
        <x:f>'Blind Scoring'!J729</x:f>
        <x:v>No</x:v>
      </x:c>
      <x:c r="U729" s="31" t="str">
        <x:f>IF('Blind Scoring'!L729="","",'Blind Scoring'!L729)</x:f>
      </x:c>
    </x:row>
    <x:row r="730" ht="44" customHeight="1">
      <x:c r="A730" s="35" t="str">
        <x:v>Not Started</x:v>
      </x:c>
      <x:c r="B730" s="35" t="n">
        <x:v>728</x:v>
      </x:c>
      <x:c r="C730" s="35" t="str">
        <x:v>P12</x:v>
      </x:c>
      <x:c r="D730" s="35" t="n">
        <x:v>47</x:v>
      </x:c>
      <x:c r="E730" s="35" t="str">
        <x:v>Primary VLA</x:v>
      </x:c>
      <x:c r="F730" s="35" t="str">
        <x:v>VLA-0</x:v>
      </x:c>
      <x:c r="G730" s="35" t="n">
        <x:v>2</x:v>
      </x:c>
      <x:c r="H730" s="35" t="str">
        <x:v>Relational Placement</x:v>
      </x:c>
      <x:c r="I730" s="35" t="str">
        <x:v>Novel layout + seen language</x:v>
      </x:c>
      <x:c r="J730" s="35" t="str">
        <x:v>PVLA-RP-NOV-03</x:v>
      </x:c>
      <x:c r="K730" s="35" t="str"/>
      <x:c r="L730" s="31" t="str">
        <x:v>Place the blue block behind the green pen.</x:v>
      </x:c>
      <x:c r="M730" s="31" t="str">
        <x:v>Place the blue block behind the green pen.</x:v>
      </x:c>
      <x:c r="N730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730" s="31" t="str">
        <x:v>blue block</x:v>
      </x:c>
      <x:c r="P730" s="31" t="str"/>
      <x:c r="Q730" s="31" t="str"/>
      <x:c r="R730" s="31" t="str"/>
      <x:c r="S730" s="31" t="str">
        <x:f>IF('Blind Scoring'!I730="","",'Blind Scoring'!I730)</x:f>
      </x:c>
      <x:c r="T730" s="31" t="str">
        <x:f>'Blind Scoring'!J730</x:f>
        <x:v>No</x:v>
      </x:c>
      <x:c r="U730" s="31" t="str">
        <x:f>IF('Blind Scoring'!L730="","",'Blind Scoring'!L730)</x:f>
      </x:c>
    </x:row>
    <x:row r="731" ht="44" customHeight="1">
      <x:c r="A731" s="35" t="str">
        <x:v>Not Started</x:v>
      </x:c>
      <x:c r="B731" s="35" t="n">
        <x:v>729</x:v>
      </x:c>
      <x:c r="C731" s="35" t="str">
        <x:v>P12</x:v>
      </x:c>
      <x:c r="D731" s="35" t="n">
        <x:v>48</x:v>
      </x:c>
      <x:c r="E731" s="35" t="str">
        <x:v>Primary VLA</x:v>
      </x:c>
      <x:c r="F731" s="35" t="str">
        <x:v>VLA-0</x:v>
      </x:c>
      <x:c r="G731" s="35" t="n">
        <x:v>2</x:v>
      </x:c>
      <x:c r="H731" s="35" t="str">
        <x:v>Relational Placement</x:v>
      </x:c>
      <x:c r="I731" s="35" t="str">
        <x:v>Main matched control</x:v>
      </x:c>
      <x:c r="J731" s="35" t="str">
        <x:v>PVLA-RP-CTL-07</x:v>
      </x:c>
      <x:c r="K731" s="35" t="str">
        <x:v>R-CF13</x:v>
      </x:c>
      <x:c r="L731" s="31" t="str">
        <x:v>Place the green pen near the red block.</x:v>
      </x:c>
      <x:c r="M731" s="31" t="str">
        <x:v>Place the green pen near the red block.</x:v>
      </x:c>
      <x:c r="N731" s="31" t="str">
        <x:v>R-CF13-CTRL: red block at back-right [REFERENCE]; green pen starts 18 cm to the right of the reference [TARGET START]; pink marker and blue block are distractors outside the commanded goal sector.</x:v>
      </x:c>
      <x:c r="O731" s="31" t="str">
        <x:v>green pen near red block</x:v>
      </x:c>
      <x:c r="P731" s="31" t="str"/>
      <x:c r="Q731" s="31" t="str"/>
      <x:c r="R731" s="31" t="str"/>
      <x:c r="S731" s="31" t="str">
        <x:f>IF('Blind Scoring'!I731="","",'Blind Scoring'!I731)</x:f>
      </x:c>
      <x:c r="T731" s="31" t="str">
        <x:f>'Blind Scoring'!J731</x:f>
        <x:v>No</x:v>
      </x:c>
      <x:c r="U731" s="31" t="str">
        <x:f>IF('Blind Scoring'!L731="","",'Blind Scoring'!L731)</x:f>
      </x:c>
    </x:row>
    <x:row r="732" ht="44" customHeight="1">
      <x:c r="A732" s="35" t="str">
        <x:v>Not Started</x:v>
      </x:c>
      <x:c r="B732" s="35" t="n">
        <x:v>730</x:v>
      </x:c>
      <x:c r="C732" s="35" t="str">
        <x:v>P12</x:v>
      </x:c>
      <x:c r="D732" s="35" t="n">
        <x:v>49</x:v>
      </x:c>
      <x:c r="E732" s="35" t="str">
        <x:v>Primary VLA</x:v>
      </x:c>
      <x:c r="F732" s="35" t="str">
        <x:v>VLA-0</x:v>
      </x:c>
      <x:c r="G732" s="35" t="n">
        <x:v>2</x:v>
      </x:c>
      <x:c r="H732" s="35" t="str">
        <x:v>Relational Placement</x:v>
      </x:c>
      <x:c r="I732" s="35" t="str">
        <x:v>Main held-out transfer</x:v>
      </x:c>
      <x:c r="J732" s="35" t="str">
        <x:v>PVLA-RP-TR-10</x:v>
      </x:c>
      <x:c r="K732" s="35" t="str">
        <x:v>R-CF18</x:v>
      </x:c>
      <x:c r="L732" s="31" t="str">
        <x:v>Place the red block behind the green pen.</x:v>
      </x:c>
      <x:c r="M732" s="31" t="str">
        <x:v>Place the red block behind the green pen.</x:v>
      </x:c>
      <x:c r="N732" s="31" t="str">
        <x:v>R-CF18-HELD: green pen at back-right [REFERENCE]; red block starts 24 cm in front of the reference [TARGET START]; blue block and pink marker are distractors outside the commanded goal sector.</x:v>
      </x:c>
      <x:c r="O732" s="31" t="str">
        <x:v>red block → behind green pen</x:v>
      </x:c>
      <x:c r="P732" s="31" t="str"/>
      <x:c r="Q732" s="31" t="str"/>
      <x:c r="R732" s="31" t="str"/>
      <x:c r="S732" s="31" t="str">
        <x:f>IF('Blind Scoring'!I732="","",'Blind Scoring'!I732)</x:f>
      </x:c>
      <x:c r="T732" s="31" t="str">
        <x:f>'Blind Scoring'!J732</x:f>
        <x:v>No</x:v>
      </x:c>
      <x:c r="U732" s="31" t="str">
        <x:f>IF('Blind Scoring'!L732="","",'Blind Scoring'!L732)</x:f>
      </x:c>
    </x:row>
    <x:row r="733" ht="44" customHeight="1">
      <x:c r="A733" s="35" t="str">
        <x:v>Not Started</x:v>
      </x:c>
      <x:c r="B733" s="35" t="n">
        <x:v>731</x:v>
      </x:c>
      <x:c r="C733" s="35" t="str">
        <x:v>P12</x:v>
      </x:c>
      <x:c r="D733" s="35" t="n">
        <x:v>50</x:v>
      </x:c>
      <x:c r="E733" s="35" t="str">
        <x:v>Primary VLA</x:v>
      </x:c>
      <x:c r="F733" s="35" t="str">
        <x:v>VLA-0</x:v>
      </x:c>
      <x:c r="G733" s="35" t="n">
        <x:v>2</x:v>
      </x:c>
      <x:c r="H733" s="35" t="str">
        <x:v>Relational Placement</x:v>
      </x:c>
      <x:c r="I733" s="35" t="str">
        <x:v>Main held-out transfer</x:v>
      </x:c>
      <x:c r="J733" s="35" t="str">
        <x:v>PVLA-RP-TR-15</x:v>
      </x:c>
      <x:c r="K733" s="35" t="str">
        <x:v>R-CF28</x:v>
      </x:c>
      <x:c r="L733" s="31" t="str">
        <x:v>Place the red block in front of the green pen.</x:v>
      </x:c>
      <x:c r="M733" s="31" t="str">
        <x:v>Place the red block in front of the green pen.</x:v>
      </x:c>
      <x:c r="N733" s="31" t="str">
        <x:v>R-CF28-HELD: green pen at back-right [REFERENCE]; red block starts 18 cm behind the reference [TARGET START]; blue block and pink marker are distractors outside the commanded goal sector.</x:v>
      </x:c>
      <x:c r="O733" s="31" t="str">
        <x:v>red block → in front of green pen</x:v>
      </x:c>
      <x:c r="P733" s="31" t="str"/>
      <x:c r="Q733" s="31" t="str"/>
      <x:c r="R733" s="31" t="str"/>
      <x:c r="S733" s="31" t="str">
        <x:f>IF('Blind Scoring'!I733="","",'Blind Scoring'!I733)</x:f>
      </x:c>
      <x:c r="T733" s="31" t="str">
        <x:f>'Blind Scoring'!J733</x:f>
        <x:v>No</x:v>
      </x:c>
      <x:c r="U733" s="31" t="str">
        <x:f>IF('Blind Scoring'!L733="","",'Blind Scoring'!L733)</x:f>
      </x:c>
    </x:row>
    <x:row r="734" ht="44" customHeight="1">
      <x:c r="A734" s="35" t="str">
        <x:v>Not Started</x:v>
      </x:c>
      <x:c r="B734" s="35" t="n">
        <x:v>732</x:v>
      </x:c>
      <x:c r="C734" s="35" t="str">
        <x:v>P12</x:v>
      </x:c>
      <x:c r="D734" s="35" t="n">
        <x:v>51</x:v>
      </x:c>
      <x:c r="E734" s="35" t="str">
        <x:v>Primary VLA</x:v>
      </x:c>
      <x:c r="F734" s="35" t="str">
        <x:v>VLA-0</x:v>
      </x:c>
      <x:c r="G734" s="35" t="n">
        <x:v>2</x:v>
      </x:c>
      <x:c r="H734" s="35" t="str">
        <x:v>Relational Placement</x:v>
      </x:c>
      <x:c r="I734" s="35" t="str">
        <x:v>Language ablation — blank</x:v>
      </x:c>
      <x:c r="J734" s="35" t="str">
        <x:v>PVLA-RP-ABL-BLK-02</x:v>
      </x:c>
      <x:c r="K734" s="35" t="str">
        <x:v>R-CF03</x:v>
      </x:c>
      <x:c r="L734" s="31" t="str">
        <x:v>[EMPTY STRING — provide no instruction tokens]</x:v>
      </x:c>
      <x:c r="M734" s="31" t="str">
        <x:v>Place the green pen to the right of the red block.</x:v>
      </x:c>
      <x:c r="N734" s="31" t="str">
        <x:v>R-CF03-HELD: red block at back-right [REFERENCE]; green pen starts 24 cm to the left of the reference [TARGET START]; pink marker and blue block are distractors outside the commanded goal sector.</x:v>
      </x:c>
      <x:c r="O734" s="31" t="str">
        <x:v>No prespecified task success under blank language; record any action/selected target.</x:v>
      </x:c>
      <x:c r="P734" s="31" t="str"/>
      <x:c r="Q734" s="31" t="str"/>
      <x:c r="R734" s="31" t="str"/>
      <x:c r="S734" s="31" t="str">
        <x:f>IF('Blind Scoring'!I734="","",'Blind Scoring'!I734)</x:f>
      </x:c>
      <x:c r="T734" s="31" t="str">
        <x:f>'Blind Scoring'!J734</x:f>
        <x:v>No</x:v>
      </x:c>
      <x:c r="U734" s="31" t="str">
        <x:f>IF('Blind Scoring'!L734="","",'Blind Scoring'!L734)</x:f>
      </x:c>
    </x:row>
    <x:row r="735" ht="44" customHeight="1">
      <x:c r="A735" s="35" t="str">
        <x:v>Not Started</x:v>
      </x:c>
      <x:c r="B735" s="35" t="n">
        <x:v>733</x:v>
      </x:c>
      <x:c r="C735" s="35" t="str">
        <x:v>P12</x:v>
      </x:c>
      <x:c r="D735" s="35" t="n">
        <x:v>52</x:v>
      </x:c>
      <x:c r="E735" s="35" t="str">
        <x:v>Primary VLA</x:v>
      </x:c>
      <x:c r="F735" s="35" t="str">
        <x:v>VLA-0</x:v>
      </x:c>
      <x:c r="G735" s="35" t="n">
        <x:v>2</x:v>
      </x:c>
      <x:c r="H735" s="35" t="str">
        <x:v>Relational Placement</x:v>
      </x:c>
      <x:c r="I735" s="35" t="str">
        <x:v>Training reconstruction</x:v>
      </x:c>
      <x:c r="J735" s="35" t="str">
        <x:v>PVLA-RP-REC-03</x:v>
      </x:c>
      <x:c r="K735" s="35" t="str"/>
      <x:c r="L735" s="31" t="str">
        <x:v>Place the green pen behind the pink marker.</x:v>
      </x:c>
      <x:c r="M735" s="31" t="str">
        <x:v>Place the green pen behind the pink marker.</x:v>
      </x:c>
      <x:c r="N735" s="31" t="str">
        <x:v>Reconstruct planned final training episode 218: green pen, pink marker, red block; start=Home. Match camera, calibration, bowl pose, and object geometry exactly.</x:v>
      </x:c>
      <x:c r="O735" s="31" t="str">
        <x:v>green pen</x:v>
      </x:c>
      <x:c r="P735" s="31" t="str"/>
      <x:c r="Q735" s="31" t="str"/>
      <x:c r="R735" s="31" t="str"/>
      <x:c r="S735" s="31" t="str">
        <x:f>IF('Blind Scoring'!I735="","",'Blind Scoring'!I735)</x:f>
      </x:c>
      <x:c r="T735" s="31" t="str">
        <x:f>'Blind Scoring'!J735</x:f>
        <x:v>No</x:v>
      </x:c>
      <x:c r="U735" s="31" t="str">
        <x:f>IF('Blind Scoring'!L735="","",'Blind Scoring'!L735)</x:f>
      </x:c>
    </x:row>
    <x:row r="736" ht="44" customHeight="1">
      <x:c r="A736" s="35" t="str">
        <x:v>Not Started</x:v>
      </x:c>
      <x:c r="B736" s="35" t="n">
        <x:v>734</x:v>
      </x:c>
      <x:c r="C736" s="35" t="str">
        <x:v>P12</x:v>
      </x:c>
      <x:c r="D736" s="35" t="n">
        <x:v>53</x:v>
      </x:c>
      <x:c r="E736" s="35" t="str">
        <x:v>Primary VLA</x:v>
      </x:c>
      <x:c r="F736" s="35" t="str">
        <x:v>VLA-0</x:v>
      </x:c>
      <x:c r="G736" s="35" t="n">
        <x:v>2</x:v>
      </x:c>
      <x:c r="H736" s="35" t="str">
        <x:v>Relational Placement</x:v>
      </x:c>
      <x:c r="I736" s="35" t="str">
        <x:v>Training reconstruction</x:v>
      </x:c>
      <x:c r="J736" s="35" t="str">
        <x:v>PVLA-RP-REC-02</x:v>
      </x:c>
      <x:c r="K736" s="35" t="str"/>
      <x:c r="L736" s="31" t="str">
        <x:v>Put the green pen on the table in front of the pink marker.</x:v>
      </x:c>
      <x:c r="M736" s="31" t="str">
        <x:v>Put the green pen on the table in front of the pink marker.</x:v>
      </x:c>
      <x:c r="N736" s="31" t="str">
        <x:v>Reconstruct planned final training episode 206: green pen, red block, pink marker, blue block; start=Home. Match camera, calibration, bowl pose, and object geometry exactly.</x:v>
      </x:c>
      <x:c r="O736" s="31" t="str">
        <x:v>green pen</x:v>
      </x:c>
      <x:c r="P736" s="31" t="str"/>
      <x:c r="Q736" s="31" t="str"/>
      <x:c r="R736" s="31" t="str"/>
      <x:c r="S736" s="31" t="str">
        <x:f>IF('Blind Scoring'!I736="","",'Blind Scoring'!I736)</x:f>
      </x:c>
      <x:c r="T736" s="31" t="str">
        <x:f>'Blind Scoring'!J736</x:f>
        <x:v>No</x:v>
      </x:c>
      <x:c r="U736" s="31" t="str">
        <x:f>IF('Blind Scoring'!L736="","",'Blind Scoring'!L736)</x:f>
      </x:c>
    </x:row>
    <x:row r="737" ht="44" customHeight="1">
      <x:c r="A737" s="35" t="str">
        <x:v>Not Started</x:v>
      </x:c>
      <x:c r="B737" s="35" t="n">
        <x:v>735</x:v>
      </x:c>
      <x:c r="C737" s="35" t="str">
        <x:v>P12</x:v>
      </x:c>
      <x:c r="D737" s="35" t="n">
        <x:v>54</x:v>
      </x:c>
      <x:c r="E737" s="35" t="str">
        <x:v>Primary VLA</x:v>
      </x:c>
      <x:c r="F737" s="35" t="str">
        <x:v>VLA-0</x:v>
      </x:c>
      <x:c r="G737" s="35" t="n">
        <x:v>2</x:v>
      </x:c>
      <x:c r="H737" s="35" t="str">
        <x:v>Relational Placement</x:v>
      </x:c>
      <x:c r="I737" s="35" t="str">
        <x:v>Training reconstruction</x:v>
      </x:c>
      <x:c r="J737" s="35" t="str">
        <x:v>PVLA-RP-REC-06</x:v>
      </x:c>
      <x:c r="K737" s="35" t="str"/>
      <x:c r="L737" s="31" t="str">
        <x:v>Place the green pen to the right of the pink marker.</x:v>
      </x:c>
      <x:c r="M737" s="31" t="str">
        <x:v>Place the green pen to the right of the pink marker.</x:v>
      </x:c>
      <x:c r="N737" s="31" t="str">
        <x:v>Reconstruct planned final training episode 243: green pen, pink marker, red block; start=Home. Match camera, calibration, bowl pose, and object geometry exactly.</x:v>
      </x:c>
      <x:c r="O737" s="31" t="str">
        <x:v>green pen</x:v>
      </x:c>
      <x:c r="P737" s="31" t="str"/>
      <x:c r="Q737" s="31" t="str"/>
      <x:c r="R737" s="31" t="str"/>
      <x:c r="S737" s="31" t="str">
        <x:f>IF('Blind Scoring'!I737="","",'Blind Scoring'!I737)</x:f>
      </x:c>
      <x:c r="T737" s="31" t="str">
        <x:f>'Blind Scoring'!J737</x:f>
        <x:v>No</x:v>
      </x:c>
      <x:c r="U737" s="31" t="str">
        <x:f>IF('Blind Scoring'!L737="","",'Blind Scoring'!L737)</x:f>
      </x:c>
    </x:row>
    <x:row r="738" ht="44" customHeight="1">
      <x:c r="A738" s="35" t="str">
        <x:v>Not Started</x:v>
      </x:c>
      <x:c r="B738" s="35" t="n">
        <x:v>736</x:v>
      </x:c>
      <x:c r="C738" s="35" t="str">
        <x:v>P12</x:v>
      </x:c>
      <x:c r="D738" s="35" t="n">
        <x:v>55</x:v>
      </x:c>
      <x:c r="E738" s="35" t="str">
        <x:v>Primary VLA</x:v>
      </x:c>
      <x:c r="F738" s="35" t="str">
        <x:v>VLA-0</x:v>
      </x:c>
      <x:c r="G738" s="35" t="n">
        <x:v>2</x:v>
      </x:c>
      <x:c r="H738" s="35" t="str">
        <x:v>Relational Placement</x:v>
      </x:c>
      <x:c r="I738" s="35" t="str">
        <x:v>Exact-scene paraphrase</x:v>
      </x:c>
      <x:c r="J738" s="35" t="str">
        <x:v>PVLA-RP-PAR-06</x:v>
      </x:c>
      <x:c r="K738" s="35" t="str"/>
      <x:c r="L738" s="31" t="str">
        <x:v>Move the red block to the side of the pink marker facing the robot.</x:v>
      </x:c>
      <x:c r="M738" s="31" t="str">
        <x:v>Move the red block to the side of the pink marker facing the robot.</x:v>
      </x:c>
      <x:c r="N738" s="31" t="str">
        <x:v>R-P01: pink marker at center [REFERENCE]; red block starts 21 cm behind the reference [TARGET START]; remaining objects are distractors with ≥12 cm clearance from the target path and commanded goal sector.</x:v>
      </x:c>
      <x:c r="O738" s="31" t="str">
        <x:v>red block</x:v>
      </x:c>
      <x:c r="P738" s="31" t="str"/>
      <x:c r="Q738" s="31" t="str"/>
      <x:c r="R738" s="31" t="str"/>
      <x:c r="S738" s="31" t="str">
        <x:f>IF('Blind Scoring'!I738="","",'Blind Scoring'!I738)</x:f>
      </x:c>
      <x:c r="T738" s="31" t="str">
        <x:f>'Blind Scoring'!J738</x:f>
        <x:v>No</x:v>
      </x:c>
      <x:c r="U738" s="31" t="str">
        <x:f>IF('Blind Scoring'!L738="","",'Blind Scoring'!L738)</x:f>
      </x:c>
    </x:row>
    <x:row r="739" ht="44" customHeight="1">
      <x:c r="A739" s="35" t="str">
        <x:v>Not Started</x:v>
      </x:c>
      <x:c r="B739" s="35" t="n">
        <x:v>737</x:v>
      </x:c>
      <x:c r="C739" s="35" t="str">
        <x:v>P12</x:v>
      </x:c>
      <x:c r="D739" s="35" t="n">
        <x:v>56</x:v>
      </x:c>
      <x:c r="E739" s="35" t="str">
        <x:v>Primary VLA</x:v>
      </x:c>
      <x:c r="F739" s="35" t="str">
        <x:v>VLA-0</x:v>
      </x:c>
      <x:c r="G739" s="35" t="n">
        <x:v>2</x:v>
      </x:c>
      <x:c r="H739" s="35" t="str">
        <x:v>Relational Placement</x:v>
      </x:c>
      <x:c r="I739" s="35" t="str">
        <x:v>Main held-out transfer</x:v>
      </x:c>
      <x:c r="J739" s="35" t="str">
        <x:v>PVLA-RP-TR-04</x:v>
      </x:c>
      <x:c r="K739" s="35" t="str">
        <x:v>R-CF07</x:v>
      </x:c>
      <x:c r="L739" s="31" t="str">
        <x:v>Place the green pen behind the red block.</x:v>
      </x:c>
      <x:c r="M739" s="31" t="str">
        <x:v>Place the green pen behind the red block.</x:v>
      </x:c>
      <x:c r="N739" s="31" t="str">
        <x:v>R-CF07-HELD: red block at back-left [REFERENCE]; green pen starts 18 cm in front of the reference [TARGET START]; pink marker and blue block are distractors outside the commanded goal sector.</x:v>
      </x:c>
      <x:c r="O739" s="31" t="str">
        <x:v>green pen → behind red block</x:v>
      </x:c>
      <x:c r="P739" s="31" t="str"/>
      <x:c r="Q739" s="31" t="str"/>
      <x:c r="R739" s="31" t="str"/>
      <x:c r="S739" s="31" t="str">
        <x:f>IF('Blind Scoring'!I739="","",'Blind Scoring'!I739)</x:f>
      </x:c>
      <x:c r="T739" s="31" t="str">
        <x:f>'Blind Scoring'!J739</x:f>
        <x:v>No</x:v>
      </x:c>
      <x:c r="U739" s="31" t="str">
        <x:f>IF('Blind Scoring'!L739="","",'Blind Scoring'!L739)</x:f>
      </x:c>
    </x:row>
    <x:row r="740" ht="44" customHeight="1">
      <x:c r="A740" s="35" t="str">
        <x:v>Not Started</x:v>
      </x:c>
      <x:c r="B740" s="35" t="n">
        <x:v>738</x:v>
      </x:c>
      <x:c r="C740" s="35" t="str">
        <x:v>P12</x:v>
      </x:c>
      <x:c r="D740" s="35" t="n">
        <x:v>57</x:v>
      </x:c>
      <x:c r="E740" s="35" t="str">
        <x:v>Primary VLA</x:v>
      </x:c>
      <x:c r="F740" s="35" t="str">
        <x:v>VLA-0</x:v>
      </x:c>
      <x:c r="G740" s="35" t="n">
        <x:v>2</x:v>
      </x:c>
      <x:c r="H740" s="35" t="str">
        <x:v>Relational Placement</x:v>
      </x:c>
      <x:c r="I740" s="35" t="str">
        <x:v>Main matched control</x:v>
      </x:c>
      <x:c r="J740" s="35" t="str">
        <x:v>PVLA-RP-CTL-14</x:v>
      </x:c>
      <x:c r="K740" s="35" t="str">
        <x:v>R-CF26</x:v>
      </x:c>
      <x:c r="L740" s="31" t="str">
        <x:v>Place the red block next to the green pen.</x:v>
      </x:c>
      <x:c r="M740" s="31" t="str">
        <x:v>Place the red block next to the green pen.</x:v>
      </x:c>
      <x:c r="N740" s="31" t="str">
        <x:v>R-CF26-CTRL: green pen at center [REFERENCE]; red block starts 21 cm in front of the reference [TARGET START]; blue block and pink marker are distractors outside the commanded goal sector.</x:v>
      </x:c>
      <x:c r="O740" s="31" t="str">
        <x:v>red block near green pen</x:v>
      </x:c>
      <x:c r="P740" s="31" t="str"/>
      <x:c r="Q740" s="31" t="str"/>
      <x:c r="R740" s="31" t="str"/>
      <x:c r="S740" s="31" t="str">
        <x:f>IF('Blind Scoring'!I740="","",'Blind Scoring'!I740)</x:f>
      </x:c>
      <x:c r="T740" s="31" t="str">
        <x:f>'Blind Scoring'!J740</x:f>
        <x:v>No</x:v>
      </x:c>
      <x:c r="U740" s="31" t="str">
        <x:f>IF('Blind Scoring'!L740="","",'Blind Scoring'!L740)</x:f>
      </x:c>
    </x:row>
    <x:row r="741" ht="44" customHeight="1">
      <x:c r="A741" s="35" t="str">
        <x:v>Not Started</x:v>
      </x:c>
      <x:c r="B741" s="35" t="n">
        <x:v>739</x:v>
      </x:c>
      <x:c r="C741" s="35" t="str">
        <x:v>P12</x:v>
      </x:c>
      <x:c r="D741" s="35" t="n">
        <x:v>58</x:v>
      </x:c>
      <x:c r="E741" s="35" t="str">
        <x:v>Primary VLA</x:v>
      </x:c>
      <x:c r="F741" s="35" t="str">
        <x:v>VLA-0</x:v>
      </x:c>
      <x:c r="G741" s="35" t="n">
        <x:v>2</x:v>
      </x:c>
      <x:c r="H741" s="35" t="str">
        <x:v>Relational Placement</x:v>
      </x:c>
      <x:c r="I741" s="35" t="str">
        <x:v>Main held-out transfer</x:v>
      </x:c>
      <x:c r="J741" s="35" t="str">
        <x:v>PVLA-RP-TR-01</x:v>
      </x:c>
      <x:c r="K741" s="35" t="str">
        <x:v>R-CF01</x:v>
      </x:c>
      <x:c r="L741" s="31" t="str">
        <x:v>Place the green pen in front of the red block.</x:v>
      </x:c>
      <x:c r="M741" s="31" t="str">
        <x:v>Place the green pen in front of the red block.</x:v>
      </x:c>
      <x:c r="N741" s="31" t="str">
        <x:v>R-CF01-HELD: red block at center [REFERENCE]; green pen starts 18 cm behind the reference [TARGET START]; pink marker and blue block are distractors outside the commanded goal sector.</x:v>
      </x:c>
      <x:c r="O741" s="31" t="str">
        <x:v>green pen → in front of red block</x:v>
      </x:c>
      <x:c r="P741" s="31" t="str"/>
      <x:c r="Q741" s="31" t="str"/>
      <x:c r="R741" s="31" t="str"/>
      <x:c r="S741" s="31" t="str">
        <x:f>IF('Blind Scoring'!I741="","",'Blind Scoring'!I741)</x:f>
      </x:c>
      <x:c r="T741" s="31" t="str">
        <x:f>'Blind Scoring'!J741</x:f>
        <x:v>No</x:v>
      </x:c>
      <x:c r="U741" s="31" t="str">
        <x:f>IF('Blind Scoring'!L741="","",'Blind Scoring'!L741)</x:f>
      </x:c>
    </x:row>
    <x:row r="742" ht="44" customHeight="1">
      <x:c r="A742" s="35" t="str">
        <x:v>Not Started</x:v>
      </x:c>
      <x:c r="B742" s="35" t="n">
        <x:v>740</x:v>
      </x:c>
      <x:c r="C742" s="35" t="str">
        <x:v>P12</x:v>
      </x:c>
      <x:c r="D742" s="35" t="n">
        <x:v>59</x:v>
      </x:c>
      <x:c r="E742" s="35" t="str">
        <x:v>Primary VLA</x:v>
      </x:c>
      <x:c r="F742" s="35" t="str">
        <x:v>VLA-0</x:v>
      </x:c>
      <x:c r="G742" s="35" t="n">
        <x:v>2</x:v>
      </x:c>
      <x:c r="H742" s="35" t="str">
        <x:v>Relational Placement</x:v>
      </x:c>
      <x:c r="I742" s="35" t="str">
        <x:v>Novel layout + seen language</x:v>
      </x:c>
      <x:c r="J742" s="35" t="str">
        <x:v>PVLA-RP-NOV-02</x:v>
      </x:c>
      <x:c r="K742" s="35" t="str"/>
      <x:c r="L742" s="31" t="str">
        <x:v>Place the green pen to the right of the pink marker.</x:v>
      </x:c>
      <x:c r="M742" s="31" t="str">
        <x:v>Place the green pen to the right of the pink marker.</x:v>
      </x:c>
      <x:c r="N742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742" s="31" t="str">
        <x:v>green pen</x:v>
      </x:c>
      <x:c r="P742" s="31" t="str"/>
      <x:c r="Q742" s="31" t="str"/>
      <x:c r="R742" s="31" t="str"/>
      <x:c r="S742" s="31" t="str">
        <x:f>IF('Blind Scoring'!I742="","",'Blind Scoring'!I742)</x:f>
      </x:c>
      <x:c r="T742" s="31" t="str">
        <x:f>'Blind Scoring'!J742</x:f>
        <x:v>No</x:v>
      </x:c>
      <x:c r="U742" s="31" t="str">
        <x:f>IF('Blind Scoring'!L742="","",'Blind Scoring'!L742)</x:f>
      </x:c>
    </x:row>
    <x:row r="743" ht="44" customHeight="1">
      <x:c r="A743" s="35" t="str">
        <x:v>Not Started</x:v>
      </x:c>
      <x:c r="B743" s="35" t="n">
        <x:v>741</x:v>
      </x:c>
      <x:c r="C743" s="35" t="str">
        <x:v>P12</x:v>
      </x:c>
      <x:c r="D743" s="35" t="n">
        <x:v>60</x:v>
      </x:c>
      <x:c r="E743" s="35" t="str">
        <x:v>Primary VLA</x:v>
      </x:c>
      <x:c r="F743" s="35" t="str">
        <x:v>VLA-0</x:v>
      </x:c>
      <x:c r="G743" s="35" t="n">
        <x:v>2</x:v>
      </x:c>
      <x:c r="H743" s="35" t="str">
        <x:v>Relational Placement</x:v>
      </x:c>
      <x:c r="I743" s="35" t="str">
        <x:v>Novel layout + seen language</x:v>
      </x:c>
      <x:c r="J743" s="35" t="str">
        <x:v>PVLA-RP-NOV-04</x:v>
      </x:c>
      <x:c r="K743" s="35" t="str"/>
      <x:c r="L743" s="31" t="str">
        <x:v>Place the green pen in front of the pink marker.</x:v>
      </x:c>
      <x:c r="M743" s="31" t="str">
        <x:v>Place the green pen in front of the pink marker.</x:v>
      </x:c>
      <x:c r="N743" s="31" t="str">
        <x:v>R-S09: pink marker at center [REFERENCE]; green pen starts 21 cm behind the reference [TARGET START]; remaining objects are distractors with ≥12 cm clearance from the target path and commanded goal sector.</x:v>
      </x:c>
      <x:c r="O743" s="31" t="str">
        <x:v>green pen</x:v>
      </x:c>
      <x:c r="P743" s="31" t="str"/>
      <x:c r="Q743" s="31" t="str"/>
      <x:c r="R743" s="31" t="str"/>
      <x:c r="S743" s="31" t="str">
        <x:f>IF('Blind Scoring'!I743="","",'Blind Scoring'!I743)</x:f>
      </x:c>
      <x:c r="T743" s="31" t="str">
        <x:f>'Blind Scoring'!J743</x:f>
        <x:v>No</x:v>
      </x:c>
      <x:c r="U743" s="31" t="str">
        <x:f>IF('Blind Scoring'!L743="","",'Blind Scoring'!L743)</x:f>
      </x:c>
    </x:row>
    <x:row r="744" ht="44" customHeight="1">
      <x:c r="A744" s="35" t="str">
        <x:v>Not Started</x:v>
      </x:c>
      <x:c r="B744" s="35" t="n">
        <x:v>742</x:v>
      </x:c>
      <x:c r="C744" s="35" t="str">
        <x:v>P12</x:v>
      </x:c>
      <x:c r="D744" s="35" t="n">
        <x:v>61</x:v>
      </x:c>
      <x:c r="E744" s="35" t="str">
        <x:v>Primary VLA</x:v>
      </x:c>
      <x:c r="F744" s="35" t="str">
        <x:v>VLA-0</x:v>
      </x:c>
      <x:c r="G744" s="35" t="n">
        <x:v>2</x:v>
      </x:c>
      <x:c r="H744" s="35" t="str">
        <x:v>Relational Placement</x:v>
      </x:c>
      <x:c r="I744" s="35" t="str">
        <x:v>Main held-out transfer</x:v>
      </x:c>
      <x:c r="J744" s="35" t="str">
        <x:v>PVLA-RP-TR-08</x:v>
      </x:c>
      <x:c r="K744" s="35" t="str">
        <x:v>R-CF15</x:v>
      </x:c>
      <x:c r="L744" s="31" t="str">
        <x:v>Place the green pen behind the red block.</x:v>
      </x:c>
      <x:c r="M744" s="31" t="str">
        <x:v>Place the green pen behind the red block.</x:v>
      </x:c>
      <x:c r="N744" s="31" t="str">
        <x:v>R-CF15-HELD: red block at front-right [REFERENCE]; green pen starts 24 cm in front of the reference [TARGET START]; pink marker and blue block are distractors outside the commanded goal sector.</x:v>
      </x:c>
      <x:c r="O744" s="31" t="str">
        <x:v>green pen → behind red block</x:v>
      </x:c>
      <x:c r="P744" s="31" t="str"/>
      <x:c r="Q744" s="31" t="str"/>
      <x:c r="R744" s="31" t="str"/>
      <x:c r="S744" s="31" t="str">
        <x:f>IF('Blind Scoring'!I744="","",'Blind Scoring'!I744)</x:f>
      </x:c>
      <x:c r="T744" s="31" t="str">
        <x:f>'Blind Scoring'!J744</x:f>
        <x:v>No</x:v>
      </x:c>
      <x:c r="U744" s="31" t="str">
        <x:f>IF('Blind Scoring'!L744="","",'Blind Scoring'!L744)</x:f>
      </x:c>
    </x:row>
    <x:row r="745" ht="44" customHeight="1">
      <x:c r="A745" s="35" t="str">
        <x:v>Not Started</x:v>
      </x:c>
      <x:c r="B745" s="35" t="n">
        <x:v>743</x:v>
      </x:c>
      <x:c r="C745" s="35" t="str">
        <x:v>P12</x:v>
      </x:c>
      <x:c r="D745" s="35" t="n">
        <x:v>62</x:v>
      </x:c>
      <x:c r="E745" s="35" t="str">
        <x:v>Primary VLA</x:v>
      </x:c>
      <x:c r="F745" s="35" t="str">
        <x:v>VLA-0</x:v>
      </x:c>
      <x:c r="G745" s="35" t="n">
        <x:v>2</x:v>
      </x:c>
      <x:c r="H745" s="35" t="str">
        <x:v>Relational Placement</x:v>
      </x:c>
      <x:c r="I745" s="35" t="str">
        <x:v>Main held-out transfer</x:v>
      </x:c>
      <x:c r="J745" s="35" t="str">
        <x:v>PVLA-RP-TR-14</x:v>
      </x:c>
      <x:c r="K745" s="35" t="str">
        <x:v>R-CF26</x:v>
      </x:c>
      <x:c r="L745" s="31" t="str">
        <x:v>Place the red block behind the green pen.</x:v>
      </x:c>
      <x:c r="M745" s="31" t="str">
        <x:v>Place the red block behind the green pen.</x:v>
      </x:c>
      <x:c r="N745" s="31" t="str">
        <x:v>R-CF26-HELD: green pen at center [REFERENCE]; red block starts 21 cm in front of the reference [TARGET START]; blue block and pink marker are distractors outside the commanded goal sector.</x:v>
      </x:c>
      <x:c r="O745" s="31" t="str">
        <x:v>red block → behind green pen</x:v>
      </x:c>
      <x:c r="P745" s="31" t="str"/>
      <x:c r="Q745" s="31" t="str"/>
      <x:c r="R745" s="31" t="str"/>
      <x:c r="S745" s="31" t="str">
        <x:f>IF('Blind Scoring'!I745="","",'Blind Scoring'!I745)</x:f>
      </x:c>
      <x:c r="T745" s="31" t="str">
        <x:f>'Blind Scoring'!J745</x:f>
        <x:v>No</x:v>
      </x:c>
      <x:c r="U745" s="31" t="str">
        <x:f>IF('Blind Scoring'!L745="","",'Blind Scoring'!L745)</x:f>
      </x:c>
    </x:row>
    <x:row r="746" ht="44" customHeight="1">
      <x:c r="A746" s="35" t="str">
        <x:v>Not Started</x:v>
      </x:c>
      <x:c r="B746" s="35" t="n">
        <x:v>744</x:v>
      </x:c>
      <x:c r="C746" s="35" t="str">
        <x:v>P13</x:v>
      </x:c>
      <x:c r="D746" s="35" t="n">
        <x:v>1</x:v>
      </x:c>
      <x:c r="E746" s="35" t="str">
        <x:v>Primary VLA</x:v>
      </x:c>
      <x:c r="F746" s="35" t="str">
        <x:v>MolmoAct2</x:v>
      </x:c>
      <x:c r="G746" s="35" t="n">
        <x:v>2</x:v>
      </x:c>
      <x:c r="H746" s="35" t="str">
        <x:v>State Recognition</x:v>
      </x:c>
      <x:c r="I746" s="35" t="str">
        <x:v>Training reconstruction</x:v>
      </x:c>
      <x:c r="J746" s="35" t="str">
        <x:v>PVLA-ST-REC-06</x:v>
      </x:c>
      <x:c r="K746" s="35" t="str"/>
      <x:c r="L746" s="31" t="str">
        <x:v>Move a glass spice container into the bowl.</x:v>
      </x:c>
      <x:c r="M746" s="31" t="str">
        <x:v>Move a glass spice container into the bowl.</x:v>
      </x:c>
      <x:c r="N746" s="31" t="str">
        <x:v>Reconstruct planned final training episode 191: glass spice container A, brown cup A, white cup B; start=Home. Match camera, calibration, bowl pose, and object geometry exactly.</x:v>
      </x:c>
      <x:c r="O746" s="31" t="str">
        <x:v>glass spice container A</x:v>
      </x:c>
      <x:c r="P746" s="31" t="str"/>
      <x:c r="Q746" s="31" t="str"/>
      <x:c r="R746" s="31" t="str"/>
      <x:c r="S746" s="31" t="str">
        <x:f>IF('Blind Scoring'!I746="","",'Blind Scoring'!I746)</x:f>
      </x:c>
      <x:c r="T746" s="31" t="str">
        <x:f>'Blind Scoring'!J746</x:f>
        <x:v>No</x:v>
      </x:c>
      <x:c r="U746" s="31" t="str">
        <x:f>IF('Blind Scoring'!L746="","",'Blind Scoring'!L746)</x:f>
      </x:c>
    </x:row>
    <x:row r="747" ht="44" customHeight="1">
      <x:c r="A747" s="35" t="str">
        <x:v>Not Started</x:v>
      </x:c>
      <x:c r="B747" s="35" t="n">
        <x:v>745</x:v>
      </x:c>
      <x:c r="C747" s="35" t="str">
        <x:v>P13</x:v>
      </x:c>
      <x:c r="D747" s="35" t="n">
        <x:v>2</x:v>
      </x:c>
      <x:c r="E747" s="35" t="str">
        <x:v>Primary VLA</x:v>
      </x:c>
      <x:c r="F747" s="35" t="str">
        <x:v>MolmoAct2</x:v>
      </x:c>
      <x:c r="G747" s="35" t="n">
        <x:v>2</x:v>
      </x:c>
      <x:c r="H747" s="35" t="str">
        <x:v>State Recognition</x:v>
      </x:c>
      <x:c r="I747" s="35" t="str">
        <x:v>Main matched control</x:v>
      </x:c>
      <x:c r="J747" s="35" t="str">
        <x:v>PVLA-ST-CTL-10</x:v>
      </x:c>
      <x:c r="K747" s="35" t="str">
        <x:v>S-CF18</x:v>
      </x:c>
      <x:c r="L747" s="31" t="str">
        <x:v>Place a yellow-white striped cup in the bowl.</x:v>
      </x:c>
      <x:c r="M747" s="31" t="str">
        <x:v>Place a yellow-white striped cup in the bowl.</x:v>
      </x:c>
      <x:c r="N747" s="31" t="str">
        <x:v>S-CF18-CTRL: P1 brown cup B=C/UR; P2 yellow-white striped cup B=O/UR [TARGET]; P4 glass spice container B=C/UD.</x:v>
      </x:c>
      <x:c r="O747" s="31" t="str">
        <x:v>yellow-white striped cup B</x:v>
      </x:c>
      <x:c r="P747" s="31" t="str"/>
      <x:c r="Q747" s="31" t="str"/>
      <x:c r="R747" s="31" t="str"/>
      <x:c r="S747" s="31" t="str">
        <x:f>IF('Blind Scoring'!I747="","",'Blind Scoring'!I747)</x:f>
      </x:c>
      <x:c r="T747" s="31" t="str">
        <x:f>'Blind Scoring'!J747</x:f>
        <x:v>No</x:v>
      </x:c>
      <x:c r="U747" s="31" t="str">
        <x:f>IF('Blind Scoring'!L747="","",'Blind Scoring'!L747)</x:f>
      </x:c>
    </x:row>
    <x:row r="748" ht="44" customHeight="1">
      <x:c r="A748" s="35" t="str">
        <x:v>Not Started</x:v>
      </x:c>
      <x:c r="B748" s="35" t="n">
        <x:v>746</x:v>
      </x:c>
      <x:c r="C748" s="35" t="str">
        <x:v>P13</x:v>
      </x:c>
      <x:c r="D748" s="35" t="n">
        <x:v>3</x:v>
      </x:c>
      <x:c r="E748" s="35" t="str">
        <x:v>Primary VLA</x:v>
      </x:c>
      <x:c r="F748" s="35" t="str">
        <x:v>MolmoAct2</x:v>
      </x:c>
      <x:c r="G748" s="35" t="n">
        <x:v>2</x:v>
      </x:c>
      <x:c r="H748" s="35" t="str">
        <x:v>State Recognition</x:v>
      </x:c>
      <x:c r="I748" s="35" t="str">
        <x:v>Novel layout + seen language</x:v>
      </x:c>
      <x:c r="J748" s="35" t="str">
        <x:v>PVLA-ST-NOV-07</x:v>
      </x:c>
      <x:c r="K748" s="35" t="str">
        <x:v>S-CF17</x:v>
      </x:c>
      <x:c r="L748" s="31" t="str">
        <x:v>Place the open white cup in the bowl.</x:v>
      </x:c>
      <x:c r="M748" s="31" t="str">
        <x:v>Place the open white cup in the bowl.</x:v>
      </x:c>
      <x:c r="N748" s="31" t="str">
        <x:v>S-CF17-SEEN: P1 white cup A=C/UR [TARGET]; P2 white cup B=O/UR [COMPETITOR]; P3 yellow-white striped cup A=C/UD; P4 brown cup B=O/UD.</x:v>
      </x:c>
      <x:c r="O748" s="31" t="str">
        <x:v>white cup B</x:v>
      </x:c>
      <x:c r="P748" s="31" t="str"/>
      <x:c r="Q748" s="31" t="str"/>
      <x:c r="R748" s="31" t="str"/>
      <x:c r="S748" s="31" t="str">
        <x:f>IF('Blind Scoring'!I748="","",'Blind Scoring'!I748)</x:f>
      </x:c>
      <x:c r="T748" s="31" t="str">
        <x:f>'Blind Scoring'!J748</x:f>
        <x:v>No</x:v>
      </x:c>
      <x:c r="U748" s="31" t="str">
        <x:f>IF('Blind Scoring'!L748="","",'Blind Scoring'!L748)</x:f>
      </x:c>
    </x:row>
    <x:row r="749" ht="44" customHeight="1">
      <x:c r="A749" s="35" t="str">
        <x:v>Not Started</x:v>
      </x:c>
      <x:c r="B749" s="35" t="n">
        <x:v>747</x:v>
      </x:c>
      <x:c r="C749" s="35" t="str">
        <x:v>P13</x:v>
      </x:c>
      <x:c r="D749" s="35" t="n">
        <x:v>4</x:v>
      </x:c>
      <x:c r="E749" s="35" t="str">
        <x:v>Primary VLA</x:v>
      </x:c>
      <x:c r="F749" s="35" t="str">
        <x:v>MolmoAct2</x:v>
      </x:c>
      <x:c r="G749" s="35" t="n">
        <x:v>2</x:v>
      </x:c>
      <x:c r="H749" s="35" t="str">
        <x:v>State Recognition</x:v>
      </x:c>
      <x:c r="I749" s="35" t="str">
        <x:v>Main held-out transfer</x:v>
      </x:c>
      <x:c r="J749" s="35" t="str">
        <x:v>PVLA-ST-TR-10</x:v>
      </x:c>
      <x:c r="K749" s="35" t="str">
        <x:v>S-CF18</x:v>
      </x:c>
      <x:c r="L749" s="31" t="str">
        <x:v>Place the upright yellow-white striped cup in the bowl.</x:v>
      </x:c>
      <x:c r="M749" s="31" t="str">
        <x:v>Place the upright yellow-white striped cup in the bowl.</x:v>
      </x:c>
      <x:c r="N749" s="31" t="str">
        <x:v>S-CF18-HELD: P1 brown cup B=C/UR; P2 yellow-white striped cup B=O/UR [TARGET]; P3 yellow-white striped cup A=O/UD [COMPETITOR]; P4 glass spice container B=C/UD.</x:v>
      </x:c>
      <x:c r="O749" s="31" t="str">
        <x:v>yellow-white striped cup B</x:v>
      </x:c>
      <x:c r="P749" s="31" t="str"/>
      <x:c r="Q749" s="31" t="str"/>
      <x:c r="R749" s="31" t="str"/>
      <x:c r="S749" s="31" t="str">
        <x:f>IF('Blind Scoring'!I749="","",'Blind Scoring'!I749)</x:f>
      </x:c>
      <x:c r="T749" s="31" t="str">
        <x:f>'Blind Scoring'!J749</x:f>
        <x:v>No</x:v>
      </x:c>
      <x:c r="U749" s="31" t="str">
        <x:f>IF('Blind Scoring'!L749="","",'Blind Scoring'!L749)</x:f>
      </x:c>
    </x:row>
    <x:row r="750" ht="44" customHeight="1">
      <x:c r="A750" s="35" t="str">
        <x:v>Not Started</x:v>
      </x:c>
      <x:c r="B750" s="35" t="n">
        <x:v>748</x:v>
      </x:c>
      <x:c r="C750" s="35" t="str">
        <x:v>P13</x:v>
      </x:c>
      <x:c r="D750" s="35" t="n">
        <x:v>5</x:v>
      </x:c>
      <x:c r="E750" s="35" t="str">
        <x:v>Primary VLA</x:v>
      </x:c>
      <x:c r="F750" s="35" t="str">
        <x:v>MolmoAct2</x:v>
      </x:c>
      <x:c r="G750" s="35" t="n">
        <x:v>2</x:v>
      </x:c>
      <x:c r="H750" s="35" t="str">
        <x:v>State Recognition</x:v>
      </x:c>
      <x:c r="I750" s="35" t="str">
        <x:v>Main matched control</x:v>
      </x:c>
      <x:c r="J750" s="35" t="str">
        <x:v>PVLA-ST-CTL-15</x:v>
      </x:c>
      <x:c r="K750" s="35" t="str">
        <x:v>S-CF28</x:v>
      </x:c>
      <x:c r="L750" s="31" t="str">
        <x:v>Place a white cup in the bowl.</x:v>
      </x:c>
      <x:c r="M750" s="31" t="str">
        <x:v>Place a white cup in the bowl.</x:v>
      </x:c>
      <x:c r="N750" s="31" t="str">
        <x:v>S-CF28-CTRL: P2 yellow-white striped cup B=O/UR; P3 brown cup A=O/UD; P4 white cup B=C/UR [TARGET].</x:v>
      </x:c>
      <x:c r="O750" s="31" t="str">
        <x:v>white cup B</x:v>
      </x:c>
      <x:c r="P750" s="31" t="str"/>
      <x:c r="Q750" s="31" t="str"/>
      <x:c r="R750" s="31" t="str"/>
      <x:c r="S750" s="31" t="str">
        <x:f>IF('Blind Scoring'!I750="","",'Blind Scoring'!I750)</x:f>
      </x:c>
      <x:c r="T750" s="31" t="str">
        <x:f>'Blind Scoring'!J750</x:f>
        <x:v>No</x:v>
      </x:c>
      <x:c r="U750" s="31" t="str">
        <x:f>IF('Blind Scoring'!L750="","",'Blind Scoring'!L750)</x:f>
      </x:c>
    </x:row>
    <x:row r="751" ht="44" customHeight="1">
      <x:c r="A751" s="35" t="str">
        <x:v>Not Started</x:v>
      </x:c>
      <x:c r="B751" s="35" t="n">
        <x:v>749</x:v>
      </x:c>
      <x:c r="C751" s="35" t="str">
        <x:v>P13</x:v>
      </x:c>
      <x:c r="D751" s="35" t="n">
        <x:v>6</x:v>
      </x:c>
      <x:c r="E751" s="35" t="str">
        <x:v>Primary VLA</x:v>
      </x:c>
      <x:c r="F751" s="35" t="str">
        <x:v>MolmoAct2</x:v>
      </x:c>
      <x:c r="G751" s="35" t="n">
        <x:v>2</x:v>
      </x:c>
      <x:c r="H751" s="35" t="str">
        <x:v>State Recognition</x:v>
      </x:c>
      <x:c r="I751" s="35" t="str">
        <x:v>Training reconstruction</x:v>
      </x:c>
      <x:c r="J751" s="35" t="str">
        <x:v>PVLA-ST-REC-01</x:v>
      </x:c>
      <x:c r="K751" s="35" t="str"/>
      <x:c r="L751" s="31" t="str">
        <x:v>Move the open white cup into the bowl.</x:v>
      </x:c>
      <x:c r="M751" s="31" t="str">
        <x:v>Move the open white cup into the bowl.</x:v>
      </x:c>
      <x:c r="N751" s="31" t="str">
        <x:v>Reconstruct planned final training episode 2: white cup A, white cup B, glass spice container A, yellow-white striped cup B; start=Home. Match camera, calibration, bowl pose, and object geometry exactly.</x:v>
      </x:c>
      <x:c r="O751" s="31" t="str">
        <x:v>white cup A</x:v>
      </x:c>
      <x:c r="P751" s="31" t="str"/>
      <x:c r="Q751" s="31" t="str"/>
      <x:c r="R751" s="31" t="str"/>
      <x:c r="S751" s="31" t="str">
        <x:f>IF('Blind Scoring'!I751="","",'Blind Scoring'!I751)</x:f>
      </x:c>
      <x:c r="T751" s="31" t="str">
        <x:f>'Blind Scoring'!J751</x:f>
        <x:v>No</x:v>
      </x:c>
      <x:c r="U751" s="31" t="str">
        <x:f>IF('Blind Scoring'!L751="","",'Blind Scoring'!L751)</x:f>
      </x:c>
    </x:row>
    <x:row r="752" ht="44" customHeight="1">
      <x:c r="A752" s="35" t="str">
        <x:v>Not Started</x:v>
      </x:c>
      <x:c r="B752" s="35" t="n">
        <x:v>750</x:v>
      </x:c>
      <x:c r="C752" s="35" t="str">
        <x:v>P13</x:v>
      </x:c>
      <x:c r="D752" s="35" t="n">
        <x:v>7</x:v>
      </x:c>
      <x:c r="E752" s="35" t="str">
        <x:v>Primary VLA</x:v>
      </x:c>
      <x:c r="F752" s="35" t="str">
        <x:v>MolmoAct2</x:v>
      </x:c>
      <x:c r="G752" s="35" t="n">
        <x:v>2</x:v>
      </x:c>
      <x:c r="H752" s="35" t="str">
        <x:v>State Recognition</x:v>
      </x:c>
      <x:c r="I752" s="35" t="str">
        <x:v>Main matched control</x:v>
      </x:c>
      <x:c r="J752" s="35" t="str">
        <x:v>PVLA-ST-CTL-03</x:v>
      </x:c>
      <x:c r="K752" s="35" t="str">
        <x:v>S-CF05</x:v>
      </x:c>
      <x:c r="L752" s="31" t="str">
        <x:v>Place a brown cup in the bowl.</x:v>
      </x:c>
      <x:c r="M752" s="31" t="str">
        <x:v>Place a brown cup in the bowl.</x:v>
      </x:c>
      <x:c r="N752" s="31" t="str">
        <x:v>S-CF05-CTRL: P1 brown cup A=C/UR [TARGET]; P3 glass spice container A=C/UD; P4 white cup B=O/UD.</x:v>
      </x:c>
      <x:c r="O752" s="31" t="str">
        <x:v>brown cup A</x:v>
      </x:c>
      <x:c r="P752" s="31" t="str"/>
      <x:c r="Q752" s="31" t="str"/>
      <x:c r="R752" s="31" t="str"/>
      <x:c r="S752" s="31" t="str">
        <x:f>IF('Blind Scoring'!I752="","",'Blind Scoring'!I752)</x:f>
      </x:c>
      <x:c r="T752" s="31" t="str">
        <x:f>'Blind Scoring'!J752</x:f>
        <x:v>No</x:v>
      </x:c>
      <x:c r="U752" s="31" t="str">
        <x:f>IF('Blind Scoring'!L752="","",'Blind Scoring'!L752)</x:f>
      </x:c>
    </x:row>
    <x:row r="753" ht="44" customHeight="1">
      <x:c r="A753" s="35" t="str">
        <x:v>Not Started</x:v>
      </x:c>
      <x:c r="B753" s="35" t="n">
        <x:v>751</x:v>
      </x:c>
      <x:c r="C753" s="35" t="str">
        <x:v>P13</x:v>
      </x:c>
      <x:c r="D753" s="35" t="n">
        <x:v>8</x:v>
      </x:c>
      <x:c r="E753" s="35" t="str">
        <x:v>Primary VLA</x:v>
      </x:c>
      <x:c r="F753" s="35" t="str">
        <x:v>MolmoAct2</x:v>
      </x:c>
      <x:c r="G753" s="35" t="n">
        <x:v>2</x:v>
      </x:c>
      <x:c r="H753" s="35" t="str">
        <x:v>State Recognition</x:v>
      </x:c>
      <x:c r="I753" s="35" t="str">
        <x:v>Main held-out transfer</x:v>
      </x:c>
      <x:c r="J753" s="35" t="str">
        <x:v>PVLA-ST-TR-03</x:v>
      </x:c>
      <x:c r="K753" s="35" t="str">
        <x:v>S-CF05</x:v>
      </x:c>
      <x:c r="L753" s="31" t="str">
        <x:v>Place the closed brown cup in the bowl.</x:v>
      </x:c>
      <x:c r="M753" s="31" t="str">
        <x:v>Place the closed brown cup in the bowl.</x:v>
      </x:c>
      <x:c r="N753" s="31" t="str">
        <x:v>S-CF05-HELD: P1 brown cup A=C/UR [TARGET]; P2 brown cup B=O/UR [COMPETITOR]; P3 glass spice container A=C/UD; P4 white cup B=O/UD.</x:v>
      </x:c>
      <x:c r="O753" s="31" t="str">
        <x:v>brown cup A</x:v>
      </x:c>
      <x:c r="P753" s="31" t="str"/>
      <x:c r="Q753" s="31" t="str"/>
      <x:c r="R753" s="31" t="str"/>
      <x:c r="S753" s="31" t="str">
        <x:f>IF('Blind Scoring'!I753="","",'Blind Scoring'!I753)</x:f>
      </x:c>
      <x:c r="T753" s="31" t="str">
        <x:f>'Blind Scoring'!J753</x:f>
        <x:v>No</x:v>
      </x:c>
      <x:c r="U753" s="31" t="str">
        <x:f>IF('Blind Scoring'!L753="","",'Blind Scoring'!L753)</x:f>
      </x:c>
    </x:row>
    <x:row r="754" ht="44" customHeight="1">
      <x:c r="A754" s="35" t="str">
        <x:v>Not Started</x:v>
      </x:c>
      <x:c r="B754" s="35" t="n">
        <x:v>752</x:v>
      </x:c>
      <x:c r="C754" s="35" t="str">
        <x:v>P13</x:v>
      </x:c>
      <x:c r="D754" s="35" t="n">
        <x:v>9</x:v>
      </x:c>
      <x:c r="E754" s="35" t="str">
        <x:v>Primary VLA</x:v>
      </x:c>
      <x:c r="F754" s="35" t="str">
        <x:v>MolmoAct2</x:v>
      </x:c>
      <x:c r="G754" s="35" t="n">
        <x:v>2</x:v>
      </x:c>
      <x:c r="H754" s="35" t="str">
        <x:v>State Recognition</x:v>
      </x:c>
      <x:c r="I754" s="35" t="str">
        <x:v>Language ablation — blank</x:v>
      </x:c>
      <x:c r="J754" s="35" t="str">
        <x:v>PVLA-ST-ABL-BLK-01</x:v>
      </x:c>
      <x:c r="K754" s="35" t="str">
        <x:v>S-CF01</x:v>
      </x:c>
      <x:c r="L754" s="31" t="str">
        <x:v>[EMPTY STRING — provide no instruction tokens]</x:v>
      </x:c>
      <x:c r="M754" s="31" t="str">
        <x:v>Place the closed white cup in the bowl.</x:v>
      </x:c>
      <x:c r="N754" s="31" t="str">
        <x:v>S-CF01-HELD: P1 white cup A=C/UR [TARGET]; P2 white cup B=O/UR [COMPETITOR]; P3 yellow-white striped cup A=C/UD; P4 brown cup B=O/UD.</x:v>
      </x:c>
      <x:c r="O754" s="31" t="str">
        <x:v>No prespecified task success under blank language; record any action/selected target.</x:v>
      </x:c>
      <x:c r="P754" s="31" t="str"/>
      <x:c r="Q754" s="31" t="str"/>
      <x:c r="R754" s="31" t="str"/>
      <x:c r="S754" s="31" t="str">
        <x:f>IF('Blind Scoring'!I754="","",'Blind Scoring'!I754)</x:f>
      </x:c>
      <x:c r="T754" s="31" t="str">
        <x:f>'Blind Scoring'!J754</x:f>
        <x:v>No</x:v>
      </x:c>
      <x:c r="U754" s="31" t="str">
        <x:f>IF('Blind Scoring'!L754="","",'Blind Scoring'!L754)</x:f>
      </x:c>
    </x:row>
    <x:row r="755" ht="44" customHeight="1">
      <x:c r="A755" s="35" t="str">
        <x:v>Not Started</x:v>
      </x:c>
      <x:c r="B755" s="35" t="n">
        <x:v>753</x:v>
      </x:c>
      <x:c r="C755" s="35" t="str">
        <x:v>P13</x:v>
      </x:c>
      <x:c r="D755" s="35" t="n">
        <x:v>10</x:v>
      </x:c>
      <x:c r="E755" s="35" t="str">
        <x:v>Primary VLA</x:v>
      </x:c>
      <x:c r="F755" s="35" t="str">
        <x:v>MolmoAct2</x:v>
      </x:c>
      <x:c r="G755" s="35" t="n">
        <x:v>2</x:v>
      </x:c>
      <x:c r="H755" s="35" t="str">
        <x:v>State Recognition</x:v>
      </x:c>
      <x:c r="I755" s="35" t="str">
        <x:v>Main matched control</x:v>
      </x:c>
      <x:c r="J755" s="35" t="str">
        <x:v>PVLA-ST-CTL-06</x:v>
      </x:c>
      <x:c r="K755" s="35" t="str">
        <x:v>S-CF11</x:v>
      </x:c>
      <x:c r="L755" s="31" t="str">
        <x:v>Place a glass spice container in the bowl.</x:v>
      </x:c>
      <x:c r="M755" s="31" t="str">
        <x:v>Place a glass spice container in the bowl.</x:v>
      </x:c>
      <x:c r="N755" s="31" t="str">
        <x:v>S-CF11-CTRL: P1 white cup A=C/UR; P2 yellow-white striped cup A=O/UR; P3 glass spice container B=C/UD [TARGET].</x:v>
      </x:c>
      <x:c r="O755" s="31" t="str">
        <x:v>glass spice container B</x:v>
      </x:c>
      <x:c r="P755" s="31" t="str"/>
      <x:c r="Q755" s="31" t="str"/>
      <x:c r="R755" s="31" t="str"/>
      <x:c r="S755" s="31" t="str">
        <x:f>IF('Blind Scoring'!I755="","",'Blind Scoring'!I755)</x:f>
      </x:c>
      <x:c r="T755" s="31" t="str">
        <x:f>'Blind Scoring'!J755</x:f>
        <x:v>No</x:v>
      </x:c>
      <x:c r="U755" s="31" t="str">
        <x:f>IF('Blind Scoring'!L755="","",'Blind Scoring'!L755)</x:f>
      </x:c>
    </x:row>
    <x:row r="756" ht="44" customHeight="1">
      <x:c r="A756" s="35" t="str">
        <x:v>Not Started</x:v>
      </x:c>
      <x:c r="B756" s="35" t="n">
        <x:v>754</x:v>
      </x:c>
      <x:c r="C756" s="35" t="str">
        <x:v>P13</x:v>
      </x:c>
      <x:c r="D756" s="35" t="n">
        <x:v>11</x:v>
      </x:c>
      <x:c r="E756" s="35" t="str">
        <x:v>Primary VLA</x:v>
      </x:c>
      <x:c r="F756" s="35" t="str">
        <x:v>MolmoAct2</x:v>
      </x:c>
      <x:c r="G756" s="35" t="n">
        <x:v>2</x:v>
      </x:c>
      <x:c r="H756" s="35" t="str">
        <x:v>State Recognition</x:v>
      </x:c>
      <x:c r="I756" s="35" t="str">
        <x:v>Exact-scene paraphrase</x:v>
      </x:c>
      <x:c r="J756" s="35" t="str">
        <x:v>PVLA-ST-PAR-04</x:v>
      </x:c>
      <x:c r="K756" s="35" t="str">
        <x:v>S-CF09</x:v>
      </x:c>
      <x:c r="L756" s="31" t="str">
        <x:v>Move the white cup that is open into the bowl.</x:v>
      </x:c>
      <x:c r="M756" s="31" t="str">
        <x:v>Move the white cup that is open into the bowl.</x:v>
      </x:c>
      <x:c r="N756" s="31" t="str">
        <x:v>S-CF09-PARA: P1 white cup A=C/UR [TARGET]; P2 white cup B=O/UR [COMPETITOR]; P3 yellow-white striped cup A=C/UD; P4 brown cup B=O/UD.</x:v>
      </x:c>
      <x:c r="O756" s="31" t="str">
        <x:v>white cup B</x:v>
      </x:c>
      <x:c r="P756" s="31" t="str"/>
      <x:c r="Q756" s="31" t="str"/>
      <x:c r="R756" s="31" t="str"/>
      <x:c r="S756" s="31" t="str">
        <x:f>IF('Blind Scoring'!I756="","",'Blind Scoring'!I756)</x:f>
      </x:c>
      <x:c r="T756" s="31" t="str">
        <x:f>'Blind Scoring'!J756</x:f>
        <x:v>No</x:v>
      </x:c>
      <x:c r="U756" s="31" t="str">
        <x:f>IF('Blind Scoring'!L756="","",'Blind Scoring'!L756)</x:f>
      </x:c>
    </x:row>
    <x:row r="757" ht="44" customHeight="1">
      <x:c r="A757" s="35" t="str">
        <x:v>Not Started</x:v>
      </x:c>
      <x:c r="B757" s="35" t="n">
        <x:v>755</x:v>
      </x:c>
      <x:c r="C757" s="35" t="str">
        <x:v>P13</x:v>
      </x:c>
      <x:c r="D757" s="35" t="n">
        <x:v>12</x:v>
      </x:c>
      <x:c r="E757" s="35" t="str">
        <x:v>Primary VLA</x:v>
      </x:c>
      <x:c r="F757" s="35" t="str">
        <x:v>MolmoAct2</x:v>
      </x:c>
      <x:c r="G757" s="35" t="n">
        <x:v>2</x:v>
      </x:c>
      <x:c r="H757" s="35" t="str">
        <x:v>State Recognition</x:v>
      </x:c>
      <x:c r="I757" s="35" t="str">
        <x:v>Main matched control</x:v>
      </x:c>
      <x:c r="J757" s="35" t="str">
        <x:v>PVLA-ST-CTL-11</x:v>
      </x:c>
      <x:c r="K757" s="35" t="str">
        <x:v>S-CF20</x:v>
      </x:c>
      <x:c r="L757" s="31" t="str">
        <x:v>Place a white cup in the bowl.</x:v>
      </x:c>
      <x:c r="M757" s="31" t="str">
        <x:v>Place a white cup in the bowl.</x:v>
      </x:c>
      <x:c r="N757" s="31" t="str">
        <x:v>S-CF20-CTRL: P2 yellow-white striped cup B=O/UR; P3 brown cup A=O/UD; P4 white cup B=C/UR [TARGET].</x:v>
      </x:c>
      <x:c r="O757" s="31" t="str">
        <x:v>white cup B</x:v>
      </x:c>
      <x:c r="P757" s="31" t="str"/>
      <x:c r="Q757" s="31" t="str"/>
      <x:c r="R757" s="31" t="str"/>
      <x:c r="S757" s="31" t="str">
        <x:f>IF('Blind Scoring'!I757="","",'Blind Scoring'!I757)</x:f>
      </x:c>
      <x:c r="T757" s="31" t="str">
        <x:f>'Blind Scoring'!J757</x:f>
        <x:v>No</x:v>
      </x:c>
      <x:c r="U757" s="31" t="str">
        <x:f>IF('Blind Scoring'!L757="","",'Blind Scoring'!L757)</x:f>
      </x:c>
    </x:row>
    <x:row r="758" ht="44" customHeight="1">
      <x:c r="A758" s="35" t="str">
        <x:v>Not Started</x:v>
      </x:c>
      <x:c r="B758" s="35" t="n">
        <x:v>756</x:v>
      </x:c>
      <x:c r="C758" s="35" t="str">
        <x:v>P13</x:v>
      </x:c>
      <x:c r="D758" s="35" t="n">
        <x:v>13</x:v>
      </x:c>
      <x:c r="E758" s="35" t="str">
        <x:v>Primary VLA</x:v>
      </x:c>
      <x:c r="F758" s="35" t="str">
        <x:v>MolmoAct2</x:v>
      </x:c>
      <x:c r="G758" s="35" t="n">
        <x:v>2</x:v>
      </x:c>
      <x:c r="H758" s="35" t="str">
        <x:v>State Recognition</x:v>
      </x:c>
      <x:c r="I758" s="35" t="str">
        <x:v>Main matched control</x:v>
      </x:c>
      <x:c r="J758" s="35" t="str">
        <x:v>PVLA-ST-CTL-01</x:v>
      </x:c>
      <x:c r="K758" s="35" t="str">
        <x:v>S-CF01</x:v>
      </x:c>
      <x:c r="L758" s="31" t="str">
        <x:v>Place a white cup in the bowl.</x:v>
      </x:c>
      <x:c r="M758" s="31" t="str">
        <x:v>Place a white cup in the bowl.</x:v>
      </x:c>
      <x:c r="N758" s="31" t="str">
        <x:v>S-CF01-CTRL: P1 white cup A=C/UR [TARGET]; P3 yellow-white striped cup A=C/UD; P4 brown cup B=O/UD.</x:v>
      </x:c>
      <x:c r="O758" s="31" t="str">
        <x:v>white cup A</x:v>
      </x:c>
      <x:c r="P758" s="31" t="str"/>
      <x:c r="Q758" s="31" t="str"/>
      <x:c r="R758" s="31" t="str"/>
      <x:c r="S758" s="31" t="str">
        <x:f>IF('Blind Scoring'!I758="","",'Blind Scoring'!I758)</x:f>
      </x:c>
      <x:c r="T758" s="31" t="str">
        <x:f>'Blind Scoring'!J758</x:f>
        <x:v>No</x:v>
      </x:c>
      <x:c r="U758" s="31" t="str">
        <x:f>IF('Blind Scoring'!L758="","",'Blind Scoring'!L758)</x:f>
      </x:c>
    </x:row>
    <x:row r="759" ht="44" customHeight="1">
      <x:c r="A759" s="35" t="str">
        <x:v>Not Started</x:v>
      </x:c>
      <x:c r="B759" s="35" t="n">
        <x:v>757</x:v>
      </x:c>
      <x:c r="C759" s="35" t="str">
        <x:v>P13</x:v>
      </x:c>
      <x:c r="D759" s="35" t="n">
        <x:v>14</x:v>
      </x:c>
      <x:c r="E759" s="35" t="str">
        <x:v>Primary VLA</x:v>
      </x:c>
      <x:c r="F759" s="35" t="str">
        <x:v>MolmoAct2</x:v>
      </x:c>
      <x:c r="G759" s="35" t="n">
        <x:v>2</x:v>
      </x:c>
      <x:c r="H759" s="35" t="str">
        <x:v>State Recognition</x:v>
      </x:c>
      <x:c r="I759" s="35" t="str">
        <x:v>Main held-out transfer</x:v>
      </x:c>
      <x:c r="J759" s="35" t="str">
        <x:v>PVLA-ST-TR-05</x:v>
      </x:c>
      <x:c r="K759" s="35" t="str">
        <x:v>S-CF09</x:v>
      </x:c>
      <x:c r="L759" s="31" t="str">
        <x:v>Place the closed white cup in the bowl.</x:v>
      </x:c>
      <x:c r="M759" s="31" t="str">
        <x:v>Place the closed white cup in the bowl.</x:v>
      </x:c>
      <x:c r="N759" s="31" t="str">
        <x:v>S-CF09-HELD: P1 white cup A=C/UR [TARGET]; P2 white cup B=O/UR [COMPETITOR]; P3 yellow-white striped cup A=C/UD; P4 brown cup B=O/UD.</x:v>
      </x:c>
      <x:c r="O759" s="31" t="str">
        <x:v>white cup A</x:v>
      </x:c>
      <x:c r="P759" s="31" t="str"/>
      <x:c r="Q759" s="31" t="str"/>
      <x:c r="R759" s="31" t="str"/>
      <x:c r="S759" s="31" t="str">
        <x:f>IF('Blind Scoring'!I759="","",'Blind Scoring'!I759)</x:f>
      </x:c>
      <x:c r="T759" s="31" t="str">
        <x:f>'Blind Scoring'!J759</x:f>
        <x:v>No</x:v>
      </x:c>
      <x:c r="U759" s="31" t="str">
        <x:f>IF('Blind Scoring'!L759="","",'Blind Scoring'!L759)</x:f>
      </x:c>
    </x:row>
    <x:row r="760" ht="44" customHeight="1">
      <x:c r="A760" s="35" t="str">
        <x:v>Not Started</x:v>
      </x:c>
      <x:c r="B760" s="35" t="n">
        <x:v>758</x:v>
      </x:c>
      <x:c r="C760" s="35" t="str">
        <x:v>P13</x:v>
      </x:c>
      <x:c r="D760" s="35" t="n">
        <x:v>15</x:v>
      </x:c>
      <x:c r="E760" s="35" t="str">
        <x:v>Primary VLA</x:v>
      </x:c>
      <x:c r="F760" s="35" t="str">
        <x:v>MolmoAct2</x:v>
      </x:c>
      <x:c r="G760" s="35" t="n">
        <x:v>2</x:v>
      </x:c>
      <x:c r="H760" s="35" t="str">
        <x:v>State Recognition</x:v>
      </x:c>
      <x:c r="I760" s="35" t="str">
        <x:v>Main held-out transfer</x:v>
      </x:c>
      <x:c r="J760" s="35" t="str">
        <x:v>PVLA-ST-TR-14</x:v>
      </x:c>
      <x:c r="K760" s="35" t="str">
        <x:v>S-CF26</x:v>
      </x:c>
      <x:c r="L760" s="31" t="str">
        <x:v>Place the upright yellow-white striped cup in the bowl.</x:v>
      </x:c>
      <x:c r="M760" s="31" t="str">
        <x:v>Place the upright yellow-white striped cup in the bowl.</x:v>
      </x:c>
      <x:c r="N760" s="31" t="str">
        <x:v>S-CF26-HELD: P1 brown cup B=C/UR; P2 yellow-white striped cup B=O/UR [TARGET]; P3 yellow-white striped cup A=O/UD [COMPETITOR]; P4 glass spice container B=C/UD.</x:v>
      </x:c>
      <x:c r="O760" s="31" t="str">
        <x:v>yellow-white striped cup B</x:v>
      </x:c>
      <x:c r="P760" s="31" t="str"/>
      <x:c r="Q760" s="31" t="str"/>
      <x:c r="R760" s="31" t="str"/>
      <x:c r="S760" s="31" t="str">
        <x:f>IF('Blind Scoring'!I760="","",'Blind Scoring'!I760)</x:f>
      </x:c>
      <x:c r="T760" s="31" t="str">
        <x:f>'Blind Scoring'!J760</x:f>
        <x:v>No</x:v>
      </x:c>
      <x:c r="U760" s="31" t="str">
        <x:f>IF('Blind Scoring'!L760="","",'Blind Scoring'!L760)</x:f>
      </x:c>
    </x:row>
    <x:row r="761" ht="44" customHeight="1">
      <x:c r="A761" s="35" t="str">
        <x:v>Not Started</x:v>
      </x:c>
      <x:c r="B761" s="35" t="n">
        <x:v>759</x:v>
      </x:c>
      <x:c r="C761" s="35" t="str">
        <x:v>P13</x:v>
      </x:c>
      <x:c r="D761" s="35" t="n">
        <x:v>16</x:v>
      </x:c>
      <x:c r="E761" s="35" t="str">
        <x:v>Primary VLA</x:v>
      </x:c>
      <x:c r="F761" s="35" t="str">
        <x:v>MolmoAct2</x:v>
      </x:c>
      <x:c r="G761" s="35" t="n">
        <x:v>2</x:v>
      </x:c>
      <x:c r="H761" s="35" t="str">
        <x:v>State Recognition</x:v>
      </x:c>
      <x:c r="I761" s="35" t="str">
        <x:v>Novel layout + seen language</x:v>
      </x:c>
      <x:c r="J761" s="35" t="str">
        <x:v>PVLA-ST-NOV-01</x:v>
      </x:c>
      <x:c r="K761" s="35" t="str">
        <x:v>S-CF01</x:v>
      </x:c>
      <x:c r="L761" s="31" t="str">
        <x:v>Place the open white cup in the bowl.</x:v>
      </x:c>
      <x:c r="M761" s="31" t="str">
        <x:v>Place the open white cup in the bowl.</x:v>
      </x:c>
      <x:c r="N761" s="31" t="str">
        <x:v>S-CF01-SEEN: P1 white cup A=C/UR [TARGET]; P2 white cup B=O/UR [COMPETITOR]; P3 yellow-white striped cup A=C/UD; P4 brown cup B=O/UD.</x:v>
      </x:c>
      <x:c r="O761" s="31" t="str">
        <x:v>white cup B</x:v>
      </x:c>
      <x:c r="P761" s="31" t="str"/>
      <x:c r="Q761" s="31" t="str"/>
      <x:c r="R761" s="31" t="str"/>
      <x:c r="S761" s="31" t="str">
        <x:f>IF('Blind Scoring'!I761="","",'Blind Scoring'!I761)</x:f>
      </x:c>
      <x:c r="T761" s="31" t="str">
        <x:f>'Blind Scoring'!J761</x:f>
        <x:v>No</x:v>
      </x:c>
      <x:c r="U761" s="31" t="str">
        <x:f>IF('Blind Scoring'!L761="","",'Blind Scoring'!L761)</x:f>
      </x:c>
    </x:row>
    <x:row r="762" ht="44" customHeight="1">
      <x:c r="A762" s="35" t="str">
        <x:v>Not Started</x:v>
      </x:c>
      <x:c r="B762" s="35" t="n">
        <x:v>760</x:v>
      </x:c>
      <x:c r="C762" s="35" t="str">
        <x:v>P13</x:v>
      </x:c>
      <x:c r="D762" s="35" t="n">
        <x:v>17</x:v>
      </x:c>
      <x:c r="E762" s="35" t="str">
        <x:v>Primary VLA</x:v>
      </x:c>
      <x:c r="F762" s="35" t="str">
        <x:v>MolmoAct2</x:v>
      </x:c>
      <x:c r="G762" s="35" t="n">
        <x:v>2</x:v>
      </x:c>
      <x:c r="H762" s="35" t="str">
        <x:v>State Recognition</x:v>
      </x:c>
      <x:c r="I762" s="35" t="str">
        <x:v>Training reconstruction</x:v>
      </x:c>
      <x:c r="J762" s="35" t="str">
        <x:v>PVLA-ST-REC-05</x:v>
      </x:c>
      <x:c r="K762" s="35" t="str"/>
      <x:c r="L762" s="31" t="str">
        <x:v>Put the open glass spice container in the bowl.</x:v>
      </x:c>
      <x:c r="M762" s="31" t="str">
        <x:v>Put the open glass spice container in the bowl.</x:v>
      </x:c>
      <x:c r="N762" s="31" t="str">
        <x:v>Reconstruct planned final training episode 160: glass spice container B, glass spice container A, yellow-white striped cup B; start=Home. Match camera, calibration, bowl pose, and object geometry exactly.</x:v>
      </x:c>
      <x:c r="O762" s="31" t="str">
        <x:v>glass spice container B</x:v>
      </x:c>
      <x:c r="P762" s="31" t="str"/>
      <x:c r="Q762" s="31" t="str"/>
      <x:c r="R762" s="31" t="str"/>
      <x:c r="S762" s="31" t="str">
        <x:f>IF('Blind Scoring'!I762="","",'Blind Scoring'!I762)</x:f>
      </x:c>
      <x:c r="T762" s="31" t="str">
        <x:f>'Blind Scoring'!J762</x:f>
        <x:v>No</x:v>
      </x:c>
      <x:c r="U762" s="31" t="str">
        <x:f>IF('Blind Scoring'!L762="","",'Blind Scoring'!L762)</x:f>
      </x:c>
    </x:row>
    <x:row r="763" ht="44" customHeight="1">
      <x:c r="A763" s="35" t="str">
        <x:v>Not Started</x:v>
      </x:c>
      <x:c r="B763" s="35" t="n">
        <x:v>761</x:v>
      </x:c>
      <x:c r="C763" s="35" t="str">
        <x:v>P13</x:v>
      </x:c>
      <x:c r="D763" s="35" t="n">
        <x:v>18</x:v>
      </x:c>
      <x:c r="E763" s="35" t="str">
        <x:v>Primary VLA</x:v>
      </x:c>
      <x:c r="F763" s="35" t="str">
        <x:v>MolmoAct2</x:v>
      </x:c>
      <x:c r="G763" s="35" t="n">
        <x:v>2</x:v>
      </x:c>
      <x:c r="H763" s="35" t="str">
        <x:v>State Recognition</x:v>
      </x:c>
      <x:c r="I763" s="35" t="str">
        <x:v>Exact-scene paraphrase</x:v>
      </x:c>
      <x:c r="J763" s="35" t="str">
        <x:v>PVLA-ST-PAR-07</x:v>
      </x:c>
      <x:c r="K763" s="35" t="str">
        <x:v>S-CF17</x:v>
      </x:c>
      <x:c r="L763" s="31" t="str">
        <x:v>Find the white cup with its opening uncovered and move it into the bowl.</x:v>
      </x:c>
      <x:c r="M763" s="31" t="str">
        <x:v>Find the white cup with its opening uncovered and move it into the bowl.</x:v>
      </x:c>
      <x:c r="N763" s="31" t="str">
        <x:v>S-CF17-PARA: P1 white cup A=C/UR [TARGET]; P2 white cup B=O/UR [COMPETITOR]; P3 yellow-white striped cup A=C/UD; P4 brown cup B=O/UD.</x:v>
      </x:c>
      <x:c r="O763" s="31" t="str">
        <x:v>white cup B</x:v>
      </x:c>
      <x:c r="P763" s="31" t="str"/>
      <x:c r="Q763" s="31" t="str"/>
      <x:c r="R763" s="31" t="str"/>
      <x:c r="S763" s="31" t="str">
        <x:f>IF('Blind Scoring'!I763="","",'Blind Scoring'!I763)</x:f>
      </x:c>
      <x:c r="T763" s="31" t="str">
        <x:f>'Blind Scoring'!J763</x:f>
        <x:v>No</x:v>
      </x:c>
      <x:c r="U763" s="31" t="str">
        <x:f>IF('Blind Scoring'!L763="","",'Blind Scoring'!L763)</x:f>
      </x:c>
    </x:row>
    <x:row r="764" ht="44" customHeight="1">
      <x:c r="A764" s="35" t="str">
        <x:v>Not Started</x:v>
      </x:c>
      <x:c r="B764" s="35" t="n">
        <x:v>762</x:v>
      </x:c>
      <x:c r="C764" s="35" t="str">
        <x:v>P13</x:v>
      </x:c>
      <x:c r="D764" s="35" t="n">
        <x:v>19</x:v>
      </x:c>
      <x:c r="E764" s="35" t="str">
        <x:v>Primary VLA</x:v>
      </x:c>
      <x:c r="F764" s="35" t="str">
        <x:v>MolmoAct2</x:v>
      </x:c>
      <x:c r="G764" s="35" t="n">
        <x:v>2</x:v>
      </x:c>
      <x:c r="H764" s="35" t="str">
        <x:v>State Recognition</x:v>
      </x:c>
      <x:c r="I764" s="35" t="str">
        <x:v>Main matched control</x:v>
      </x:c>
      <x:c r="J764" s="35" t="str">
        <x:v>PVLA-ST-CTL-12</x:v>
      </x:c>
      <x:c r="K764" s="35" t="str">
        <x:v>S-CF22</x:v>
      </x:c>
      <x:c r="L764" s="31" t="str">
        <x:v>Place a glass spice container in the bowl.</x:v>
      </x:c>
      <x:c r="M764" s="31" t="str">
        <x:v>Place a glass spice container in the bowl.</x:v>
      </x:c>
      <x:c r="N764" s="31" t="str">
        <x:v>S-CF22-CTRL: P1 white cup B=C/UR; P2 glass spice container A=O/UR [TARGET]; P4 yellow-white striped cup B=C/UD.</x:v>
      </x:c>
      <x:c r="O764" s="31" t="str">
        <x:v>glass spice container A</x:v>
      </x:c>
      <x:c r="P764" s="31" t="str"/>
      <x:c r="Q764" s="31" t="str"/>
      <x:c r="R764" s="31" t="str"/>
      <x:c r="S764" s="31" t="str">
        <x:f>IF('Blind Scoring'!I764="","",'Blind Scoring'!I764)</x:f>
      </x:c>
      <x:c r="T764" s="31" t="str">
        <x:f>'Blind Scoring'!J764</x:f>
        <x:v>No</x:v>
      </x:c>
      <x:c r="U764" s="31" t="str">
        <x:f>IF('Blind Scoring'!L764="","",'Blind Scoring'!L764)</x:f>
      </x:c>
    </x:row>
    <x:row r="765" ht="44" customHeight="1">
      <x:c r="A765" s="35" t="str">
        <x:v>Not Started</x:v>
      </x:c>
      <x:c r="B765" s="35" t="n">
        <x:v>763</x:v>
      </x:c>
      <x:c r="C765" s="35" t="str">
        <x:v>P13</x:v>
      </x:c>
      <x:c r="D765" s="35" t="n">
        <x:v>20</x:v>
      </x:c>
      <x:c r="E765" s="35" t="str">
        <x:v>Primary VLA</x:v>
      </x:c>
      <x:c r="F765" s="35" t="str">
        <x:v>MolmoAct2</x:v>
      </x:c>
      <x:c r="G765" s="35" t="n">
        <x:v>2</x:v>
      </x:c>
      <x:c r="H765" s="35" t="str">
        <x:v>State Recognition</x:v>
      </x:c>
      <x:c r="I765" s="35" t="str">
        <x:v>Language ablation — blank</x:v>
      </x:c>
      <x:c r="J765" s="35" t="str">
        <x:v>PVLA-ST-ABL-BLK-02</x:v>
      </x:c>
      <x:c r="K765" s="35" t="str">
        <x:v>S-CF03</x:v>
      </x:c>
      <x:c r="L765" s="31" t="str">
        <x:v>[EMPTY STRING — provide no instruction tokens]</x:v>
      </x:c>
      <x:c r="M765" s="31" t="str">
        <x:v>Place the closed glass spice container in the bowl.</x:v>
      </x:c>
      <x:c r="N765" s="31" t="str">
        <x:v>S-CF03-HELD: P1 white cup A=C/UR; P2 yellow-white striped cup A=O/UR; P3 glass spice container B=C/UD [TARGET]; P4 glass spice container A=O/UD [COMPETITOR].</x:v>
      </x:c>
      <x:c r="O765" s="31" t="str">
        <x:v>No prespecified task success under blank language; record any action/selected target.</x:v>
      </x:c>
      <x:c r="P765" s="31" t="str"/>
      <x:c r="Q765" s="31" t="str"/>
      <x:c r="R765" s="31" t="str"/>
      <x:c r="S765" s="31" t="str">
        <x:f>IF('Blind Scoring'!I765="","",'Blind Scoring'!I765)</x:f>
      </x:c>
      <x:c r="T765" s="31" t="str">
        <x:f>'Blind Scoring'!J765</x:f>
        <x:v>No</x:v>
      </x:c>
      <x:c r="U765" s="31" t="str">
        <x:f>IF('Blind Scoring'!L765="","",'Blind Scoring'!L765)</x:f>
      </x:c>
    </x:row>
    <x:row r="766" ht="44" customHeight="1">
      <x:c r="A766" s="35" t="str">
        <x:v>Not Started</x:v>
      </x:c>
      <x:c r="B766" s="35" t="n">
        <x:v>764</x:v>
      </x:c>
      <x:c r="C766" s="35" t="str">
        <x:v>P13</x:v>
      </x:c>
      <x:c r="D766" s="35" t="n">
        <x:v>21</x:v>
      </x:c>
      <x:c r="E766" s="35" t="str">
        <x:v>Primary VLA</x:v>
      </x:c>
      <x:c r="F766" s="35" t="str">
        <x:v>MolmoAct2</x:v>
      </x:c>
      <x:c r="G766" s="35" t="n">
        <x:v>2</x:v>
      </x:c>
      <x:c r="H766" s="35" t="str">
        <x:v>State Recognition</x:v>
      </x:c>
      <x:c r="I766" s="35" t="str">
        <x:v>Main held-out transfer</x:v>
      </x:c>
      <x:c r="J766" s="35" t="str">
        <x:v>PVLA-ST-TR-06</x:v>
      </x:c>
      <x:c r="K766" s="35" t="str">
        <x:v>S-CF11</x:v>
      </x:c>
      <x:c r="L766" s="31" t="str">
        <x:v>Place the closed glass spice container in the bowl.</x:v>
      </x:c>
      <x:c r="M766" s="31" t="str">
        <x:v>Place the closed glass spice container in the bowl.</x:v>
      </x:c>
      <x:c r="N766" s="31" t="str">
        <x:v>S-CF11-HELD: P1 white cup A=C/UR; P2 yellow-white striped cup A=O/UR; P3 glass spice container B=C/UD [TARGET]; P4 glass spice container A=O/UD [COMPETITOR].</x:v>
      </x:c>
      <x:c r="O766" s="31" t="str">
        <x:v>glass spice container B</x:v>
      </x:c>
      <x:c r="P766" s="31" t="str"/>
      <x:c r="Q766" s="31" t="str"/>
      <x:c r="R766" s="31" t="str"/>
      <x:c r="S766" s="31" t="str">
        <x:f>IF('Blind Scoring'!I766="","",'Blind Scoring'!I766)</x:f>
      </x:c>
      <x:c r="T766" s="31" t="str">
        <x:f>'Blind Scoring'!J766</x:f>
        <x:v>No</x:v>
      </x:c>
      <x:c r="U766" s="31" t="str">
        <x:f>IF('Blind Scoring'!L766="","",'Blind Scoring'!L766)</x:f>
      </x:c>
    </x:row>
    <x:row r="767" ht="44" customHeight="1">
      <x:c r="A767" s="35" t="str">
        <x:v>Not Started</x:v>
      </x:c>
      <x:c r="B767" s="35" t="n">
        <x:v>765</x:v>
      </x:c>
      <x:c r="C767" s="35" t="str">
        <x:v>P13</x:v>
      </x:c>
      <x:c r="D767" s="35" t="n">
        <x:v>22</x:v>
      </x:c>
      <x:c r="E767" s="35" t="str">
        <x:v>Primary VLA</x:v>
      </x:c>
      <x:c r="F767" s="35" t="str">
        <x:v>MolmoAct2</x:v>
      </x:c>
      <x:c r="G767" s="35" t="n">
        <x:v>2</x:v>
      </x:c>
      <x:c r="H767" s="35" t="str">
        <x:v>State Recognition</x:v>
      </x:c>
      <x:c r="I767" s="35" t="str">
        <x:v>Main matched control</x:v>
      </x:c>
      <x:c r="J767" s="35" t="str">
        <x:v>PVLA-ST-CTL-02</x:v>
      </x:c>
      <x:c r="K767" s="35" t="str">
        <x:v>S-CF03</x:v>
      </x:c>
      <x:c r="L767" s="31" t="str">
        <x:v>Place a glass spice container in the bowl.</x:v>
      </x:c>
      <x:c r="M767" s="31" t="str">
        <x:v>Place a glass spice container in the bowl.</x:v>
      </x:c>
      <x:c r="N767" s="31" t="str">
        <x:v>S-CF03-CTRL: P1 white cup A=C/UR; P2 yellow-white striped cup A=O/UR; P3 glass spice container B=C/UD [TARGET].</x:v>
      </x:c>
      <x:c r="O767" s="31" t="str">
        <x:v>glass spice container B</x:v>
      </x:c>
      <x:c r="P767" s="31" t="str"/>
      <x:c r="Q767" s="31" t="str"/>
      <x:c r="R767" s="31" t="str"/>
      <x:c r="S767" s="31" t="str">
        <x:f>IF('Blind Scoring'!I767="","",'Blind Scoring'!I767)</x:f>
      </x:c>
      <x:c r="T767" s="31" t="str">
        <x:f>'Blind Scoring'!J767</x:f>
        <x:v>No</x:v>
      </x:c>
      <x:c r="U767" s="31" t="str">
        <x:f>IF('Blind Scoring'!L767="","",'Blind Scoring'!L767)</x:f>
      </x:c>
    </x:row>
    <x:row r="768" ht="44" customHeight="1">
      <x:c r="A768" s="35" t="str">
        <x:v>Not Started</x:v>
      </x:c>
      <x:c r="B768" s="35" t="n">
        <x:v>766</x:v>
      </x:c>
      <x:c r="C768" s="35" t="str">
        <x:v>P13</x:v>
      </x:c>
      <x:c r="D768" s="35" t="n">
        <x:v>23</x:v>
      </x:c>
      <x:c r="E768" s="35" t="str">
        <x:v>Primary VLA</x:v>
      </x:c>
      <x:c r="F768" s="35" t="str">
        <x:v>MolmoAct2</x:v>
      </x:c>
      <x:c r="G768" s="35" t="n">
        <x:v>2</x:v>
      </x:c>
      <x:c r="H768" s="35" t="str">
        <x:v>State Recognition</x:v>
      </x:c>
      <x:c r="I768" s="35" t="str">
        <x:v>Main matched control</x:v>
      </x:c>
      <x:c r="J768" s="35" t="str">
        <x:v>PVLA-ST-CTL-08</x:v>
      </x:c>
      <x:c r="K768" s="35" t="str">
        <x:v>S-CF15</x:v>
      </x:c>
      <x:c r="L768" s="31" t="str">
        <x:v>Place a yellow-white striped cup in the bowl.</x:v>
      </x:c>
      <x:c r="M768" s="31" t="str">
        <x:v>Place a yellow-white striped cup in the bowl.</x:v>
      </x:c>
      <x:c r="N768" s="31" t="str">
        <x:v>S-CF15-CTRL: P1 brown cup A=C/UR; P2 glass spice container A=O/UR; P3 yellow-white striped cup A=C/UD [TARGET].</x:v>
      </x:c>
      <x:c r="O768" s="31" t="str">
        <x:v>yellow-white striped cup A</x:v>
      </x:c>
      <x:c r="P768" s="31" t="str"/>
      <x:c r="Q768" s="31" t="str"/>
      <x:c r="R768" s="31" t="str"/>
      <x:c r="S768" s="31" t="str">
        <x:f>IF('Blind Scoring'!I768="","",'Blind Scoring'!I768)</x:f>
      </x:c>
      <x:c r="T768" s="31" t="str">
        <x:f>'Blind Scoring'!J768</x:f>
        <x:v>No</x:v>
      </x:c>
      <x:c r="U768" s="31" t="str">
        <x:f>IF('Blind Scoring'!L768="","",'Blind Scoring'!L768)</x:f>
      </x:c>
    </x:row>
    <x:row r="769" ht="44" customHeight="1">
      <x:c r="A769" s="35" t="str">
        <x:v>Not Started</x:v>
      </x:c>
      <x:c r="B769" s="35" t="n">
        <x:v>767</x:v>
      </x:c>
      <x:c r="C769" s="35" t="str">
        <x:v>P13</x:v>
      </x:c>
      <x:c r="D769" s="35" t="n">
        <x:v>24</x:v>
      </x:c>
      <x:c r="E769" s="35" t="str">
        <x:v>Primary VLA</x:v>
      </x:c>
      <x:c r="F769" s="35" t="str">
        <x:v>MolmoAct2</x:v>
      </x:c>
      <x:c r="G769" s="35" t="n">
        <x:v>2</x:v>
      </x:c>
      <x:c r="H769" s="35" t="str">
        <x:v>State Recognition</x:v>
      </x:c>
      <x:c r="I769" s="35" t="str">
        <x:v>Language ablation — blank</x:v>
      </x:c>
      <x:c r="J769" s="35" t="str">
        <x:v>PVLA-ST-ABL-BLK-03</x:v>
      </x:c>
      <x:c r="K769" s="35" t="str">
        <x:v>S-CF05</x:v>
      </x:c>
      <x:c r="L769" s="31" t="str">
        <x:v>[EMPTY STRING — provide no instruction tokens]</x:v>
      </x:c>
      <x:c r="M769" s="31" t="str">
        <x:v>Place the closed brown cup in the bowl.</x:v>
      </x:c>
      <x:c r="N769" s="31" t="str">
        <x:v>S-CF05-HELD: P1 brown cup A=C/UR [TARGET]; P2 brown cup B=O/UR [COMPETITOR]; P3 glass spice container A=C/UD; P4 white cup B=O/UD.</x:v>
      </x:c>
      <x:c r="O769" s="31" t="str">
        <x:v>No prespecified task success under blank language; record any action/selected target.</x:v>
      </x:c>
      <x:c r="P769" s="31" t="str"/>
      <x:c r="Q769" s="31" t="str"/>
      <x:c r="R769" s="31" t="str"/>
      <x:c r="S769" s="31" t="str">
        <x:f>IF('Blind Scoring'!I769="","",'Blind Scoring'!I769)</x:f>
      </x:c>
      <x:c r="T769" s="31" t="str">
        <x:f>'Blind Scoring'!J769</x:f>
        <x:v>No</x:v>
      </x:c>
      <x:c r="U769" s="31" t="str">
        <x:f>IF('Blind Scoring'!L769="","",'Blind Scoring'!L769)</x:f>
      </x:c>
    </x:row>
    <x:row r="770" ht="44" customHeight="1">
      <x:c r="A770" s="35" t="str">
        <x:v>Not Started</x:v>
      </x:c>
      <x:c r="B770" s="35" t="n">
        <x:v>768</x:v>
      </x:c>
      <x:c r="C770" s="35" t="str">
        <x:v>P13</x:v>
      </x:c>
      <x:c r="D770" s="35" t="n">
        <x:v>25</x:v>
      </x:c>
      <x:c r="E770" s="35" t="str">
        <x:v>Primary VLA</x:v>
      </x:c>
      <x:c r="F770" s="35" t="str">
        <x:v>MolmoAct2</x:v>
      </x:c>
      <x:c r="G770" s="35" t="n">
        <x:v>2</x:v>
      </x:c>
      <x:c r="H770" s="35" t="str">
        <x:v>State Recognition</x:v>
      </x:c>
      <x:c r="I770" s="35" t="str">
        <x:v>Language ablation — blank</x:v>
      </x:c>
      <x:c r="J770" s="35" t="str">
        <x:v>PVLA-ST-ABL-BLK-04</x:v>
      </x:c>
      <x:c r="K770" s="35" t="str">
        <x:v>S-CF07</x:v>
      </x:c>
      <x:c r="L770" s="31" t="str">
        <x:v>[EMPTY STRING — provide no instruction tokens]</x:v>
      </x:c>
      <x:c r="M770" s="31" t="str">
        <x:v>Place the closed yellow-white striped cup in the bowl.</x:v>
      </x:c>
      <x:c r="N770" s="31" t="str">
        <x:v>S-CF07-HELD: P1 brown cup A=C/UR; P2 glass spice container A=O/UR; P3 yellow-white striped cup A=C/UD [TARGET]; P4 yellow-white striped cup B=O/UD [COMPETITOR].</x:v>
      </x:c>
      <x:c r="O770" s="31" t="str">
        <x:v>No prespecified task success under blank language; record any action/selected target.</x:v>
      </x:c>
      <x:c r="P770" s="31" t="str"/>
      <x:c r="Q770" s="31" t="str"/>
      <x:c r="R770" s="31" t="str"/>
      <x:c r="S770" s="31" t="str">
        <x:f>IF('Blind Scoring'!I770="","",'Blind Scoring'!I770)</x:f>
      </x:c>
      <x:c r="T770" s="31" t="str">
        <x:f>'Blind Scoring'!J770</x:f>
        <x:v>No</x:v>
      </x:c>
      <x:c r="U770" s="31" t="str">
        <x:f>IF('Blind Scoring'!L770="","",'Blind Scoring'!L770)</x:f>
      </x:c>
    </x:row>
    <x:row r="771" ht="44" customHeight="1">
      <x:c r="A771" s="35" t="str">
        <x:v>Not Started</x:v>
      </x:c>
      <x:c r="B771" s="35" t="n">
        <x:v>769</x:v>
      </x:c>
      <x:c r="C771" s="35" t="str">
        <x:v>P13</x:v>
      </x:c>
      <x:c r="D771" s="35" t="n">
        <x:v>26</x:v>
      </x:c>
      <x:c r="E771" s="35" t="str">
        <x:v>Primary VLA</x:v>
      </x:c>
      <x:c r="F771" s="35" t="str">
        <x:v>MolmoAct2</x:v>
      </x:c>
      <x:c r="G771" s="35" t="n">
        <x:v>2</x:v>
      </x:c>
      <x:c r="H771" s="35" t="str">
        <x:v>State Recognition</x:v>
      </x:c>
      <x:c r="I771" s="35" t="str">
        <x:v>Main held-out transfer</x:v>
      </x:c>
      <x:c r="J771" s="35" t="str">
        <x:v>PVLA-ST-TR-13</x:v>
      </x:c>
      <x:c r="K771" s="35" t="str">
        <x:v>S-CF24</x:v>
      </x:c>
      <x:c r="L771" s="31" t="str">
        <x:v>Place the upright brown cup in the bowl.</x:v>
      </x:c>
      <x:c r="M771" s="31" t="str">
        <x:v>Place the upright brown cup in the bowl.</x:v>
      </x:c>
      <x:c r="N771" s="31" t="str">
        <x:v>S-CF24-HELD: P1 brown cup A=C/UD [COMPETITOR]; P2 glass spice container B=O/UR; P3 white cup A=O/UD; P4 brown cup B=C/UR [TARGET].</x:v>
      </x:c>
      <x:c r="O771" s="31" t="str">
        <x:v>brown cup B</x:v>
      </x:c>
      <x:c r="P771" s="31" t="str"/>
      <x:c r="Q771" s="31" t="str"/>
      <x:c r="R771" s="31" t="str"/>
      <x:c r="S771" s="31" t="str">
        <x:f>IF('Blind Scoring'!I771="","",'Blind Scoring'!I771)</x:f>
      </x:c>
      <x:c r="T771" s="31" t="str">
        <x:f>'Blind Scoring'!J771</x:f>
        <x:v>No</x:v>
      </x:c>
      <x:c r="U771" s="31" t="str">
        <x:f>IF('Blind Scoring'!L771="","",'Blind Scoring'!L771)</x:f>
      </x:c>
    </x:row>
    <x:row r="772" ht="44" customHeight="1">
      <x:c r="A772" s="35" t="str">
        <x:v>Not Started</x:v>
      </x:c>
      <x:c r="B772" s="35" t="n">
        <x:v>770</x:v>
      </x:c>
      <x:c r="C772" s="35" t="str">
        <x:v>P13</x:v>
      </x:c>
      <x:c r="D772" s="35" t="n">
        <x:v>27</x:v>
      </x:c>
      <x:c r="E772" s="35" t="str">
        <x:v>Primary VLA</x:v>
      </x:c>
      <x:c r="F772" s="35" t="str">
        <x:v>MolmoAct2</x:v>
      </x:c>
      <x:c r="G772" s="35" t="n">
        <x:v>2</x:v>
      </x:c>
      <x:c r="H772" s="35" t="str">
        <x:v>State Recognition</x:v>
      </x:c>
      <x:c r="I772" s="35" t="str">
        <x:v>Main held-out transfer</x:v>
      </x:c>
      <x:c r="J772" s="35" t="str">
        <x:v>PVLA-ST-TR-15</x:v>
      </x:c>
      <x:c r="K772" s="35" t="str">
        <x:v>S-CF28</x:v>
      </x:c>
      <x:c r="L772" s="31" t="str">
        <x:v>Place the upright white cup in the bowl.</x:v>
      </x:c>
      <x:c r="M772" s="31" t="str">
        <x:v>Place the upright white cup in the bowl.</x:v>
      </x:c>
      <x:c r="N772" s="31" t="str">
        <x:v>S-CF28-HELD: P1 white cup A=C/UD [COMPETITOR]; P2 yellow-white striped cup B=O/UR; P3 brown cup A=O/UD; P4 white cup B=C/UR [TARGET].</x:v>
      </x:c>
      <x:c r="O772" s="31" t="str">
        <x:v>white cup B</x:v>
      </x:c>
      <x:c r="P772" s="31" t="str"/>
      <x:c r="Q772" s="31" t="str"/>
      <x:c r="R772" s="31" t="str"/>
      <x:c r="S772" s="31" t="str">
        <x:f>IF('Blind Scoring'!I772="","",'Blind Scoring'!I772)</x:f>
      </x:c>
      <x:c r="T772" s="31" t="str">
        <x:f>'Blind Scoring'!J772</x:f>
        <x:v>No</x:v>
      </x:c>
      <x:c r="U772" s="31" t="str">
        <x:f>IF('Blind Scoring'!L772="","",'Blind Scoring'!L772)</x:f>
      </x:c>
    </x:row>
    <x:row r="773" ht="44" customHeight="1">
      <x:c r="A773" s="35" t="str">
        <x:v>Not Started</x:v>
      </x:c>
      <x:c r="B773" s="35" t="n">
        <x:v>771</x:v>
      </x:c>
      <x:c r="C773" s="35" t="str">
        <x:v>P13</x:v>
      </x:c>
      <x:c r="D773" s="35" t="n">
        <x:v>28</x:v>
      </x:c>
      <x:c r="E773" s="35" t="str">
        <x:v>Primary VLA</x:v>
      </x:c>
      <x:c r="F773" s="35" t="str">
        <x:v>MolmoAct2</x:v>
      </x:c>
      <x:c r="G773" s="35" t="n">
        <x:v>2</x:v>
      </x:c>
      <x:c r="H773" s="35" t="str">
        <x:v>State Recognition</x:v>
      </x:c>
      <x:c r="I773" s="35" t="str">
        <x:v>Main matched control</x:v>
      </x:c>
      <x:c r="J773" s="35" t="str">
        <x:v>PVLA-ST-CTL-13</x:v>
      </x:c>
      <x:c r="K773" s="35" t="str">
        <x:v>S-CF24</x:v>
      </x:c>
      <x:c r="L773" s="31" t="str">
        <x:v>Place a brown cup in the bowl.</x:v>
      </x:c>
      <x:c r="M773" s="31" t="str">
        <x:v>Place a brown cup in the bowl.</x:v>
      </x:c>
      <x:c r="N773" s="31" t="str">
        <x:v>S-CF24-CTRL: P2 glass spice container B=O/UR; P3 white cup A=O/UD; P4 brown cup B=C/UR [TARGET].</x:v>
      </x:c>
      <x:c r="O773" s="31" t="str">
        <x:v>brown cup B</x:v>
      </x:c>
      <x:c r="P773" s="31" t="str"/>
      <x:c r="Q773" s="31" t="str"/>
      <x:c r="R773" s="31" t="str"/>
      <x:c r="S773" s="31" t="str">
        <x:f>IF('Blind Scoring'!I773="","",'Blind Scoring'!I773)</x:f>
      </x:c>
      <x:c r="T773" s="31" t="str">
        <x:f>'Blind Scoring'!J773</x:f>
        <x:v>No</x:v>
      </x:c>
      <x:c r="U773" s="31" t="str">
        <x:f>IF('Blind Scoring'!L773="","",'Blind Scoring'!L773)</x:f>
      </x:c>
    </x:row>
    <x:row r="774" ht="44" customHeight="1">
      <x:c r="A774" s="35" t="str">
        <x:v>Not Started</x:v>
      </x:c>
      <x:c r="B774" s="35" t="n">
        <x:v>772</x:v>
      </x:c>
      <x:c r="C774" s="35" t="str">
        <x:v>P13</x:v>
      </x:c>
      <x:c r="D774" s="35" t="n">
        <x:v>29</x:v>
      </x:c>
      <x:c r="E774" s="35" t="str">
        <x:v>Primary VLA</x:v>
      </x:c>
      <x:c r="F774" s="35" t="str">
        <x:v>MolmoAct2</x:v>
      </x:c>
      <x:c r="G774" s="35" t="n">
        <x:v>2</x:v>
      </x:c>
      <x:c r="H774" s="35" t="str">
        <x:v>State Recognition</x:v>
      </x:c>
      <x:c r="I774" s="35" t="str">
        <x:v>Novel layout + seen language</x:v>
      </x:c>
      <x:c r="J774" s="35" t="str">
        <x:v>PVLA-ST-NOV-02</x:v>
      </x:c>
      <x:c r="K774" s="35" t="str">
        <x:v>S-CF04</x:v>
      </x:c>
      <x:c r="L774" s="31" t="str">
        <x:v>Place the upside-down white cup in the bowl.</x:v>
      </x:c>
      <x:c r="M774" s="31" t="str">
        <x:v>Place the upside-down white cup in the bowl.</x:v>
      </x:c>
      <x:c r="N774" s="31" t="str">
        <x:v>S-CF04-SEEN: P1 white cup A=C/UD [COMPETITOR]; P2 yellow-white striped cup B=O/UR; P3 brown cup A=O/UD; P4 white cup B=C/UR [TARGET].</x:v>
      </x:c>
      <x:c r="O774" s="31" t="str">
        <x:v>white cup A</x:v>
      </x:c>
      <x:c r="P774" s="31" t="str"/>
      <x:c r="Q774" s="31" t="str"/>
      <x:c r="R774" s="31" t="str"/>
      <x:c r="S774" s="31" t="str">
        <x:f>IF('Blind Scoring'!I774="","",'Blind Scoring'!I774)</x:f>
      </x:c>
      <x:c r="T774" s="31" t="str">
        <x:f>'Blind Scoring'!J774</x:f>
        <x:v>No</x:v>
      </x:c>
      <x:c r="U774" s="31" t="str">
        <x:f>IF('Blind Scoring'!L774="","",'Blind Scoring'!L774)</x:f>
      </x:c>
    </x:row>
    <x:row r="775" ht="44" customHeight="1">
      <x:c r="A775" s="35" t="str">
        <x:v>Not Started</x:v>
      </x:c>
      <x:c r="B775" s="35" t="n">
        <x:v>773</x:v>
      </x:c>
      <x:c r="C775" s="35" t="str">
        <x:v>P13</x:v>
      </x:c>
      <x:c r="D775" s="35" t="n">
        <x:v>30</x:v>
      </x:c>
      <x:c r="E775" s="35" t="str">
        <x:v>Primary VLA</x:v>
      </x:c>
      <x:c r="F775" s="35" t="str">
        <x:v>MolmoAct2</x:v>
      </x:c>
      <x:c r="G775" s="35" t="n">
        <x:v>2</x:v>
      </x:c>
      <x:c r="H775" s="35" t="str">
        <x:v>State Recognition</x:v>
      </x:c>
      <x:c r="I775" s="35" t="str">
        <x:v>Language ablation — counterfactual</x:v>
      </x:c>
      <x:c r="J775" s="35" t="str">
        <x:v>PVLA-ST-ABL-CF-04</x:v>
      </x:c>
      <x:c r="K775" s="35" t="str">
        <x:v>S-CF15</x:v>
      </x:c>
      <x:c r="L775" s="31" t="str">
        <x:v>Place the open yellow-white striped cup in the bowl.</x:v>
      </x:c>
      <x:c r="M775" s="31" t="str">
        <x:v>Place the open yellow-white striped cup in the bowl.</x:v>
      </x:c>
      <x:c r="N775" s="31" t="str">
        <x:v>S-CF15-HELD: P1 brown cup A=C/UR; P2 glass spice container A=O/UR; P3 yellow-white striped cup A=C/UD [TARGET]; P4 yellow-white striped cup B=O/UD [COMPETITOR].</x:v>
      </x:c>
      <x:c r="O775" s="31" t="str">
        <x:v>yellow-white striped cup B</x:v>
      </x:c>
      <x:c r="P775" s="31" t="str"/>
      <x:c r="Q775" s="31" t="str"/>
      <x:c r="R775" s="31" t="str"/>
      <x:c r="S775" s="31" t="str">
        <x:f>IF('Blind Scoring'!I775="","",'Blind Scoring'!I775)</x:f>
      </x:c>
      <x:c r="T775" s="31" t="str">
        <x:f>'Blind Scoring'!J775</x:f>
        <x:v>No</x:v>
      </x:c>
      <x:c r="U775" s="31" t="str">
        <x:f>IF('Blind Scoring'!L775="","",'Blind Scoring'!L775)</x:f>
      </x:c>
    </x:row>
    <x:row r="776" ht="44" customHeight="1">
      <x:c r="A776" s="35" t="str">
        <x:v>Not Started</x:v>
      </x:c>
      <x:c r="B776" s="35" t="n">
        <x:v>774</x:v>
      </x:c>
      <x:c r="C776" s="35" t="str">
        <x:v>P13</x:v>
      </x:c>
      <x:c r="D776" s="35" t="n">
        <x:v>31</x:v>
      </x:c>
      <x:c r="E776" s="35" t="str">
        <x:v>Primary VLA</x:v>
      </x:c>
      <x:c r="F776" s="35" t="str">
        <x:v>MolmoAct2</x:v>
      </x:c>
      <x:c r="G776" s="35" t="n">
        <x:v>2</x:v>
      </x:c>
      <x:c r="H776" s="35" t="str">
        <x:v>State Recognition</x:v>
      </x:c>
      <x:c r="I776" s="35" t="str">
        <x:v>Main held-out transfer</x:v>
      </x:c>
      <x:c r="J776" s="35" t="str">
        <x:v>PVLA-ST-TR-08</x:v>
      </x:c>
      <x:c r="K776" s="35" t="str">
        <x:v>S-CF15</x:v>
      </x:c>
      <x:c r="L776" s="31" t="str">
        <x:v>Place the closed yellow-white striped cup in the bowl.</x:v>
      </x:c>
      <x:c r="M776" s="31" t="str">
        <x:v>Place the closed yellow-white striped cup in the bowl.</x:v>
      </x:c>
      <x:c r="N776" s="31" t="str">
        <x:v>S-CF15-HELD: P1 brown cup A=C/UR; P2 glass spice container A=O/UR; P3 yellow-white striped cup A=C/UD [TARGET]; P4 yellow-white striped cup B=O/UD [COMPETITOR].</x:v>
      </x:c>
      <x:c r="O776" s="31" t="str">
        <x:v>yellow-white striped cup A</x:v>
      </x:c>
      <x:c r="P776" s="31" t="str"/>
      <x:c r="Q776" s="31" t="str"/>
      <x:c r="R776" s="31" t="str"/>
      <x:c r="S776" s="31" t="str">
        <x:f>IF('Blind Scoring'!I776="","",'Blind Scoring'!I776)</x:f>
      </x:c>
      <x:c r="T776" s="31" t="str">
        <x:f>'Blind Scoring'!J776</x:f>
        <x:v>No</x:v>
      </x:c>
      <x:c r="U776" s="31" t="str">
        <x:f>IF('Blind Scoring'!L776="","",'Blind Scoring'!L776)</x:f>
      </x:c>
    </x:row>
    <x:row r="777" ht="44" customHeight="1">
      <x:c r="A777" s="35" t="str">
        <x:v>Not Started</x:v>
      </x:c>
      <x:c r="B777" s="35" t="n">
        <x:v>775</x:v>
      </x:c>
      <x:c r="C777" s="35" t="str">
        <x:v>P13</x:v>
      </x:c>
      <x:c r="D777" s="35" t="n">
        <x:v>32</x:v>
      </x:c>
      <x:c r="E777" s="35" t="str">
        <x:v>Primary VLA</x:v>
      </x:c>
      <x:c r="F777" s="35" t="str">
        <x:v>MolmoAct2</x:v>
      </x:c>
      <x:c r="G777" s="35" t="n">
        <x:v>2</x:v>
      </x:c>
      <x:c r="H777" s="35" t="str">
        <x:v>State Recognition</x:v>
      </x:c>
      <x:c r="I777" s="35" t="str">
        <x:v>Main matched control</x:v>
      </x:c>
      <x:c r="J777" s="35" t="str">
        <x:v>PVLA-ST-CTL-04</x:v>
      </x:c>
      <x:c r="K777" s="35" t="str">
        <x:v>S-CF07</x:v>
      </x:c>
      <x:c r="L777" s="31" t="str">
        <x:v>Place a yellow-white striped cup in the bowl.</x:v>
      </x:c>
      <x:c r="M777" s="31" t="str">
        <x:v>Place a yellow-white striped cup in the bowl.</x:v>
      </x:c>
      <x:c r="N777" s="31" t="str">
        <x:v>S-CF07-CTRL: P1 brown cup A=C/UR; P2 glass spice container A=O/UR; P3 yellow-white striped cup A=C/UD [TARGET].</x:v>
      </x:c>
      <x:c r="O777" s="31" t="str">
        <x:v>yellow-white striped cup A</x:v>
      </x:c>
      <x:c r="P777" s="31" t="str"/>
      <x:c r="Q777" s="31" t="str"/>
      <x:c r="R777" s="31" t="str"/>
      <x:c r="S777" s="31" t="str">
        <x:f>IF('Blind Scoring'!I777="","",'Blind Scoring'!I777)</x:f>
      </x:c>
      <x:c r="T777" s="31" t="str">
        <x:f>'Blind Scoring'!J777</x:f>
        <x:v>No</x:v>
      </x:c>
      <x:c r="U777" s="31" t="str">
        <x:f>IF('Blind Scoring'!L777="","",'Blind Scoring'!L777)</x:f>
      </x:c>
    </x:row>
    <x:row r="778" ht="44" customHeight="1">
      <x:c r="A778" s="35" t="str">
        <x:v>Not Started</x:v>
      </x:c>
      <x:c r="B778" s="35" t="n">
        <x:v>776</x:v>
      </x:c>
      <x:c r="C778" s="35" t="str">
        <x:v>P13</x:v>
      </x:c>
      <x:c r="D778" s="35" t="n">
        <x:v>33</x:v>
      </x:c>
      <x:c r="E778" s="35" t="str">
        <x:v>Primary VLA</x:v>
      </x:c>
      <x:c r="F778" s="35" t="str">
        <x:v>MolmoAct2</x:v>
      </x:c>
      <x:c r="G778" s="35" t="n">
        <x:v>2</x:v>
      </x:c>
      <x:c r="H778" s="35" t="str">
        <x:v>State Recognition</x:v>
      </x:c>
      <x:c r="I778" s="35" t="str">
        <x:v>Language ablation — counterfactual</x:v>
      </x:c>
      <x:c r="J778" s="35" t="str">
        <x:v>PVLA-ST-ABL-CF-02</x:v>
      </x:c>
      <x:c r="K778" s="35" t="str">
        <x:v>S-CF11</x:v>
      </x:c>
      <x:c r="L778" s="31" t="str">
        <x:v>Place the open glass spice container in the bowl.</x:v>
      </x:c>
      <x:c r="M778" s="31" t="str">
        <x:v>Place the open glass spice container in the bowl.</x:v>
      </x:c>
      <x:c r="N778" s="31" t="str">
        <x:v>S-CF11-HELD: P1 white cup A=C/UR; P2 yellow-white striped cup A=O/UR; P3 glass spice container B=C/UD [TARGET]; P4 glass spice container A=O/UD [COMPETITOR].</x:v>
      </x:c>
      <x:c r="O778" s="31" t="str">
        <x:v>glass spice container A</x:v>
      </x:c>
      <x:c r="P778" s="31" t="str"/>
      <x:c r="Q778" s="31" t="str"/>
      <x:c r="R778" s="31" t="str"/>
      <x:c r="S778" s="31" t="str">
        <x:f>IF('Blind Scoring'!I778="","",'Blind Scoring'!I778)</x:f>
      </x:c>
      <x:c r="T778" s="31" t="str">
        <x:f>'Blind Scoring'!J778</x:f>
        <x:v>No</x:v>
      </x:c>
      <x:c r="U778" s="31" t="str">
        <x:f>IF('Blind Scoring'!L778="","",'Blind Scoring'!L778)</x:f>
      </x:c>
    </x:row>
    <x:row r="779" ht="44" customHeight="1">
      <x:c r="A779" s="35" t="str">
        <x:v>Not Started</x:v>
      </x:c>
      <x:c r="B779" s="35" t="n">
        <x:v>777</x:v>
      </x:c>
      <x:c r="C779" s="35" t="str">
        <x:v>P13</x:v>
      </x:c>
      <x:c r="D779" s="35" t="n">
        <x:v>34</x:v>
      </x:c>
      <x:c r="E779" s="35" t="str">
        <x:v>Primary VLA</x:v>
      </x:c>
      <x:c r="F779" s="35" t="str">
        <x:v>MolmoAct2</x:v>
      </x:c>
      <x:c r="G779" s="35" t="n">
        <x:v>2</x:v>
      </x:c>
      <x:c r="H779" s="35" t="str">
        <x:v>State Recognition</x:v>
      </x:c>
      <x:c r="I779" s="35" t="str">
        <x:v>Language ablation — counterfactual</x:v>
      </x:c>
      <x:c r="J779" s="35" t="str">
        <x:v>PVLA-ST-ABL-CF-01</x:v>
      </x:c>
      <x:c r="K779" s="35" t="str">
        <x:v>S-CF09</x:v>
      </x:c>
      <x:c r="L779" s="31" t="str">
        <x:v>Place the open white cup in the bowl.</x:v>
      </x:c>
      <x:c r="M779" s="31" t="str">
        <x:v>Place the open white cup in the bowl.</x:v>
      </x:c>
      <x:c r="N779" s="31" t="str">
        <x:v>S-CF09-HELD: P1 white cup A=C/UR [TARGET]; P2 white cup B=O/UR [COMPETITOR]; P3 yellow-white striped cup A=C/UD; P4 brown cup B=O/UD.</x:v>
      </x:c>
      <x:c r="O779" s="31" t="str">
        <x:v>white cup B</x:v>
      </x:c>
      <x:c r="P779" s="31" t="str"/>
      <x:c r="Q779" s="31" t="str"/>
      <x:c r="R779" s="31" t="str"/>
      <x:c r="S779" s="31" t="str">
        <x:f>IF('Blind Scoring'!I779="","",'Blind Scoring'!I779)</x:f>
      </x:c>
      <x:c r="T779" s="31" t="str">
        <x:f>'Blind Scoring'!J779</x:f>
        <x:v>No</x:v>
      </x:c>
      <x:c r="U779" s="31" t="str">
        <x:f>IF('Blind Scoring'!L779="","",'Blind Scoring'!L779)</x:f>
      </x:c>
    </x:row>
    <x:row r="780" ht="44" customHeight="1">
      <x:c r="A780" s="35" t="str">
        <x:v>Not Started</x:v>
      </x:c>
      <x:c r="B780" s="35" t="n">
        <x:v>778</x:v>
      </x:c>
      <x:c r="C780" s="35" t="str">
        <x:v>P13</x:v>
      </x:c>
      <x:c r="D780" s="35" t="n">
        <x:v>35</x:v>
      </x:c>
      <x:c r="E780" s="35" t="str">
        <x:v>Primary VLA</x:v>
      </x:c>
      <x:c r="F780" s="35" t="str">
        <x:v>MolmoAct2</x:v>
      </x:c>
      <x:c r="G780" s="35" t="n">
        <x:v>2</x:v>
      </x:c>
      <x:c r="H780" s="35" t="str">
        <x:v>State Recognition</x:v>
      </x:c>
      <x:c r="I780" s="35" t="str">
        <x:v>Main held-out transfer</x:v>
      </x:c>
      <x:c r="J780" s="35" t="str">
        <x:v>PVLA-ST-TR-16</x:v>
      </x:c>
      <x:c r="K780" s="35" t="str">
        <x:v>S-CF30</x:v>
      </x:c>
      <x:c r="L780" s="31" t="str">
        <x:v>Place the upright glass spice container in the bowl.</x:v>
      </x:c>
      <x:c r="M780" s="31" t="str">
        <x:v>Place the upright glass spice container in the bowl.</x:v>
      </x:c>
      <x:c r="N780" s="31" t="str">
        <x:v>S-CF30-HELD: P1 white cup B=C/UR; P2 glass spice container A=O/UR [TARGET]; P3 glass spice container B=O/UD [COMPETITOR]; P4 yellow-white striped cup B=C/UD.</x:v>
      </x:c>
      <x:c r="O780" s="31" t="str">
        <x:v>glass spice container A</x:v>
      </x:c>
      <x:c r="P780" s="31" t="str"/>
      <x:c r="Q780" s="31" t="str"/>
      <x:c r="R780" s="31" t="str"/>
      <x:c r="S780" s="31" t="str">
        <x:f>IF('Blind Scoring'!I780="","",'Blind Scoring'!I780)</x:f>
      </x:c>
      <x:c r="T780" s="31" t="str">
        <x:f>'Blind Scoring'!J780</x:f>
        <x:v>No</x:v>
      </x:c>
      <x:c r="U780" s="31" t="str">
        <x:f>IF('Blind Scoring'!L780="","",'Blind Scoring'!L780)</x:f>
      </x:c>
    </x:row>
    <x:row r="781" ht="44" customHeight="1">
      <x:c r="A781" s="35" t="str">
        <x:v>Not Started</x:v>
      </x:c>
      <x:c r="B781" s="35" t="n">
        <x:v>779</x:v>
      </x:c>
      <x:c r="C781" s="35" t="str">
        <x:v>P13</x:v>
      </x:c>
      <x:c r="D781" s="35" t="n">
        <x:v>36</x:v>
      </x:c>
      <x:c r="E781" s="35" t="str">
        <x:v>Primary VLA</x:v>
      </x:c>
      <x:c r="F781" s="35" t="str">
        <x:v>MolmoAct2</x:v>
      </x:c>
      <x:c r="G781" s="35" t="n">
        <x:v>2</x:v>
      </x:c>
      <x:c r="H781" s="35" t="str">
        <x:v>State Recognition</x:v>
      </x:c>
      <x:c r="I781" s="35" t="str">
        <x:v>Main held-out transfer</x:v>
      </x:c>
      <x:c r="J781" s="35" t="str">
        <x:v>PVLA-ST-TR-02</x:v>
      </x:c>
      <x:c r="K781" s="35" t="str">
        <x:v>S-CF03</x:v>
      </x:c>
      <x:c r="L781" s="31" t="str">
        <x:v>Place the closed glass spice container in the bowl.</x:v>
      </x:c>
      <x:c r="M781" s="31" t="str">
        <x:v>Place the closed glass spice container in the bowl.</x:v>
      </x:c>
      <x:c r="N781" s="31" t="str">
        <x:v>S-CF03-HELD: P1 white cup A=C/UR; P2 yellow-white striped cup A=O/UR; P3 glass spice container B=C/UD [TARGET]; P4 glass spice container A=O/UD [COMPETITOR].</x:v>
      </x:c>
      <x:c r="O781" s="31" t="str">
        <x:v>glass spice container B</x:v>
      </x:c>
      <x:c r="P781" s="31" t="str"/>
      <x:c r="Q781" s="31" t="str"/>
      <x:c r="R781" s="31" t="str"/>
      <x:c r="S781" s="31" t="str">
        <x:f>IF('Blind Scoring'!I781="","",'Blind Scoring'!I781)</x:f>
      </x:c>
      <x:c r="T781" s="31" t="str">
        <x:f>'Blind Scoring'!J781</x:f>
        <x:v>No</x:v>
      </x:c>
      <x:c r="U781" s="31" t="str">
        <x:f>IF('Blind Scoring'!L781="","",'Blind Scoring'!L781)</x:f>
      </x:c>
    </x:row>
    <x:row r="782" ht="44" customHeight="1">
      <x:c r="A782" s="35" t="str">
        <x:v>Not Started</x:v>
      </x:c>
      <x:c r="B782" s="35" t="n">
        <x:v>780</x:v>
      </x:c>
      <x:c r="C782" s="35" t="str">
        <x:v>P13</x:v>
      </x:c>
      <x:c r="D782" s="35" t="n">
        <x:v>37</x:v>
      </x:c>
      <x:c r="E782" s="35" t="str">
        <x:v>Primary VLA</x:v>
      </x:c>
      <x:c r="F782" s="35" t="str">
        <x:v>MolmoAct2</x:v>
      </x:c>
      <x:c r="G782" s="35" t="n">
        <x:v>2</x:v>
      </x:c>
      <x:c r="H782" s="35" t="str">
        <x:v>State Recognition</x:v>
      </x:c>
      <x:c r="I782" s="35" t="str">
        <x:v>Main held-out transfer</x:v>
      </x:c>
      <x:c r="J782" s="35" t="str">
        <x:v>PVLA-ST-TR-01</x:v>
      </x:c>
      <x:c r="K782" s="35" t="str">
        <x:v>S-CF01</x:v>
      </x:c>
      <x:c r="L782" s="31" t="str">
        <x:v>Place the closed white cup in the bowl.</x:v>
      </x:c>
      <x:c r="M782" s="31" t="str">
        <x:v>Place the closed white cup in the bowl.</x:v>
      </x:c>
      <x:c r="N782" s="31" t="str">
        <x:v>S-CF01-HELD: P1 white cup A=C/UR [TARGET]; P2 white cup B=O/UR [COMPETITOR]; P3 yellow-white striped cup A=C/UD; P4 brown cup B=O/UD.</x:v>
      </x:c>
      <x:c r="O782" s="31" t="str">
        <x:v>white cup A</x:v>
      </x:c>
      <x:c r="P782" s="31" t="str"/>
      <x:c r="Q782" s="31" t="str"/>
      <x:c r="R782" s="31" t="str"/>
      <x:c r="S782" s="31" t="str">
        <x:f>IF('Blind Scoring'!I782="","",'Blind Scoring'!I782)</x:f>
      </x:c>
      <x:c r="T782" s="31" t="str">
        <x:f>'Blind Scoring'!J782</x:f>
        <x:v>No</x:v>
      </x:c>
      <x:c r="U782" s="31" t="str">
        <x:f>IF('Blind Scoring'!L782="","",'Blind Scoring'!L782)</x:f>
      </x:c>
    </x:row>
    <x:row r="783" ht="44" customHeight="1">
      <x:c r="A783" s="35" t="str">
        <x:v>Not Started</x:v>
      </x:c>
      <x:c r="B783" s="35" t="n">
        <x:v>781</x:v>
      </x:c>
      <x:c r="C783" s="35" t="str">
        <x:v>P13</x:v>
      </x:c>
      <x:c r="D783" s="35" t="n">
        <x:v>38</x:v>
      </x:c>
      <x:c r="E783" s="35" t="str">
        <x:v>Primary VLA</x:v>
      </x:c>
      <x:c r="F783" s="35" t="str">
        <x:v>MolmoAct2</x:v>
      </x:c>
      <x:c r="G783" s="35" t="n">
        <x:v>2</x:v>
      </x:c>
      <x:c r="H783" s="35" t="str">
        <x:v>State Recognition</x:v>
      </x:c>
      <x:c r="I783" s="35" t="str">
        <x:v>Exact-scene paraphrase</x:v>
      </x:c>
      <x:c r="J783" s="35" t="str">
        <x:v>PVLA-ST-PAR-01</x:v>
      </x:c>
      <x:c r="K783" s="35" t="str">
        <x:v>S-CF01</x:v>
      </x:c>
      <x:c r="L783" s="31" t="str">
        <x:v>Put the open white cup in the bowl.</x:v>
      </x:c>
      <x:c r="M783" s="31" t="str">
        <x:v>Put the open white cup in the bowl.</x:v>
      </x:c>
      <x:c r="N783" s="31" t="str">
        <x:v>S-CF01-PARA: P1 white cup A=C/UR [TARGET]; P2 white cup B=O/UR [COMPETITOR]; P3 yellow-white striped cup A=C/UD; P4 brown cup B=O/UD.</x:v>
      </x:c>
      <x:c r="O783" s="31" t="str">
        <x:v>white cup B</x:v>
      </x:c>
      <x:c r="P783" s="31" t="str"/>
      <x:c r="Q783" s="31" t="str"/>
      <x:c r="R783" s="31" t="str"/>
      <x:c r="S783" s="31" t="str">
        <x:f>IF('Blind Scoring'!I783="","",'Blind Scoring'!I783)</x:f>
      </x:c>
      <x:c r="T783" s="31" t="str">
        <x:f>'Blind Scoring'!J783</x:f>
        <x:v>No</x:v>
      </x:c>
      <x:c r="U783" s="31" t="str">
        <x:f>IF('Blind Scoring'!L783="","",'Blind Scoring'!L783)</x:f>
      </x:c>
    </x:row>
    <x:row r="784" ht="44" customHeight="1">
      <x:c r="A784" s="35" t="str">
        <x:v>Not Started</x:v>
      </x:c>
      <x:c r="B784" s="35" t="n">
        <x:v>782</x:v>
      </x:c>
      <x:c r="C784" s="35" t="str">
        <x:v>P13</x:v>
      </x:c>
      <x:c r="D784" s="35" t="n">
        <x:v>39</x:v>
      </x:c>
      <x:c r="E784" s="35" t="str">
        <x:v>Primary VLA</x:v>
      </x:c>
      <x:c r="F784" s="35" t="str">
        <x:v>MolmoAct2</x:v>
      </x:c>
      <x:c r="G784" s="35" t="n">
        <x:v>2</x:v>
      </x:c>
      <x:c r="H784" s="35" t="str">
        <x:v>State Recognition</x:v>
      </x:c>
      <x:c r="I784" s="35" t="str">
        <x:v>Main matched control</x:v>
      </x:c>
      <x:c r="J784" s="35" t="str">
        <x:v>PVLA-ST-CTL-07</x:v>
      </x:c>
      <x:c r="K784" s="35" t="str">
        <x:v>S-CF13</x:v>
      </x:c>
      <x:c r="L784" s="31" t="str">
        <x:v>Place a brown cup in the bowl.</x:v>
      </x:c>
      <x:c r="M784" s="31" t="str">
        <x:v>Place a brown cup in the bowl.</x:v>
      </x:c>
      <x:c r="N784" s="31" t="str">
        <x:v>S-CF13-CTRL: P1 brown cup A=C/UR [TARGET]; P3 glass spice container A=C/UD; P4 white cup B=O/UD.</x:v>
      </x:c>
      <x:c r="O784" s="31" t="str">
        <x:v>brown cup A</x:v>
      </x:c>
      <x:c r="P784" s="31" t="str"/>
      <x:c r="Q784" s="31" t="str"/>
      <x:c r="R784" s="31" t="str"/>
      <x:c r="S784" s="31" t="str">
        <x:f>IF('Blind Scoring'!I784="","",'Blind Scoring'!I784)</x:f>
      </x:c>
      <x:c r="T784" s="31" t="str">
        <x:f>'Blind Scoring'!J784</x:f>
        <x:v>No</x:v>
      </x:c>
      <x:c r="U784" s="31" t="str">
        <x:f>IF('Blind Scoring'!L784="","",'Blind Scoring'!L784)</x:f>
      </x:c>
    </x:row>
    <x:row r="785" ht="44" customHeight="1">
      <x:c r="A785" s="35" t="str">
        <x:v>Not Started</x:v>
      </x:c>
      <x:c r="B785" s="35" t="n">
        <x:v>783</x:v>
      </x:c>
      <x:c r="C785" s="35" t="str">
        <x:v>P13</x:v>
      </x:c>
      <x:c r="D785" s="35" t="n">
        <x:v>40</x:v>
      </x:c>
      <x:c r="E785" s="35" t="str">
        <x:v>Primary VLA</x:v>
      </x:c>
      <x:c r="F785" s="35" t="str">
        <x:v>MolmoAct2</x:v>
      </x:c>
      <x:c r="G785" s="35" t="n">
        <x:v>2</x:v>
      </x:c>
      <x:c r="H785" s="35" t="str">
        <x:v>State Recognition</x:v>
      </x:c>
      <x:c r="I785" s="35" t="str">
        <x:v>Main held-out transfer</x:v>
      </x:c>
      <x:c r="J785" s="35" t="str">
        <x:v>PVLA-ST-TR-07</x:v>
      </x:c>
      <x:c r="K785" s="35" t="str">
        <x:v>S-CF13</x:v>
      </x:c>
      <x:c r="L785" s="31" t="str">
        <x:v>Place the closed brown cup in the bowl.</x:v>
      </x:c>
      <x:c r="M785" s="31" t="str">
        <x:v>Place the closed brown cup in the bowl.</x:v>
      </x:c>
      <x:c r="N785" s="31" t="str">
        <x:v>S-CF13-HELD: P1 brown cup A=C/UR [TARGET]; P2 brown cup B=O/UR [COMPETITOR]; P3 glass spice container A=C/UD; P4 white cup B=O/UD.</x:v>
      </x:c>
      <x:c r="O785" s="31" t="str">
        <x:v>brown cup A</x:v>
      </x:c>
      <x:c r="P785" s="31" t="str"/>
      <x:c r="Q785" s="31" t="str"/>
      <x:c r="R785" s="31" t="str"/>
      <x:c r="S785" s="31" t="str">
        <x:f>IF('Blind Scoring'!I785="","",'Blind Scoring'!I785)</x:f>
      </x:c>
      <x:c r="T785" s="31" t="str">
        <x:f>'Blind Scoring'!J785</x:f>
        <x:v>No</x:v>
      </x:c>
      <x:c r="U785" s="31" t="str">
        <x:f>IF('Blind Scoring'!L785="","",'Blind Scoring'!L785)</x:f>
      </x:c>
    </x:row>
    <x:row r="786" ht="44" customHeight="1">
      <x:c r="A786" s="35" t="str">
        <x:v>Not Started</x:v>
      </x:c>
      <x:c r="B786" s="35" t="n">
        <x:v>784</x:v>
      </x:c>
      <x:c r="C786" s="35" t="str">
        <x:v>P13</x:v>
      </x:c>
      <x:c r="D786" s="35" t="n">
        <x:v>41</x:v>
      </x:c>
      <x:c r="E786" s="35" t="str">
        <x:v>Primary VLA</x:v>
      </x:c>
      <x:c r="F786" s="35" t="str">
        <x:v>MolmoAct2</x:v>
      </x:c>
      <x:c r="G786" s="35" t="n">
        <x:v>2</x:v>
      </x:c>
      <x:c r="H786" s="35" t="str">
        <x:v>State Recognition</x:v>
      </x:c>
      <x:c r="I786" s="35" t="str">
        <x:v>Exact-scene paraphrase</x:v>
      </x:c>
      <x:c r="J786" s="35" t="str">
        <x:v>PVLA-ST-PAR-03</x:v>
      </x:c>
      <x:c r="K786" s="35" t="str">
        <x:v>S-CF06</x:v>
      </x:c>
      <x:c r="L786" s="31" t="str">
        <x:v>Move the overturned glass spice container into the bowl.</x:v>
      </x:c>
      <x:c r="M786" s="31" t="str">
        <x:v>Move the overturned glass spice container into the bowl.</x:v>
      </x:c>
      <x:c r="N786" s="31" t="str">
        <x:v>S-CF06-PARA: P1 white cup B=C/UR; P2 glass spice container A=O/UR [TARGET]; P3 glass spice container B=O/UD [COMPETITOR]; P4 yellow-white striped cup B=C/UD.</x:v>
      </x:c>
      <x:c r="O786" s="31" t="str">
        <x:v>glass spice container B</x:v>
      </x:c>
      <x:c r="P786" s="31" t="str"/>
      <x:c r="Q786" s="31" t="str"/>
      <x:c r="R786" s="31" t="str"/>
      <x:c r="S786" s="31" t="str">
        <x:f>IF('Blind Scoring'!I786="","",'Blind Scoring'!I786)</x:f>
      </x:c>
      <x:c r="T786" s="31" t="str">
        <x:f>'Blind Scoring'!J786</x:f>
        <x:v>No</x:v>
      </x:c>
      <x:c r="U786" s="31" t="str">
        <x:f>IF('Blind Scoring'!L786="","",'Blind Scoring'!L786)</x:f>
      </x:c>
    </x:row>
    <x:row r="787" ht="44" customHeight="1">
      <x:c r="A787" s="35" t="str">
        <x:v>Not Started</x:v>
      </x:c>
      <x:c r="B787" s="35" t="n">
        <x:v>785</x:v>
      </x:c>
      <x:c r="C787" s="35" t="str">
        <x:v>P13</x:v>
      </x:c>
      <x:c r="D787" s="35" t="n">
        <x:v>42</x:v>
      </x:c>
      <x:c r="E787" s="35" t="str">
        <x:v>Primary VLA</x:v>
      </x:c>
      <x:c r="F787" s="35" t="str">
        <x:v>MolmoAct2</x:v>
      </x:c>
      <x:c r="G787" s="35" t="n">
        <x:v>2</x:v>
      </x:c>
      <x:c r="H787" s="35" t="str">
        <x:v>State Recognition</x:v>
      </x:c>
      <x:c r="I787" s="35" t="str">
        <x:v>Exact-scene paraphrase</x:v>
      </x:c>
      <x:c r="J787" s="35" t="str">
        <x:v>PVLA-ST-PAR-08</x:v>
      </x:c>
      <x:c r="K787" s="35" t="str">
        <x:v>S-CF20</x:v>
      </x:c>
      <x:c r="L787" s="31" t="str">
        <x:v>Find the white cup that is turned upside down and move it into the bowl.</x:v>
      </x:c>
      <x:c r="M787" s="31" t="str">
        <x:v>Find the white cup that is turned upside down and move it into the bowl.</x:v>
      </x:c>
      <x:c r="N787" s="31" t="str">
        <x:v>S-CF20-PARA: P1 white cup A=C/UD [COMPETITOR]; P2 yellow-white striped cup B=O/UR; P3 brown cup A=O/UD; P4 white cup B=C/UR [TARGET].</x:v>
      </x:c>
      <x:c r="O787" s="31" t="str">
        <x:v>white cup A</x:v>
      </x:c>
      <x:c r="P787" s="31" t="str"/>
      <x:c r="Q787" s="31" t="str"/>
      <x:c r="R787" s="31" t="str"/>
      <x:c r="S787" s="31" t="str">
        <x:f>IF('Blind Scoring'!I787="","",'Blind Scoring'!I787)</x:f>
      </x:c>
      <x:c r="T787" s="31" t="str">
        <x:f>'Blind Scoring'!J787</x:f>
        <x:v>No</x:v>
      </x:c>
      <x:c r="U787" s="31" t="str">
        <x:f>IF('Blind Scoring'!L787="","",'Blind Scoring'!L787)</x:f>
      </x:c>
    </x:row>
    <x:row r="788" ht="44" customHeight="1">
      <x:c r="A788" s="35" t="str">
        <x:v>Not Started</x:v>
      </x:c>
      <x:c r="B788" s="35" t="n">
        <x:v>786</x:v>
      </x:c>
      <x:c r="C788" s="35" t="str">
        <x:v>P13</x:v>
      </x:c>
      <x:c r="D788" s="35" t="n">
        <x:v>43</x:v>
      </x:c>
      <x:c r="E788" s="35" t="str">
        <x:v>Primary VLA</x:v>
      </x:c>
      <x:c r="F788" s="35" t="str">
        <x:v>MolmoAct2</x:v>
      </x:c>
      <x:c r="G788" s="35" t="n">
        <x:v>2</x:v>
      </x:c>
      <x:c r="H788" s="35" t="str">
        <x:v>State Recognition</x:v>
      </x:c>
      <x:c r="I788" s="35" t="str">
        <x:v>Novel layout + seen language</x:v>
      </x:c>
      <x:c r="J788" s="35" t="str">
        <x:v>PVLA-ST-NOV-06</x:v>
      </x:c>
      <x:c r="K788" s="35" t="str">
        <x:v>S-CF15</x:v>
      </x:c>
      <x:c r="L788" s="31" t="str">
        <x:v>Place the open yellow-white striped cup in the bowl.</x:v>
      </x:c>
      <x:c r="M788" s="31" t="str">
        <x:v>Place the open yellow-white striped cup in the bowl.</x:v>
      </x:c>
      <x:c r="N788" s="31" t="str">
        <x:v>S-CF15-SEEN: P1 brown cup A=C/UR; P2 glass spice container A=O/UR; P3 yellow-white striped cup A=C/UD [TARGET]; P4 yellow-white striped cup B=O/UD [COMPETITOR].</x:v>
      </x:c>
      <x:c r="O788" s="31" t="str">
        <x:v>yellow-white striped cup B</x:v>
      </x:c>
      <x:c r="P788" s="31" t="str"/>
      <x:c r="Q788" s="31" t="str"/>
      <x:c r="R788" s="31" t="str"/>
      <x:c r="S788" s="31" t="str">
        <x:f>IF('Blind Scoring'!I788="","",'Blind Scoring'!I788)</x:f>
      </x:c>
      <x:c r="T788" s="31" t="str">
        <x:f>'Blind Scoring'!J788</x:f>
        <x:v>No</x:v>
      </x:c>
      <x:c r="U788" s="31" t="str">
        <x:f>IF('Blind Scoring'!L788="","",'Blind Scoring'!L788)</x:f>
      </x:c>
    </x:row>
    <x:row r="789" ht="44" customHeight="1">
      <x:c r="A789" s="35" t="str">
        <x:v>Not Started</x:v>
      </x:c>
      <x:c r="B789" s="35" t="n">
        <x:v>787</x:v>
      </x:c>
      <x:c r="C789" s="35" t="str">
        <x:v>P13</x:v>
      </x:c>
      <x:c r="D789" s="35" t="n">
        <x:v>44</x:v>
      </x:c>
      <x:c r="E789" s="35" t="str">
        <x:v>Primary VLA</x:v>
      </x:c>
      <x:c r="F789" s="35" t="str">
        <x:v>MolmoAct2</x:v>
      </x:c>
      <x:c r="G789" s="35" t="n">
        <x:v>2</x:v>
      </x:c>
      <x:c r="H789" s="35" t="str">
        <x:v>State Recognition</x:v>
      </x:c>
      <x:c r="I789" s="35" t="str">
        <x:v>Main held-out transfer</x:v>
      </x:c>
      <x:c r="J789" s="35" t="str">
        <x:v>PVLA-ST-TR-04</x:v>
      </x:c>
      <x:c r="K789" s="35" t="str">
        <x:v>S-CF07</x:v>
      </x:c>
      <x:c r="L789" s="31" t="str">
        <x:v>Place the closed yellow-white striped cup in the bowl.</x:v>
      </x:c>
      <x:c r="M789" s="31" t="str">
        <x:v>Place the closed yellow-white striped cup in the bowl.</x:v>
      </x:c>
      <x:c r="N789" s="31" t="str">
        <x:v>S-CF07-HELD: P1 brown cup A=C/UR; P2 glass spice container A=O/UR; P3 yellow-white striped cup A=C/UD [TARGET]; P4 yellow-white striped cup B=O/UD [COMPETITOR].</x:v>
      </x:c>
      <x:c r="O789" s="31" t="str">
        <x:v>yellow-white striped cup A</x:v>
      </x:c>
      <x:c r="P789" s="31" t="str"/>
      <x:c r="Q789" s="31" t="str"/>
      <x:c r="R789" s="31" t="str"/>
      <x:c r="S789" s="31" t="str">
        <x:f>IF('Blind Scoring'!I789="","",'Blind Scoring'!I789)</x:f>
      </x:c>
      <x:c r="T789" s="31" t="str">
        <x:f>'Blind Scoring'!J789</x:f>
        <x:v>No</x:v>
      </x:c>
      <x:c r="U789" s="31" t="str">
        <x:f>IF('Blind Scoring'!L789="","",'Blind Scoring'!L789)</x:f>
      </x:c>
    </x:row>
    <x:row r="790" ht="44" customHeight="1">
      <x:c r="A790" s="35" t="str">
        <x:v>Not Started</x:v>
      </x:c>
      <x:c r="B790" s="35" t="n">
        <x:v>788</x:v>
      </x:c>
      <x:c r="C790" s="35" t="str">
        <x:v>P13</x:v>
      </x:c>
      <x:c r="D790" s="35" t="n">
        <x:v>45</x:v>
      </x:c>
      <x:c r="E790" s="35" t="str">
        <x:v>Primary VLA</x:v>
      </x:c>
      <x:c r="F790" s="35" t="str">
        <x:v>MolmoAct2</x:v>
      </x:c>
      <x:c r="G790" s="35" t="n">
        <x:v>2</x:v>
      </x:c>
      <x:c r="H790" s="35" t="str">
        <x:v>State Recognition</x:v>
      </x:c>
      <x:c r="I790" s="35" t="str">
        <x:v>Main held-out transfer</x:v>
      </x:c>
      <x:c r="J790" s="35" t="str">
        <x:v>PVLA-ST-TR-11</x:v>
      </x:c>
      <x:c r="K790" s="35" t="str">
        <x:v>S-CF20</x:v>
      </x:c>
      <x:c r="L790" s="31" t="str">
        <x:v>Place the upright white cup in the bowl.</x:v>
      </x:c>
      <x:c r="M790" s="31" t="str">
        <x:v>Place the upright white cup in the bowl.</x:v>
      </x:c>
      <x:c r="N790" s="31" t="str">
        <x:v>S-CF20-HELD: P1 white cup A=C/UD [COMPETITOR]; P2 yellow-white striped cup B=O/UR; P3 brown cup A=O/UD; P4 white cup B=C/UR [TARGET].</x:v>
      </x:c>
      <x:c r="O790" s="31" t="str">
        <x:v>white cup B</x:v>
      </x:c>
      <x:c r="P790" s="31" t="str"/>
      <x:c r="Q790" s="31" t="str"/>
      <x:c r="R790" s="31" t="str"/>
      <x:c r="S790" s="31" t="str">
        <x:f>IF('Blind Scoring'!I790="","",'Blind Scoring'!I790)</x:f>
      </x:c>
      <x:c r="T790" s="31" t="str">
        <x:f>'Blind Scoring'!J790</x:f>
        <x:v>No</x:v>
      </x:c>
      <x:c r="U790" s="31" t="str">
        <x:f>IF('Blind Scoring'!L790="","",'Blind Scoring'!L790)</x:f>
      </x:c>
    </x:row>
    <x:row r="791" ht="44" customHeight="1">
      <x:c r="A791" s="35" t="str">
        <x:v>Not Started</x:v>
      </x:c>
      <x:c r="B791" s="35" t="n">
        <x:v>789</x:v>
      </x:c>
      <x:c r="C791" s="35" t="str">
        <x:v>P13</x:v>
      </x:c>
      <x:c r="D791" s="35" t="n">
        <x:v>46</x:v>
      </x:c>
      <x:c r="E791" s="35" t="str">
        <x:v>Primary VLA</x:v>
      </x:c>
      <x:c r="F791" s="35" t="str">
        <x:v>MolmoAct2</x:v>
      </x:c>
      <x:c r="G791" s="35" t="n">
        <x:v>2</x:v>
      </x:c>
      <x:c r="H791" s="35" t="str">
        <x:v>State Recognition</x:v>
      </x:c>
      <x:c r="I791" s="35" t="str">
        <x:v>Novel layout + seen language</x:v>
      </x:c>
      <x:c r="J791" s="35" t="str">
        <x:v>PVLA-ST-NOV-03</x:v>
      </x:c>
      <x:c r="K791" s="35" t="str">
        <x:v>S-CF06</x:v>
      </x:c>
      <x:c r="L791" s="31" t="str">
        <x:v>Place the upside-down glass spice container in the bowl.</x:v>
      </x:c>
      <x:c r="M791" s="31" t="str">
        <x:v>Place the upside-down glass spice container in the bowl.</x:v>
      </x:c>
      <x:c r="N791" s="31" t="str">
        <x:v>S-CF06-SEEN: P1 white cup B=C/UR; P2 glass spice container A=O/UR [TARGET]; P3 glass spice container B=O/UD [COMPETITOR]; P4 yellow-white striped cup B=C/UD.</x:v>
      </x:c>
      <x:c r="O791" s="31" t="str">
        <x:v>glass spice container B</x:v>
      </x:c>
      <x:c r="P791" s="31" t="str"/>
      <x:c r="Q791" s="31" t="str"/>
      <x:c r="R791" s="31" t="str"/>
      <x:c r="S791" s="31" t="str">
        <x:f>IF('Blind Scoring'!I791="","",'Blind Scoring'!I791)</x:f>
      </x:c>
      <x:c r="T791" s="31" t="str">
        <x:f>'Blind Scoring'!J791</x:f>
        <x:v>No</x:v>
      </x:c>
      <x:c r="U791" s="31" t="str">
        <x:f>IF('Blind Scoring'!L791="","",'Blind Scoring'!L791)</x:f>
      </x:c>
    </x:row>
    <x:row r="792" ht="44" customHeight="1">
      <x:c r="A792" s="35" t="str">
        <x:v>Not Started</x:v>
      </x:c>
      <x:c r="B792" s="35" t="n">
        <x:v>790</x:v>
      </x:c>
      <x:c r="C792" s="35" t="str">
        <x:v>P13</x:v>
      </x:c>
      <x:c r="D792" s="35" t="n">
        <x:v>47</x:v>
      </x:c>
      <x:c r="E792" s="35" t="str">
        <x:v>Primary VLA</x:v>
      </x:c>
      <x:c r="F792" s="35" t="str">
        <x:v>MolmoAct2</x:v>
      </x:c>
      <x:c r="G792" s="35" t="n">
        <x:v>2</x:v>
      </x:c>
      <x:c r="H792" s="35" t="str">
        <x:v>State Recognition</x:v>
      </x:c>
      <x:c r="I792" s="35" t="str">
        <x:v>Novel layout + seen language</x:v>
      </x:c>
      <x:c r="J792" s="35" t="str">
        <x:v>PVLA-ST-NOV-04</x:v>
      </x:c>
      <x:c r="K792" s="35" t="str">
        <x:v>S-CF09</x:v>
      </x:c>
      <x:c r="L792" s="31" t="str">
        <x:v>Place the open white cup in the bowl.</x:v>
      </x:c>
      <x:c r="M792" s="31" t="str">
        <x:v>Place the open white cup in the bowl.</x:v>
      </x:c>
      <x:c r="N792" s="31" t="str">
        <x:v>S-CF09-SEEN: P1 white cup A=C/UR [TARGET]; P2 white cup B=O/UR [COMPETITOR]; P3 yellow-white striped cup A=C/UD; P4 brown cup B=O/UD.</x:v>
      </x:c>
      <x:c r="O792" s="31" t="str">
        <x:v>white cup B</x:v>
      </x:c>
      <x:c r="P792" s="31" t="str"/>
      <x:c r="Q792" s="31" t="str"/>
      <x:c r="R792" s="31" t="str"/>
      <x:c r="S792" s="31" t="str">
        <x:f>IF('Blind Scoring'!I792="","",'Blind Scoring'!I792)</x:f>
      </x:c>
      <x:c r="T792" s="31" t="str">
        <x:f>'Blind Scoring'!J792</x:f>
        <x:v>No</x:v>
      </x:c>
      <x:c r="U792" s="31" t="str">
        <x:f>IF('Blind Scoring'!L792="","",'Blind Scoring'!L792)</x:f>
      </x:c>
    </x:row>
    <x:row r="793" ht="44" customHeight="1">
      <x:c r="A793" s="35" t="str">
        <x:v>Not Started</x:v>
      </x:c>
      <x:c r="B793" s="35" t="n">
        <x:v>791</x:v>
      </x:c>
      <x:c r="C793" s="35" t="str">
        <x:v>P13</x:v>
      </x:c>
      <x:c r="D793" s="35" t="n">
        <x:v>48</x:v>
      </x:c>
      <x:c r="E793" s="35" t="str">
        <x:v>Primary VLA</x:v>
      </x:c>
      <x:c r="F793" s="35" t="str">
        <x:v>MolmoAct2</x:v>
      </x:c>
      <x:c r="G793" s="35" t="n">
        <x:v>2</x:v>
      </x:c>
      <x:c r="H793" s="35" t="str">
        <x:v>State Recognition</x:v>
      </x:c>
      <x:c r="I793" s="35" t="str">
        <x:v>Novel layout + seen language</x:v>
      </x:c>
      <x:c r="J793" s="35" t="str">
        <x:v>PVLA-ST-NOV-05</x:v>
      </x:c>
      <x:c r="K793" s="35" t="str">
        <x:v>S-CF12</x:v>
      </x:c>
      <x:c r="L793" s="31" t="str">
        <x:v>Place the upside-down white cup in the bowl.</x:v>
      </x:c>
      <x:c r="M793" s="31" t="str">
        <x:v>Place the upside-down white cup in the bowl.</x:v>
      </x:c>
      <x:c r="N793" s="31" t="str">
        <x:v>S-CF12-SEEN: P1 white cup A=C/UD [COMPETITOR]; P2 yellow-white striped cup B=O/UR; P3 brown cup A=O/UD; P4 white cup B=C/UR [TARGET].</x:v>
      </x:c>
      <x:c r="O793" s="31" t="str">
        <x:v>white cup A</x:v>
      </x:c>
      <x:c r="P793" s="31" t="str"/>
      <x:c r="Q793" s="31" t="str"/>
      <x:c r="R793" s="31" t="str"/>
      <x:c r="S793" s="31" t="str">
        <x:f>IF('Blind Scoring'!I793="","",'Blind Scoring'!I793)</x:f>
      </x:c>
      <x:c r="T793" s="31" t="str">
        <x:f>'Blind Scoring'!J793</x:f>
        <x:v>No</x:v>
      </x:c>
      <x:c r="U793" s="31" t="str">
        <x:f>IF('Blind Scoring'!L793="","",'Blind Scoring'!L793)</x:f>
      </x:c>
    </x:row>
    <x:row r="794" ht="44" customHeight="1">
      <x:c r="A794" s="35" t="str">
        <x:v>Not Started</x:v>
      </x:c>
      <x:c r="B794" s="35" t="n">
        <x:v>792</x:v>
      </x:c>
      <x:c r="C794" s="35" t="str">
        <x:v>P13</x:v>
      </x:c>
      <x:c r="D794" s="35" t="n">
        <x:v>49</x:v>
      </x:c>
      <x:c r="E794" s="35" t="str">
        <x:v>Primary VLA</x:v>
      </x:c>
      <x:c r="F794" s="35" t="str">
        <x:v>MolmoAct2</x:v>
      </x:c>
      <x:c r="G794" s="35" t="n">
        <x:v>2</x:v>
      </x:c>
      <x:c r="H794" s="35" t="str">
        <x:v>State Recognition</x:v>
      </x:c>
      <x:c r="I794" s="35" t="str">
        <x:v>Language ablation — counterfactual</x:v>
      </x:c>
      <x:c r="J794" s="35" t="str">
        <x:v>PVLA-ST-ABL-CF-03</x:v>
      </x:c>
      <x:c r="K794" s="35" t="str">
        <x:v>S-CF13</x:v>
      </x:c>
      <x:c r="L794" s="31" t="str">
        <x:v>Place the open brown cup in the bowl.</x:v>
      </x:c>
      <x:c r="M794" s="31" t="str">
        <x:v>Place the open brown cup in the bowl.</x:v>
      </x:c>
      <x:c r="N794" s="31" t="str">
        <x:v>S-CF13-HELD: P1 brown cup A=C/UR [TARGET]; P2 brown cup B=O/UR [COMPETITOR]; P3 glass spice container A=C/UD; P4 white cup B=O/UD.</x:v>
      </x:c>
      <x:c r="O794" s="31" t="str">
        <x:v>brown cup B</x:v>
      </x:c>
      <x:c r="P794" s="31" t="str"/>
      <x:c r="Q794" s="31" t="str"/>
      <x:c r="R794" s="31" t="str"/>
      <x:c r="S794" s="31" t="str">
        <x:f>IF('Blind Scoring'!I794="","",'Blind Scoring'!I794)</x:f>
      </x:c>
      <x:c r="T794" s="31" t="str">
        <x:f>'Blind Scoring'!J794</x:f>
        <x:v>No</x:v>
      </x:c>
      <x:c r="U794" s="31" t="str">
        <x:f>IF('Blind Scoring'!L794="","",'Blind Scoring'!L794)</x:f>
      </x:c>
    </x:row>
    <x:row r="795" ht="44" customHeight="1">
      <x:c r="A795" s="35" t="str">
        <x:v>Not Started</x:v>
      </x:c>
      <x:c r="B795" s="35" t="n">
        <x:v>793</x:v>
      </x:c>
      <x:c r="C795" s="35" t="str">
        <x:v>P13</x:v>
      </x:c>
      <x:c r="D795" s="35" t="n">
        <x:v>50</x:v>
      </x:c>
      <x:c r="E795" s="35" t="str">
        <x:v>Primary VLA</x:v>
      </x:c>
      <x:c r="F795" s="35" t="str">
        <x:v>MolmoAct2</x:v>
      </x:c>
      <x:c r="G795" s="35" t="n">
        <x:v>2</x:v>
      </x:c>
      <x:c r="H795" s="35" t="str">
        <x:v>State Recognition</x:v>
      </x:c>
      <x:c r="I795" s="35" t="str">
        <x:v>Main matched control</x:v>
      </x:c>
      <x:c r="J795" s="35" t="str">
        <x:v>PVLA-ST-CTL-09</x:v>
      </x:c>
      <x:c r="K795" s="35" t="str">
        <x:v>S-CF16</x:v>
      </x:c>
      <x:c r="L795" s="31" t="str">
        <x:v>Place a brown cup in the bowl.</x:v>
      </x:c>
      <x:c r="M795" s="31" t="str">
        <x:v>Place a brown cup in the bowl.</x:v>
      </x:c>
      <x:c r="N795" s="31" t="str">
        <x:v>S-CF16-CTRL: P2 glass spice container B=O/UR; P3 white cup A=O/UD; P4 brown cup B=C/UR [TARGET].</x:v>
      </x:c>
      <x:c r="O795" s="31" t="str">
        <x:v>brown cup B</x:v>
      </x:c>
      <x:c r="P795" s="31" t="str"/>
      <x:c r="Q795" s="31" t="str"/>
      <x:c r="R795" s="31" t="str"/>
      <x:c r="S795" s="31" t="str">
        <x:f>IF('Blind Scoring'!I795="","",'Blind Scoring'!I795)</x:f>
      </x:c>
      <x:c r="T795" s="31" t="str">
        <x:f>'Blind Scoring'!J795</x:f>
        <x:v>No</x:v>
      </x:c>
      <x:c r="U795" s="31" t="str">
        <x:f>IF('Blind Scoring'!L795="","",'Blind Scoring'!L795)</x:f>
      </x:c>
    </x:row>
    <x:row r="796" ht="44" customHeight="1">
      <x:c r="A796" s="35" t="str">
        <x:v>Not Started</x:v>
      </x:c>
      <x:c r="B796" s="35" t="n">
        <x:v>794</x:v>
      </x:c>
      <x:c r="C796" s="35" t="str">
        <x:v>P13</x:v>
      </x:c>
      <x:c r="D796" s="35" t="n">
        <x:v>51</x:v>
      </x:c>
      <x:c r="E796" s="35" t="str">
        <x:v>Primary VLA</x:v>
      </x:c>
      <x:c r="F796" s="35" t="str">
        <x:v>MolmoAct2</x:v>
      </x:c>
      <x:c r="G796" s="35" t="n">
        <x:v>2</x:v>
      </x:c>
      <x:c r="H796" s="35" t="str">
        <x:v>State Recognition</x:v>
      </x:c>
      <x:c r="I796" s="35" t="str">
        <x:v>Exact-scene paraphrase</x:v>
      </x:c>
      <x:c r="J796" s="35" t="str">
        <x:v>PVLA-ST-PAR-02</x:v>
      </x:c>
      <x:c r="K796" s="35" t="str">
        <x:v>S-CF04</x:v>
      </x:c>
      <x:c r="L796" s="31" t="str">
        <x:v>Put the inverted white cup into the bowl.</x:v>
      </x:c>
      <x:c r="M796" s="31" t="str">
        <x:v>Put the inverted white cup into the bowl.</x:v>
      </x:c>
      <x:c r="N796" s="31" t="str">
        <x:v>S-CF04-PARA: P1 white cup A=C/UD [COMPETITOR]; P2 yellow-white striped cup B=O/UR; P3 brown cup A=O/UD; P4 white cup B=C/UR [TARGET].</x:v>
      </x:c>
      <x:c r="O796" s="31" t="str">
        <x:v>white cup A</x:v>
      </x:c>
      <x:c r="P796" s="31" t="str"/>
      <x:c r="Q796" s="31" t="str"/>
      <x:c r="R796" s="31" t="str"/>
      <x:c r="S796" s="31" t="str">
        <x:f>IF('Blind Scoring'!I796="","",'Blind Scoring'!I796)</x:f>
      </x:c>
      <x:c r="T796" s="31" t="str">
        <x:f>'Blind Scoring'!J796</x:f>
        <x:v>No</x:v>
      </x:c>
      <x:c r="U796" s="31" t="str">
        <x:f>IF('Blind Scoring'!L796="","",'Blind Scoring'!L796)</x:f>
      </x:c>
    </x:row>
    <x:row r="797" ht="44" customHeight="1">
      <x:c r="A797" s="35" t="str">
        <x:v>Not Started</x:v>
      </x:c>
      <x:c r="B797" s="35" t="n">
        <x:v>795</x:v>
      </x:c>
      <x:c r="C797" s="35" t="str">
        <x:v>P13</x:v>
      </x:c>
      <x:c r="D797" s="35" t="n">
        <x:v>52</x:v>
      </x:c>
      <x:c r="E797" s="35" t="str">
        <x:v>Primary VLA</x:v>
      </x:c>
      <x:c r="F797" s="35" t="str">
        <x:v>MolmoAct2</x:v>
      </x:c>
      <x:c r="G797" s="35" t="n">
        <x:v>2</x:v>
      </x:c>
      <x:c r="H797" s="35" t="str">
        <x:v>State Recognition</x:v>
      </x:c>
      <x:c r="I797" s="35" t="str">
        <x:v>Exact-scene paraphrase</x:v>
      </x:c>
      <x:c r="J797" s="35" t="str">
        <x:v>PVLA-ST-PAR-05</x:v>
      </x:c>
      <x:c r="K797" s="35" t="str">
        <x:v>S-CF12</x:v>
      </x:c>
      <x:c r="L797" s="31" t="str">
        <x:v>Move the overturned white cup into the bowl.</x:v>
      </x:c>
      <x:c r="M797" s="31" t="str">
        <x:v>Move the overturned white cup into the bowl.</x:v>
      </x:c>
      <x:c r="N797" s="31" t="str">
        <x:v>S-CF12-PARA: P1 white cup A=C/UD [COMPETITOR]; P2 yellow-white striped cup B=O/UR; P3 brown cup A=O/UD; P4 white cup B=C/UR [TARGET].</x:v>
      </x:c>
      <x:c r="O797" s="31" t="str">
        <x:v>white cup A</x:v>
      </x:c>
      <x:c r="P797" s="31" t="str"/>
      <x:c r="Q797" s="31" t="str"/>
      <x:c r="R797" s="31" t="str"/>
      <x:c r="S797" s="31" t="str">
        <x:f>IF('Blind Scoring'!I797="","",'Blind Scoring'!I797)</x:f>
      </x:c>
      <x:c r="T797" s="31" t="str">
        <x:f>'Blind Scoring'!J797</x:f>
        <x:v>No</x:v>
      </x:c>
      <x:c r="U797" s="31" t="str">
        <x:f>IF('Blind Scoring'!L797="","",'Blind Scoring'!L797)</x:f>
      </x:c>
    </x:row>
    <x:row r="798" ht="44" customHeight="1">
      <x:c r="A798" s="35" t="str">
        <x:v>Not Started</x:v>
      </x:c>
      <x:c r="B798" s="35" t="n">
        <x:v>796</x:v>
      </x:c>
      <x:c r="C798" s="35" t="str">
        <x:v>P13</x:v>
      </x:c>
      <x:c r="D798" s="35" t="n">
        <x:v>53</x:v>
      </x:c>
      <x:c r="E798" s="35" t="str">
        <x:v>Primary VLA</x:v>
      </x:c>
      <x:c r="F798" s="35" t="str">
        <x:v>MolmoAct2</x:v>
      </x:c>
      <x:c r="G798" s="35" t="n">
        <x:v>2</x:v>
      </x:c>
      <x:c r="H798" s="35" t="str">
        <x:v>State Recognition</x:v>
      </x:c>
      <x:c r="I798" s="35" t="str">
        <x:v>Novel layout + seen language</x:v>
      </x:c>
      <x:c r="J798" s="35" t="str">
        <x:v>PVLA-ST-NOV-08</x:v>
      </x:c>
      <x:c r="K798" s="35" t="str">
        <x:v>S-CF20</x:v>
      </x:c>
      <x:c r="L798" s="31" t="str">
        <x:v>Place the upside-down white cup in the bowl.</x:v>
      </x:c>
      <x:c r="M798" s="31" t="str">
        <x:v>Place the upside-down white cup in the bowl.</x:v>
      </x:c>
      <x:c r="N798" s="31" t="str">
        <x:v>S-CF20-SEEN: P1 white cup A=C/UD [COMPETITOR]; P2 yellow-white striped cup B=O/UR; P3 brown cup A=O/UD; P4 white cup B=C/UR [TARGET].</x:v>
      </x:c>
      <x:c r="O798" s="31" t="str">
        <x:v>white cup A</x:v>
      </x:c>
      <x:c r="P798" s="31" t="str"/>
      <x:c r="Q798" s="31" t="str"/>
      <x:c r="R798" s="31" t="str"/>
      <x:c r="S798" s="31" t="str">
        <x:f>IF('Blind Scoring'!I798="","",'Blind Scoring'!I798)</x:f>
      </x:c>
      <x:c r="T798" s="31" t="str">
        <x:f>'Blind Scoring'!J798</x:f>
        <x:v>No</x:v>
      </x:c>
      <x:c r="U798" s="31" t="str">
        <x:f>IF('Blind Scoring'!L798="","",'Blind Scoring'!L798)</x:f>
      </x:c>
    </x:row>
    <x:row r="799" ht="44" customHeight="1">
      <x:c r="A799" s="35" t="str">
        <x:v>Not Started</x:v>
      </x:c>
      <x:c r="B799" s="35" t="n">
        <x:v>797</x:v>
      </x:c>
      <x:c r="C799" s="35" t="str">
        <x:v>P13</x:v>
      </x:c>
      <x:c r="D799" s="35" t="n">
        <x:v>54</x:v>
      </x:c>
      <x:c r="E799" s="35" t="str">
        <x:v>Primary VLA</x:v>
      </x:c>
      <x:c r="F799" s="35" t="str">
        <x:v>MolmoAct2</x:v>
      </x:c>
      <x:c r="G799" s="35" t="n">
        <x:v>2</x:v>
      </x:c>
      <x:c r="H799" s="35" t="str">
        <x:v>State Recognition</x:v>
      </x:c>
      <x:c r="I799" s="35" t="str">
        <x:v>Main matched control</x:v>
      </x:c>
      <x:c r="J799" s="35" t="str">
        <x:v>PVLA-ST-CTL-05</x:v>
      </x:c>
      <x:c r="K799" s="35" t="str">
        <x:v>S-CF09</x:v>
      </x:c>
      <x:c r="L799" s="31" t="str">
        <x:v>Place a white cup in the bowl.</x:v>
      </x:c>
      <x:c r="M799" s="31" t="str">
        <x:v>Place a white cup in the bowl.</x:v>
      </x:c>
      <x:c r="N799" s="31" t="str">
        <x:v>S-CF09-CTRL: P1 white cup A=C/UR [TARGET]; P3 yellow-white striped cup A=C/UD; P4 brown cup B=O/UD.</x:v>
      </x:c>
      <x:c r="O799" s="31" t="str">
        <x:v>white cup A</x:v>
      </x:c>
      <x:c r="P799" s="31" t="str"/>
      <x:c r="Q799" s="31" t="str"/>
      <x:c r="R799" s="31" t="str"/>
      <x:c r="S799" s="31" t="str">
        <x:f>IF('Blind Scoring'!I799="","",'Blind Scoring'!I799)</x:f>
      </x:c>
      <x:c r="T799" s="31" t="str">
        <x:f>'Blind Scoring'!J799</x:f>
        <x:v>No</x:v>
      </x:c>
      <x:c r="U799" s="31" t="str">
        <x:f>IF('Blind Scoring'!L799="","",'Blind Scoring'!L799)</x:f>
      </x:c>
    </x:row>
    <x:row r="800" ht="44" customHeight="1">
      <x:c r="A800" s="35" t="str">
        <x:v>Not Started</x:v>
      </x:c>
      <x:c r="B800" s="35" t="n">
        <x:v>798</x:v>
      </x:c>
      <x:c r="C800" s="35" t="str">
        <x:v>P13</x:v>
      </x:c>
      <x:c r="D800" s="35" t="n">
        <x:v>55</x:v>
      </x:c>
      <x:c r="E800" s="35" t="str">
        <x:v>Primary VLA</x:v>
      </x:c>
      <x:c r="F800" s="35" t="str">
        <x:v>MolmoAct2</x:v>
      </x:c>
      <x:c r="G800" s="35" t="n">
        <x:v>2</x:v>
      </x:c>
      <x:c r="H800" s="35" t="str">
        <x:v>State Recognition</x:v>
      </x:c>
      <x:c r="I800" s="35" t="str">
        <x:v>Main held-out transfer</x:v>
      </x:c>
      <x:c r="J800" s="35" t="str">
        <x:v>PVLA-ST-TR-12</x:v>
      </x:c>
      <x:c r="K800" s="35" t="str">
        <x:v>S-CF22</x:v>
      </x:c>
      <x:c r="L800" s="31" t="str">
        <x:v>Place the upright glass spice container in the bowl.</x:v>
      </x:c>
      <x:c r="M800" s="31" t="str">
        <x:v>Place the upright glass spice container in the bowl.</x:v>
      </x:c>
      <x:c r="N800" s="31" t="str">
        <x:v>S-CF22-HELD: P1 white cup B=C/UR; P2 glass spice container A=O/UR [TARGET]; P3 glass spice container B=O/UD [COMPETITOR]; P4 yellow-white striped cup B=C/UD.</x:v>
      </x:c>
      <x:c r="O800" s="31" t="str">
        <x:v>glass spice container A</x:v>
      </x:c>
      <x:c r="P800" s="31" t="str"/>
      <x:c r="Q800" s="31" t="str"/>
      <x:c r="R800" s="31" t="str"/>
      <x:c r="S800" s="31" t="str">
        <x:f>IF('Blind Scoring'!I800="","",'Blind Scoring'!I800)</x:f>
      </x:c>
      <x:c r="T800" s="31" t="str">
        <x:f>'Blind Scoring'!J800</x:f>
        <x:v>No</x:v>
      </x:c>
      <x:c r="U800" s="31" t="str">
        <x:f>IF('Blind Scoring'!L800="","",'Blind Scoring'!L800)</x:f>
      </x:c>
    </x:row>
    <x:row r="801" ht="44" customHeight="1">
      <x:c r="A801" s="35" t="str">
        <x:v>Not Started</x:v>
      </x:c>
      <x:c r="B801" s="35" t="n">
        <x:v>799</x:v>
      </x:c>
      <x:c r="C801" s="35" t="str">
        <x:v>P13</x:v>
      </x:c>
      <x:c r="D801" s="35" t="n">
        <x:v>56</x:v>
      </x:c>
      <x:c r="E801" s="35" t="str">
        <x:v>Primary VLA</x:v>
      </x:c>
      <x:c r="F801" s="35" t="str">
        <x:v>MolmoAct2</x:v>
      </x:c>
      <x:c r="G801" s="35" t="n">
        <x:v>2</x:v>
      </x:c>
      <x:c r="H801" s="35" t="str">
        <x:v>State Recognition</x:v>
      </x:c>
      <x:c r="I801" s="35" t="str">
        <x:v>Training reconstruction</x:v>
      </x:c>
      <x:c r="J801" s="35" t="str">
        <x:v>PVLA-ST-REC-03</x:v>
      </x:c>
      <x:c r="K801" s="35" t="str"/>
      <x:c r="L801" s="31" t="str">
        <x:v>Put a brown cup in the bowl.</x:v>
      </x:c>
      <x:c r="M801" s="31" t="str">
        <x:v>Put a brown cup in the bowl.</x:v>
      </x:c>
      <x:c r="N801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801" s="31" t="str">
        <x:v>brown cup B</x:v>
      </x:c>
      <x:c r="P801" s="31" t="str"/>
      <x:c r="Q801" s="31" t="str"/>
      <x:c r="R801" s="31" t="str"/>
      <x:c r="S801" s="31" t="str">
        <x:f>IF('Blind Scoring'!I801="","",'Blind Scoring'!I801)</x:f>
      </x:c>
      <x:c r="T801" s="31" t="str">
        <x:f>'Blind Scoring'!J801</x:f>
        <x:v>No</x:v>
      </x:c>
      <x:c r="U801" s="31" t="str">
        <x:f>IF('Blind Scoring'!L801="","",'Blind Scoring'!L801)</x:f>
      </x:c>
    </x:row>
    <x:row r="802" ht="44" customHeight="1">
      <x:c r="A802" s="35" t="str">
        <x:v>Not Started</x:v>
      </x:c>
      <x:c r="B802" s="35" t="n">
        <x:v>800</x:v>
      </x:c>
      <x:c r="C802" s="35" t="str">
        <x:v>P13</x:v>
      </x:c>
      <x:c r="D802" s="35" t="n">
        <x:v>57</x:v>
      </x:c>
      <x:c r="E802" s="35" t="str">
        <x:v>Primary VLA</x:v>
      </x:c>
      <x:c r="F802" s="35" t="str">
        <x:v>MolmoAct2</x:v>
      </x:c>
      <x:c r="G802" s="35" t="n">
        <x:v>2</x:v>
      </x:c>
      <x:c r="H802" s="35" t="str">
        <x:v>State Recognition</x:v>
      </x:c>
      <x:c r="I802" s="35" t="str">
        <x:v>Training reconstruction</x:v>
      </x:c>
      <x:c r="J802" s="35" t="str">
        <x:v>PVLA-ST-REC-02</x:v>
      </x:c>
      <x:c r="K802" s="35" t="str"/>
      <x:c r="L802" s="31" t="str">
        <x:v>Put a yellow-white striped cup in the bowl.</x:v>
      </x:c>
      <x:c r="M802" s="31" t="str">
        <x:v>Put a yellow-white striped cup in the bowl.</x:v>
      </x:c>
      <x:c r="N802" s="31" t="str">
        <x:v>Reconstruct planned final training episode 52: yellow-white striped cup A, white cup A, brown cup B; start=Home. Match camera, calibration, bowl pose, and object geometry exactly.</x:v>
      </x:c>
      <x:c r="O802" s="31" t="str">
        <x:v>yellow-white striped cup A</x:v>
      </x:c>
      <x:c r="P802" s="31" t="str"/>
      <x:c r="Q802" s="31" t="str"/>
      <x:c r="R802" s="31" t="str"/>
      <x:c r="S802" s="31" t="str">
        <x:f>IF('Blind Scoring'!I802="","",'Blind Scoring'!I802)</x:f>
      </x:c>
      <x:c r="T802" s="31" t="str">
        <x:f>'Blind Scoring'!J802</x:f>
        <x:v>No</x:v>
      </x:c>
      <x:c r="U802" s="31" t="str">
        <x:f>IF('Blind Scoring'!L802="","",'Blind Scoring'!L802)</x:f>
      </x:c>
    </x:row>
    <x:row r="803" ht="44" customHeight="1">
      <x:c r="A803" s="35" t="str">
        <x:v>Not Started</x:v>
      </x:c>
      <x:c r="B803" s="35" t="n">
        <x:v>801</x:v>
      </x:c>
      <x:c r="C803" s="35" t="str">
        <x:v>P13</x:v>
      </x:c>
      <x:c r="D803" s="35" t="n">
        <x:v>58</x:v>
      </x:c>
      <x:c r="E803" s="35" t="str">
        <x:v>Primary VLA</x:v>
      </x:c>
      <x:c r="F803" s="35" t="str">
        <x:v>MolmoAct2</x:v>
      </x:c>
      <x:c r="G803" s="35" t="n">
        <x:v>2</x:v>
      </x:c>
      <x:c r="H803" s="35" t="str">
        <x:v>State Recognition</x:v>
      </x:c>
      <x:c r="I803" s="35" t="str">
        <x:v>Training reconstruction</x:v>
      </x:c>
      <x:c r="J803" s="35" t="str">
        <x:v>PVLA-ST-REC-04</x:v>
      </x:c>
      <x:c r="K803" s="35" t="str"/>
      <x:c r="L803" s="31" t="str">
        <x:v>Move the open brown cup into the bowl.</x:v>
      </x:c>
      <x:c r="M803" s="31" t="str">
        <x:v>Move the open brown cup into the bowl.</x:v>
      </x:c>
      <x:c r="N803" s="31" t="str">
        <x:v>Reconstruct planned final training episode 104: brown cup B, brown cup A, glass spice container A; start=Recovery. Match camera, calibration, bowl pose, and object geometry exactly.</x:v>
      </x:c>
      <x:c r="O803" s="31" t="str">
        <x:v>brown cup B</x:v>
      </x:c>
      <x:c r="P803" s="31" t="str"/>
      <x:c r="Q803" s="31" t="str"/>
      <x:c r="R803" s="31" t="str"/>
      <x:c r="S803" s="31" t="str">
        <x:f>IF('Blind Scoring'!I803="","",'Blind Scoring'!I803)</x:f>
      </x:c>
      <x:c r="T803" s="31" t="str">
        <x:f>'Blind Scoring'!J803</x:f>
        <x:v>No</x:v>
      </x:c>
      <x:c r="U803" s="31" t="str">
        <x:f>IF('Blind Scoring'!L803="","",'Blind Scoring'!L803)</x:f>
      </x:c>
    </x:row>
    <x:row r="804" ht="44" customHeight="1">
      <x:c r="A804" s="35" t="str">
        <x:v>Not Started</x:v>
      </x:c>
      <x:c r="B804" s="35" t="n">
        <x:v>802</x:v>
      </x:c>
      <x:c r="C804" s="35" t="str">
        <x:v>P13</x:v>
      </x:c>
      <x:c r="D804" s="35" t="n">
        <x:v>59</x:v>
      </x:c>
      <x:c r="E804" s="35" t="str">
        <x:v>Primary VLA</x:v>
      </x:c>
      <x:c r="F804" s="35" t="str">
        <x:v>MolmoAct2</x:v>
      </x:c>
      <x:c r="G804" s="35" t="n">
        <x:v>2</x:v>
      </x:c>
      <x:c r="H804" s="35" t="str">
        <x:v>State Recognition</x:v>
      </x:c>
      <x:c r="I804" s="35" t="str">
        <x:v>Exact-scene paraphrase</x:v>
      </x:c>
      <x:c r="J804" s="35" t="str">
        <x:v>PVLA-ST-PAR-06</x:v>
      </x:c>
      <x:c r="K804" s="35" t="str">
        <x:v>S-CF15</x:v>
      </x:c>
      <x:c r="L804" s="31" t="str">
        <x:v>Move the yellow-white striped cup that is open into the bowl.</x:v>
      </x:c>
      <x:c r="M804" s="31" t="str">
        <x:v>Move the yellow-white striped cup that is open into the bowl.</x:v>
      </x:c>
      <x:c r="N804" s="31" t="str">
        <x:v>S-CF15-PARA: P1 brown cup A=C/UR; P2 glass spice container A=O/UR; P3 yellow-white striped cup A=C/UD [TARGET]; P4 yellow-white striped cup B=O/UD [COMPETITOR].</x:v>
      </x:c>
      <x:c r="O804" s="31" t="str">
        <x:v>yellow-white striped cup B</x:v>
      </x:c>
      <x:c r="P804" s="31" t="str"/>
      <x:c r="Q804" s="31" t="str"/>
      <x:c r="R804" s="31" t="str"/>
      <x:c r="S804" s="31" t="str">
        <x:f>IF('Blind Scoring'!I804="","",'Blind Scoring'!I804)</x:f>
      </x:c>
      <x:c r="T804" s="31" t="str">
        <x:f>'Blind Scoring'!J804</x:f>
        <x:v>No</x:v>
      </x:c>
      <x:c r="U804" s="31" t="str">
        <x:f>IF('Blind Scoring'!L804="","",'Blind Scoring'!L804)</x:f>
      </x:c>
    </x:row>
    <x:row r="805" ht="44" customHeight="1">
      <x:c r="A805" s="35" t="str">
        <x:v>Not Started</x:v>
      </x:c>
      <x:c r="B805" s="35" t="n">
        <x:v>803</x:v>
      </x:c>
      <x:c r="C805" s="35" t="str">
        <x:v>P13</x:v>
      </x:c>
      <x:c r="D805" s="35" t="n">
        <x:v>60</x:v>
      </x:c>
      <x:c r="E805" s="35" t="str">
        <x:v>Primary VLA</x:v>
      </x:c>
      <x:c r="F805" s="35" t="str">
        <x:v>MolmoAct2</x:v>
      </x:c>
      <x:c r="G805" s="35" t="n">
        <x:v>2</x:v>
      </x:c>
      <x:c r="H805" s="35" t="str">
        <x:v>State Recognition</x:v>
      </x:c>
      <x:c r="I805" s="35" t="str">
        <x:v>Main matched control</x:v>
      </x:c>
      <x:c r="J805" s="35" t="str">
        <x:v>PVLA-ST-CTL-14</x:v>
      </x:c>
      <x:c r="K805" s="35" t="str">
        <x:v>S-CF26</x:v>
      </x:c>
      <x:c r="L805" s="31" t="str">
        <x:v>Place a yellow-white striped cup in the bowl.</x:v>
      </x:c>
      <x:c r="M805" s="31" t="str">
        <x:v>Place a yellow-white striped cup in the bowl.</x:v>
      </x:c>
      <x:c r="N805" s="31" t="str">
        <x:v>S-CF26-CTRL: P1 brown cup B=C/UR; P2 yellow-white striped cup B=O/UR [TARGET]; P4 glass spice container B=C/UD.</x:v>
      </x:c>
      <x:c r="O805" s="31" t="str">
        <x:v>yellow-white striped cup B</x:v>
      </x:c>
      <x:c r="P805" s="31" t="str"/>
      <x:c r="Q805" s="31" t="str"/>
      <x:c r="R805" s="31" t="str"/>
      <x:c r="S805" s="31" t="str">
        <x:f>IF('Blind Scoring'!I805="","",'Blind Scoring'!I805)</x:f>
      </x:c>
      <x:c r="T805" s="31" t="str">
        <x:f>'Blind Scoring'!J805</x:f>
        <x:v>No</x:v>
      </x:c>
      <x:c r="U805" s="31" t="str">
        <x:f>IF('Blind Scoring'!L805="","",'Blind Scoring'!L805)</x:f>
      </x:c>
    </x:row>
    <x:row r="806" ht="44" customHeight="1">
      <x:c r="A806" s="35" t="str">
        <x:v>Not Started</x:v>
      </x:c>
      <x:c r="B806" s="35" t="n">
        <x:v>804</x:v>
      </x:c>
      <x:c r="C806" s="35" t="str">
        <x:v>P13</x:v>
      </x:c>
      <x:c r="D806" s="35" t="n">
        <x:v>61</x:v>
      </x:c>
      <x:c r="E806" s="35" t="str">
        <x:v>Primary VLA</x:v>
      </x:c>
      <x:c r="F806" s="35" t="str">
        <x:v>MolmoAct2</x:v>
      </x:c>
      <x:c r="G806" s="35" t="n">
        <x:v>2</x:v>
      </x:c>
      <x:c r="H806" s="35" t="str">
        <x:v>State Recognition</x:v>
      </x:c>
      <x:c r="I806" s="35" t="str">
        <x:v>Main matched control</x:v>
      </x:c>
      <x:c r="J806" s="35" t="str">
        <x:v>PVLA-ST-CTL-16</x:v>
      </x:c>
      <x:c r="K806" s="35" t="str">
        <x:v>S-CF30</x:v>
      </x:c>
      <x:c r="L806" s="31" t="str">
        <x:v>Place a glass spice container in the bowl.</x:v>
      </x:c>
      <x:c r="M806" s="31" t="str">
        <x:v>Place a glass spice container in the bowl.</x:v>
      </x:c>
      <x:c r="N806" s="31" t="str">
        <x:v>S-CF30-CTRL: P1 white cup B=C/UR; P2 glass spice container A=O/UR [TARGET]; P4 yellow-white striped cup B=C/UD.</x:v>
      </x:c>
      <x:c r="O806" s="31" t="str">
        <x:v>glass spice container A</x:v>
      </x:c>
      <x:c r="P806" s="31" t="str"/>
      <x:c r="Q806" s="31" t="str"/>
      <x:c r="R806" s="31" t="str"/>
      <x:c r="S806" s="31" t="str">
        <x:f>IF('Blind Scoring'!I806="","",'Blind Scoring'!I806)</x:f>
      </x:c>
      <x:c r="T806" s="31" t="str">
        <x:f>'Blind Scoring'!J806</x:f>
        <x:v>No</x:v>
      </x:c>
      <x:c r="U806" s="31" t="str">
        <x:f>IF('Blind Scoring'!L806="","",'Blind Scoring'!L806)</x:f>
      </x:c>
    </x:row>
    <x:row r="807" ht="44" customHeight="1">
      <x:c r="A807" s="35" t="str">
        <x:v>Not Started</x:v>
      </x:c>
      <x:c r="B807" s="35" t="n">
        <x:v>805</x:v>
      </x:c>
      <x:c r="C807" s="35" t="str">
        <x:v>P13</x:v>
      </x:c>
      <x:c r="D807" s="35" t="n">
        <x:v>62</x:v>
      </x:c>
      <x:c r="E807" s="35" t="str">
        <x:v>Primary VLA</x:v>
      </x:c>
      <x:c r="F807" s="35" t="str">
        <x:v>MolmoAct2</x:v>
      </x:c>
      <x:c r="G807" s="35" t="n">
        <x:v>2</x:v>
      </x:c>
      <x:c r="H807" s="35" t="str">
        <x:v>State Recognition</x:v>
      </x:c>
      <x:c r="I807" s="35" t="str">
        <x:v>Main held-out transfer</x:v>
      </x:c>
      <x:c r="J807" s="35" t="str">
        <x:v>PVLA-ST-TR-09</x:v>
      </x:c>
      <x:c r="K807" s="35" t="str">
        <x:v>S-CF16</x:v>
      </x:c>
      <x:c r="L807" s="31" t="str">
        <x:v>Place the upright brown cup in the bowl.</x:v>
      </x:c>
      <x:c r="M807" s="31" t="str">
        <x:v>Place the upright brown cup in the bowl.</x:v>
      </x:c>
      <x:c r="N807" s="31" t="str">
        <x:v>S-CF16-HELD: P1 brown cup A=C/UD [COMPETITOR]; P2 glass spice container B=O/UR; P3 white cup A=O/UD; P4 brown cup B=C/UR [TARGET].</x:v>
      </x:c>
      <x:c r="O807" s="31" t="str">
        <x:v>brown cup B</x:v>
      </x:c>
      <x:c r="P807" s="31" t="str"/>
      <x:c r="Q807" s="31" t="str"/>
      <x:c r="R807" s="31" t="str"/>
      <x:c r="S807" s="31" t="str">
        <x:f>IF('Blind Scoring'!I807="","",'Blind Scoring'!I807)</x:f>
      </x:c>
      <x:c r="T807" s="31" t="str">
        <x:f>'Blind Scoring'!J807</x:f>
        <x:v>No</x:v>
      </x:c>
      <x:c r="U807" s="31" t="str">
        <x:f>IF('Blind Scoring'!L807="","",'Blind Scoring'!L807)</x:f>
      </x:c>
    </x:row>
    <x:row r="808" ht="44" customHeight="1">
      <x:c r="A808" s="35" t="str">
        <x:v>Not Started</x:v>
      </x:c>
      <x:c r="B808" s="35" t="n">
        <x:v>806</x:v>
      </x:c>
      <x:c r="C808" s="35" t="str">
        <x:v>P14</x:v>
      </x:c>
      <x:c r="D808" s="35" t="n">
        <x:v>1</x:v>
      </x:c>
      <x:c r="E808" s="35" t="str">
        <x:v>Primary VLA</x:v>
      </x:c>
      <x:c r="F808" s="35" t="str">
        <x:v>MolmoAct2</x:v>
      </x:c>
      <x:c r="G808" s="35" t="n">
        <x:v>2</x:v>
      </x:c>
      <x:c r="H808" s="35" t="str">
        <x:v>Relational Placement</x:v>
      </x:c>
      <x:c r="I808" s="35" t="str">
        <x:v>Novel layout + seen language</x:v>
      </x:c>
      <x:c r="J808" s="35" t="str">
        <x:v>PVLA-RP-NOV-05</x:v>
      </x:c>
      <x:c r="K808" s="35" t="str"/>
      <x:c r="L808" s="31" t="str">
        <x:v>Place the pink marker to the right of the blue block.</x:v>
      </x:c>
      <x:c r="M808" s="31" t="str">
        <x:v>Place the pink marker to the right of the blue block.</x:v>
      </x:c>
      <x:c r="N808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808" s="31" t="str">
        <x:v>pink marker</x:v>
      </x:c>
      <x:c r="P808" s="31" t="str"/>
      <x:c r="Q808" s="31" t="str"/>
      <x:c r="R808" s="31" t="str"/>
      <x:c r="S808" s="31" t="str">
        <x:f>IF('Blind Scoring'!I808="","",'Blind Scoring'!I808)</x:f>
      </x:c>
      <x:c r="T808" s="31" t="str">
        <x:f>'Blind Scoring'!J808</x:f>
        <x:v>No</x:v>
      </x:c>
      <x:c r="U808" s="31" t="str">
        <x:f>IF('Blind Scoring'!L808="","",'Blind Scoring'!L808)</x:f>
      </x:c>
    </x:row>
    <x:row r="809" ht="44" customHeight="1">
      <x:c r="A809" s="35" t="str">
        <x:v>Not Started</x:v>
      </x:c>
      <x:c r="B809" s="35" t="n">
        <x:v>807</x:v>
      </x:c>
      <x:c r="C809" s="35" t="str">
        <x:v>P14</x:v>
      </x:c>
      <x:c r="D809" s="35" t="n">
        <x:v>2</x:v>
      </x:c>
      <x:c r="E809" s="35" t="str">
        <x:v>Primary VLA</x:v>
      </x:c>
      <x:c r="F809" s="35" t="str">
        <x:v>MolmoAct2</x:v>
      </x:c>
      <x:c r="G809" s="35" t="n">
        <x:v>2</x:v>
      </x:c>
      <x:c r="H809" s="35" t="str">
        <x:v>Relational Placement</x:v>
      </x:c>
      <x:c r="I809" s="35" t="str">
        <x:v>Language ablation — counterfactual</x:v>
      </x:c>
      <x:c r="J809" s="35" t="str">
        <x:v>PVLA-RP-ABL-CF-02</x:v>
      </x:c>
      <x:c r="K809" s="35" t="str">
        <x:v>R-CF11</x:v>
      </x:c>
      <x:c r="L809" s="31" t="str">
        <x:v>Place the green pen to the left of the red block.</x:v>
      </x:c>
      <x:c r="M809" s="31" t="str">
        <x:v>Place the green pen to the left of the red block.</x:v>
      </x:c>
      <x:c r="N809" s="31" t="str">
        <x:v>R-CF11-HELD: red block at center [REFERENCE]; green pen starts 21 cm to the left of the reference [TARGET START]; pink marker and blue block are distractors outside the commanded goal sector.</x:v>
      </x:c>
      <x:c r="O809" s="31" t="str">
        <x:v>green pen → to the left of red block</x:v>
      </x:c>
      <x:c r="P809" s="31" t="str"/>
      <x:c r="Q809" s="31" t="str"/>
      <x:c r="R809" s="31" t="str"/>
      <x:c r="S809" s="31" t="str">
        <x:f>IF('Blind Scoring'!I809="","",'Blind Scoring'!I809)</x:f>
      </x:c>
      <x:c r="T809" s="31" t="str">
        <x:f>'Blind Scoring'!J809</x:f>
        <x:v>No</x:v>
      </x:c>
      <x:c r="U809" s="31" t="str">
        <x:f>IF('Blind Scoring'!L809="","",'Blind Scoring'!L809)</x:f>
      </x:c>
    </x:row>
    <x:row r="810" ht="44" customHeight="1">
      <x:c r="A810" s="35" t="str">
        <x:v>Not Started</x:v>
      </x:c>
      <x:c r="B810" s="35" t="n">
        <x:v>808</x:v>
      </x:c>
      <x:c r="C810" s="35" t="str">
        <x:v>P14</x:v>
      </x:c>
      <x:c r="D810" s="35" t="n">
        <x:v>3</x:v>
      </x:c>
      <x:c r="E810" s="35" t="str">
        <x:v>Primary VLA</x:v>
      </x:c>
      <x:c r="F810" s="35" t="str">
        <x:v>MolmoAct2</x:v>
      </x:c>
      <x:c r="G810" s="35" t="n">
        <x:v>2</x:v>
      </x:c>
      <x:c r="H810" s="35" t="str">
        <x:v>Relational Placement</x:v>
      </x:c>
      <x:c r="I810" s="35" t="str">
        <x:v>Main held-out transfer</x:v>
      </x:c>
      <x:c r="J810" s="35" t="str">
        <x:v>PVLA-RP-TR-09</x:v>
      </x:c>
      <x:c r="K810" s="35" t="str">
        <x:v>R-CF16</x:v>
      </x:c>
      <x:c r="L810" s="31" t="str">
        <x:v>Place the red block to the left of the green pen.</x:v>
      </x:c>
      <x:c r="M810" s="31" t="str">
        <x:v>Place the red block to the left of the green pen.</x:v>
      </x:c>
      <x:c r="N810" s="31" t="str">
        <x:v>R-CF16-HELD: green pen at center [REFERENCE]; red block starts 18 cm to the right of the reference [TARGET START]; blue block and pink marker are distractors outside the commanded goal sector.</x:v>
      </x:c>
      <x:c r="O810" s="31" t="str">
        <x:v>red block → to the left of green pen</x:v>
      </x:c>
      <x:c r="P810" s="31" t="str"/>
      <x:c r="Q810" s="31" t="str"/>
      <x:c r="R810" s="31" t="str"/>
      <x:c r="S810" s="31" t="str">
        <x:f>IF('Blind Scoring'!I810="","",'Blind Scoring'!I810)</x:f>
      </x:c>
      <x:c r="T810" s="31" t="str">
        <x:f>'Blind Scoring'!J810</x:f>
        <x:v>No</x:v>
      </x:c>
      <x:c r="U810" s="31" t="str">
        <x:f>IF('Blind Scoring'!L810="","",'Blind Scoring'!L810)</x:f>
      </x:c>
    </x:row>
    <x:row r="811" ht="44" customHeight="1">
      <x:c r="A811" s="35" t="str">
        <x:v>Not Started</x:v>
      </x:c>
      <x:c r="B811" s="35" t="n">
        <x:v>809</x:v>
      </x:c>
      <x:c r="C811" s="35" t="str">
        <x:v>P14</x:v>
      </x:c>
      <x:c r="D811" s="35" t="n">
        <x:v>4</x:v>
      </x:c>
      <x:c r="E811" s="35" t="str">
        <x:v>Primary VLA</x:v>
      </x:c>
      <x:c r="F811" s="35" t="str">
        <x:v>MolmoAct2</x:v>
      </x:c>
      <x:c r="G811" s="35" t="n">
        <x:v>2</x:v>
      </x:c>
      <x:c r="H811" s="35" t="str">
        <x:v>Relational Placement</x:v>
      </x:c>
      <x:c r="I811" s="35" t="str">
        <x:v>Language ablation — blank</x:v>
      </x:c>
      <x:c r="J811" s="35" t="str">
        <x:v>PVLA-RP-ABL-BLK-01</x:v>
      </x:c>
      <x:c r="K811" s="35" t="str">
        <x:v>R-CF01</x:v>
      </x:c>
      <x:c r="L811" s="31" t="str">
        <x:v>[EMPTY STRING — provide no instruction tokens]</x:v>
      </x:c>
      <x:c r="M811" s="31" t="str">
        <x:v>Place the green pen in front of the red block.</x:v>
      </x:c>
      <x:c r="N811" s="31" t="str">
        <x:v>R-CF01-HELD: red block at center [REFERENCE]; green pen starts 18 cm behind the reference [TARGET START]; pink marker and blue block are distractors outside the commanded goal sector.</x:v>
      </x:c>
      <x:c r="O811" s="31" t="str">
        <x:v>No prespecified task success under blank language; record any action/selected target.</x:v>
      </x:c>
      <x:c r="P811" s="31" t="str"/>
      <x:c r="Q811" s="31" t="str"/>
      <x:c r="R811" s="31" t="str"/>
      <x:c r="S811" s="31" t="str">
        <x:f>IF('Blind Scoring'!I811="","",'Blind Scoring'!I811)</x:f>
      </x:c>
      <x:c r="T811" s="31" t="str">
        <x:f>'Blind Scoring'!J811</x:f>
        <x:v>No</x:v>
      </x:c>
      <x:c r="U811" s="31" t="str">
        <x:f>IF('Blind Scoring'!L811="","",'Blind Scoring'!L811)</x:f>
      </x:c>
    </x:row>
    <x:row r="812" ht="44" customHeight="1">
      <x:c r="A812" s="35" t="str">
        <x:v>Not Started</x:v>
      </x:c>
      <x:c r="B812" s="35" t="n">
        <x:v>810</x:v>
      </x:c>
      <x:c r="C812" s="35" t="str">
        <x:v>P14</x:v>
      </x:c>
      <x:c r="D812" s="35" t="n">
        <x:v>5</x:v>
      </x:c>
      <x:c r="E812" s="35" t="str">
        <x:v>Primary VLA</x:v>
      </x:c>
      <x:c r="F812" s="35" t="str">
        <x:v>MolmoAct2</x:v>
      </x:c>
      <x:c r="G812" s="35" t="n">
        <x:v>2</x:v>
      </x:c>
      <x:c r="H812" s="35" t="str">
        <x:v>Relational Placement</x:v>
      </x:c>
      <x:c r="I812" s="35" t="str">
        <x:v>Exact-scene paraphrase</x:v>
      </x:c>
      <x:c r="J812" s="35" t="str">
        <x:v>PVLA-RP-PAR-08</x:v>
      </x:c>
      <x:c r="K812" s="35" t="str"/>
      <x:c r="L812" s="31" t="str">
        <x:v>Move the red block to the side of the pink marker facing the robot.</x:v>
      </x:c>
      <x:c r="M812" s="31" t="str">
        <x:v>Move the red block to the side of the pink marker facing the robot.</x:v>
      </x:c>
      <x:c r="N812" s="31" t="str">
        <x:v>R-P01: pink marker at center [REFERENCE]; red block starts 21 cm behind the reference [TARGET START]; remaining objects are distractors with ≥12 cm clearance from the target path and commanded goal sector.</x:v>
      </x:c>
      <x:c r="O812" s="31" t="str">
        <x:v>red block</x:v>
      </x:c>
      <x:c r="P812" s="31" t="str"/>
      <x:c r="Q812" s="31" t="str"/>
      <x:c r="R812" s="31" t="str"/>
      <x:c r="S812" s="31" t="str">
        <x:f>IF('Blind Scoring'!I812="","",'Blind Scoring'!I812)</x:f>
      </x:c>
      <x:c r="T812" s="31" t="str">
        <x:f>'Blind Scoring'!J812</x:f>
        <x:v>No</x:v>
      </x:c>
      <x:c r="U812" s="31" t="str">
        <x:f>IF('Blind Scoring'!L812="","",'Blind Scoring'!L812)</x:f>
      </x:c>
    </x:row>
    <x:row r="813" ht="44" customHeight="1">
      <x:c r="A813" s="35" t="str">
        <x:v>Not Started</x:v>
      </x:c>
      <x:c r="B813" s="35" t="n">
        <x:v>811</x:v>
      </x:c>
      <x:c r="C813" s="35" t="str">
        <x:v>P14</x:v>
      </x:c>
      <x:c r="D813" s="35" t="n">
        <x:v>6</x:v>
      </x:c>
      <x:c r="E813" s="35" t="str">
        <x:v>Primary VLA</x:v>
      </x:c>
      <x:c r="F813" s="35" t="str">
        <x:v>MolmoAct2</x:v>
      </x:c>
      <x:c r="G813" s="35" t="n">
        <x:v>2</x:v>
      </x:c>
      <x:c r="H813" s="35" t="str">
        <x:v>Relational Placement</x:v>
      </x:c>
      <x:c r="I813" s="35" t="str">
        <x:v>Novel layout + seen language</x:v>
      </x:c>
      <x:c r="J813" s="35" t="str">
        <x:v>PVLA-RP-NOV-01</x:v>
      </x:c>
      <x:c r="K813" s="35" t="str"/>
      <x:c r="L813" s="31" t="str">
        <x:v>Place the blue block in front of the green pen.</x:v>
      </x:c>
      <x:c r="M813" s="31" t="str">
        <x:v>Place the blue block in front of the green pen.</x:v>
      </x:c>
      <x:c r="N813" s="31" t="str">
        <x:v>R-S01: green pen at center [REFERENCE]; blue block starts 24 cm behind the reference [TARGET START]; remaining objects are distractors with ≥12 cm clearance from the target path and commanded goal sector.</x:v>
      </x:c>
      <x:c r="O813" s="31" t="str">
        <x:v>blue block</x:v>
      </x:c>
      <x:c r="P813" s="31" t="str"/>
      <x:c r="Q813" s="31" t="str"/>
      <x:c r="R813" s="31" t="str"/>
      <x:c r="S813" s="31" t="str">
        <x:f>IF('Blind Scoring'!I813="","",'Blind Scoring'!I813)</x:f>
      </x:c>
      <x:c r="T813" s="31" t="str">
        <x:f>'Blind Scoring'!J813</x:f>
        <x:v>No</x:v>
      </x:c>
      <x:c r="U813" s="31" t="str">
        <x:f>IF('Blind Scoring'!L813="","",'Blind Scoring'!L813)</x:f>
      </x:c>
    </x:row>
    <x:row r="814" ht="44" customHeight="1">
      <x:c r="A814" s="35" t="str">
        <x:v>Not Started</x:v>
      </x:c>
      <x:c r="B814" s="35" t="n">
        <x:v>812</x:v>
      </x:c>
      <x:c r="C814" s="35" t="str">
        <x:v>P14</x:v>
      </x:c>
      <x:c r="D814" s="35" t="n">
        <x:v>7</x:v>
      </x:c>
      <x:c r="E814" s="35" t="str">
        <x:v>Primary VLA</x:v>
      </x:c>
      <x:c r="F814" s="35" t="str">
        <x:v>MolmoAct2</x:v>
      </x:c>
      <x:c r="G814" s="35" t="n">
        <x:v>2</x:v>
      </x:c>
      <x:c r="H814" s="35" t="str">
        <x:v>Relational Placement</x:v>
      </x:c>
      <x:c r="I814" s="35" t="str">
        <x:v>Exact-scene paraphrase</x:v>
      </x:c>
      <x:c r="J814" s="35" t="str">
        <x:v>PVLA-RP-PAR-06</x:v>
      </x:c>
      <x:c r="K814" s="35" t="str"/>
      <x:c r="L814" s="31" t="str">
        <x:v>Move the red block to the side of the pink marker facing the robot.</x:v>
      </x:c>
      <x:c r="M814" s="31" t="str">
        <x:v>Move the red block to the side of the pink marker facing the robot.</x:v>
      </x:c>
      <x:c r="N814" s="31" t="str">
        <x:v>R-P01: pink marker at center [REFERENCE]; red block starts 21 cm behind the reference [TARGET START]; remaining objects are distractors with ≥12 cm clearance from the target path and commanded goal sector.</x:v>
      </x:c>
      <x:c r="O814" s="31" t="str">
        <x:v>red block</x:v>
      </x:c>
      <x:c r="P814" s="31" t="str"/>
      <x:c r="Q814" s="31" t="str"/>
      <x:c r="R814" s="31" t="str"/>
      <x:c r="S814" s="31" t="str">
        <x:f>IF('Blind Scoring'!I814="","",'Blind Scoring'!I814)</x:f>
      </x:c>
      <x:c r="T814" s="31" t="str">
        <x:f>'Blind Scoring'!J814</x:f>
        <x:v>No</x:v>
      </x:c>
      <x:c r="U814" s="31" t="str">
        <x:f>IF('Blind Scoring'!L814="","",'Blind Scoring'!L814)</x:f>
      </x:c>
    </x:row>
    <x:row r="815" ht="44" customHeight="1">
      <x:c r="A815" s="35" t="str">
        <x:v>Not Started</x:v>
      </x:c>
      <x:c r="B815" s="35" t="n">
        <x:v>813</x:v>
      </x:c>
      <x:c r="C815" s="35" t="str">
        <x:v>P14</x:v>
      </x:c>
      <x:c r="D815" s="35" t="n">
        <x:v>8</x:v>
      </x:c>
      <x:c r="E815" s="35" t="str">
        <x:v>Primary VLA</x:v>
      </x:c>
      <x:c r="F815" s="35" t="str">
        <x:v>MolmoAct2</x:v>
      </x:c>
      <x:c r="G815" s="35" t="n">
        <x:v>2</x:v>
      </x:c>
      <x:c r="H815" s="35" t="str">
        <x:v>Relational Placement</x:v>
      </x:c>
      <x:c r="I815" s="35" t="str">
        <x:v>Main matched control</x:v>
      </x:c>
      <x:c r="J815" s="35" t="str">
        <x:v>PVLA-RP-CTL-01</x:v>
      </x:c>
      <x:c r="K815" s="35" t="str">
        <x:v>R-CF01</x:v>
      </x:c>
      <x:c r="L815" s="31" t="str">
        <x:v>Place the green pen near the red block.</x:v>
      </x:c>
      <x:c r="M815" s="31" t="str">
        <x:v>Place the green pen near the red block.</x:v>
      </x:c>
      <x:c r="N815" s="31" t="str">
        <x:v>R-CF01-CTRL: red block at center [REFERENCE]; green pen starts 18 cm behind the reference [TARGET START]; pink marker and blue block are distractors outside the commanded goal sector.</x:v>
      </x:c>
      <x:c r="O815" s="31" t="str">
        <x:v>green pen near red block</x:v>
      </x:c>
      <x:c r="P815" s="31" t="str"/>
      <x:c r="Q815" s="31" t="str"/>
      <x:c r="R815" s="31" t="str"/>
      <x:c r="S815" s="31" t="str">
        <x:f>IF('Blind Scoring'!I815="","",'Blind Scoring'!I815)</x:f>
      </x:c>
      <x:c r="T815" s="31" t="str">
        <x:f>'Blind Scoring'!J815</x:f>
        <x:v>No</x:v>
      </x:c>
      <x:c r="U815" s="31" t="str">
        <x:f>IF('Blind Scoring'!L815="","",'Blind Scoring'!L815)</x:f>
      </x:c>
    </x:row>
    <x:row r="816" ht="44" customHeight="1">
      <x:c r="A816" s="35" t="str">
        <x:v>Not Started</x:v>
      </x:c>
      <x:c r="B816" s="35" t="n">
        <x:v>814</x:v>
      </x:c>
      <x:c r="C816" s="35" t="str">
        <x:v>P14</x:v>
      </x:c>
      <x:c r="D816" s="35" t="n">
        <x:v>9</x:v>
      </x:c>
      <x:c r="E816" s="35" t="str">
        <x:v>Primary VLA</x:v>
      </x:c>
      <x:c r="F816" s="35" t="str">
        <x:v>MolmoAct2</x:v>
      </x:c>
      <x:c r="G816" s="35" t="n">
        <x:v>2</x:v>
      </x:c>
      <x:c r="H816" s="35" t="str">
        <x:v>Relational Placement</x:v>
      </x:c>
      <x:c r="I816" s="35" t="str">
        <x:v>Exact-scene paraphrase</x:v>
      </x:c>
      <x:c r="J816" s="35" t="str">
        <x:v>PVLA-RP-PAR-03</x:v>
      </x:c>
      <x:c r="K816" s="35" t="str"/>
      <x:c r="L816" s="31" t="str">
        <x:v>Move the red block to the side of the pink marker facing the robot.</x:v>
      </x:c>
      <x:c r="M816" s="31" t="str">
        <x:v>Move the red block to the side of the pink marker facing the robot.</x:v>
      </x:c>
      <x:c r="N816" s="31" t="str">
        <x:v>R-P01: pink marker at center [REFERENCE]; red block starts 21 cm behind the reference [TARGET START]; remaining objects are distractors with ≥12 cm clearance from the target path and commanded goal sector.</x:v>
      </x:c>
      <x:c r="O816" s="31" t="str">
        <x:v>red block</x:v>
      </x:c>
      <x:c r="P816" s="31" t="str"/>
      <x:c r="Q816" s="31" t="str"/>
      <x:c r="R816" s="31" t="str"/>
      <x:c r="S816" s="31" t="str">
        <x:f>IF('Blind Scoring'!I816="","",'Blind Scoring'!I816)</x:f>
      </x:c>
      <x:c r="T816" s="31" t="str">
        <x:f>'Blind Scoring'!J816</x:f>
        <x:v>No</x:v>
      </x:c>
      <x:c r="U816" s="31" t="str">
        <x:f>IF('Blind Scoring'!L816="","",'Blind Scoring'!L816)</x:f>
      </x:c>
    </x:row>
    <x:row r="817" ht="44" customHeight="1">
      <x:c r="A817" s="35" t="str">
        <x:v>Not Started</x:v>
      </x:c>
      <x:c r="B817" s="35" t="n">
        <x:v>815</x:v>
      </x:c>
      <x:c r="C817" s="35" t="str">
        <x:v>P14</x:v>
      </x:c>
      <x:c r="D817" s="35" t="n">
        <x:v>10</x:v>
      </x:c>
      <x:c r="E817" s="35" t="str">
        <x:v>Primary VLA</x:v>
      </x:c>
      <x:c r="F817" s="35" t="str">
        <x:v>MolmoAct2</x:v>
      </x:c>
      <x:c r="G817" s="35" t="n">
        <x:v>2</x:v>
      </x:c>
      <x:c r="H817" s="35" t="str">
        <x:v>Relational Placement</x:v>
      </x:c>
      <x:c r="I817" s="35" t="str">
        <x:v>Main held-out transfer</x:v>
      </x:c>
      <x:c r="J817" s="35" t="str">
        <x:v>PVLA-RP-TR-01</x:v>
      </x:c>
      <x:c r="K817" s="35" t="str">
        <x:v>R-CF01</x:v>
      </x:c>
      <x:c r="L817" s="31" t="str">
        <x:v>Place the green pen in front of the red block.</x:v>
      </x:c>
      <x:c r="M817" s="31" t="str">
        <x:v>Place the green pen in front of the red block.</x:v>
      </x:c>
      <x:c r="N817" s="31" t="str">
        <x:v>R-CF01-HELD: red block at center [REFERENCE]; green pen starts 18 cm behind the reference [TARGET START]; pink marker and blue block are distractors outside the commanded goal sector.</x:v>
      </x:c>
      <x:c r="O817" s="31" t="str">
        <x:v>green pen → in front of red block</x:v>
      </x:c>
      <x:c r="P817" s="31" t="str"/>
      <x:c r="Q817" s="31" t="str"/>
      <x:c r="R817" s="31" t="str"/>
      <x:c r="S817" s="31" t="str">
        <x:f>IF('Blind Scoring'!I817="","",'Blind Scoring'!I817)</x:f>
      </x:c>
      <x:c r="T817" s="31" t="str">
        <x:f>'Blind Scoring'!J817</x:f>
        <x:v>No</x:v>
      </x:c>
      <x:c r="U817" s="31" t="str">
        <x:f>IF('Blind Scoring'!L817="","",'Blind Scoring'!L817)</x:f>
      </x:c>
    </x:row>
    <x:row r="818" ht="44" customHeight="1">
      <x:c r="A818" s="35" t="str">
        <x:v>Not Started</x:v>
      </x:c>
      <x:c r="B818" s="35" t="n">
        <x:v>816</x:v>
      </x:c>
      <x:c r="C818" s="35" t="str">
        <x:v>P14</x:v>
      </x:c>
      <x:c r="D818" s="35" t="n">
        <x:v>11</x:v>
      </x:c>
      <x:c r="E818" s="35" t="str">
        <x:v>Primary VLA</x:v>
      </x:c>
      <x:c r="F818" s="35" t="str">
        <x:v>MolmoAct2</x:v>
      </x:c>
      <x:c r="G818" s="35" t="n">
        <x:v>2</x:v>
      </x:c>
      <x:c r="H818" s="35" t="str">
        <x:v>Relational Placement</x:v>
      </x:c>
      <x:c r="I818" s="35" t="str">
        <x:v>Novel layout + seen language</x:v>
      </x:c>
      <x:c r="J818" s="35" t="str">
        <x:v>PVLA-RP-NOV-04</x:v>
      </x:c>
      <x:c r="K818" s="35" t="str"/>
      <x:c r="L818" s="31" t="str">
        <x:v>Place the green pen in front of the pink marker.</x:v>
      </x:c>
      <x:c r="M818" s="31" t="str">
        <x:v>Place the green pen in front of the pink marker.</x:v>
      </x:c>
      <x:c r="N818" s="31" t="str">
        <x:v>R-S09: pink marker at center [REFERENCE]; green pen starts 21 cm behind the reference [TARGET START]; remaining objects are distractors with ≥12 cm clearance from the target path and commanded goal sector.</x:v>
      </x:c>
      <x:c r="O818" s="31" t="str">
        <x:v>green pen</x:v>
      </x:c>
      <x:c r="P818" s="31" t="str"/>
      <x:c r="Q818" s="31" t="str"/>
      <x:c r="R818" s="31" t="str"/>
      <x:c r="S818" s="31" t="str">
        <x:f>IF('Blind Scoring'!I818="","",'Blind Scoring'!I818)</x:f>
      </x:c>
      <x:c r="T818" s="31" t="str">
        <x:f>'Blind Scoring'!J818</x:f>
        <x:v>No</x:v>
      </x:c>
      <x:c r="U818" s="31" t="str">
        <x:f>IF('Blind Scoring'!L818="","",'Blind Scoring'!L818)</x:f>
      </x:c>
    </x:row>
    <x:row r="819" ht="44" customHeight="1">
      <x:c r="A819" s="35" t="str">
        <x:v>Not Started</x:v>
      </x:c>
      <x:c r="B819" s="35" t="n">
        <x:v>817</x:v>
      </x:c>
      <x:c r="C819" s="35" t="str">
        <x:v>P14</x:v>
      </x:c>
      <x:c r="D819" s="35" t="n">
        <x:v>12</x:v>
      </x:c>
      <x:c r="E819" s="35" t="str">
        <x:v>Primary VLA</x:v>
      </x:c>
      <x:c r="F819" s="35" t="str">
        <x:v>MolmoAct2</x:v>
      </x:c>
      <x:c r="G819" s="35" t="n">
        <x:v>2</x:v>
      </x:c>
      <x:c r="H819" s="35" t="str">
        <x:v>Relational Placement</x:v>
      </x:c>
      <x:c r="I819" s="35" t="str">
        <x:v>Main held-out transfer</x:v>
      </x:c>
      <x:c r="J819" s="35" t="str">
        <x:v>PVLA-RP-TR-10</x:v>
      </x:c>
      <x:c r="K819" s="35" t="str">
        <x:v>R-CF18</x:v>
      </x:c>
      <x:c r="L819" s="31" t="str">
        <x:v>Place the red block behind the green pen.</x:v>
      </x:c>
      <x:c r="M819" s="31" t="str">
        <x:v>Place the red block behind the green pen.</x:v>
      </x:c>
      <x:c r="N819" s="31" t="str">
        <x:v>R-CF18-HELD: green pen at back-right [REFERENCE]; red block starts 24 cm in front of the reference [TARGET START]; blue block and pink marker are distractors outside the commanded goal sector.</x:v>
      </x:c>
      <x:c r="O819" s="31" t="str">
        <x:v>red block → behind green pen</x:v>
      </x:c>
      <x:c r="P819" s="31" t="str"/>
      <x:c r="Q819" s="31" t="str"/>
      <x:c r="R819" s="31" t="str"/>
      <x:c r="S819" s="31" t="str">
        <x:f>IF('Blind Scoring'!I819="","",'Blind Scoring'!I819)</x:f>
      </x:c>
      <x:c r="T819" s="31" t="str">
        <x:f>'Blind Scoring'!J819</x:f>
        <x:v>No</x:v>
      </x:c>
      <x:c r="U819" s="31" t="str">
        <x:f>IF('Blind Scoring'!L819="","",'Blind Scoring'!L819)</x:f>
      </x:c>
    </x:row>
    <x:row r="820" ht="44" customHeight="1">
      <x:c r="A820" s="35" t="str">
        <x:v>Not Started</x:v>
      </x:c>
      <x:c r="B820" s="35" t="n">
        <x:v>818</x:v>
      </x:c>
      <x:c r="C820" s="35" t="str">
        <x:v>P14</x:v>
      </x:c>
      <x:c r="D820" s="35" t="n">
        <x:v>13</x:v>
      </x:c>
      <x:c r="E820" s="35" t="str">
        <x:v>Primary VLA</x:v>
      </x:c>
      <x:c r="F820" s="35" t="str">
        <x:v>MolmoAct2</x:v>
      </x:c>
      <x:c r="G820" s="35" t="n">
        <x:v>2</x:v>
      </x:c>
      <x:c r="H820" s="35" t="str">
        <x:v>Relational Placement</x:v>
      </x:c>
      <x:c r="I820" s="35" t="str">
        <x:v>Novel layout + seen language</x:v>
      </x:c>
      <x:c r="J820" s="35" t="str">
        <x:v>PVLA-RP-NOV-06</x:v>
      </x:c>
      <x:c r="K820" s="35" t="str"/>
      <x:c r="L820" s="31" t="str">
        <x:v>Place the red block to the left of the blue block.</x:v>
      </x:c>
      <x:c r="M820" s="31" t="str">
        <x:v>Place the red block to the left of the blue block.</x:v>
      </x:c>
      <x:c r="N820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820" s="31" t="str">
        <x:v>red block</x:v>
      </x:c>
      <x:c r="P820" s="31" t="str"/>
      <x:c r="Q820" s="31" t="str"/>
      <x:c r="R820" s="31" t="str"/>
      <x:c r="S820" s="31" t="str">
        <x:f>IF('Blind Scoring'!I820="","",'Blind Scoring'!I820)</x:f>
      </x:c>
      <x:c r="T820" s="31" t="str">
        <x:f>'Blind Scoring'!J820</x:f>
        <x:v>No</x:v>
      </x:c>
      <x:c r="U820" s="31" t="str">
        <x:f>IF('Blind Scoring'!L820="","",'Blind Scoring'!L820)</x:f>
      </x:c>
    </x:row>
    <x:row r="821" ht="44" customHeight="1">
      <x:c r="A821" s="35" t="str">
        <x:v>Not Started</x:v>
      </x:c>
      <x:c r="B821" s="35" t="n">
        <x:v>819</x:v>
      </x:c>
      <x:c r="C821" s="35" t="str">
        <x:v>P14</x:v>
      </x:c>
      <x:c r="D821" s="35" t="n">
        <x:v>14</x:v>
      </x:c>
      <x:c r="E821" s="35" t="str">
        <x:v>Primary VLA</x:v>
      </x:c>
      <x:c r="F821" s="35" t="str">
        <x:v>MolmoAct2</x:v>
      </x:c>
      <x:c r="G821" s="35" t="n">
        <x:v>2</x:v>
      </x:c>
      <x:c r="H821" s="35" t="str">
        <x:v>Relational Placement</x:v>
      </x:c>
      <x:c r="I821" s="35" t="str">
        <x:v>Training reconstruction</x:v>
      </x:c>
      <x:c r="J821" s="35" t="str">
        <x:v>PVLA-RP-REC-06</x:v>
      </x:c>
      <x:c r="K821" s="35" t="str"/>
      <x:c r="L821" s="31" t="str">
        <x:v>Place the green pen to the right of the pink marker.</x:v>
      </x:c>
      <x:c r="M821" s="31" t="str">
        <x:v>Place the green pen to the right of the pink marker.</x:v>
      </x:c>
      <x:c r="N821" s="31" t="str">
        <x:v>Reconstruct planned final training episode 243: green pen, pink marker, red block; start=Home. Match camera, calibration, bowl pose, and object geometry exactly.</x:v>
      </x:c>
      <x:c r="O821" s="31" t="str">
        <x:v>green pen</x:v>
      </x:c>
      <x:c r="P821" s="31" t="str"/>
      <x:c r="Q821" s="31" t="str"/>
      <x:c r="R821" s="31" t="str"/>
      <x:c r="S821" s="31" t="str">
        <x:f>IF('Blind Scoring'!I821="","",'Blind Scoring'!I821)</x:f>
      </x:c>
      <x:c r="T821" s="31" t="str">
        <x:f>'Blind Scoring'!J821</x:f>
        <x:v>No</x:v>
      </x:c>
      <x:c r="U821" s="31" t="str">
        <x:f>IF('Blind Scoring'!L821="","",'Blind Scoring'!L821)</x:f>
      </x:c>
    </x:row>
    <x:row r="822" ht="44" customHeight="1">
      <x:c r="A822" s="35" t="str">
        <x:v>Not Started</x:v>
      </x:c>
      <x:c r="B822" s="35" t="n">
        <x:v>820</x:v>
      </x:c>
      <x:c r="C822" s="35" t="str">
        <x:v>P14</x:v>
      </x:c>
      <x:c r="D822" s="35" t="n">
        <x:v>15</x:v>
      </x:c>
      <x:c r="E822" s="35" t="str">
        <x:v>Primary VLA</x:v>
      </x:c>
      <x:c r="F822" s="35" t="str">
        <x:v>MolmoAct2</x:v>
      </x:c>
      <x:c r="G822" s="35" t="n">
        <x:v>2</x:v>
      </x:c>
      <x:c r="H822" s="35" t="str">
        <x:v>Relational Placement</x:v>
      </x:c>
      <x:c r="I822" s="35" t="str">
        <x:v>Main held-out transfer</x:v>
      </x:c>
      <x:c r="J822" s="35" t="str">
        <x:v>PVLA-RP-TR-12</x:v>
      </x:c>
      <x:c r="K822" s="35" t="str">
        <x:v>R-CF22</x:v>
      </x:c>
      <x:c r="L822" s="31" t="str">
        <x:v>Place the red block to the right of the green pen.</x:v>
      </x:c>
      <x:c r="M822" s="31" t="str">
        <x:v>Place the red block to the right of the green pen.</x:v>
      </x:c>
      <x:c r="N822" s="31" t="str">
        <x:v>R-CF22-HELD: green pen at back-left [REFERENCE]; red block starts 18 cm to the left of the reference [TARGET START]; blue block and pink marker are distractors outside the commanded goal sector.</x:v>
      </x:c>
      <x:c r="O822" s="31" t="str">
        <x:v>red block → to the right of green pen</x:v>
      </x:c>
      <x:c r="P822" s="31" t="str"/>
      <x:c r="Q822" s="31" t="str"/>
      <x:c r="R822" s="31" t="str"/>
      <x:c r="S822" s="31" t="str">
        <x:f>IF('Blind Scoring'!I822="","",'Blind Scoring'!I822)</x:f>
      </x:c>
      <x:c r="T822" s="31" t="str">
        <x:f>'Blind Scoring'!J822</x:f>
        <x:v>No</x:v>
      </x:c>
      <x:c r="U822" s="31" t="str">
        <x:f>IF('Blind Scoring'!L822="","",'Blind Scoring'!L822)</x:f>
      </x:c>
    </x:row>
    <x:row r="823" ht="44" customHeight="1">
      <x:c r="A823" s="35" t="str">
        <x:v>Not Started</x:v>
      </x:c>
      <x:c r="B823" s="35" t="n">
        <x:v>821</x:v>
      </x:c>
      <x:c r="C823" s="35" t="str">
        <x:v>P14</x:v>
      </x:c>
      <x:c r="D823" s="35" t="n">
        <x:v>16</x:v>
      </x:c>
      <x:c r="E823" s="35" t="str">
        <x:v>Primary VLA</x:v>
      </x:c>
      <x:c r="F823" s="35" t="str">
        <x:v>MolmoAct2</x:v>
      </x:c>
      <x:c r="G823" s="35" t="n">
        <x:v>2</x:v>
      </x:c>
      <x:c r="H823" s="35" t="str">
        <x:v>Relational Placement</x:v>
      </x:c>
      <x:c r="I823" s="35" t="str">
        <x:v>Language ablation — blank</x:v>
      </x:c>
      <x:c r="J823" s="35" t="str">
        <x:v>PVLA-RP-ABL-BLK-03</x:v>
      </x:c>
      <x:c r="K823" s="35" t="str">
        <x:v>R-CF05</x:v>
      </x:c>
      <x:c r="L823" s="31" t="str">
        <x:v>[EMPTY STRING — provide no instruction tokens]</x:v>
      </x:c>
      <x:c r="M823" s="31" t="str">
        <x:v>Place the green pen to the left of the red block.</x:v>
      </x:c>
      <x:c r="N823" s="31" t="str">
        <x:v>R-CF05-HELD: red block at front-right [REFERENCE]; green pen starts 21 cm to the right of the reference [TARGET START]; pink marker and blue block are distractors outside the commanded goal sector.</x:v>
      </x:c>
      <x:c r="O823" s="31" t="str">
        <x:v>No prespecified task success under blank language; record any action/selected target.</x:v>
      </x:c>
      <x:c r="P823" s="31" t="str"/>
      <x:c r="Q823" s="31" t="str"/>
      <x:c r="R823" s="31" t="str"/>
      <x:c r="S823" s="31" t="str">
        <x:f>IF('Blind Scoring'!I823="","",'Blind Scoring'!I823)</x:f>
      </x:c>
      <x:c r="T823" s="31" t="str">
        <x:f>'Blind Scoring'!J823</x:f>
        <x:v>No</x:v>
      </x:c>
      <x:c r="U823" s="31" t="str">
        <x:f>IF('Blind Scoring'!L823="","",'Blind Scoring'!L823)</x:f>
      </x:c>
    </x:row>
    <x:row r="824" ht="44" customHeight="1">
      <x:c r="A824" s="35" t="str">
        <x:v>Not Started</x:v>
      </x:c>
      <x:c r="B824" s="35" t="n">
        <x:v>822</x:v>
      </x:c>
      <x:c r="C824" s="35" t="str">
        <x:v>P14</x:v>
      </x:c>
      <x:c r="D824" s="35" t="n">
        <x:v>17</x:v>
      </x:c>
      <x:c r="E824" s="35" t="str">
        <x:v>Primary VLA</x:v>
      </x:c>
      <x:c r="F824" s="35" t="str">
        <x:v>MolmoAct2</x:v>
      </x:c>
      <x:c r="G824" s="35" t="n">
        <x:v>2</x:v>
      </x:c>
      <x:c r="H824" s="35" t="str">
        <x:v>Relational Placement</x:v>
      </x:c>
      <x:c r="I824" s="35" t="str">
        <x:v>Main matched control</x:v>
      </x:c>
      <x:c r="J824" s="35" t="str">
        <x:v>PVLA-RP-CTL-12</x:v>
      </x:c>
      <x:c r="K824" s="35" t="str">
        <x:v>R-CF22</x:v>
      </x:c>
      <x:c r="L824" s="31" t="str">
        <x:v>Place the red block near the green pen.</x:v>
      </x:c>
      <x:c r="M824" s="31" t="str">
        <x:v>Place the red block near the green pen.</x:v>
      </x:c>
      <x:c r="N824" s="31" t="str">
        <x:v>R-CF22-CTRL: green pen at back-left [REFERENCE]; red block starts 18 cm to the left of the reference [TARGET START]; blue block and pink marker are distractors outside the commanded goal sector.</x:v>
      </x:c>
      <x:c r="O824" s="31" t="str">
        <x:v>red block near green pen</x:v>
      </x:c>
      <x:c r="P824" s="31" t="str"/>
      <x:c r="Q824" s="31" t="str"/>
      <x:c r="R824" s="31" t="str"/>
      <x:c r="S824" s="31" t="str">
        <x:f>IF('Blind Scoring'!I824="","",'Blind Scoring'!I824)</x:f>
      </x:c>
      <x:c r="T824" s="31" t="str">
        <x:f>'Blind Scoring'!J824</x:f>
        <x:v>No</x:v>
      </x:c>
      <x:c r="U824" s="31" t="str">
        <x:f>IF('Blind Scoring'!L824="","",'Blind Scoring'!L824)</x:f>
      </x:c>
    </x:row>
    <x:row r="825" ht="44" customHeight="1">
      <x:c r="A825" s="35" t="str">
        <x:v>Not Started</x:v>
      </x:c>
      <x:c r="B825" s="35" t="n">
        <x:v>823</x:v>
      </x:c>
      <x:c r="C825" s="35" t="str">
        <x:v>P14</x:v>
      </x:c>
      <x:c r="D825" s="35" t="n">
        <x:v>18</x:v>
      </x:c>
      <x:c r="E825" s="35" t="str">
        <x:v>Primary VLA</x:v>
      </x:c>
      <x:c r="F825" s="35" t="str">
        <x:v>MolmoAct2</x:v>
      </x:c>
      <x:c r="G825" s="35" t="n">
        <x:v>2</x:v>
      </x:c>
      <x:c r="H825" s="35" t="str">
        <x:v>Relational Placement</x:v>
      </x:c>
      <x:c r="I825" s="35" t="str">
        <x:v>Exact-scene paraphrase</x:v>
      </x:c>
      <x:c r="J825" s="35" t="str">
        <x:v>PVLA-RP-PAR-04</x:v>
      </x:c>
      <x:c r="K825" s="35" t="str"/>
      <x:c r="L825" s="31" t="str">
        <x:v>Move the red block to the side of the pink marker facing the robot.</x:v>
      </x:c>
      <x:c r="M825" s="31" t="str">
        <x:v>Move the red block to the side of the pink marker facing the robot.</x:v>
      </x:c>
      <x:c r="N825" s="31" t="str">
        <x:v>R-P01: pink marker at center [REFERENCE]; red block starts 21 cm behind the reference [TARGET START]; remaining objects are distractors with ≥12 cm clearance from the target path and commanded goal sector.</x:v>
      </x:c>
      <x:c r="O825" s="31" t="str">
        <x:v>red block</x:v>
      </x:c>
      <x:c r="P825" s="31" t="str"/>
      <x:c r="Q825" s="31" t="str"/>
      <x:c r="R825" s="31" t="str"/>
      <x:c r="S825" s="31" t="str">
        <x:f>IF('Blind Scoring'!I825="","",'Blind Scoring'!I825)</x:f>
      </x:c>
      <x:c r="T825" s="31" t="str">
        <x:f>'Blind Scoring'!J825</x:f>
        <x:v>No</x:v>
      </x:c>
      <x:c r="U825" s="31" t="str">
        <x:f>IF('Blind Scoring'!L825="","",'Blind Scoring'!L825)</x:f>
      </x:c>
    </x:row>
    <x:row r="826" ht="44" customHeight="1">
      <x:c r="A826" s="35" t="str">
        <x:v>Not Started</x:v>
      </x:c>
      <x:c r="B826" s="35" t="n">
        <x:v>824</x:v>
      </x:c>
      <x:c r="C826" s="35" t="str">
        <x:v>P14</x:v>
      </x:c>
      <x:c r="D826" s="35" t="n">
        <x:v>19</x:v>
      </x:c>
      <x:c r="E826" s="35" t="str">
        <x:v>Primary VLA</x:v>
      </x:c>
      <x:c r="F826" s="35" t="str">
        <x:v>MolmoAct2</x:v>
      </x:c>
      <x:c r="G826" s="35" t="n">
        <x:v>2</x:v>
      </x:c>
      <x:c r="H826" s="35" t="str">
        <x:v>Relational Placement</x:v>
      </x:c>
      <x:c r="I826" s="35" t="str">
        <x:v>Main held-out transfer</x:v>
      </x:c>
      <x:c r="J826" s="35" t="str">
        <x:v>PVLA-RP-TR-13</x:v>
      </x:c>
      <x:c r="K826" s="35" t="str">
        <x:v>R-CF24</x:v>
      </x:c>
      <x:c r="L826" s="31" t="str">
        <x:v>Place the red block to the left of the green pen.</x:v>
      </x:c>
      <x:c r="M826" s="31" t="str">
        <x:v>Place the red block to the left of the green pen.</x:v>
      </x:c>
      <x:c r="N826" s="31" t="str">
        <x:v>R-CF24-HELD: green pen at front-left [REFERENCE]; red block starts 24 cm to the right of the reference [TARGET START]; blue block and pink marker are distractors outside the commanded goal sector.</x:v>
      </x:c>
      <x:c r="O826" s="31" t="str">
        <x:v>red block → to the left of green pen</x:v>
      </x:c>
      <x:c r="P826" s="31" t="str"/>
      <x:c r="Q826" s="31" t="str"/>
      <x:c r="R826" s="31" t="str"/>
      <x:c r="S826" s="31" t="str">
        <x:f>IF('Blind Scoring'!I826="","",'Blind Scoring'!I826)</x:f>
      </x:c>
      <x:c r="T826" s="31" t="str">
        <x:f>'Blind Scoring'!J826</x:f>
        <x:v>No</x:v>
      </x:c>
      <x:c r="U826" s="31" t="str">
        <x:f>IF('Blind Scoring'!L826="","",'Blind Scoring'!L826)</x:f>
      </x:c>
    </x:row>
    <x:row r="827" ht="44" customHeight="1">
      <x:c r="A827" s="35" t="str">
        <x:v>Not Started</x:v>
      </x:c>
      <x:c r="B827" s="35" t="n">
        <x:v>825</x:v>
      </x:c>
      <x:c r="C827" s="35" t="str">
        <x:v>P14</x:v>
      </x:c>
      <x:c r="D827" s="35" t="n">
        <x:v>20</x:v>
      </x:c>
      <x:c r="E827" s="35" t="str">
        <x:v>Primary VLA</x:v>
      </x:c>
      <x:c r="F827" s="35" t="str">
        <x:v>MolmoAct2</x:v>
      </x:c>
      <x:c r="G827" s="35" t="n">
        <x:v>2</x:v>
      </x:c>
      <x:c r="H827" s="35" t="str">
        <x:v>Relational Placement</x:v>
      </x:c>
      <x:c r="I827" s="35" t="str">
        <x:v>Main matched control</x:v>
      </x:c>
      <x:c r="J827" s="35" t="str">
        <x:v>PVLA-RP-CTL-06</x:v>
      </x:c>
      <x:c r="K827" s="35" t="str">
        <x:v>R-CF11</x:v>
      </x:c>
      <x:c r="L827" s="31" t="str">
        <x:v>Place the green pen next to the red block.</x:v>
      </x:c>
      <x:c r="M827" s="31" t="str">
        <x:v>Place the green pen next to the red block.</x:v>
      </x:c>
      <x:c r="N827" s="31" t="str">
        <x:v>R-CF11-CTRL: red block at center [REFERENCE]; green pen starts 21 cm to the left of the reference [TARGET START]; pink marker and blue block are distractors outside the commanded goal sector.</x:v>
      </x:c>
      <x:c r="O827" s="31" t="str">
        <x:v>green pen near red block</x:v>
      </x:c>
      <x:c r="P827" s="31" t="str"/>
      <x:c r="Q827" s="31" t="str"/>
      <x:c r="R827" s="31" t="str"/>
      <x:c r="S827" s="31" t="str">
        <x:f>IF('Blind Scoring'!I827="","",'Blind Scoring'!I827)</x:f>
      </x:c>
      <x:c r="T827" s="31" t="str">
        <x:f>'Blind Scoring'!J827</x:f>
        <x:v>No</x:v>
      </x:c>
      <x:c r="U827" s="31" t="str">
        <x:f>IF('Blind Scoring'!L827="","",'Blind Scoring'!L827)</x:f>
      </x:c>
    </x:row>
    <x:row r="828" ht="44" customHeight="1">
      <x:c r="A828" s="35" t="str">
        <x:v>Not Started</x:v>
      </x:c>
      <x:c r="B828" s="35" t="n">
        <x:v>826</x:v>
      </x:c>
      <x:c r="C828" s="35" t="str">
        <x:v>P14</x:v>
      </x:c>
      <x:c r="D828" s="35" t="n">
        <x:v>21</x:v>
      </x:c>
      <x:c r="E828" s="35" t="str">
        <x:v>Primary VLA</x:v>
      </x:c>
      <x:c r="F828" s="35" t="str">
        <x:v>MolmoAct2</x:v>
      </x:c>
      <x:c r="G828" s="35" t="n">
        <x:v>2</x:v>
      </x:c>
      <x:c r="H828" s="35" t="str">
        <x:v>Relational Placement</x:v>
      </x:c>
      <x:c r="I828" s="35" t="str">
        <x:v>Main matched control</x:v>
      </x:c>
      <x:c r="J828" s="35" t="str">
        <x:v>PVLA-RP-CTL-05</x:v>
      </x:c>
      <x:c r="K828" s="35" t="str">
        <x:v>R-CF09</x:v>
      </x:c>
      <x:c r="L828" s="31" t="str">
        <x:v>Place the green pen beside the red block.</x:v>
      </x:c>
      <x:c r="M828" s="31" t="str">
        <x:v>Place the green pen beside the red block.</x:v>
      </x:c>
      <x:c r="N828" s="31" t="str">
        <x:v>R-CF09-CTRL: red block at front-left [REFERENCE]; green pen starts 24 cm behind the reference [TARGET START]; pink marker and blue block are distractors outside the commanded goal sector.</x:v>
      </x:c>
      <x:c r="O828" s="31" t="str">
        <x:v>green pen near red block</x:v>
      </x:c>
      <x:c r="P828" s="31" t="str"/>
      <x:c r="Q828" s="31" t="str"/>
      <x:c r="R828" s="31" t="str"/>
      <x:c r="S828" s="31" t="str">
        <x:f>IF('Blind Scoring'!I828="","",'Blind Scoring'!I828)</x:f>
      </x:c>
      <x:c r="T828" s="31" t="str">
        <x:f>'Blind Scoring'!J828</x:f>
        <x:v>No</x:v>
      </x:c>
      <x:c r="U828" s="31" t="str">
        <x:f>IF('Blind Scoring'!L828="","",'Blind Scoring'!L828)</x:f>
      </x:c>
    </x:row>
    <x:row r="829" ht="44" customHeight="1">
      <x:c r="A829" s="35" t="str">
        <x:v>Not Started</x:v>
      </x:c>
      <x:c r="B829" s="35" t="n">
        <x:v>827</x:v>
      </x:c>
      <x:c r="C829" s="35" t="str">
        <x:v>P14</x:v>
      </x:c>
      <x:c r="D829" s="35" t="n">
        <x:v>22</x:v>
      </x:c>
      <x:c r="E829" s="35" t="str">
        <x:v>Primary VLA</x:v>
      </x:c>
      <x:c r="F829" s="35" t="str">
        <x:v>MolmoAct2</x:v>
      </x:c>
      <x:c r="G829" s="35" t="n">
        <x:v>2</x:v>
      </x:c>
      <x:c r="H829" s="35" t="str">
        <x:v>Relational Placement</x:v>
      </x:c>
      <x:c r="I829" s="35" t="str">
        <x:v>Main held-out transfer</x:v>
      </x:c>
      <x:c r="J829" s="35" t="str">
        <x:v>PVLA-RP-TR-11</x:v>
      </x:c>
      <x:c r="K829" s="35" t="str">
        <x:v>R-CF20</x:v>
      </x:c>
      <x:c r="L829" s="31" t="str">
        <x:v>Place the red block in front of the green pen.</x:v>
      </x:c>
      <x:c r="M829" s="31" t="str">
        <x:v>Place the red block in front of the green pen.</x:v>
      </x:c>
      <x:c r="N829" s="31" t="str">
        <x:v>R-CF20-HELD: green pen at front-right [REFERENCE]; red block starts 21 cm behind the reference [TARGET START]; blue block and pink marker are distractors outside the commanded goal sector.</x:v>
      </x:c>
      <x:c r="O829" s="31" t="str">
        <x:v>red block → in front of green pen</x:v>
      </x:c>
      <x:c r="P829" s="31" t="str"/>
      <x:c r="Q829" s="31" t="str"/>
      <x:c r="R829" s="31" t="str"/>
      <x:c r="S829" s="31" t="str">
        <x:f>IF('Blind Scoring'!I829="","",'Blind Scoring'!I829)</x:f>
      </x:c>
      <x:c r="T829" s="31" t="str">
        <x:f>'Blind Scoring'!J829</x:f>
        <x:v>No</x:v>
      </x:c>
      <x:c r="U829" s="31" t="str">
        <x:f>IF('Blind Scoring'!L829="","",'Blind Scoring'!L829)</x:f>
      </x:c>
    </x:row>
    <x:row r="830" ht="44" customHeight="1">
      <x:c r="A830" s="35" t="str">
        <x:v>Not Started</x:v>
      </x:c>
      <x:c r="B830" s="35" t="n">
        <x:v>828</x:v>
      </x:c>
      <x:c r="C830" s="35" t="str">
        <x:v>P14</x:v>
      </x:c>
      <x:c r="D830" s="35" t="n">
        <x:v>23</x:v>
      </x:c>
      <x:c r="E830" s="35" t="str">
        <x:v>Primary VLA</x:v>
      </x:c>
      <x:c r="F830" s="35" t="str">
        <x:v>MolmoAct2</x:v>
      </x:c>
      <x:c r="G830" s="35" t="n">
        <x:v>2</x:v>
      </x:c>
      <x:c r="H830" s="35" t="str">
        <x:v>Relational Placement</x:v>
      </x:c>
      <x:c r="I830" s="35" t="str">
        <x:v>Main matched control</x:v>
      </x:c>
      <x:c r="J830" s="35" t="str">
        <x:v>PVLA-RP-CTL-14</x:v>
      </x:c>
      <x:c r="K830" s="35" t="str">
        <x:v>R-CF26</x:v>
      </x:c>
      <x:c r="L830" s="31" t="str">
        <x:v>Place the red block next to the green pen.</x:v>
      </x:c>
      <x:c r="M830" s="31" t="str">
        <x:v>Place the red block next to the green pen.</x:v>
      </x:c>
      <x:c r="N830" s="31" t="str">
        <x:v>R-CF26-CTRL: green pen at center [REFERENCE]; red block starts 21 cm in front of the reference [TARGET START]; blue block and pink marker are distractors outside the commanded goal sector.</x:v>
      </x:c>
      <x:c r="O830" s="31" t="str">
        <x:v>red block near green pen</x:v>
      </x:c>
      <x:c r="P830" s="31" t="str"/>
      <x:c r="Q830" s="31" t="str"/>
      <x:c r="R830" s="31" t="str"/>
      <x:c r="S830" s="31" t="str">
        <x:f>IF('Blind Scoring'!I830="","",'Blind Scoring'!I830)</x:f>
      </x:c>
      <x:c r="T830" s="31" t="str">
        <x:f>'Blind Scoring'!J830</x:f>
        <x:v>No</x:v>
      </x:c>
      <x:c r="U830" s="31" t="str">
        <x:f>IF('Blind Scoring'!L830="","",'Blind Scoring'!L830)</x:f>
      </x:c>
    </x:row>
    <x:row r="831" ht="44" customHeight="1">
      <x:c r="A831" s="35" t="str">
        <x:v>Not Started</x:v>
      </x:c>
      <x:c r="B831" s="35" t="n">
        <x:v>829</x:v>
      </x:c>
      <x:c r="C831" s="35" t="str">
        <x:v>P14</x:v>
      </x:c>
      <x:c r="D831" s="35" t="n">
        <x:v>24</x:v>
      </x:c>
      <x:c r="E831" s="35" t="str">
        <x:v>Primary VLA</x:v>
      </x:c>
      <x:c r="F831" s="35" t="str">
        <x:v>MolmoAct2</x:v>
      </x:c>
      <x:c r="G831" s="35" t="n">
        <x:v>2</x:v>
      </x:c>
      <x:c r="H831" s="35" t="str">
        <x:v>Relational Placement</x:v>
      </x:c>
      <x:c r="I831" s="35" t="str">
        <x:v>Main matched control</x:v>
      </x:c>
      <x:c r="J831" s="35" t="str">
        <x:v>PVLA-RP-CTL-10</x:v>
      </x:c>
      <x:c r="K831" s="35" t="str">
        <x:v>R-CF18</x:v>
      </x:c>
      <x:c r="L831" s="31" t="str">
        <x:v>Place the red block beside the green pen.</x:v>
      </x:c>
      <x:c r="M831" s="31" t="str">
        <x:v>Place the red block beside the green pen.</x:v>
      </x:c>
      <x:c r="N831" s="31" t="str">
        <x:v>R-CF18-CTRL: green pen at back-right [REFERENCE]; red block starts 24 cm in front of the reference [TARGET START]; blue block and pink marker are distractors outside the commanded goal sector.</x:v>
      </x:c>
      <x:c r="O831" s="31" t="str">
        <x:v>red block near green pen</x:v>
      </x:c>
      <x:c r="P831" s="31" t="str"/>
      <x:c r="Q831" s="31" t="str"/>
      <x:c r="R831" s="31" t="str"/>
      <x:c r="S831" s="31" t="str">
        <x:f>IF('Blind Scoring'!I831="","",'Blind Scoring'!I831)</x:f>
      </x:c>
      <x:c r="T831" s="31" t="str">
        <x:f>'Blind Scoring'!J831</x:f>
        <x:v>No</x:v>
      </x:c>
      <x:c r="U831" s="31" t="str">
        <x:f>IF('Blind Scoring'!L831="","",'Blind Scoring'!L831)</x:f>
      </x:c>
    </x:row>
    <x:row r="832" ht="44" customHeight="1">
      <x:c r="A832" s="35" t="str">
        <x:v>Not Started</x:v>
      </x:c>
      <x:c r="B832" s="35" t="n">
        <x:v>830</x:v>
      </x:c>
      <x:c r="C832" s="35" t="str">
        <x:v>P14</x:v>
      </x:c>
      <x:c r="D832" s="35" t="n">
        <x:v>25</x:v>
      </x:c>
      <x:c r="E832" s="35" t="str">
        <x:v>Primary VLA</x:v>
      </x:c>
      <x:c r="F832" s="35" t="str">
        <x:v>MolmoAct2</x:v>
      </x:c>
      <x:c r="G832" s="35" t="n">
        <x:v>2</x:v>
      </x:c>
      <x:c r="H832" s="35" t="str">
        <x:v>Relational Placement</x:v>
      </x:c>
      <x:c r="I832" s="35" t="str">
        <x:v>Main matched control</x:v>
      </x:c>
      <x:c r="J832" s="35" t="str">
        <x:v>PVLA-RP-CTL-03</x:v>
      </x:c>
      <x:c r="K832" s="35" t="str">
        <x:v>R-CF05</x:v>
      </x:c>
      <x:c r="L832" s="31" t="str">
        <x:v>Place the green pen next to the red block.</x:v>
      </x:c>
      <x:c r="M832" s="31" t="str">
        <x:v>Place the green pen next to the red block.</x:v>
      </x:c>
      <x:c r="N832" s="31" t="str">
        <x:v>R-CF05-CTRL: red block at front-right [REFERENCE]; green pen starts 21 cm to the right of the reference [TARGET START]; pink marker and blue block are distractors outside the commanded goal sector.</x:v>
      </x:c>
      <x:c r="O832" s="31" t="str">
        <x:v>green pen near red block</x:v>
      </x:c>
      <x:c r="P832" s="31" t="str"/>
      <x:c r="Q832" s="31" t="str"/>
      <x:c r="R832" s="31" t="str"/>
      <x:c r="S832" s="31" t="str">
        <x:f>IF('Blind Scoring'!I832="","",'Blind Scoring'!I832)</x:f>
      </x:c>
      <x:c r="T832" s="31" t="str">
        <x:f>'Blind Scoring'!J832</x:f>
        <x:v>No</x:v>
      </x:c>
      <x:c r="U832" s="31" t="str">
        <x:f>IF('Blind Scoring'!L832="","",'Blind Scoring'!L832)</x:f>
      </x:c>
    </x:row>
    <x:row r="833" ht="44" customHeight="1">
      <x:c r="A833" s="35" t="str">
        <x:v>Not Started</x:v>
      </x:c>
      <x:c r="B833" s="35" t="n">
        <x:v>831</x:v>
      </x:c>
      <x:c r="C833" s="35" t="str">
        <x:v>P14</x:v>
      </x:c>
      <x:c r="D833" s="35" t="n">
        <x:v>26</x:v>
      </x:c>
      <x:c r="E833" s="35" t="str">
        <x:v>Primary VLA</x:v>
      </x:c>
      <x:c r="F833" s="35" t="str">
        <x:v>MolmoAct2</x:v>
      </x:c>
      <x:c r="G833" s="35" t="n">
        <x:v>2</x:v>
      </x:c>
      <x:c r="H833" s="35" t="str">
        <x:v>Relational Placement</x:v>
      </x:c>
      <x:c r="I833" s="35" t="str">
        <x:v>Main matched control</x:v>
      </x:c>
      <x:c r="J833" s="35" t="str">
        <x:v>PVLA-RP-CTL-08</x:v>
      </x:c>
      <x:c r="K833" s="35" t="str">
        <x:v>R-CF15</x:v>
      </x:c>
      <x:c r="L833" s="31" t="str">
        <x:v>Place the green pen beside the red block.</x:v>
      </x:c>
      <x:c r="M833" s="31" t="str">
        <x:v>Place the green pen beside the red block.</x:v>
      </x:c>
      <x:c r="N833" s="31" t="str">
        <x:v>R-CF15-CTRL: red block at front-right [REFERENCE]; green pen starts 24 cm in front of the reference [TARGET START]; pink marker and blue block are distractors outside the commanded goal sector.</x:v>
      </x:c>
      <x:c r="O833" s="31" t="str">
        <x:v>green pen near red block</x:v>
      </x:c>
      <x:c r="P833" s="31" t="str"/>
      <x:c r="Q833" s="31" t="str"/>
      <x:c r="R833" s="31" t="str"/>
      <x:c r="S833" s="31" t="str">
        <x:f>IF('Blind Scoring'!I833="","",'Blind Scoring'!I833)</x:f>
      </x:c>
      <x:c r="T833" s="31" t="str">
        <x:f>'Blind Scoring'!J833</x:f>
        <x:v>No</x:v>
      </x:c>
      <x:c r="U833" s="31" t="str">
        <x:f>IF('Blind Scoring'!L833="","",'Blind Scoring'!L833)</x:f>
      </x:c>
    </x:row>
    <x:row r="834" ht="44" customHeight="1">
      <x:c r="A834" s="35" t="str">
        <x:v>Not Started</x:v>
      </x:c>
      <x:c r="B834" s="35" t="n">
        <x:v>832</x:v>
      </x:c>
      <x:c r="C834" s="35" t="str">
        <x:v>P14</x:v>
      </x:c>
      <x:c r="D834" s="35" t="n">
        <x:v>27</x:v>
      </x:c>
      <x:c r="E834" s="35" t="str">
        <x:v>Primary VLA</x:v>
      </x:c>
      <x:c r="F834" s="35" t="str">
        <x:v>MolmoAct2</x:v>
      </x:c>
      <x:c r="G834" s="35" t="n">
        <x:v>2</x:v>
      </x:c>
      <x:c r="H834" s="35" t="str">
        <x:v>Relational Placement</x:v>
      </x:c>
      <x:c r="I834" s="35" t="str">
        <x:v>Main matched control</x:v>
      </x:c>
      <x:c r="J834" s="35" t="str">
        <x:v>PVLA-RP-CTL-04</x:v>
      </x:c>
      <x:c r="K834" s="35" t="str">
        <x:v>R-CF07</x:v>
      </x:c>
      <x:c r="L834" s="31" t="str">
        <x:v>Place the green pen near the red block.</x:v>
      </x:c>
      <x:c r="M834" s="31" t="str">
        <x:v>Place the green pen near the red block.</x:v>
      </x:c>
      <x:c r="N834" s="31" t="str">
        <x:v>R-CF07-CTRL: red block at back-left [REFERENCE]; green pen starts 18 cm in front of the reference [TARGET START]; pink marker and blue block are distractors outside the commanded goal sector.</x:v>
      </x:c>
      <x:c r="O834" s="31" t="str">
        <x:v>green pen near red block</x:v>
      </x:c>
      <x:c r="P834" s="31" t="str"/>
      <x:c r="Q834" s="31" t="str"/>
      <x:c r="R834" s="31" t="str"/>
      <x:c r="S834" s="31" t="str">
        <x:f>IF('Blind Scoring'!I834="","",'Blind Scoring'!I834)</x:f>
      </x:c>
      <x:c r="T834" s="31" t="str">
        <x:f>'Blind Scoring'!J834</x:f>
        <x:v>No</x:v>
      </x:c>
      <x:c r="U834" s="31" t="str">
        <x:f>IF('Blind Scoring'!L834="","",'Blind Scoring'!L834)</x:f>
      </x:c>
    </x:row>
    <x:row r="835" ht="44" customHeight="1">
      <x:c r="A835" s="35" t="str">
        <x:v>Not Started</x:v>
      </x:c>
      <x:c r="B835" s="35" t="n">
        <x:v>833</x:v>
      </x:c>
      <x:c r="C835" s="35" t="str">
        <x:v>P14</x:v>
      </x:c>
      <x:c r="D835" s="35" t="n">
        <x:v>28</x:v>
      </x:c>
      <x:c r="E835" s="35" t="str">
        <x:v>Primary VLA</x:v>
      </x:c>
      <x:c r="F835" s="35" t="str">
        <x:v>MolmoAct2</x:v>
      </x:c>
      <x:c r="G835" s="35" t="n">
        <x:v>2</x:v>
      </x:c>
      <x:c r="H835" s="35" t="str">
        <x:v>Relational Placement</x:v>
      </x:c>
      <x:c r="I835" s="35" t="str">
        <x:v>Training reconstruction</x:v>
      </x:c>
      <x:c r="J835" s="35" t="str">
        <x:v>PVLA-RP-REC-04</x:v>
      </x:c>
      <x:c r="K835" s="35" t="str"/>
      <x:c r="L835" s="31" t="str">
        <x:v>Place the green pen behind the pink marker.</x:v>
      </x:c>
      <x:c r="M835" s="31" t="str">
        <x:v>Place the green pen behind the pink marker.</x:v>
      </x:c>
      <x:c r="N835" s="31" t="str">
        <x:v>Reconstruct planned final training episode 219: green pen, red block, pink marker, blue block; start=Home. Match camera, calibration, bowl pose, and object geometry exactly.</x:v>
      </x:c>
      <x:c r="O835" s="31" t="str">
        <x:v>green pen</x:v>
      </x:c>
      <x:c r="P835" s="31" t="str"/>
      <x:c r="Q835" s="31" t="str"/>
      <x:c r="R835" s="31" t="str"/>
      <x:c r="S835" s="31" t="str">
        <x:f>IF('Blind Scoring'!I835="","",'Blind Scoring'!I835)</x:f>
      </x:c>
      <x:c r="T835" s="31" t="str">
        <x:f>'Blind Scoring'!J835</x:f>
        <x:v>No</x:v>
      </x:c>
      <x:c r="U835" s="31" t="str">
        <x:f>IF('Blind Scoring'!L835="","",'Blind Scoring'!L835)</x:f>
      </x:c>
    </x:row>
    <x:row r="836" ht="44" customHeight="1">
      <x:c r="A836" s="35" t="str">
        <x:v>Not Started</x:v>
      </x:c>
      <x:c r="B836" s="35" t="n">
        <x:v>834</x:v>
      </x:c>
      <x:c r="C836" s="35" t="str">
        <x:v>P14</x:v>
      </x:c>
      <x:c r="D836" s="35" t="n">
        <x:v>29</x:v>
      </x:c>
      <x:c r="E836" s="35" t="str">
        <x:v>Primary VLA</x:v>
      </x:c>
      <x:c r="F836" s="35" t="str">
        <x:v>MolmoAct2</x:v>
      </x:c>
      <x:c r="G836" s="35" t="n">
        <x:v>2</x:v>
      </x:c>
      <x:c r="H836" s="35" t="str">
        <x:v>Relational Placement</x:v>
      </x:c>
      <x:c r="I836" s="35" t="str">
        <x:v>Novel layout + seen language</x:v>
      </x:c>
      <x:c r="J836" s="35" t="str">
        <x:v>PVLA-RP-NOV-03</x:v>
      </x:c>
      <x:c r="K836" s="35" t="str"/>
      <x:c r="L836" s="31" t="str">
        <x:v>Place the blue block behind the green pen.</x:v>
      </x:c>
      <x:c r="M836" s="31" t="str">
        <x:v>Place the blue block behind the green pen.</x:v>
      </x:c>
      <x:c r="N836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836" s="31" t="str">
        <x:v>blue block</x:v>
      </x:c>
      <x:c r="P836" s="31" t="str"/>
      <x:c r="Q836" s="31" t="str"/>
      <x:c r="R836" s="31" t="str"/>
      <x:c r="S836" s="31" t="str">
        <x:f>IF('Blind Scoring'!I836="","",'Blind Scoring'!I836)</x:f>
      </x:c>
      <x:c r="T836" s="31" t="str">
        <x:f>'Blind Scoring'!J836</x:f>
        <x:v>No</x:v>
      </x:c>
      <x:c r="U836" s="31" t="str">
        <x:f>IF('Blind Scoring'!L836="","",'Blind Scoring'!L836)</x:f>
      </x:c>
    </x:row>
    <x:row r="837" ht="44" customHeight="1">
      <x:c r="A837" s="35" t="str">
        <x:v>Not Started</x:v>
      </x:c>
      <x:c r="B837" s="35" t="n">
        <x:v>835</x:v>
      </x:c>
      <x:c r="C837" s="35" t="str">
        <x:v>P14</x:v>
      </x:c>
      <x:c r="D837" s="35" t="n">
        <x:v>30</x:v>
      </x:c>
      <x:c r="E837" s="35" t="str">
        <x:v>Primary VLA</x:v>
      </x:c>
      <x:c r="F837" s="35" t="str">
        <x:v>MolmoAct2</x:v>
      </x:c>
      <x:c r="G837" s="35" t="n">
        <x:v>2</x:v>
      </x:c>
      <x:c r="H837" s="35" t="str">
        <x:v>Relational Placement</x:v>
      </x:c>
      <x:c r="I837" s="35" t="str">
        <x:v>Main matched control</x:v>
      </x:c>
      <x:c r="J837" s="35" t="str">
        <x:v>PVLA-RP-CTL-11</x:v>
      </x:c>
      <x:c r="K837" s="35" t="str">
        <x:v>R-CF20</x:v>
      </x:c>
      <x:c r="L837" s="31" t="str">
        <x:v>Place the red block next to the green pen.</x:v>
      </x:c>
      <x:c r="M837" s="31" t="str">
        <x:v>Place the red block next to the green pen.</x:v>
      </x:c>
      <x:c r="N837" s="31" t="str">
        <x:v>R-CF20-CTRL: green pen at front-right [REFERENCE]; red block starts 21 cm behind the reference [TARGET START]; blue block and pink marker are distractors outside the commanded goal sector.</x:v>
      </x:c>
      <x:c r="O837" s="31" t="str">
        <x:v>red block near green pen</x:v>
      </x:c>
      <x:c r="P837" s="31" t="str"/>
      <x:c r="Q837" s="31" t="str"/>
      <x:c r="R837" s="31" t="str"/>
      <x:c r="S837" s="31" t="str">
        <x:f>IF('Blind Scoring'!I837="","",'Blind Scoring'!I837)</x:f>
      </x:c>
      <x:c r="T837" s="31" t="str">
        <x:f>'Blind Scoring'!J837</x:f>
        <x:v>No</x:v>
      </x:c>
      <x:c r="U837" s="31" t="str">
        <x:f>IF('Blind Scoring'!L837="","",'Blind Scoring'!L837)</x:f>
      </x:c>
    </x:row>
    <x:row r="838" ht="44" customHeight="1">
      <x:c r="A838" s="35" t="str">
        <x:v>Not Started</x:v>
      </x:c>
      <x:c r="B838" s="35" t="n">
        <x:v>836</x:v>
      </x:c>
      <x:c r="C838" s="35" t="str">
        <x:v>P14</x:v>
      </x:c>
      <x:c r="D838" s="35" t="n">
        <x:v>31</x:v>
      </x:c>
      <x:c r="E838" s="35" t="str">
        <x:v>Primary VLA</x:v>
      </x:c>
      <x:c r="F838" s="35" t="str">
        <x:v>MolmoAct2</x:v>
      </x:c>
      <x:c r="G838" s="35" t="n">
        <x:v>2</x:v>
      </x:c>
      <x:c r="H838" s="35" t="str">
        <x:v>Relational Placement</x:v>
      </x:c>
      <x:c r="I838" s="35" t="str">
        <x:v>Main held-out transfer</x:v>
      </x:c>
      <x:c r="J838" s="35" t="str">
        <x:v>PVLA-RP-TR-04</x:v>
      </x:c>
      <x:c r="K838" s="35" t="str">
        <x:v>R-CF07</x:v>
      </x:c>
      <x:c r="L838" s="31" t="str">
        <x:v>Place the green pen behind the red block.</x:v>
      </x:c>
      <x:c r="M838" s="31" t="str">
        <x:v>Place the green pen behind the red block.</x:v>
      </x:c>
      <x:c r="N838" s="31" t="str">
        <x:v>R-CF07-HELD: red block at back-left [REFERENCE]; green pen starts 18 cm in front of the reference [TARGET START]; pink marker and blue block are distractors outside the commanded goal sector.</x:v>
      </x:c>
      <x:c r="O838" s="31" t="str">
        <x:v>green pen → behind red block</x:v>
      </x:c>
      <x:c r="P838" s="31" t="str"/>
      <x:c r="Q838" s="31" t="str"/>
      <x:c r="R838" s="31" t="str"/>
      <x:c r="S838" s="31" t="str">
        <x:f>IF('Blind Scoring'!I838="","",'Blind Scoring'!I838)</x:f>
      </x:c>
      <x:c r="T838" s="31" t="str">
        <x:f>'Blind Scoring'!J838</x:f>
        <x:v>No</x:v>
      </x:c>
      <x:c r="U838" s="31" t="str">
        <x:f>IF('Blind Scoring'!L838="","",'Blind Scoring'!L838)</x:f>
      </x:c>
    </x:row>
    <x:row r="839" ht="44" customHeight="1">
      <x:c r="A839" s="35" t="str">
        <x:v>Not Started</x:v>
      </x:c>
      <x:c r="B839" s="35" t="n">
        <x:v>837</x:v>
      </x:c>
      <x:c r="C839" s="35" t="str">
        <x:v>P14</x:v>
      </x:c>
      <x:c r="D839" s="35" t="n">
        <x:v>32</x:v>
      </x:c>
      <x:c r="E839" s="35" t="str">
        <x:v>Primary VLA</x:v>
      </x:c>
      <x:c r="F839" s="35" t="str">
        <x:v>MolmoAct2</x:v>
      </x:c>
      <x:c r="G839" s="35" t="n">
        <x:v>2</x:v>
      </x:c>
      <x:c r="H839" s="35" t="str">
        <x:v>Relational Placement</x:v>
      </x:c>
      <x:c r="I839" s="35" t="str">
        <x:v>Language ablation — counterfactual</x:v>
      </x:c>
      <x:c r="J839" s="35" t="str">
        <x:v>PVLA-RP-ABL-CF-01</x:v>
      </x:c>
      <x:c r="K839" s="35" t="str">
        <x:v>R-CF09</x:v>
      </x:c>
      <x:c r="L839" s="31" t="str">
        <x:v>Place the green pen behind the red block.</x:v>
      </x:c>
      <x:c r="M839" s="31" t="str">
        <x:v>Place the green pen behind the red block.</x:v>
      </x:c>
      <x:c r="N839" s="31" t="str">
        <x:v>R-CF09-HELD: red block at front-left [REFERENCE]; green pen starts 24 cm behind the reference [TARGET START]; pink marker and blue block are distractors outside the commanded goal sector.</x:v>
      </x:c>
      <x:c r="O839" s="31" t="str">
        <x:v>green pen → behind red block</x:v>
      </x:c>
      <x:c r="P839" s="31" t="str"/>
      <x:c r="Q839" s="31" t="str"/>
      <x:c r="R839" s="31" t="str"/>
      <x:c r="S839" s="31" t="str">
        <x:f>IF('Blind Scoring'!I839="","",'Blind Scoring'!I839)</x:f>
      </x:c>
      <x:c r="T839" s="31" t="str">
        <x:f>'Blind Scoring'!J839</x:f>
        <x:v>No</x:v>
      </x:c>
      <x:c r="U839" s="31" t="str">
        <x:f>IF('Blind Scoring'!L839="","",'Blind Scoring'!L839)</x:f>
      </x:c>
    </x:row>
    <x:row r="840" ht="44" customHeight="1">
      <x:c r="A840" s="35" t="str">
        <x:v>Not Started</x:v>
      </x:c>
      <x:c r="B840" s="35" t="n">
        <x:v>838</x:v>
      </x:c>
      <x:c r="C840" s="35" t="str">
        <x:v>P14</x:v>
      </x:c>
      <x:c r="D840" s="35" t="n">
        <x:v>33</x:v>
      </x:c>
      <x:c r="E840" s="35" t="str">
        <x:v>Primary VLA</x:v>
      </x:c>
      <x:c r="F840" s="35" t="str">
        <x:v>MolmoAct2</x:v>
      </x:c>
      <x:c r="G840" s="35" t="n">
        <x:v>2</x:v>
      </x:c>
      <x:c r="H840" s="35" t="str">
        <x:v>Relational Placement</x:v>
      </x:c>
      <x:c r="I840" s="35" t="str">
        <x:v>Main matched control</x:v>
      </x:c>
      <x:c r="J840" s="35" t="str">
        <x:v>PVLA-RP-CTL-15</x:v>
      </x:c>
      <x:c r="K840" s="35" t="str">
        <x:v>R-CF28</x:v>
      </x:c>
      <x:c r="L840" s="31" t="str">
        <x:v>Place the red block near the green pen.</x:v>
      </x:c>
      <x:c r="M840" s="31" t="str">
        <x:v>Place the red block near the green pen.</x:v>
      </x:c>
      <x:c r="N840" s="31" t="str">
        <x:v>R-CF28-CTRL: green pen at back-right [REFERENCE]; red block starts 18 cm behind the reference [TARGET START]; blue block and pink marker are distractors outside the commanded goal sector.</x:v>
      </x:c>
      <x:c r="O840" s="31" t="str">
        <x:v>red block near green pen</x:v>
      </x:c>
      <x:c r="P840" s="31" t="str"/>
      <x:c r="Q840" s="31" t="str"/>
      <x:c r="R840" s="31" t="str"/>
      <x:c r="S840" s="31" t="str">
        <x:f>IF('Blind Scoring'!I840="","",'Blind Scoring'!I840)</x:f>
      </x:c>
      <x:c r="T840" s="31" t="str">
        <x:f>'Blind Scoring'!J840</x:f>
        <x:v>No</x:v>
      </x:c>
      <x:c r="U840" s="31" t="str">
        <x:f>IF('Blind Scoring'!L840="","",'Blind Scoring'!L840)</x:f>
      </x:c>
    </x:row>
    <x:row r="841" ht="44" customHeight="1">
      <x:c r="A841" s="35" t="str">
        <x:v>Not Started</x:v>
      </x:c>
      <x:c r="B841" s="35" t="n">
        <x:v>839</x:v>
      </x:c>
      <x:c r="C841" s="35" t="str">
        <x:v>P14</x:v>
      </x:c>
      <x:c r="D841" s="35" t="n">
        <x:v>34</x:v>
      </x:c>
      <x:c r="E841" s="35" t="str">
        <x:v>Primary VLA</x:v>
      </x:c>
      <x:c r="F841" s="35" t="str">
        <x:v>MolmoAct2</x:v>
      </x:c>
      <x:c r="G841" s="35" t="n">
        <x:v>2</x:v>
      </x:c>
      <x:c r="H841" s="35" t="str">
        <x:v>Relational Placement</x:v>
      </x:c>
      <x:c r="I841" s="35" t="str">
        <x:v>Training reconstruction</x:v>
      </x:c>
      <x:c r="J841" s="35" t="str">
        <x:v>PVLA-RP-REC-05</x:v>
      </x:c>
      <x:c r="K841" s="35" t="str"/>
      <x:c r="L841" s="31" t="str">
        <x:v>Place the green pen to the left of the pink marker.</x:v>
      </x:c>
      <x:c r="M841" s="31" t="str">
        <x:v>Place the green pen to the left of the pink marker.</x:v>
      </x:c>
      <x:c r="N841" s="31" t="str">
        <x:v>Reconstruct planned final training episode 230: green pen, pink marker, red block; start=Home. Match camera, calibration, bowl pose, and object geometry exactly.</x:v>
      </x:c>
      <x:c r="O841" s="31" t="str">
        <x:v>green pen</x:v>
      </x:c>
      <x:c r="P841" s="31" t="str"/>
      <x:c r="Q841" s="31" t="str"/>
      <x:c r="R841" s="31" t="str"/>
      <x:c r="S841" s="31" t="str">
        <x:f>IF('Blind Scoring'!I841="","",'Blind Scoring'!I841)</x:f>
      </x:c>
      <x:c r="T841" s="31" t="str">
        <x:f>'Blind Scoring'!J841</x:f>
        <x:v>No</x:v>
      </x:c>
      <x:c r="U841" s="31" t="str">
        <x:f>IF('Blind Scoring'!L841="","",'Blind Scoring'!L841)</x:f>
      </x:c>
    </x:row>
    <x:row r="842" ht="44" customHeight="1">
      <x:c r="A842" s="35" t="str">
        <x:v>Not Started</x:v>
      </x:c>
      <x:c r="B842" s="35" t="n">
        <x:v>840</x:v>
      </x:c>
      <x:c r="C842" s="35" t="str">
        <x:v>P14</x:v>
      </x:c>
      <x:c r="D842" s="35" t="n">
        <x:v>35</x:v>
      </x:c>
      <x:c r="E842" s="35" t="str">
        <x:v>Primary VLA</x:v>
      </x:c>
      <x:c r="F842" s="35" t="str">
        <x:v>MolmoAct2</x:v>
      </x:c>
      <x:c r="G842" s="35" t="n">
        <x:v>2</x:v>
      </x:c>
      <x:c r="H842" s="35" t="str">
        <x:v>Relational Placement</x:v>
      </x:c>
      <x:c r="I842" s="35" t="str">
        <x:v>Language ablation — counterfactual</x:v>
      </x:c>
      <x:c r="J842" s="35" t="str">
        <x:v>PVLA-RP-ABL-CF-04</x:v>
      </x:c>
      <x:c r="K842" s="35" t="str">
        <x:v>R-CF15</x:v>
      </x:c>
      <x:c r="L842" s="31" t="str">
        <x:v>Place the green pen in front of the red block.</x:v>
      </x:c>
      <x:c r="M842" s="31" t="str">
        <x:v>Place the green pen in front of the red block.</x:v>
      </x:c>
      <x:c r="N842" s="31" t="str">
        <x:v>R-CF15-HELD: red block at front-right [REFERENCE]; green pen starts 24 cm in front of the reference [TARGET START]; pink marker and blue block are distractors outside the commanded goal sector.</x:v>
      </x:c>
      <x:c r="O842" s="31" t="str">
        <x:v>green pen → in front of red block</x:v>
      </x:c>
      <x:c r="P842" s="31" t="str"/>
      <x:c r="Q842" s="31" t="str"/>
      <x:c r="R842" s="31" t="str"/>
      <x:c r="S842" s="31" t="str">
        <x:f>IF('Blind Scoring'!I842="","",'Blind Scoring'!I842)</x:f>
      </x:c>
      <x:c r="T842" s="31" t="str">
        <x:f>'Blind Scoring'!J842</x:f>
        <x:v>No</x:v>
      </x:c>
      <x:c r="U842" s="31" t="str">
        <x:f>IF('Blind Scoring'!L842="","",'Blind Scoring'!L842)</x:f>
      </x:c>
    </x:row>
    <x:row r="843" ht="44" customHeight="1">
      <x:c r="A843" s="35" t="str">
        <x:v>Not Started</x:v>
      </x:c>
      <x:c r="B843" s="35" t="n">
        <x:v>841</x:v>
      </x:c>
      <x:c r="C843" s="35" t="str">
        <x:v>P14</x:v>
      </x:c>
      <x:c r="D843" s="35" t="n">
        <x:v>36</x:v>
      </x:c>
      <x:c r="E843" s="35" t="str">
        <x:v>Primary VLA</x:v>
      </x:c>
      <x:c r="F843" s="35" t="str">
        <x:v>MolmoAct2</x:v>
      </x:c>
      <x:c r="G843" s="35" t="n">
        <x:v>2</x:v>
      </x:c>
      <x:c r="H843" s="35" t="str">
        <x:v>Relational Placement</x:v>
      </x:c>
      <x:c r="I843" s="35" t="str">
        <x:v>Training reconstruction</x:v>
      </x:c>
      <x:c r="J843" s="35" t="str">
        <x:v>PVLA-RP-REC-01</x:v>
      </x:c>
      <x:c r="K843" s="35" t="str"/>
      <x:c r="L843" s="31" t="str">
        <x:v>Move the green pen to the front of the pink marker.</x:v>
      </x:c>
      <x:c r="M843" s="31" t="str">
        <x:v>Move the green pen to the front of the pink marker.</x:v>
      </x:c>
      <x:c r="N843" s="31" t="str">
        <x:v>Reconstruct planned final training episode 204: green pen, pink marker; start=Home. Match camera, calibration, bowl pose, and object geometry exactly.</x:v>
      </x:c>
      <x:c r="O843" s="31" t="str">
        <x:v>green pen</x:v>
      </x:c>
      <x:c r="P843" s="31" t="str"/>
      <x:c r="Q843" s="31" t="str"/>
      <x:c r="R843" s="31" t="str"/>
      <x:c r="S843" s="31" t="str">
        <x:f>IF('Blind Scoring'!I843="","",'Blind Scoring'!I843)</x:f>
      </x:c>
      <x:c r="T843" s="31" t="str">
        <x:f>'Blind Scoring'!J843</x:f>
        <x:v>No</x:v>
      </x:c>
      <x:c r="U843" s="31" t="str">
        <x:f>IF('Blind Scoring'!L843="","",'Blind Scoring'!L843)</x:f>
      </x:c>
    </x:row>
    <x:row r="844" ht="44" customHeight="1">
      <x:c r="A844" s="35" t="str">
        <x:v>Not Started</x:v>
      </x:c>
      <x:c r="B844" s="35" t="n">
        <x:v>842</x:v>
      </x:c>
      <x:c r="C844" s="35" t="str">
        <x:v>P14</x:v>
      </x:c>
      <x:c r="D844" s="35" t="n">
        <x:v>37</x:v>
      </x:c>
      <x:c r="E844" s="35" t="str">
        <x:v>Primary VLA</x:v>
      </x:c>
      <x:c r="F844" s="35" t="str">
        <x:v>MolmoAct2</x:v>
      </x:c>
      <x:c r="G844" s="35" t="n">
        <x:v>2</x:v>
      </x:c>
      <x:c r="H844" s="35" t="str">
        <x:v>Relational Placement</x:v>
      </x:c>
      <x:c r="I844" s="35" t="str">
        <x:v>Main matched control</x:v>
      </x:c>
      <x:c r="J844" s="35" t="str">
        <x:v>PVLA-RP-CTL-13</x:v>
      </x:c>
      <x:c r="K844" s="35" t="str">
        <x:v>R-CF24</x:v>
      </x:c>
      <x:c r="L844" s="31" t="str">
        <x:v>Place the red block beside the green pen.</x:v>
      </x:c>
      <x:c r="M844" s="31" t="str">
        <x:v>Place the red block beside the green pen.</x:v>
      </x:c>
      <x:c r="N844" s="31" t="str">
        <x:v>R-CF24-CTRL: green pen at front-left [REFERENCE]; red block starts 24 cm to the right of the reference [TARGET START]; blue block and pink marker are distractors outside the commanded goal sector.</x:v>
      </x:c>
      <x:c r="O844" s="31" t="str">
        <x:v>red block near green pen</x:v>
      </x:c>
      <x:c r="P844" s="31" t="str"/>
      <x:c r="Q844" s="31" t="str"/>
      <x:c r="R844" s="31" t="str"/>
      <x:c r="S844" s="31" t="str">
        <x:f>IF('Blind Scoring'!I844="","",'Blind Scoring'!I844)</x:f>
      </x:c>
      <x:c r="T844" s="31" t="str">
        <x:f>'Blind Scoring'!J844</x:f>
        <x:v>No</x:v>
      </x:c>
      <x:c r="U844" s="31" t="str">
        <x:f>IF('Blind Scoring'!L844="","",'Blind Scoring'!L844)</x:f>
      </x:c>
    </x:row>
    <x:row r="845" ht="44" customHeight="1">
      <x:c r="A845" s="35" t="str">
        <x:v>Not Started</x:v>
      </x:c>
      <x:c r="B845" s="35" t="n">
        <x:v>843</x:v>
      </x:c>
      <x:c r="C845" s="35" t="str">
        <x:v>P14</x:v>
      </x:c>
      <x:c r="D845" s="35" t="n">
        <x:v>38</x:v>
      </x:c>
      <x:c r="E845" s="35" t="str">
        <x:v>Primary VLA</x:v>
      </x:c>
      <x:c r="F845" s="35" t="str">
        <x:v>MolmoAct2</x:v>
      </x:c>
      <x:c r="G845" s="35" t="n">
        <x:v>2</x:v>
      </x:c>
      <x:c r="H845" s="35" t="str">
        <x:v>Relational Placement</x:v>
      </x:c>
      <x:c r="I845" s="35" t="str">
        <x:v>Training reconstruction</x:v>
      </x:c>
      <x:c r="J845" s="35" t="str">
        <x:v>PVLA-RP-REC-03</x:v>
      </x:c>
      <x:c r="K845" s="35" t="str"/>
      <x:c r="L845" s="31" t="str">
        <x:v>Place the green pen behind the pink marker.</x:v>
      </x:c>
      <x:c r="M845" s="31" t="str">
        <x:v>Place the green pen behind the pink marker.</x:v>
      </x:c>
      <x:c r="N845" s="31" t="str">
        <x:v>Reconstruct planned final training episode 218: green pen, pink marker, red block; start=Home. Match camera, calibration, bowl pose, and object geometry exactly.</x:v>
      </x:c>
      <x:c r="O845" s="31" t="str">
        <x:v>green pen</x:v>
      </x:c>
      <x:c r="P845" s="31" t="str"/>
      <x:c r="Q845" s="31" t="str"/>
      <x:c r="R845" s="31" t="str"/>
      <x:c r="S845" s="31" t="str">
        <x:f>IF('Blind Scoring'!I845="","",'Blind Scoring'!I845)</x:f>
      </x:c>
      <x:c r="T845" s="31" t="str">
        <x:f>'Blind Scoring'!J845</x:f>
        <x:v>No</x:v>
      </x:c>
      <x:c r="U845" s="31" t="str">
        <x:f>IF('Blind Scoring'!L845="","",'Blind Scoring'!L845)</x:f>
      </x:c>
    </x:row>
    <x:row r="846" ht="44" customHeight="1">
      <x:c r="A846" s="35" t="str">
        <x:v>Not Started</x:v>
      </x:c>
      <x:c r="B846" s="35" t="n">
        <x:v>844</x:v>
      </x:c>
      <x:c r="C846" s="35" t="str">
        <x:v>P14</x:v>
      </x:c>
      <x:c r="D846" s="35" t="n">
        <x:v>39</x:v>
      </x:c>
      <x:c r="E846" s="35" t="str">
        <x:v>Primary VLA</x:v>
      </x:c>
      <x:c r="F846" s="35" t="str">
        <x:v>MolmoAct2</x:v>
      </x:c>
      <x:c r="G846" s="35" t="n">
        <x:v>2</x:v>
      </x:c>
      <x:c r="H846" s="35" t="str">
        <x:v>Relational Placement</x:v>
      </x:c>
      <x:c r="I846" s="35" t="str">
        <x:v>Main held-out transfer</x:v>
      </x:c>
      <x:c r="J846" s="35" t="str">
        <x:v>PVLA-RP-TR-15</x:v>
      </x:c>
      <x:c r="K846" s="35" t="str">
        <x:v>R-CF28</x:v>
      </x:c>
      <x:c r="L846" s="31" t="str">
        <x:v>Place the red block in front of the green pen.</x:v>
      </x:c>
      <x:c r="M846" s="31" t="str">
        <x:v>Place the red block in front of the green pen.</x:v>
      </x:c>
      <x:c r="N846" s="31" t="str">
        <x:v>R-CF28-HELD: green pen at back-right [REFERENCE]; red block starts 18 cm behind the reference [TARGET START]; blue block and pink marker are distractors outside the commanded goal sector.</x:v>
      </x:c>
      <x:c r="O846" s="31" t="str">
        <x:v>red block → in front of green pen</x:v>
      </x:c>
      <x:c r="P846" s="31" t="str"/>
      <x:c r="Q846" s="31" t="str"/>
      <x:c r="R846" s="31" t="str"/>
      <x:c r="S846" s="31" t="str">
        <x:f>IF('Blind Scoring'!I846="","",'Blind Scoring'!I846)</x:f>
      </x:c>
      <x:c r="T846" s="31" t="str">
        <x:f>'Blind Scoring'!J846</x:f>
        <x:v>No</x:v>
      </x:c>
      <x:c r="U846" s="31" t="str">
        <x:f>IF('Blind Scoring'!L846="","",'Blind Scoring'!L846)</x:f>
      </x:c>
    </x:row>
    <x:row r="847" ht="44" customHeight="1">
      <x:c r="A847" s="35" t="str">
        <x:v>Not Started</x:v>
      </x:c>
      <x:c r="B847" s="35" t="n">
        <x:v>845</x:v>
      </x:c>
      <x:c r="C847" s="35" t="str">
        <x:v>P14</x:v>
      </x:c>
      <x:c r="D847" s="35" t="n">
        <x:v>40</x:v>
      </x:c>
      <x:c r="E847" s="35" t="str">
        <x:v>Primary VLA</x:v>
      </x:c>
      <x:c r="F847" s="35" t="str">
        <x:v>MolmoAct2</x:v>
      </x:c>
      <x:c r="G847" s="35" t="n">
        <x:v>2</x:v>
      </x:c>
      <x:c r="H847" s="35" t="str">
        <x:v>Relational Placement</x:v>
      </x:c>
      <x:c r="I847" s="35" t="str">
        <x:v>Language ablation — blank</x:v>
      </x:c>
      <x:c r="J847" s="35" t="str">
        <x:v>PVLA-RP-ABL-BLK-04</x:v>
      </x:c>
      <x:c r="K847" s="35" t="str">
        <x:v>R-CF07</x:v>
      </x:c>
      <x:c r="L847" s="31" t="str">
        <x:v>[EMPTY STRING — provide no instruction tokens]</x:v>
      </x:c>
      <x:c r="M847" s="31" t="str">
        <x:v>Place the green pen behind the red block.</x:v>
      </x:c>
      <x:c r="N847" s="31" t="str">
        <x:v>R-CF07-HELD: red block at back-left [REFERENCE]; green pen starts 18 cm in front of the reference [TARGET START]; pink marker and blue block are distractors outside the commanded goal sector.</x:v>
      </x:c>
      <x:c r="O847" s="31" t="str">
        <x:v>No prespecified task success under blank language; record any action/selected target.</x:v>
      </x:c>
      <x:c r="P847" s="31" t="str"/>
      <x:c r="Q847" s="31" t="str"/>
      <x:c r="R847" s="31" t="str"/>
      <x:c r="S847" s="31" t="str">
        <x:f>IF('Blind Scoring'!I847="","",'Blind Scoring'!I847)</x:f>
      </x:c>
      <x:c r="T847" s="31" t="str">
        <x:f>'Blind Scoring'!J847</x:f>
        <x:v>No</x:v>
      </x:c>
      <x:c r="U847" s="31" t="str">
        <x:f>IF('Blind Scoring'!L847="","",'Blind Scoring'!L847)</x:f>
      </x:c>
    </x:row>
    <x:row r="848" ht="44" customHeight="1">
      <x:c r="A848" s="35" t="str">
        <x:v>Not Started</x:v>
      </x:c>
      <x:c r="B848" s="35" t="n">
        <x:v>846</x:v>
      </x:c>
      <x:c r="C848" s="35" t="str">
        <x:v>P14</x:v>
      </x:c>
      <x:c r="D848" s="35" t="n">
        <x:v>41</x:v>
      </x:c>
      <x:c r="E848" s="35" t="str">
        <x:v>Primary VLA</x:v>
      </x:c>
      <x:c r="F848" s="35" t="str">
        <x:v>MolmoAct2</x:v>
      </x:c>
      <x:c r="G848" s="35" t="n">
        <x:v>2</x:v>
      </x:c>
      <x:c r="H848" s="35" t="str">
        <x:v>Relational Placement</x:v>
      </x:c>
      <x:c r="I848" s="35" t="str">
        <x:v>Main held-out transfer</x:v>
      </x:c>
      <x:c r="J848" s="35" t="str">
        <x:v>PVLA-RP-TR-06</x:v>
      </x:c>
      <x:c r="K848" s="35" t="str">
        <x:v>R-CF11</x:v>
      </x:c>
      <x:c r="L848" s="31" t="str">
        <x:v>Place the green pen to the right of the red block.</x:v>
      </x:c>
      <x:c r="M848" s="31" t="str">
        <x:v>Place the green pen to the right of the red block.</x:v>
      </x:c>
      <x:c r="N848" s="31" t="str">
        <x:v>R-CF11-HELD: red block at center [REFERENCE]; green pen starts 21 cm to the left of the reference [TARGET START]; pink marker and blue block are distractors outside the commanded goal sector.</x:v>
      </x:c>
      <x:c r="O848" s="31" t="str">
        <x:v>green pen → to the right of red block</x:v>
      </x:c>
      <x:c r="P848" s="31" t="str"/>
      <x:c r="Q848" s="31" t="str"/>
      <x:c r="R848" s="31" t="str"/>
      <x:c r="S848" s="31" t="str">
        <x:f>IF('Blind Scoring'!I848="","",'Blind Scoring'!I848)</x:f>
      </x:c>
      <x:c r="T848" s="31" t="str">
        <x:f>'Blind Scoring'!J848</x:f>
        <x:v>No</x:v>
      </x:c>
      <x:c r="U848" s="31" t="str">
        <x:f>IF('Blind Scoring'!L848="","",'Blind Scoring'!L848)</x:f>
      </x:c>
    </x:row>
    <x:row r="849" ht="44" customHeight="1">
      <x:c r="A849" s="35" t="str">
        <x:v>Not Started</x:v>
      </x:c>
      <x:c r="B849" s="35" t="n">
        <x:v>847</x:v>
      </x:c>
      <x:c r="C849" s="35" t="str">
        <x:v>P14</x:v>
      </x:c>
      <x:c r="D849" s="35" t="n">
        <x:v>42</x:v>
      </x:c>
      <x:c r="E849" s="35" t="str">
        <x:v>Primary VLA</x:v>
      </x:c>
      <x:c r="F849" s="35" t="str">
        <x:v>MolmoAct2</x:v>
      </x:c>
      <x:c r="G849" s="35" t="n">
        <x:v>2</x:v>
      </x:c>
      <x:c r="H849" s="35" t="str">
        <x:v>Relational Placement</x:v>
      </x:c>
      <x:c r="I849" s="35" t="str">
        <x:v>Language ablation — counterfactual</x:v>
      </x:c>
      <x:c r="J849" s="35" t="str">
        <x:v>PVLA-RP-ABL-CF-03</x:v>
      </x:c>
      <x:c r="K849" s="35" t="str">
        <x:v>R-CF13</x:v>
      </x:c>
      <x:c r="L849" s="31" t="str">
        <x:v>Place the green pen to the right of the red block.</x:v>
      </x:c>
      <x:c r="M849" s="31" t="str">
        <x:v>Place the green pen to the right of the red block.</x:v>
      </x:c>
      <x:c r="N849" s="31" t="str">
        <x:v>R-CF13-HELD: red block at back-right [REFERENCE]; green pen starts 18 cm to the right of the reference [TARGET START]; pink marker and blue block are distractors outside the commanded goal sector.</x:v>
      </x:c>
      <x:c r="O849" s="31" t="str">
        <x:v>green pen → to the right of red block</x:v>
      </x:c>
      <x:c r="P849" s="31" t="str"/>
      <x:c r="Q849" s="31" t="str"/>
      <x:c r="R849" s="31" t="str"/>
      <x:c r="S849" s="31" t="str">
        <x:f>IF('Blind Scoring'!I849="","",'Blind Scoring'!I849)</x:f>
      </x:c>
      <x:c r="T849" s="31" t="str">
        <x:f>'Blind Scoring'!J849</x:f>
        <x:v>No</x:v>
      </x:c>
      <x:c r="U849" s="31" t="str">
        <x:f>IF('Blind Scoring'!L849="","",'Blind Scoring'!L849)</x:f>
      </x:c>
    </x:row>
    <x:row r="850" ht="44" customHeight="1">
      <x:c r="A850" s="35" t="str">
        <x:v>Not Started</x:v>
      </x:c>
      <x:c r="B850" s="35" t="n">
        <x:v>848</x:v>
      </x:c>
      <x:c r="C850" s="35" t="str">
        <x:v>P14</x:v>
      </x:c>
      <x:c r="D850" s="35" t="n">
        <x:v>43</x:v>
      </x:c>
      <x:c r="E850" s="35" t="str">
        <x:v>Primary VLA</x:v>
      </x:c>
      <x:c r="F850" s="35" t="str">
        <x:v>MolmoAct2</x:v>
      </x:c>
      <x:c r="G850" s="35" t="n">
        <x:v>2</x:v>
      </x:c>
      <x:c r="H850" s="35" t="str">
        <x:v>Relational Placement</x:v>
      </x:c>
      <x:c r="I850" s="35" t="str">
        <x:v>Novel layout + seen language</x:v>
      </x:c>
      <x:c r="J850" s="35" t="str">
        <x:v>PVLA-RP-NOV-08</x:v>
      </x:c>
      <x:c r="K850" s="35" t="str"/>
      <x:c r="L850" s="31" t="str">
        <x:v>Place the red block to the right of the blue block.</x:v>
      </x:c>
      <x:c r="M850" s="31" t="str">
        <x:v>Place the red block to the right of the blue block.</x:v>
      </x:c>
      <x:c r="N850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850" s="31" t="str">
        <x:v>red block</x:v>
      </x:c>
      <x:c r="P850" s="31" t="str"/>
      <x:c r="Q850" s="31" t="str"/>
      <x:c r="R850" s="31" t="str"/>
      <x:c r="S850" s="31" t="str">
        <x:f>IF('Blind Scoring'!I850="","",'Blind Scoring'!I850)</x:f>
      </x:c>
      <x:c r="T850" s="31" t="str">
        <x:f>'Blind Scoring'!J850</x:f>
        <x:v>No</x:v>
      </x:c>
      <x:c r="U850" s="31" t="str">
        <x:f>IF('Blind Scoring'!L850="","",'Blind Scoring'!L850)</x:f>
      </x:c>
    </x:row>
    <x:row r="851" ht="44" customHeight="1">
      <x:c r="A851" s="35" t="str">
        <x:v>Not Started</x:v>
      </x:c>
      <x:c r="B851" s="35" t="n">
        <x:v>849</x:v>
      </x:c>
      <x:c r="C851" s="35" t="str">
        <x:v>P14</x:v>
      </x:c>
      <x:c r="D851" s="35" t="n">
        <x:v>44</x:v>
      </x:c>
      <x:c r="E851" s="35" t="str">
        <x:v>Primary VLA</x:v>
      </x:c>
      <x:c r="F851" s="35" t="str">
        <x:v>MolmoAct2</x:v>
      </x:c>
      <x:c r="G851" s="35" t="n">
        <x:v>2</x:v>
      </x:c>
      <x:c r="H851" s="35" t="str">
        <x:v>Relational Placement</x:v>
      </x:c>
      <x:c r="I851" s="35" t="str">
        <x:v>Novel layout + seen language</x:v>
      </x:c>
      <x:c r="J851" s="35" t="str">
        <x:v>PVLA-RP-NOV-02</x:v>
      </x:c>
      <x:c r="K851" s="35" t="str"/>
      <x:c r="L851" s="31" t="str">
        <x:v>Place the green pen to the right of the pink marker.</x:v>
      </x:c>
      <x:c r="M851" s="31" t="str">
        <x:v>Place the green pen to the right of the pink marker.</x:v>
      </x:c>
      <x:c r="N851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851" s="31" t="str">
        <x:v>green pen</x:v>
      </x:c>
      <x:c r="P851" s="31" t="str"/>
      <x:c r="Q851" s="31" t="str"/>
      <x:c r="R851" s="31" t="str"/>
      <x:c r="S851" s="31" t="str">
        <x:f>IF('Blind Scoring'!I851="","",'Blind Scoring'!I851)</x:f>
      </x:c>
      <x:c r="T851" s="31" t="str">
        <x:f>'Blind Scoring'!J851</x:f>
        <x:v>No</x:v>
      </x:c>
      <x:c r="U851" s="31" t="str">
        <x:f>IF('Blind Scoring'!L851="","",'Blind Scoring'!L851)</x:f>
      </x:c>
    </x:row>
    <x:row r="852" ht="44" customHeight="1">
      <x:c r="A852" s="35" t="str">
        <x:v>Not Started</x:v>
      </x:c>
      <x:c r="B852" s="35" t="n">
        <x:v>850</x:v>
      </x:c>
      <x:c r="C852" s="35" t="str">
        <x:v>P14</x:v>
      </x:c>
      <x:c r="D852" s="35" t="n">
        <x:v>45</x:v>
      </x:c>
      <x:c r="E852" s="35" t="str">
        <x:v>Primary VLA</x:v>
      </x:c>
      <x:c r="F852" s="35" t="str">
        <x:v>MolmoAct2</x:v>
      </x:c>
      <x:c r="G852" s="35" t="n">
        <x:v>2</x:v>
      </x:c>
      <x:c r="H852" s="35" t="str">
        <x:v>Relational Placement</x:v>
      </x:c>
      <x:c r="I852" s="35" t="str">
        <x:v>Main held-out transfer</x:v>
      </x:c>
      <x:c r="J852" s="35" t="str">
        <x:v>PVLA-RP-TR-07</x:v>
      </x:c>
      <x:c r="K852" s="35" t="str">
        <x:v>R-CF13</x:v>
      </x:c>
      <x:c r="L852" s="31" t="str">
        <x:v>Place the green pen to the left of the red block.</x:v>
      </x:c>
      <x:c r="M852" s="31" t="str">
        <x:v>Place the green pen to the left of the red block.</x:v>
      </x:c>
      <x:c r="N852" s="31" t="str">
        <x:v>R-CF13-HELD: red block at back-right [REFERENCE]; green pen starts 18 cm to the right of the reference [TARGET START]; pink marker and blue block are distractors outside the commanded goal sector.</x:v>
      </x:c>
      <x:c r="O852" s="31" t="str">
        <x:v>green pen → to the left of red block</x:v>
      </x:c>
      <x:c r="P852" s="31" t="str"/>
      <x:c r="Q852" s="31" t="str"/>
      <x:c r="R852" s="31" t="str"/>
      <x:c r="S852" s="31" t="str">
        <x:f>IF('Blind Scoring'!I852="","",'Blind Scoring'!I852)</x:f>
      </x:c>
      <x:c r="T852" s="31" t="str">
        <x:f>'Blind Scoring'!J852</x:f>
        <x:v>No</x:v>
      </x:c>
      <x:c r="U852" s="31" t="str">
        <x:f>IF('Blind Scoring'!L852="","",'Blind Scoring'!L852)</x:f>
      </x:c>
    </x:row>
    <x:row r="853" ht="44" customHeight="1">
      <x:c r="A853" s="35" t="str">
        <x:v>Not Started</x:v>
      </x:c>
      <x:c r="B853" s="35" t="n">
        <x:v>851</x:v>
      </x:c>
      <x:c r="C853" s="35" t="str">
        <x:v>P14</x:v>
      </x:c>
      <x:c r="D853" s="35" t="n">
        <x:v>46</x:v>
      </x:c>
      <x:c r="E853" s="35" t="str">
        <x:v>Primary VLA</x:v>
      </x:c>
      <x:c r="F853" s="35" t="str">
        <x:v>MolmoAct2</x:v>
      </x:c>
      <x:c r="G853" s="35" t="n">
        <x:v>2</x:v>
      </x:c>
      <x:c r="H853" s="35" t="str">
        <x:v>Relational Placement</x:v>
      </x:c>
      <x:c r="I853" s="35" t="str">
        <x:v>Main matched control</x:v>
      </x:c>
      <x:c r="J853" s="35" t="str">
        <x:v>PVLA-RP-CTL-09</x:v>
      </x:c>
      <x:c r="K853" s="35" t="str">
        <x:v>R-CF16</x:v>
      </x:c>
      <x:c r="L853" s="31" t="str">
        <x:v>Place the red block near the green pen.</x:v>
      </x:c>
      <x:c r="M853" s="31" t="str">
        <x:v>Place the red block near the green pen.</x:v>
      </x:c>
      <x:c r="N853" s="31" t="str">
        <x:v>R-CF16-CTRL: green pen at center [REFERENCE]; red block starts 18 cm to the right of the reference [TARGET START]; blue block and pink marker are distractors outside the commanded goal sector.</x:v>
      </x:c>
      <x:c r="O853" s="31" t="str">
        <x:v>red block near green pen</x:v>
      </x:c>
      <x:c r="P853" s="31" t="str"/>
      <x:c r="Q853" s="31" t="str"/>
      <x:c r="R853" s="31" t="str"/>
      <x:c r="S853" s="31" t="str">
        <x:f>IF('Blind Scoring'!I853="","",'Blind Scoring'!I853)</x:f>
      </x:c>
      <x:c r="T853" s="31" t="str">
        <x:f>'Blind Scoring'!J853</x:f>
        <x:v>No</x:v>
      </x:c>
      <x:c r="U853" s="31" t="str">
        <x:f>IF('Blind Scoring'!L853="","",'Blind Scoring'!L853)</x:f>
      </x:c>
    </x:row>
    <x:row r="854" ht="44" customHeight="1">
      <x:c r="A854" s="35" t="str">
        <x:v>Not Started</x:v>
      </x:c>
      <x:c r="B854" s="35" t="n">
        <x:v>852</x:v>
      </x:c>
      <x:c r="C854" s="35" t="str">
        <x:v>P14</x:v>
      </x:c>
      <x:c r="D854" s="35" t="n">
        <x:v>47</x:v>
      </x:c>
      <x:c r="E854" s="35" t="str">
        <x:v>Primary VLA</x:v>
      </x:c>
      <x:c r="F854" s="35" t="str">
        <x:v>MolmoAct2</x:v>
      </x:c>
      <x:c r="G854" s="35" t="n">
        <x:v>2</x:v>
      </x:c>
      <x:c r="H854" s="35" t="str">
        <x:v>Relational Placement</x:v>
      </x:c>
      <x:c r="I854" s="35" t="str">
        <x:v>Exact-scene paraphrase</x:v>
      </x:c>
      <x:c r="J854" s="35" t="str">
        <x:v>PVLA-RP-PAR-07</x:v>
      </x:c>
      <x:c r="K854" s="35" t="str"/>
      <x:c r="L854" s="31" t="str">
        <x:v>Move the red block to the side of the pink marker facing the robot.</x:v>
      </x:c>
      <x:c r="M854" s="31" t="str">
        <x:v>Move the red block to the side of the pink marker facing the robot.</x:v>
      </x:c>
      <x:c r="N854" s="31" t="str">
        <x:v>R-P01: pink marker at center [REFERENCE]; red block starts 21 cm behind the reference [TARGET START]; remaining objects are distractors with ≥12 cm clearance from the target path and commanded goal sector.</x:v>
      </x:c>
      <x:c r="O854" s="31" t="str">
        <x:v>red block</x:v>
      </x:c>
      <x:c r="P854" s="31" t="str"/>
      <x:c r="Q854" s="31" t="str"/>
      <x:c r="R854" s="31" t="str"/>
      <x:c r="S854" s="31" t="str">
        <x:f>IF('Blind Scoring'!I854="","",'Blind Scoring'!I854)</x:f>
      </x:c>
      <x:c r="T854" s="31" t="str">
        <x:f>'Blind Scoring'!J854</x:f>
        <x:v>No</x:v>
      </x:c>
      <x:c r="U854" s="31" t="str">
        <x:f>IF('Blind Scoring'!L854="","",'Blind Scoring'!L854)</x:f>
      </x:c>
    </x:row>
    <x:row r="855" ht="44" customHeight="1">
      <x:c r="A855" s="35" t="str">
        <x:v>Not Started</x:v>
      </x:c>
      <x:c r="B855" s="35" t="n">
        <x:v>853</x:v>
      </x:c>
      <x:c r="C855" s="35" t="str">
        <x:v>P14</x:v>
      </x:c>
      <x:c r="D855" s="35" t="n">
        <x:v>48</x:v>
      </x:c>
      <x:c r="E855" s="35" t="str">
        <x:v>Primary VLA</x:v>
      </x:c>
      <x:c r="F855" s="35" t="str">
        <x:v>MolmoAct2</x:v>
      </x:c>
      <x:c r="G855" s="35" t="n">
        <x:v>2</x:v>
      </x:c>
      <x:c r="H855" s="35" t="str">
        <x:v>Relational Placement</x:v>
      </x:c>
      <x:c r="I855" s="35" t="str">
        <x:v>Main held-out transfer</x:v>
      </x:c>
      <x:c r="J855" s="35" t="str">
        <x:v>PVLA-RP-TR-05</x:v>
      </x:c>
      <x:c r="K855" s="35" t="str">
        <x:v>R-CF09</x:v>
      </x:c>
      <x:c r="L855" s="31" t="str">
        <x:v>Place the green pen in front of the red block.</x:v>
      </x:c>
      <x:c r="M855" s="31" t="str">
        <x:v>Place the green pen in front of the red block.</x:v>
      </x:c>
      <x:c r="N855" s="31" t="str">
        <x:v>R-CF09-HELD: red block at front-left [REFERENCE]; green pen starts 24 cm behind the reference [TARGET START]; pink marker and blue block are distractors outside the commanded goal sector.</x:v>
      </x:c>
      <x:c r="O855" s="31" t="str">
        <x:v>green pen → in front of red block</x:v>
      </x:c>
      <x:c r="P855" s="31" t="str"/>
      <x:c r="Q855" s="31" t="str"/>
      <x:c r="R855" s="31" t="str"/>
      <x:c r="S855" s="31" t="str">
        <x:f>IF('Blind Scoring'!I855="","",'Blind Scoring'!I855)</x:f>
      </x:c>
      <x:c r="T855" s="31" t="str">
        <x:f>'Blind Scoring'!J855</x:f>
        <x:v>No</x:v>
      </x:c>
      <x:c r="U855" s="31" t="str">
        <x:f>IF('Blind Scoring'!L855="","",'Blind Scoring'!L855)</x:f>
      </x:c>
    </x:row>
    <x:row r="856" ht="44" customHeight="1">
      <x:c r="A856" s="35" t="str">
        <x:v>Not Started</x:v>
      </x:c>
      <x:c r="B856" s="35" t="n">
        <x:v>854</x:v>
      </x:c>
      <x:c r="C856" s="35" t="str">
        <x:v>P14</x:v>
      </x:c>
      <x:c r="D856" s="35" t="n">
        <x:v>49</x:v>
      </x:c>
      <x:c r="E856" s="35" t="str">
        <x:v>Primary VLA</x:v>
      </x:c>
      <x:c r="F856" s="35" t="str">
        <x:v>MolmoAct2</x:v>
      </x:c>
      <x:c r="G856" s="35" t="n">
        <x:v>2</x:v>
      </x:c>
      <x:c r="H856" s="35" t="str">
        <x:v>Relational Placement</x:v>
      </x:c>
      <x:c r="I856" s="35" t="str">
        <x:v>Main held-out transfer</x:v>
      </x:c>
      <x:c r="J856" s="35" t="str">
        <x:v>PVLA-RP-TR-08</x:v>
      </x:c>
      <x:c r="K856" s="35" t="str">
        <x:v>R-CF15</x:v>
      </x:c>
      <x:c r="L856" s="31" t="str">
        <x:v>Place the green pen behind the red block.</x:v>
      </x:c>
      <x:c r="M856" s="31" t="str">
        <x:v>Place the green pen behind the red block.</x:v>
      </x:c>
      <x:c r="N856" s="31" t="str">
        <x:v>R-CF15-HELD: red block at front-right [REFERENCE]; green pen starts 24 cm in front of the reference [TARGET START]; pink marker and blue block are distractors outside the commanded goal sector.</x:v>
      </x:c>
      <x:c r="O856" s="31" t="str">
        <x:v>green pen → behind red block</x:v>
      </x:c>
      <x:c r="P856" s="31" t="str"/>
      <x:c r="Q856" s="31" t="str"/>
      <x:c r="R856" s="31" t="str"/>
      <x:c r="S856" s="31" t="str">
        <x:f>IF('Blind Scoring'!I856="","",'Blind Scoring'!I856)</x:f>
      </x:c>
      <x:c r="T856" s="31" t="str">
        <x:f>'Blind Scoring'!J856</x:f>
        <x:v>No</x:v>
      </x:c>
      <x:c r="U856" s="31" t="str">
        <x:f>IF('Blind Scoring'!L856="","",'Blind Scoring'!L856)</x:f>
      </x:c>
    </x:row>
    <x:row r="857" ht="44" customHeight="1">
      <x:c r="A857" s="35" t="str">
        <x:v>Not Started</x:v>
      </x:c>
      <x:c r="B857" s="35" t="n">
        <x:v>855</x:v>
      </x:c>
      <x:c r="C857" s="35" t="str">
        <x:v>P14</x:v>
      </x:c>
      <x:c r="D857" s="35" t="n">
        <x:v>50</x:v>
      </x:c>
      <x:c r="E857" s="35" t="str">
        <x:v>Primary VLA</x:v>
      </x:c>
      <x:c r="F857" s="35" t="str">
        <x:v>MolmoAct2</x:v>
      </x:c>
      <x:c r="G857" s="35" t="n">
        <x:v>2</x:v>
      </x:c>
      <x:c r="H857" s="35" t="str">
        <x:v>Relational Placement</x:v>
      </x:c>
      <x:c r="I857" s="35" t="str">
        <x:v>Exact-scene paraphrase</x:v>
      </x:c>
      <x:c r="J857" s="35" t="str">
        <x:v>PVLA-RP-PAR-05</x:v>
      </x:c>
      <x:c r="K857" s="35" t="str"/>
      <x:c r="L857" s="31" t="str">
        <x:v>Move the red block to the side of the pink marker facing the robot.</x:v>
      </x:c>
      <x:c r="M857" s="31" t="str">
        <x:v>Move the red block to the side of the pink marker facing the robot.</x:v>
      </x:c>
      <x:c r="N857" s="31" t="str">
        <x:v>R-P01: pink marker at center [REFERENCE]; red block starts 21 cm behind the reference [TARGET START]; remaining objects are distractors with ≥12 cm clearance from the target path and commanded goal sector.</x:v>
      </x:c>
      <x:c r="O857" s="31" t="str">
        <x:v>red block</x:v>
      </x:c>
      <x:c r="P857" s="31" t="str"/>
      <x:c r="Q857" s="31" t="str"/>
      <x:c r="R857" s="31" t="str"/>
      <x:c r="S857" s="31" t="str">
        <x:f>IF('Blind Scoring'!I857="","",'Blind Scoring'!I857)</x:f>
      </x:c>
      <x:c r="T857" s="31" t="str">
        <x:f>'Blind Scoring'!J857</x:f>
        <x:v>No</x:v>
      </x:c>
      <x:c r="U857" s="31" t="str">
        <x:f>IF('Blind Scoring'!L857="","",'Blind Scoring'!L857)</x:f>
      </x:c>
    </x:row>
    <x:row r="858" ht="44" customHeight="1">
      <x:c r="A858" s="35" t="str">
        <x:v>Not Started</x:v>
      </x:c>
      <x:c r="B858" s="35" t="n">
        <x:v>856</x:v>
      </x:c>
      <x:c r="C858" s="35" t="str">
        <x:v>P14</x:v>
      </x:c>
      <x:c r="D858" s="35" t="n">
        <x:v>51</x:v>
      </x:c>
      <x:c r="E858" s="35" t="str">
        <x:v>Primary VLA</x:v>
      </x:c>
      <x:c r="F858" s="35" t="str">
        <x:v>MolmoAct2</x:v>
      </x:c>
      <x:c r="G858" s="35" t="n">
        <x:v>2</x:v>
      </x:c>
      <x:c r="H858" s="35" t="str">
        <x:v>Relational Placement</x:v>
      </x:c>
      <x:c r="I858" s="35" t="str">
        <x:v>Training reconstruction</x:v>
      </x:c>
      <x:c r="J858" s="35" t="str">
        <x:v>PVLA-RP-REC-02</x:v>
      </x:c>
      <x:c r="K858" s="35" t="str"/>
      <x:c r="L858" s="31" t="str">
        <x:v>Put the green pen on the table in front of the pink marker.</x:v>
      </x:c>
      <x:c r="M858" s="31" t="str">
        <x:v>Put the green pen on the table in front of the pink marker.</x:v>
      </x:c>
      <x:c r="N858" s="31" t="str">
        <x:v>Reconstruct planned final training episode 206: green pen, red block, pink marker, blue block; start=Home. Match camera, calibration, bowl pose, and object geometry exactly.</x:v>
      </x:c>
      <x:c r="O858" s="31" t="str">
        <x:v>green pen</x:v>
      </x:c>
      <x:c r="P858" s="31" t="str"/>
      <x:c r="Q858" s="31" t="str"/>
      <x:c r="R858" s="31" t="str"/>
      <x:c r="S858" s="31" t="str">
        <x:f>IF('Blind Scoring'!I858="","",'Blind Scoring'!I858)</x:f>
      </x:c>
      <x:c r="T858" s="31" t="str">
        <x:f>'Blind Scoring'!J858</x:f>
        <x:v>No</x:v>
      </x:c>
      <x:c r="U858" s="31" t="str">
        <x:f>IF('Blind Scoring'!L858="","",'Blind Scoring'!L858)</x:f>
      </x:c>
    </x:row>
    <x:row r="859" ht="44" customHeight="1">
      <x:c r="A859" s="35" t="str">
        <x:v>Not Started</x:v>
      </x:c>
      <x:c r="B859" s="35" t="n">
        <x:v>857</x:v>
      </x:c>
      <x:c r="C859" s="35" t="str">
        <x:v>P14</x:v>
      </x:c>
      <x:c r="D859" s="35" t="n">
        <x:v>52</x:v>
      </x:c>
      <x:c r="E859" s="35" t="str">
        <x:v>Primary VLA</x:v>
      </x:c>
      <x:c r="F859" s="35" t="str">
        <x:v>MolmoAct2</x:v>
      </x:c>
      <x:c r="G859" s="35" t="n">
        <x:v>2</x:v>
      </x:c>
      <x:c r="H859" s="35" t="str">
        <x:v>Relational Placement</x:v>
      </x:c>
      <x:c r="I859" s="35" t="str">
        <x:v>Main held-out transfer</x:v>
      </x:c>
      <x:c r="J859" s="35" t="str">
        <x:v>PVLA-RP-TR-02</x:v>
      </x:c>
      <x:c r="K859" s="35" t="str">
        <x:v>R-CF03</x:v>
      </x:c>
      <x:c r="L859" s="31" t="str">
        <x:v>Place the green pen to the right of the red block.</x:v>
      </x:c>
      <x:c r="M859" s="31" t="str">
        <x:v>Place the green pen to the right of the red block.</x:v>
      </x:c>
      <x:c r="N859" s="31" t="str">
        <x:v>R-CF03-HELD: red block at back-right [REFERENCE]; green pen starts 24 cm to the left of the reference [TARGET START]; pink marker and blue block are distractors outside the commanded goal sector.</x:v>
      </x:c>
      <x:c r="O859" s="31" t="str">
        <x:v>green pen → to the right of red block</x:v>
      </x:c>
      <x:c r="P859" s="31" t="str"/>
      <x:c r="Q859" s="31" t="str"/>
      <x:c r="R859" s="31" t="str"/>
      <x:c r="S859" s="31" t="str">
        <x:f>IF('Blind Scoring'!I859="","",'Blind Scoring'!I859)</x:f>
      </x:c>
      <x:c r="T859" s="31" t="str">
        <x:f>'Blind Scoring'!J859</x:f>
        <x:v>No</x:v>
      </x:c>
      <x:c r="U859" s="31" t="str">
        <x:f>IF('Blind Scoring'!L859="","",'Blind Scoring'!L859)</x:f>
      </x:c>
    </x:row>
    <x:row r="860" ht="44" customHeight="1">
      <x:c r="A860" s="35" t="str">
        <x:v>Not Started</x:v>
      </x:c>
      <x:c r="B860" s="35" t="n">
        <x:v>858</x:v>
      </x:c>
      <x:c r="C860" s="35" t="str">
        <x:v>P14</x:v>
      </x:c>
      <x:c r="D860" s="35" t="n">
        <x:v>53</x:v>
      </x:c>
      <x:c r="E860" s="35" t="str">
        <x:v>Primary VLA</x:v>
      </x:c>
      <x:c r="F860" s="35" t="str">
        <x:v>MolmoAct2</x:v>
      </x:c>
      <x:c r="G860" s="35" t="n">
        <x:v>2</x:v>
      </x:c>
      <x:c r="H860" s="35" t="str">
        <x:v>Relational Placement</x:v>
      </x:c>
      <x:c r="I860" s="35" t="str">
        <x:v>Exact-scene paraphrase</x:v>
      </x:c>
      <x:c r="J860" s="35" t="str">
        <x:v>PVLA-RP-PAR-01</x:v>
      </x:c>
      <x:c r="K860" s="35" t="str"/>
      <x:c r="L860" s="31" t="str">
        <x:v>Move the red block to the side of the pink marker facing the robot.</x:v>
      </x:c>
      <x:c r="M860" s="31" t="str">
        <x:v>Move the red block to the side of the pink marker facing the robot.</x:v>
      </x:c>
      <x:c r="N860" s="31" t="str">
        <x:v>R-P01: pink marker at center [REFERENCE]; red block starts 21 cm behind the reference [TARGET START]; remaining objects are distractors with ≥12 cm clearance from the target path and commanded goal sector.</x:v>
      </x:c>
      <x:c r="O860" s="31" t="str">
        <x:v>red block</x:v>
      </x:c>
      <x:c r="P860" s="31" t="str"/>
      <x:c r="Q860" s="31" t="str"/>
      <x:c r="R860" s="31" t="str"/>
      <x:c r="S860" s="31" t="str">
        <x:f>IF('Blind Scoring'!I860="","",'Blind Scoring'!I860)</x:f>
      </x:c>
      <x:c r="T860" s="31" t="str">
        <x:f>'Blind Scoring'!J860</x:f>
        <x:v>No</x:v>
      </x:c>
      <x:c r="U860" s="31" t="str">
        <x:f>IF('Blind Scoring'!L860="","",'Blind Scoring'!L860)</x:f>
      </x:c>
    </x:row>
    <x:row r="861" ht="44" customHeight="1">
      <x:c r="A861" s="35" t="str">
        <x:v>Not Started</x:v>
      </x:c>
      <x:c r="B861" s="35" t="n">
        <x:v>859</x:v>
      </x:c>
      <x:c r="C861" s="35" t="str">
        <x:v>P14</x:v>
      </x:c>
      <x:c r="D861" s="35" t="n">
        <x:v>54</x:v>
      </x:c>
      <x:c r="E861" s="35" t="str">
        <x:v>Primary VLA</x:v>
      </x:c>
      <x:c r="F861" s="35" t="str">
        <x:v>MolmoAct2</x:v>
      </x:c>
      <x:c r="G861" s="35" t="n">
        <x:v>2</x:v>
      </x:c>
      <x:c r="H861" s="35" t="str">
        <x:v>Relational Placement</x:v>
      </x:c>
      <x:c r="I861" s="35" t="str">
        <x:v>Main matched control</x:v>
      </x:c>
      <x:c r="J861" s="35" t="str">
        <x:v>PVLA-RP-CTL-07</x:v>
      </x:c>
      <x:c r="K861" s="35" t="str">
        <x:v>R-CF13</x:v>
      </x:c>
      <x:c r="L861" s="31" t="str">
        <x:v>Place the green pen near the red block.</x:v>
      </x:c>
      <x:c r="M861" s="31" t="str">
        <x:v>Place the green pen near the red block.</x:v>
      </x:c>
      <x:c r="N861" s="31" t="str">
        <x:v>R-CF13-CTRL: red block at back-right [REFERENCE]; green pen starts 18 cm to the right of the reference [TARGET START]; pink marker and blue block are distractors outside the commanded goal sector.</x:v>
      </x:c>
      <x:c r="O861" s="31" t="str">
        <x:v>green pen near red block</x:v>
      </x:c>
      <x:c r="P861" s="31" t="str"/>
      <x:c r="Q861" s="31" t="str"/>
      <x:c r="R861" s="31" t="str"/>
      <x:c r="S861" s="31" t="str">
        <x:f>IF('Blind Scoring'!I861="","",'Blind Scoring'!I861)</x:f>
      </x:c>
      <x:c r="T861" s="31" t="str">
        <x:f>'Blind Scoring'!J861</x:f>
        <x:v>No</x:v>
      </x:c>
      <x:c r="U861" s="31" t="str">
        <x:f>IF('Blind Scoring'!L861="","",'Blind Scoring'!L861)</x:f>
      </x:c>
    </x:row>
    <x:row r="862" ht="44" customHeight="1">
      <x:c r="A862" s="35" t="str">
        <x:v>Not Started</x:v>
      </x:c>
      <x:c r="B862" s="35" t="n">
        <x:v>860</x:v>
      </x:c>
      <x:c r="C862" s="35" t="str">
        <x:v>P14</x:v>
      </x:c>
      <x:c r="D862" s="35" t="n">
        <x:v>55</x:v>
      </x:c>
      <x:c r="E862" s="35" t="str">
        <x:v>Primary VLA</x:v>
      </x:c>
      <x:c r="F862" s="35" t="str">
        <x:v>MolmoAct2</x:v>
      </x:c>
      <x:c r="G862" s="35" t="n">
        <x:v>2</x:v>
      </x:c>
      <x:c r="H862" s="35" t="str">
        <x:v>Relational Placement</x:v>
      </x:c>
      <x:c r="I862" s="35" t="str">
        <x:v>Language ablation — blank</x:v>
      </x:c>
      <x:c r="J862" s="35" t="str">
        <x:v>PVLA-RP-ABL-BLK-02</x:v>
      </x:c>
      <x:c r="K862" s="35" t="str">
        <x:v>R-CF03</x:v>
      </x:c>
      <x:c r="L862" s="31" t="str">
        <x:v>[EMPTY STRING — provide no instruction tokens]</x:v>
      </x:c>
      <x:c r="M862" s="31" t="str">
        <x:v>Place the green pen to the right of the red block.</x:v>
      </x:c>
      <x:c r="N862" s="31" t="str">
        <x:v>R-CF03-HELD: red block at back-right [REFERENCE]; green pen starts 24 cm to the left of the reference [TARGET START]; pink marker and blue block are distractors outside the commanded goal sector.</x:v>
      </x:c>
      <x:c r="O862" s="31" t="str">
        <x:v>No prespecified task success under blank language; record any action/selected target.</x:v>
      </x:c>
      <x:c r="P862" s="31" t="str"/>
      <x:c r="Q862" s="31" t="str"/>
      <x:c r="R862" s="31" t="str"/>
      <x:c r="S862" s="31" t="str">
        <x:f>IF('Blind Scoring'!I862="","",'Blind Scoring'!I862)</x:f>
      </x:c>
      <x:c r="T862" s="31" t="str">
        <x:f>'Blind Scoring'!J862</x:f>
        <x:v>No</x:v>
      </x:c>
      <x:c r="U862" s="31" t="str">
        <x:f>IF('Blind Scoring'!L862="","",'Blind Scoring'!L862)</x:f>
      </x:c>
    </x:row>
    <x:row r="863" ht="44" customHeight="1">
      <x:c r="A863" s="35" t="str">
        <x:v>Not Started</x:v>
      </x:c>
      <x:c r="B863" s="35" t="n">
        <x:v>861</x:v>
      </x:c>
      <x:c r="C863" s="35" t="str">
        <x:v>P14</x:v>
      </x:c>
      <x:c r="D863" s="35" t="n">
        <x:v>56</x:v>
      </x:c>
      <x:c r="E863" s="35" t="str">
        <x:v>Primary VLA</x:v>
      </x:c>
      <x:c r="F863" s="35" t="str">
        <x:v>MolmoAct2</x:v>
      </x:c>
      <x:c r="G863" s="35" t="n">
        <x:v>2</x:v>
      </x:c>
      <x:c r="H863" s="35" t="str">
        <x:v>Relational Placement</x:v>
      </x:c>
      <x:c r="I863" s="35" t="str">
        <x:v>Main held-out transfer</x:v>
      </x:c>
      <x:c r="J863" s="35" t="str">
        <x:v>PVLA-RP-TR-03</x:v>
      </x:c>
      <x:c r="K863" s="35" t="str">
        <x:v>R-CF05</x:v>
      </x:c>
      <x:c r="L863" s="31" t="str">
        <x:v>Place the green pen to the left of the red block.</x:v>
      </x:c>
      <x:c r="M863" s="31" t="str">
        <x:v>Place the green pen to the left of the red block.</x:v>
      </x:c>
      <x:c r="N863" s="31" t="str">
        <x:v>R-CF05-HELD: red block at front-right [REFERENCE]; green pen starts 21 cm to the right of the reference [TARGET START]; pink marker and blue block are distractors outside the commanded goal sector.</x:v>
      </x:c>
      <x:c r="O863" s="31" t="str">
        <x:v>green pen → to the left of red block</x:v>
      </x:c>
      <x:c r="P863" s="31" t="str"/>
      <x:c r="Q863" s="31" t="str"/>
      <x:c r="R863" s="31" t="str"/>
      <x:c r="S863" s="31" t="str">
        <x:f>IF('Blind Scoring'!I863="","",'Blind Scoring'!I863)</x:f>
      </x:c>
      <x:c r="T863" s="31" t="str">
        <x:f>'Blind Scoring'!J863</x:f>
        <x:v>No</x:v>
      </x:c>
      <x:c r="U863" s="31" t="str">
        <x:f>IF('Blind Scoring'!L863="","",'Blind Scoring'!L863)</x:f>
      </x:c>
    </x:row>
    <x:row r="864" ht="44" customHeight="1">
      <x:c r="A864" s="35" t="str">
        <x:v>Not Started</x:v>
      </x:c>
      <x:c r="B864" s="35" t="n">
        <x:v>862</x:v>
      </x:c>
      <x:c r="C864" s="35" t="str">
        <x:v>P14</x:v>
      </x:c>
      <x:c r="D864" s="35" t="n">
        <x:v>57</x:v>
      </x:c>
      <x:c r="E864" s="35" t="str">
        <x:v>Primary VLA</x:v>
      </x:c>
      <x:c r="F864" s="35" t="str">
        <x:v>MolmoAct2</x:v>
      </x:c>
      <x:c r="G864" s="35" t="n">
        <x:v>2</x:v>
      </x:c>
      <x:c r="H864" s="35" t="str">
        <x:v>Relational Placement</x:v>
      </x:c>
      <x:c r="I864" s="35" t="str">
        <x:v>Novel layout + seen language</x:v>
      </x:c>
      <x:c r="J864" s="35" t="str">
        <x:v>PVLA-RP-NOV-07</x:v>
      </x:c>
      <x:c r="K864" s="35" t="str"/>
      <x:c r="L864" s="31" t="str">
        <x:v>Place the pink marker in front of the blue block.</x:v>
      </x:c>
      <x:c r="M864" s="31" t="str">
        <x:v>Place the pink marker in front of the blue block.</x:v>
      </x:c>
      <x:c r="N864" s="31" t="str">
        <x:v>R-S17: blue block at center [REFERENCE]; pink marker starts 18 cm behind the reference [TARGET START]; remaining objects are distractors with ≥12 cm clearance from the target path and commanded goal sector.</x:v>
      </x:c>
      <x:c r="O864" s="31" t="str">
        <x:v>pink marker</x:v>
      </x:c>
      <x:c r="P864" s="31" t="str"/>
      <x:c r="Q864" s="31" t="str"/>
      <x:c r="R864" s="31" t="str"/>
      <x:c r="S864" s="31" t="str">
        <x:f>IF('Blind Scoring'!I864="","",'Blind Scoring'!I864)</x:f>
      </x:c>
      <x:c r="T864" s="31" t="str">
        <x:f>'Blind Scoring'!J864</x:f>
        <x:v>No</x:v>
      </x:c>
      <x:c r="U864" s="31" t="str">
        <x:f>IF('Blind Scoring'!L864="","",'Blind Scoring'!L864)</x:f>
      </x:c>
    </x:row>
    <x:row r="865" ht="44" customHeight="1">
      <x:c r="A865" s="35" t="str">
        <x:v>Not Started</x:v>
      </x:c>
      <x:c r="B865" s="35" t="n">
        <x:v>863</x:v>
      </x:c>
      <x:c r="C865" s="35" t="str">
        <x:v>P14</x:v>
      </x:c>
      <x:c r="D865" s="35" t="n">
        <x:v>58</x:v>
      </x:c>
      <x:c r="E865" s="35" t="str">
        <x:v>Primary VLA</x:v>
      </x:c>
      <x:c r="F865" s="35" t="str">
        <x:v>MolmoAct2</x:v>
      </x:c>
      <x:c r="G865" s="35" t="n">
        <x:v>2</x:v>
      </x:c>
      <x:c r="H865" s="35" t="str">
        <x:v>Relational Placement</x:v>
      </x:c>
      <x:c r="I865" s="35" t="str">
        <x:v>Main held-out transfer</x:v>
      </x:c>
      <x:c r="J865" s="35" t="str">
        <x:v>PVLA-RP-TR-14</x:v>
      </x:c>
      <x:c r="K865" s="35" t="str">
        <x:v>R-CF26</x:v>
      </x:c>
      <x:c r="L865" s="31" t="str">
        <x:v>Place the red block behind the green pen.</x:v>
      </x:c>
      <x:c r="M865" s="31" t="str">
        <x:v>Place the red block behind the green pen.</x:v>
      </x:c>
      <x:c r="N865" s="31" t="str">
        <x:v>R-CF26-HELD: green pen at center [REFERENCE]; red block starts 21 cm in front of the reference [TARGET START]; blue block and pink marker are distractors outside the commanded goal sector.</x:v>
      </x:c>
      <x:c r="O865" s="31" t="str">
        <x:v>red block → behind green pen</x:v>
      </x:c>
      <x:c r="P865" s="31" t="str"/>
      <x:c r="Q865" s="31" t="str"/>
      <x:c r="R865" s="31" t="str"/>
      <x:c r="S865" s="31" t="str">
        <x:f>IF('Blind Scoring'!I865="","",'Blind Scoring'!I865)</x:f>
      </x:c>
      <x:c r="T865" s="31" t="str">
        <x:f>'Blind Scoring'!J865</x:f>
        <x:v>No</x:v>
      </x:c>
      <x:c r="U865" s="31" t="str">
        <x:f>IF('Blind Scoring'!L865="","",'Blind Scoring'!L865)</x:f>
      </x:c>
    </x:row>
    <x:row r="866" ht="44" customHeight="1">
      <x:c r="A866" s="35" t="str">
        <x:v>Not Started</x:v>
      </x:c>
      <x:c r="B866" s="35" t="n">
        <x:v>864</x:v>
      </x:c>
      <x:c r="C866" s="35" t="str">
        <x:v>P14</x:v>
      </x:c>
      <x:c r="D866" s="35" t="n">
        <x:v>59</x:v>
      </x:c>
      <x:c r="E866" s="35" t="str">
        <x:v>Primary VLA</x:v>
      </x:c>
      <x:c r="F866" s="35" t="str">
        <x:v>MolmoAct2</x:v>
      </x:c>
      <x:c r="G866" s="35" t="n">
        <x:v>2</x:v>
      </x:c>
      <x:c r="H866" s="35" t="str">
        <x:v>Relational Placement</x:v>
      </x:c>
      <x:c r="I866" s="35" t="str">
        <x:v>Main matched control</x:v>
      </x:c>
      <x:c r="J866" s="35" t="str">
        <x:v>PVLA-RP-CTL-16</x:v>
      </x:c>
      <x:c r="K866" s="35" t="str">
        <x:v>R-CF30</x:v>
      </x:c>
      <x:c r="L866" s="31" t="str">
        <x:v>Place the red block beside the green pen.</x:v>
      </x:c>
      <x:c r="M866" s="31" t="str">
        <x:v>Place the red block beside the green pen.</x:v>
      </x:c>
      <x:c r="N866" s="31" t="str">
        <x:v>R-CF30-CTRL: green pen at front-right [REFERENCE]; red block starts 24 cm to the left of the reference [TARGET START]; blue block and pink marker are distractors outside the commanded goal sector.</x:v>
      </x:c>
      <x:c r="O866" s="31" t="str">
        <x:v>red block near green pen</x:v>
      </x:c>
      <x:c r="P866" s="31" t="str"/>
      <x:c r="Q866" s="31" t="str"/>
      <x:c r="R866" s="31" t="str"/>
      <x:c r="S866" s="31" t="str">
        <x:f>IF('Blind Scoring'!I866="","",'Blind Scoring'!I866)</x:f>
      </x:c>
      <x:c r="T866" s="31" t="str">
        <x:f>'Blind Scoring'!J866</x:f>
        <x:v>No</x:v>
      </x:c>
      <x:c r="U866" s="31" t="str">
        <x:f>IF('Blind Scoring'!L866="","",'Blind Scoring'!L866)</x:f>
      </x:c>
    </x:row>
    <x:row r="867" ht="44" customHeight="1">
      <x:c r="A867" s="35" t="str">
        <x:v>Not Started</x:v>
      </x:c>
      <x:c r="B867" s="35" t="n">
        <x:v>865</x:v>
      </x:c>
      <x:c r="C867" s="35" t="str">
        <x:v>P14</x:v>
      </x:c>
      <x:c r="D867" s="35" t="n">
        <x:v>60</x:v>
      </x:c>
      <x:c r="E867" s="35" t="str">
        <x:v>Primary VLA</x:v>
      </x:c>
      <x:c r="F867" s="35" t="str">
        <x:v>MolmoAct2</x:v>
      </x:c>
      <x:c r="G867" s="35" t="n">
        <x:v>2</x:v>
      </x:c>
      <x:c r="H867" s="35" t="str">
        <x:v>Relational Placement</x:v>
      </x:c>
      <x:c r="I867" s="35" t="str">
        <x:v>Main matched control</x:v>
      </x:c>
      <x:c r="J867" s="35" t="str">
        <x:v>PVLA-RP-CTL-02</x:v>
      </x:c>
      <x:c r="K867" s="35" t="str">
        <x:v>R-CF03</x:v>
      </x:c>
      <x:c r="L867" s="31" t="str">
        <x:v>Place the green pen beside the red block.</x:v>
      </x:c>
      <x:c r="M867" s="31" t="str">
        <x:v>Place the green pen beside the red block.</x:v>
      </x:c>
      <x:c r="N867" s="31" t="str">
        <x:v>R-CF03-CTRL: red block at back-right [REFERENCE]; green pen starts 24 cm to the left of the reference [TARGET START]; pink marker and blue block are distractors outside the commanded goal sector.</x:v>
      </x:c>
      <x:c r="O867" s="31" t="str">
        <x:v>green pen near red block</x:v>
      </x:c>
      <x:c r="P867" s="31" t="str"/>
      <x:c r="Q867" s="31" t="str"/>
      <x:c r="R867" s="31" t="str"/>
      <x:c r="S867" s="31" t="str">
        <x:f>IF('Blind Scoring'!I867="","",'Blind Scoring'!I867)</x:f>
      </x:c>
      <x:c r="T867" s="31" t="str">
        <x:f>'Blind Scoring'!J867</x:f>
        <x:v>No</x:v>
      </x:c>
      <x:c r="U867" s="31" t="str">
        <x:f>IF('Blind Scoring'!L867="","",'Blind Scoring'!L867)</x:f>
      </x:c>
    </x:row>
    <x:row r="868" ht="44" customHeight="1">
      <x:c r="A868" s="35" t="str">
        <x:v>Not Started</x:v>
      </x:c>
      <x:c r="B868" s="35" t="n">
        <x:v>866</x:v>
      </x:c>
      <x:c r="C868" s="35" t="str">
        <x:v>P14</x:v>
      </x:c>
      <x:c r="D868" s="35" t="n">
        <x:v>61</x:v>
      </x:c>
      <x:c r="E868" s="35" t="str">
        <x:v>Primary VLA</x:v>
      </x:c>
      <x:c r="F868" s="35" t="str">
        <x:v>MolmoAct2</x:v>
      </x:c>
      <x:c r="G868" s="35" t="n">
        <x:v>2</x:v>
      </x:c>
      <x:c r="H868" s="35" t="str">
        <x:v>Relational Placement</x:v>
      </x:c>
      <x:c r="I868" s="35" t="str">
        <x:v>Exact-scene paraphrase</x:v>
      </x:c>
      <x:c r="J868" s="35" t="str">
        <x:v>PVLA-RP-PAR-02</x:v>
      </x:c>
      <x:c r="K868" s="35" t="str"/>
      <x:c r="L868" s="31" t="str">
        <x:v>Move the red block to the side of the pink marker facing the robot.</x:v>
      </x:c>
      <x:c r="M868" s="31" t="str">
        <x:v>Move the red block to the side of the pink marker facing the robot.</x:v>
      </x:c>
      <x:c r="N868" s="31" t="str">
        <x:v>R-P01: pink marker at center [REFERENCE]; red block starts 21 cm behind the reference [TARGET START]; remaining objects are distractors with ≥12 cm clearance from the target path and commanded goal sector.</x:v>
      </x:c>
      <x:c r="O868" s="31" t="str">
        <x:v>red block</x:v>
      </x:c>
      <x:c r="P868" s="31" t="str"/>
      <x:c r="Q868" s="31" t="str"/>
      <x:c r="R868" s="31" t="str"/>
      <x:c r="S868" s="31" t="str">
        <x:f>IF('Blind Scoring'!I868="","",'Blind Scoring'!I868)</x:f>
      </x:c>
      <x:c r="T868" s="31" t="str">
        <x:f>'Blind Scoring'!J868</x:f>
        <x:v>No</x:v>
      </x:c>
      <x:c r="U868" s="31" t="str">
        <x:f>IF('Blind Scoring'!L868="","",'Blind Scoring'!L868)</x:f>
      </x:c>
    </x:row>
    <x:row r="869" ht="44" customHeight="1">
      <x:c r="A869" s="35" t="str">
        <x:v>Not Started</x:v>
      </x:c>
      <x:c r="B869" s="35" t="n">
        <x:v>867</x:v>
      </x:c>
      <x:c r="C869" s="35" t="str">
        <x:v>P14</x:v>
      </x:c>
      <x:c r="D869" s="35" t="n">
        <x:v>62</x:v>
      </x:c>
      <x:c r="E869" s="35" t="str">
        <x:v>Primary VLA</x:v>
      </x:c>
      <x:c r="F869" s="35" t="str">
        <x:v>MolmoAct2</x:v>
      </x:c>
      <x:c r="G869" s="35" t="n">
        <x:v>2</x:v>
      </x:c>
      <x:c r="H869" s="35" t="str">
        <x:v>Relational Placement</x:v>
      </x:c>
      <x:c r="I869" s="35" t="str">
        <x:v>Main held-out transfer</x:v>
      </x:c>
      <x:c r="J869" s="35" t="str">
        <x:v>PVLA-RP-TR-16</x:v>
      </x:c>
      <x:c r="K869" s="35" t="str">
        <x:v>R-CF30</x:v>
      </x:c>
      <x:c r="L869" s="31" t="str">
        <x:v>Place the red block to the right of the green pen.</x:v>
      </x:c>
      <x:c r="M869" s="31" t="str">
        <x:v>Place the red block to the right of the green pen.</x:v>
      </x:c>
      <x:c r="N869" s="31" t="str">
        <x:v>R-CF30-HELD: green pen at front-right [REFERENCE]; red block starts 24 cm to the left of the reference [TARGET START]; blue block and pink marker are distractors outside the commanded goal sector.</x:v>
      </x:c>
      <x:c r="O869" s="31" t="str">
        <x:v>red block → to the right of green pen</x:v>
      </x:c>
      <x:c r="P869" s="31" t="str"/>
      <x:c r="Q869" s="31" t="str"/>
      <x:c r="R869" s="31" t="str"/>
      <x:c r="S869" s="31" t="str">
        <x:f>IF('Blind Scoring'!I869="","",'Blind Scoring'!I869)</x:f>
      </x:c>
      <x:c r="T869" s="31" t="str">
        <x:f>'Blind Scoring'!J869</x:f>
        <x:v>No</x:v>
      </x:c>
      <x:c r="U869" s="31" t="str">
        <x:f>IF('Blind Scoring'!L869="","",'Blind Scoring'!L869)</x:f>
      </x:c>
    </x:row>
    <x:row r="870" ht="44" customHeight="1">
      <x:c r="A870" s="35" t="str">
        <x:v>Not Started</x:v>
      </x:c>
      <x:c r="B870" s="35" t="n">
        <x:v>868</x:v>
      </x:c>
      <x:c r="C870" s="35" t="str">
        <x:v>P15</x:v>
      </x:c>
      <x:c r="D870" s="35" t="n">
        <x:v>1</x:v>
      </x:c>
      <x:c r="E870" s="35" t="str">
        <x:v>Primary VLA</x:v>
      </x:c>
      <x:c r="F870" s="35" t="str">
        <x:v>MolmoAct2</x:v>
      </x:c>
      <x:c r="G870" s="35" t="n">
        <x:v>2</x:v>
      </x:c>
      <x:c r="H870" s="35" t="str">
        <x:v>Counting</x:v>
      </x:c>
      <x:c r="I870" s="35" t="str">
        <x:v>Training reconstruction</x:v>
      </x:c>
      <x:c r="J870" s="35" t="str">
        <x:v>PVLA-CT-REC-03</x:v>
      </x:c>
      <x:c r="K870" s="35" t="str"/>
      <x:c r="L870" s="31" t="str">
        <x:v>Move the yellow block into the bowl.</x:v>
      </x:c>
      <x:c r="M870" s="31" t="str">
        <x:v>Move the yellow block into the bowl.</x:v>
      </x:c>
      <x:c r="N870" s="31" t="str">
        <x:v>Reconstruct planned final training episode 850: yellow block, green pencil sharpener, airplane toy without propellers, blue pen; start=Home. Match camera, calibration, bowl pose, and object geometry exactly.</x:v>
      </x:c>
      <x:c r="O870" s="31" t="str">
        <x:v>yellow block</x:v>
      </x:c>
      <x:c r="P870" s="31" t="str"/>
      <x:c r="Q870" s="31" t="str"/>
      <x:c r="R870" s="31" t="str"/>
      <x:c r="S870" s="31" t="str">
        <x:f>IF('Blind Scoring'!I870="","",'Blind Scoring'!I870)</x:f>
      </x:c>
      <x:c r="T870" s="31" t="str">
        <x:f>'Blind Scoring'!J870</x:f>
        <x:v>No</x:v>
      </x:c>
      <x:c r="U870" s="31" t="str">
        <x:f>IF('Blind Scoring'!L870="","",'Blind Scoring'!L870)</x:f>
      </x:c>
    </x:row>
    <x:row r="871" ht="44" customHeight="1">
      <x:c r="A871" s="35" t="str">
        <x:v>Not Started</x:v>
      </x:c>
      <x:c r="B871" s="35" t="n">
        <x:v>869</x:v>
      </x:c>
      <x:c r="C871" s="35" t="str">
        <x:v>P15</x:v>
      </x:c>
      <x:c r="D871" s="35" t="n">
        <x:v>2</x:v>
      </x:c>
      <x:c r="E871" s="35" t="str">
        <x:v>Primary VLA</x:v>
      </x:c>
      <x:c r="F871" s="35" t="str">
        <x:v>MolmoAct2</x:v>
      </x:c>
      <x:c r="G871" s="35" t="n">
        <x:v>2</x:v>
      </x:c>
      <x:c r="H871" s="35" t="str">
        <x:v>Counting</x:v>
      </x:c>
      <x:c r="I871" s="35" t="str">
        <x:v>Main matched control</x:v>
      </x:c>
      <x:c r="J871" s="35" t="str">
        <x:v>PVLA-CT-CTL-05</x:v>
      </x:c>
      <x:c r="K871" s="35" t="str">
        <x:v>C-CF04-A</x:v>
      </x:c>
      <x:c r="L871" s="31" t="str">
        <x:v>Remove the airplane toy without propellers from the bowl.</x:v>
      </x:c>
      <x:c r="M871" s="31" t="str">
        <x:v>Remove the airplane toy without propellers from the bowl.</x:v>
      </x:c>
      <x:c r="N871" s="31" t="str">
        <x:v>C-CF04-CA: bowl=[airplane toy without propellers, blue pen] (2); table=[yellow block, green pencil sharpener]; robot home; acceptable action=remove either bowl object.</x:v>
      </x:c>
      <x:c r="O871" s="31" t="str">
        <x:v>REMOVE airplane toy without propellers</x:v>
      </x:c>
      <x:c r="P871" s="31" t="str"/>
      <x:c r="Q871" s="31" t="str"/>
      <x:c r="R871" s="31" t="str"/>
      <x:c r="S871" s="31" t="str">
        <x:f>IF('Blind Scoring'!I871="","",'Blind Scoring'!I871)</x:f>
      </x:c>
      <x:c r="T871" s="31" t="str">
        <x:f>'Blind Scoring'!J871</x:f>
        <x:v>No</x:v>
      </x:c>
      <x:c r="U871" s="31" t="str">
        <x:f>IF('Blind Scoring'!L871="","",'Blind Scoring'!L871)</x:f>
      </x:c>
    </x:row>
    <x:row r="872" ht="44" customHeight="1">
      <x:c r="A872" s="35" t="str">
        <x:v>Not Started</x:v>
      </x:c>
      <x:c r="B872" s="35" t="n">
        <x:v>870</x:v>
      </x:c>
      <x:c r="C872" s="35" t="str">
        <x:v>P15</x:v>
      </x:c>
      <x:c r="D872" s="35" t="n">
        <x:v>3</x:v>
      </x:c>
      <x:c r="E872" s="35" t="str">
        <x:v>Primary VLA</x:v>
      </x:c>
      <x:c r="F872" s="35" t="str">
        <x:v>MolmoAct2</x:v>
      </x:c>
      <x:c r="G872" s="35" t="n">
        <x:v>2</x:v>
      </x:c>
      <x:c r="H872" s="35" t="str">
        <x:v>Counting</x:v>
      </x:c>
      <x:c r="I872" s="35" t="str">
        <x:v>Main matched control</x:v>
      </x:c>
      <x:c r="J872" s="35" t="str">
        <x:v>PVLA-CT-CTL-10</x:v>
      </x:c>
      <x:c r="K872" s="35" t="str">
        <x:v>C-CF07-B</x:v>
      </x:c>
      <x:c r="L872" s="31" t="str">
        <x:v>Put the blue pen in the bowl.</x:v>
      </x:c>
      <x:c r="M872" s="31" t="str">
        <x:v>Put the blue pen in the bowl.</x:v>
      </x:c>
      <x:c r="N872" s="31" t="str">
        <x:v>C-CF07-CB: bowl=[green pencil sharpener, airplane toy without propellers] (2); table=[blue pen, yellow block]; robot home; acceptable action=add either table object.</x:v>
      </x:c>
      <x:c r="O872" s="31" t="str">
        <x:v>ADD blue pen</x:v>
      </x:c>
      <x:c r="P872" s="31" t="str"/>
      <x:c r="Q872" s="31" t="str"/>
      <x:c r="R872" s="31" t="str"/>
      <x:c r="S872" s="31" t="str">
        <x:f>IF('Blind Scoring'!I872="","",'Blind Scoring'!I872)</x:f>
      </x:c>
      <x:c r="T872" s="31" t="str">
        <x:f>'Blind Scoring'!J872</x:f>
        <x:v>No</x:v>
      </x:c>
      <x:c r="U872" s="31" t="str">
        <x:f>IF('Blind Scoring'!L872="","",'Blind Scoring'!L872)</x:f>
      </x:c>
    </x:row>
    <x:row r="873" ht="44" customHeight="1">
      <x:c r="A873" s="35" t="str">
        <x:v>Not Started</x:v>
      </x:c>
      <x:c r="B873" s="35" t="n">
        <x:v>871</x:v>
      </x:c>
      <x:c r="C873" s="35" t="str">
        <x:v>P15</x:v>
      </x:c>
      <x:c r="D873" s="35" t="n">
        <x:v>4</x:v>
      </x:c>
      <x:c r="E873" s="35" t="str">
        <x:v>Primary VLA</x:v>
      </x:c>
      <x:c r="F873" s="35" t="str">
        <x:v>MolmoAct2</x:v>
      </x:c>
      <x:c r="G873" s="35" t="n">
        <x:v>2</x:v>
      </x:c>
      <x:c r="H873" s="35" t="str">
        <x:v>Counting</x:v>
      </x:c>
      <x:c r="I873" s="35" t="str">
        <x:v>Main matched control</x:v>
      </x:c>
      <x:c r="J873" s="35" t="str">
        <x:v>PVLA-CT-CTL-07</x:v>
      </x:c>
      <x:c r="K873" s="35" t="str">
        <x:v>C-CF06-A</x:v>
      </x:c>
      <x:c r="L873" s="31" t="str">
        <x:v>Remove the yellow block from the bowl.</x:v>
      </x:c>
      <x:c r="M873" s="31" t="str">
        <x:v>Remove the yellow block from the bowl.</x:v>
      </x:c>
      <x:c r="N873" s="31" t="str">
        <x:v>C-CF06-CA: bowl=[yellow block, green pencil sharpener] (2); table=[airplane toy without propellers, blue pen]; robot home; acceptable action=remove either bowl object.</x:v>
      </x:c>
      <x:c r="O873" s="31" t="str">
        <x:v>REMOVE yellow block</x:v>
      </x:c>
      <x:c r="P873" s="31" t="str"/>
      <x:c r="Q873" s="31" t="str"/>
      <x:c r="R873" s="31" t="str"/>
      <x:c r="S873" s="31" t="str">
        <x:f>IF('Blind Scoring'!I873="","",'Blind Scoring'!I873)</x:f>
      </x:c>
      <x:c r="T873" s="31" t="str">
        <x:f>'Blind Scoring'!J873</x:f>
        <x:v>No</x:v>
      </x:c>
      <x:c r="U873" s="31" t="str">
        <x:f>IF('Blind Scoring'!L873="","",'Blind Scoring'!L873)</x:f>
      </x:c>
    </x:row>
    <x:row r="874" ht="44" customHeight="1">
      <x:c r="A874" s="35" t="str">
        <x:v>Not Started</x:v>
      </x:c>
      <x:c r="B874" s="35" t="n">
        <x:v>872</x:v>
      </x:c>
      <x:c r="C874" s="35" t="str">
        <x:v>P15</x:v>
      </x:c>
      <x:c r="D874" s="35" t="n">
        <x:v>5</x:v>
      </x:c>
      <x:c r="E874" s="35" t="str">
        <x:v>Primary VLA</x:v>
      </x:c>
      <x:c r="F874" s="35" t="str">
        <x:v>MolmoAct2</x:v>
      </x:c>
      <x:c r="G874" s="35" t="n">
        <x:v>2</x:v>
      </x:c>
      <x:c r="H874" s="35" t="str">
        <x:v>Counting</x:v>
      </x:c>
      <x:c r="I874" s="35" t="str">
        <x:v>Main held-out transfer</x:v>
      </x:c>
      <x:c r="J874" s="35" t="str">
        <x:v>PVLA-CT-TR-12</x:v>
      </x:c>
      <x:c r="K874" s="35" t="str">
        <x:v>C-CF09-B</x:v>
      </x:c>
      <x:c r="L874" s="31" t="str">
        <x:v>Leave exactly three objects in the bowl.</x:v>
      </x:c>
      <x:c r="M874" s="31" t="str">
        <x:v>Leave exactly three objects in the bowl.</x:v>
      </x:c>
      <x:c r="N874" s="31" t="str">
        <x:v>C-CF09B: bowl=[blue pen, yellow block] (2); table=[green pencil sharpener, airplane toy without propellers]; robot home; acceptable action=add either table object.</x:v>
      </x:c>
      <x:c r="O874" s="31" t="str">
        <x:v>ADD one table object</x:v>
      </x:c>
      <x:c r="P874" s="31" t="str"/>
      <x:c r="Q874" s="31" t="str"/>
      <x:c r="R874" s="31" t="str"/>
      <x:c r="S874" s="31" t="str">
        <x:f>IF('Blind Scoring'!I874="","",'Blind Scoring'!I874)</x:f>
      </x:c>
      <x:c r="T874" s="31" t="str">
        <x:f>'Blind Scoring'!J874</x:f>
        <x:v>No</x:v>
      </x:c>
      <x:c r="U874" s="31" t="str">
        <x:f>IF('Blind Scoring'!L874="","",'Blind Scoring'!L874)</x:f>
      </x:c>
    </x:row>
    <x:row r="875" ht="44" customHeight="1">
      <x:c r="A875" s="35" t="str">
        <x:v>Not Started</x:v>
      </x:c>
      <x:c r="B875" s="35" t="n">
        <x:v>873</x:v>
      </x:c>
      <x:c r="C875" s="35" t="str">
        <x:v>P15</x:v>
      </x:c>
      <x:c r="D875" s="35" t="n">
        <x:v>6</x:v>
      </x:c>
      <x:c r="E875" s="35" t="str">
        <x:v>Primary VLA</x:v>
      </x:c>
      <x:c r="F875" s="35" t="str">
        <x:v>MolmoAct2</x:v>
      </x:c>
      <x:c r="G875" s="35" t="n">
        <x:v>2</x:v>
      </x:c>
      <x:c r="H875" s="35" t="str">
        <x:v>Counting</x:v>
      </x:c>
      <x:c r="I875" s="35" t="str">
        <x:v>Language ablation — counterfactual</x:v>
      </x:c>
      <x:c r="J875" s="35" t="str">
        <x:v>PVLA-CT-ABL-CF-03</x:v>
      </x:c>
      <x:c r="K875" s="35" t="str">
        <x:v>C-CF06-A</x:v>
      </x:c>
      <x:c r="L875" s="31" t="str">
        <x:v>Leave exactly three objects in the bowl.</x:v>
      </x:c>
      <x:c r="M875" s="31" t="str">
        <x:v>Leave exactly three objects in the bowl.</x:v>
      </x:c>
      <x:c r="N875" s="31" t="str">
        <x:v>C-CF06A: bowl=[yellow block, green pencil sharpener] (2); table=[airplane toy without propellers, blue pen]; robot home; acceptable action=remove either bowl object.</x:v>
      </x:c>
      <x:c r="O875" s="31" t="str">
        <x:v>ADD one table object</x:v>
      </x:c>
      <x:c r="P875" s="31" t="str"/>
      <x:c r="Q875" s="31" t="str"/>
      <x:c r="R875" s="31" t="str"/>
      <x:c r="S875" s="31" t="str">
        <x:f>IF('Blind Scoring'!I875="","",'Blind Scoring'!I875)</x:f>
      </x:c>
      <x:c r="T875" s="31" t="str">
        <x:f>'Blind Scoring'!J875</x:f>
        <x:v>No</x:v>
      </x:c>
      <x:c r="U875" s="31" t="str">
        <x:f>IF('Blind Scoring'!L875="","",'Blind Scoring'!L875)</x:f>
      </x:c>
    </x:row>
    <x:row r="876" ht="44" customHeight="1">
      <x:c r="A876" s="35" t="str">
        <x:v>Not Started</x:v>
      </x:c>
      <x:c r="B876" s="35" t="n">
        <x:v>874</x:v>
      </x:c>
      <x:c r="C876" s="35" t="str">
        <x:v>P15</x:v>
      </x:c>
      <x:c r="D876" s="35" t="n">
        <x:v>7</x:v>
      </x:c>
      <x:c r="E876" s="35" t="str">
        <x:v>Primary VLA</x:v>
      </x:c>
      <x:c r="F876" s="35" t="str">
        <x:v>MolmoAct2</x:v>
      </x:c>
      <x:c r="G876" s="35" t="n">
        <x:v>2</x:v>
      </x:c>
      <x:c r="H876" s="35" t="str">
        <x:v>Counting</x:v>
      </x:c>
      <x:c r="I876" s="35" t="str">
        <x:v>Language ablation — blank</x:v>
      </x:c>
      <x:c r="J876" s="35" t="str">
        <x:v>PVLA-CT-ABL-BLK-02</x:v>
      </x:c>
      <x:c r="K876" s="35" t="str">
        <x:v>C-CF01-B</x:v>
      </x:c>
      <x:c r="L876" s="31" t="str">
        <x:v>[EMPTY STRING — provide no instruction tokens]</x:v>
      </x:c>
      <x:c r="M876" s="31" t="str">
        <x:v>Leave exactly three objects in the bowl.</x:v>
      </x:c>
      <x:c r="N876" s="31" t="str">
        <x:v>C-CF01B: bowl=[blue pen, yellow block] (2); table=[green pencil sharpener, airplane toy without propellers]; robot home; acceptable action=add either table object.</x:v>
      </x:c>
      <x:c r="O876" s="31" t="str">
        <x:v>No prespecified task success under blank language; record any action/selected target.</x:v>
      </x:c>
      <x:c r="P876" s="31" t="str"/>
      <x:c r="Q876" s="31" t="str"/>
      <x:c r="R876" s="31" t="str"/>
      <x:c r="S876" s="31" t="str">
        <x:f>IF('Blind Scoring'!I876="","",'Blind Scoring'!I876)</x:f>
      </x:c>
      <x:c r="T876" s="31" t="str">
        <x:f>'Blind Scoring'!J876</x:f>
        <x:v>No</x:v>
      </x:c>
      <x:c r="U876" s="31" t="str">
        <x:f>IF('Blind Scoring'!L876="","",'Blind Scoring'!L876)</x:f>
      </x:c>
    </x:row>
    <x:row r="877" ht="44" customHeight="1">
      <x:c r="A877" s="35" t="str">
        <x:v>Not Started</x:v>
      </x:c>
      <x:c r="B877" s="35" t="n">
        <x:v>875</x:v>
      </x:c>
      <x:c r="C877" s="35" t="str">
        <x:v>P15</x:v>
      </x:c>
      <x:c r="D877" s="35" t="n">
        <x:v>8</x:v>
      </x:c>
      <x:c r="E877" s="35" t="str">
        <x:v>Primary VLA</x:v>
      </x:c>
      <x:c r="F877" s="35" t="str">
        <x:v>MolmoAct2</x:v>
      </x:c>
      <x:c r="G877" s="35" t="n">
        <x:v>2</x:v>
      </x:c>
      <x:c r="H877" s="35" t="str">
        <x:v>Counting</x:v>
      </x:c>
      <x:c r="I877" s="35" t="str">
        <x:v>Language ablation — blank</x:v>
      </x:c>
      <x:c r="J877" s="35" t="str">
        <x:v>PVLA-CT-ABL-BLK-04</x:v>
      </x:c>
      <x:c r="K877" s="35" t="str">
        <x:v>C-CF03-B</x:v>
      </x:c>
      <x:c r="L877" s="31" t="str">
        <x:v>[EMPTY STRING — provide no instruction tokens]</x:v>
      </x:c>
      <x:c r="M877" s="31" t="str">
        <x:v>Leave exactly three objects in the bowl.</x:v>
      </x:c>
      <x:c r="N877" s="31" t="str">
        <x:v>C-CF03B: bowl=[green pencil sharpener, airplane toy without propellers] (2); table=[blue pen, yellow block]; robot home; acceptable action=add either table object.</x:v>
      </x:c>
      <x:c r="O877" s="31" t="str">
        <x:v>No prespecified task success under blank language; record any action/selected target.</x:v>
      </x:c>
      <x:c r="P877" s="31" t="str"/>
      <x:c r="Q877" s="31" t="str"/>
      <x:c r="R877" s="31" t="str"/>
      <x:c r="S877" s="31" t="str">
        <x:f>IF('Blind Scoring'!I877="","",'Blind Scoring'!I877)</x:f>
      </x:c>
      <x:c r="T877" s="31" t="str">
        <x:f>'Blind Scoring'!J877</x:f>
        <x:v>No</x:v>
      </x:c>
      <x:c r="U877" s="31" t="str">
        <x:f>IF('Blind Scoring'!L877="","",'Blind Scoring'!L877)</x:f>
      </x:c>
    </x:row>
    <x:row r="878" ht="44" customHeight="1">
      <x:c r="A878" s="35" t="str">
        <x:v>Not Started</x:v>
      </x:c>
      <x:c r="B878" s="35" t="n">
        <x:v>876</x:v>
      </x:c>
      <x:c r="C878" s="35" t="str">
        <x:v>P15</x:v>
      </x:c>
      <x:c r="D878" s="35" t="n">
        <x:v>9</x:v>
      </x:c>
      <x:c r="E878" s="35" t="str">
        <x:v>Primary VLA</x:v>
      </x:c>
      <x:c r="F878" s="35" t="str">
        <x:v>MolmoAct2</x:v>
      </x:c>
      <x:c r="G878" s="35" t="n">
        <x:v>2</x:v>
      </x:c>
      <x:c r="H878" s="35" t="str">
        <x:v>Counting</x:v>
      </x:c>
      <x:c r="I878" s="35" t="str">
        <x:v>Main matched control</x:v>
      </x:c>
      <x:c r="J878" s="35" t="str">
        <x:v>PVLA-CT-CTL-02</x:v>
      </x:c>
      <x:c r="K878" s="35" t="str">
        <x:v>C-CF01-B</x:v>
      </x:c>
      <x:c r="L878" s="31" t="str">
        <x:v>Put the green pencil sharpener in the bowl.</x:v>
      </x:c>
      <x:c r="M878" s="31" t="str">
        <x:v>Put the green pencil sharpener in the bowl.</x:v>
      </x:c>
      <x:c r="N878" s="31" t="str">
        <x:v>C-CF01-CB: bowl=[blue pen, yellow block] (2); table=[green pencil sharpener, airplane toy without propellers]; robot home; acceptable action=add either table object.</x:v>
      </x:c>
      <x:c r="O878" s="31" t="str">
        <x:v>ADD green pencil sharpener</x:v>
      </x:c>
      <x:c r="P878" s="31" t="str"/>
      <x:c r="Q878" s="31" t="str"/>
      <x:c r="R878" s="31" t="str"/>
      <x:c r="S878" s="31" t="str">
        <x:f>IF('Blind Scoring'!I878="","",'Blind Scoring'!I878)</x:f>
      </x:c>
      <x:c r="T878" s="31" t="str">
        <x:f>'Blind Scoring'!J878</x:f>
        <x:v>No</x:v>
      </x:c>
      <x:c r="U878" s="31" t="str">
        <x:f>IF('Blind Scoring'!L878="","",'Blind Scoring'!L878)</x:f>
      </x:c>
    </x:row>
    <x:row r="879" ht="44" customHeight="1">
      <x:c r="A879" s="35" t="str">
        <x:v>Not Started</x:v>
      </x:c>
      <x:c r="B879" s="35" t="n">
        <x:v>877</x:v>
      </x:c>
      <x:c r="C879" s="35" t="str">
        <x:v>P15</x:v>
      </x:c>
      <x:c r="D879" s="35" t="n">
        <x:v>10</x:v>
      </x:c>
      <x:c r="E879" s="35" t="str">
        <x:v>Primary VLA</x:v>
      </x:c>
      <x:c r="F879" s="35" t="str">
        <x:v>MolmoAct2</x:v>
      </x:c>
      <x:c r="G879" s="35" t="n">
        <x:v>2</x:v>
      </x:c>
      <x:c r="H879" s="35" t="str">
        <x:v>Counting</x:v>
      </x:c>
      <x:c r="I879" s="35" t="str">
        <x:v>Training reconstruction</x:v>
      </x:c>
      <x:c r="J879" s="35" t="str">
        <x:v>PVLA-CT-REC-01</x:v>
      </x:c>
      <x:c r="K879" s="35" t="str"/>
      <x:c r="L879" s="31" t="str">
        <x:v>Move the blue pen into the bowl.</x:v>
      </x:c>
      <x:c r="M879" s="31" t="str">
        <x:v>Move the blue pen into the bowl.</x:v>
      </x:c>
      <x:c r="N879" s="31" t="str">
        <x:v>Reconstruct planned final training episode 800: blue pen, yellow block, green pencil sharpener, airplane toy without propellers; start=Home. Match camera, calibration, bowl pose, and object geometry exactly.</x:v>
      </x:c>
      <x:c r="O879" s="31" t="str">
        <x:v>blue pen</x:v>
      </x:c>
      <x:c r="P879" s="31" t="str"/>
      <x:c r="Q879" s="31" t="str"/>
      <x:c r="R879" s="31" t="str"/>
      <x:c r="S879" s="31" t="str">
        <x:f>IF('Blind Scoring'!I879="","",'Blind Scoring'!I879)</x:f>
      </x:c>
      <x:c r="T879" s="31" t="str">
        <x:f>'Blind Scoring'!J879</x:f>
        <x:v>No</x:v>
      </x:c>
      <x:c r="U879" s="31" t="str">
        <x:f>IF('Blind Scoring'!L879="","",'Blind Scoring'!L879)</x:f>
      </x:c>
    </x:row>
    <x:row r="880" ht="44" customHeight="1">
      <x:c r="A880" s="35" t="str">
        <x:v>Not Started</x:v>
      </x:c>
      <x:c r="B880" s="35" t="n">
        <x:v>878</x:v>
      </x:c>
      <x:c r="C880" s="35" t="str">
        <x:v>P15</x:v>
      </x:c>
      <x:c r="D880" s="35" t="n">
        <x:v>11</x:v>
      </x:c>
      <x:c r="E880" s="35" t="str">
        <x:v>Primary VLA</x:v>
      </x:c>
      <x:c r="F880" s="35" t="str">
        <x:v>MolmoAct2</x:v>
      </x:c>
      <x:c r="G880" s="35" t="n">
        <x:v>2</x:v>
      </x:c>
      <x:c r="H880" s="35" t="str">
        <x:v>Counting</x:v>
      </x:c>
      <x:c r="I880" s="35" t="str">
        <x:v>Exact-scene paraphrase</x:v>
      </x:c>
      <x:c r="J880" s="35" t="str">
        <x:v>PVLA-CT-PAR-02</x:v>
      </x:c>
      <x:c r="K880" s="35" t="str"/>
      <x:c r="L880" s="31" t="str">
        <x:v>Finish with two objects in the bowl.</x:v>
      </x:c>
      <x:c r="M880" s="31" t="str">
        <x:v>Finish with two objects in the bowl.</x:v>
      </x:c>
      <x:c r="N880" s="31" t="str">
        <x:v>C-N01: bowl=[blue pen] (1); table left→right=[yellow block, green pencil sharpener, airplane toy without propellers]; robot home.</x:v>
      </x:c>
      <x:c r="O880" s="31" t="str"/>
      <x:c r="P880" s="31" t="str"/>
      <x:c r="Q880" s="31" t="str"/>
      <x:c r="R880" s="31" t="str"/>
      <x:c r="S880" s="31" t="str">
        <x:f>IF('Blind Scoring'!I880="","",'Blind Scoring'!I880)</x:f>
      </x:c>
      <x:c r="T880" s="31" t="str">
        <x:f>'Blind Scoring'!J880</x:f>
        <x:v>No</x:v>
      </x:c>
      <x:c r="U880" s="31" t="str">
        <x:f>IF('Blind Scoring'!L880="","",'Blind Scoring'!L880)</x:f>
      </x:c>
    </x:row>
    <x:row r="881" ht="44" customHeight="1">
      <x:c r="A881" s="35" t="str">
        <x:v>Not Started</x:v>
      </x:c>
      <x:c r="B881" s="35" t="n">
        <x:v>879</x:v>
      </x:c>
      <x:c r="C881" s="35" t="str">
        <x:v>P15</x:v>
      </x:c>
      <x:c r="D881" s="35" t="n">
        <x:v>12</x:v>
      </x:c>
      <x:c r="E881" s="35" t="str">
        <x:v>Primary VLA</x:v>
      </x:c>
      <x:c r="F881" s="35" t="str">
        <x:v>MolmoAct2</x:v>
      </x:c>
      <x:c r="G881" s="35" t="n">
        <x:v>2</x:v>
      </x:c>
      <x:c r="H881" s="35" t="str">
        <x:v>Counting</x:v>
      </x:c>
      <x:c r="I881" s="35" t="str">
        <x:v>Main held-out transfer</x:v>
      </x:c>
      <x:c r="J881" s="35" t="str">
        <x:v>PVLA-CT-TR-04</x:v>
      </x:c>
      <x:c r="K881" s="35" t="str">
        <x:v>C-CF03-B</x:v>
      </x:c>
      <x:c r="L881" s="31" t="str">
        <x:v>Leave exactly three objects in the bowl.</x:v>
      </x:c>
      <x:c r="M881" s="31" t="str">
        <x:v>Leave exactly three objects in the bowl.</x:v>
      </x:c>
      <x:c r="N881" s="31" t="str">
        <x:v>C-CF03B: bowl=[green pencil sharpener, airplane toy without propellers] (2); table=[blue pen, yellow block]; robot home; acceptable action=add either table object.</x:v>
      </x:c>
      <x:c r="O881" s="31" t="str">
        <x:v>ADD one table object</x:v>
      </x:c>
      <x:c r="P881" s="31" t="str"/>
      <x:c r="Q881" s="31" t="str"/>
      <x:c r="R881" s="31" t="str"/>
      <x:c r="S881" s="31" t="str">
        <x:f>IF('Blind Scoring'!I881="","",'Blind Scoring'!I881)</x:f>
      </x:c>
      <x:c r="T881" s="31" t="str">
        <x:f>'Blind Scoring'!J881</x:f>
        <x:v>No</x:v>
      </x:c>
      <x:c r="U881" s="31" t="str">
        <x:f>IF('Blind Scoring'!L881="","",'Blind Scoring'!L881)</x:f>
      </x:c>
    </x:row>
    <x:row r="882" ht="44" customHeight="1">
      <x:c r="A882" s="35" t="str">
        <x:v>Not Started</x:v>
      </x:c>
      <x:c r="B882" s="35" t="n">
        <x:v>880</x:v>
      </x:c>
      <x:c r="C882" s="35" t="str">
        <x:v>P15</x:v>
      </x:c>
      <x:c r="D882" s="35" t="n">
        <x:v>13</x:v>
      </x:c>
      <x:c r="E882" s="35" t="str">
        <x:v>Primary VLA</x:v>
      </x:c>
      <x:c r="F882" s="35" t="str">
        <x:v>MolmoAct2</x:v>
      </x:c>
      <x:c r="G882" s="35" t="n">
        <x:v>2</x:v>
      </x:c>
      <x:c r="H882" s="35" t="str">
        <x:v>Counting</x:v>
      </x:c>
      <x:c r="I882" s="35" t="str">
        <x:v>Novel layout + seen language</x:v>
      </x:c>
      <x:c r="J882" s="35" t="str">
        <x:v>PVLA-CT-NOV-01</x:v>
      </x:c>
      <x:c r="K882" s="35" t="str"/>
      <x:c r="L882" s="31" t="str">
        <x:v>Make the bowl contain exactly two objects.</x:v>
      </x:c>
      <x:c r="M882" s="31" t="str">
        <x:v>Make the bowl contain exactly two objects.</x:v>
      </x:c>
      <x:c r="N882" s="31" t="str">
        <x:v>C-N01: bowl=[blue pen] (1); table left→right=[yellow block, green pencil sharpener, airplane toy without propellers]; robot home.</x:v>
      </x:c>
      <x:c r="O882" s="31" t="str"/>
      <x:c r="P882" s="31" t="str"/>
      <x:c r="Q882" s="31" t="str"/>
      <x:c r="R882" s="31" t="str"/>
      <x:c r="S882" s="31" t="str">
        <x:f>IF('Blind Scoring'!I882="","",'Blind Scoring'!I882)</x:f>
      </x:c>
      <x:c r="T882" s="31" t="str">
        <x:f>'Blind Scoring'!J882</x:f>
        <x:v>No</x:v>
      </x:c>
      <x:c r="U882" s="31" t="str">
        <x:f>IF('Blind Scoring'!L882="","",'Blind Scoring'!L882)</x:f>
      </x:c>
    </x:row>
    <x:row r="883" ht="44" customHeight="1">
      <x:c r="A883" s="35" t="str">
        <x:v>Not Started</x:v>
      </x:c>
      <x:c r="B883" s="35" t="n">
        <x:v>881</x:v>
      </x:c>
      <x:c r="C883" s="35" t="str">
        <x:v>P15</x:v>
      </x:c>
      <x:c r="D883" s="35" t="n">
        <x:v>14</x:v>
      </x:c>
      <x:c r="E883" s="35" t="str">
        <x:v>Primary VLA</x:v>
      </x:c>
      <x:c r="F883" s="35" t="str">
        <x:v>MolmoAct2</x:v>
      </x:c>
      <x:c r="G883" s="35" t="n">
        <x:v>2</x:v>
      </x:c>
      <x:c r="H883" s="35" t="str">
        <x:v>Counting</x:v>
      </x:c>
      <x:c r="I883" s="35" t="str">
        <x:v>Main held-out transfer</x:v>
      </x:c>
      <x:c r="J883" s="35" t="str">
        <x:v>PVLA-CT-TR-08</x:v>
      </x:c>
      <x:c r="K883" s="35" t="str">
        <x:v>C-CF06-B</x:v>
      </x:c>
      <x:c r="L883" s="31" t="str">
        <x:v>Leave exactly three objects in the bowl.</x:v>
      </x:c>
      <x:c r="M883" s="31" t="str">
        <x:v>Leave exactly three objects in the bowl.</x:v>
      </x:c>
      <x:c r="N883" s="31" t="str">
        <x:v>C-CF06B: bowl=[yellow block, green pencil sharpener] (2); table=[airplane toy without propellers, blue pen]; robot home; acceptable action=add either table object.</x:v>
      </x:c>
      <x:c r="O883" s="31" t="str">
        <x:v>ADD one table object</x:v>
      </x:c>
      <x:c r="P883" s="31" t="str"/>
      <x:c r="Q883" s="31" t="str"/>
      <x:c r="R883" s="31" t="str"/>
      <x:c r="S883" s="31" t="str">
        <x:f>IF('Blind Scoring'!I883="","",'Blind Scoring'!I883)</x:f>
      </x:c>
      <x:c r="T883" s="31" t="str">
        <x:f>'Blind Scoring'!J883</x:f>
        <x:v>No</x:v>
      </x:c>
      <x:c r="U883" s="31" t="str">
        <x:f>IF('Blind Scoring'!L883="","",'Blind Scoring'!L883)</x:f>
      </x:c>
    </x:row>
    <x:row r="884" ht="44" customHeight="1">
      <x:c r="A884" s="35" t="str">
        <x:v>Not Started</x:v>
      </x:c>
      <x:c r="B884" s="35" t="n">
        <x:v>882</x:v>
      </x:c>
      <x:c r="C884" s="35" t="str">
        <x:v>P15</x:v>
      </x:c>
      <x:c r="D884" s="35" t="n">
        <x:v>15</x:v>
      </x:c>
      <x:c r="E884" s="35" t="str">
        <x:v>Primary VLA</x:v>
      </x:c>
      <x:c r="F884" s="35" t="str">
        <x:v>MolmoAct2</x:v>
      </x:c>
      <x:c r="G884" s="35" t="n">
        <x:v>2</x:v>
      </x:c>
      <x:c r="H884" s="35" t="str">
        <x:v>Counting</x:v>
      </x:c>
      <x:c r="I884" s="35" t="str">
        <x:v>Novel layout + seen language</x:v>
      </x:c>
      <x:c r="J884" s="35" t="str">
        <x:v>PVLA-CT-NOV-08</x:v>
      </x:c>
      <x:c r="K884" s="35" t="str"/>
      <x:c r="L884" s="31" t="str">
        <x:v>Make the bowl contain exactly zero objects.</x:v>
      </x:c>
      <x:c r="M884" s="31" t="str">
        <x:v>Make the bowl contain exactly zero objects.</x:v>
      </x:c>
      <x:c r="N884" s="31" t="str">
        <x:v>C-N20: bowl=[yellow block] (1); table left→right=[green pencil sharpener, airplane toy without propellers, blue pen]; robot home.</x:v>
      </x:c>
      <x:c r="O884" s="31" t="str"/>
      <x:c r="P884" s="31" t="str"/>
      <x:c r="Q884" s="31" t="str"/>
      <x:c r="R884" s="31" t="str"/>
      <x:c r="S884" s="31" t="str">
        <x:f>IF('Blind Scoring'!I884="","",'Blind Scoring'!I884)</x:f>
      </x:c>
      <x:c r="T884" s="31" t="str">
        <x:f>'Blind Scoring'!J884</x:f>
        <x:v>No</x:v>
      </x:c>
      <x:c r="U884" s="31" t="str">
        <x:f>IF('Blind Scoring'!L884="","",'Blind Scoring'!L884)</x:f>
      </x:c>
    </x:row>
    <x:row r="885" ht="44" customHeight="1">
      <x:c r="A885" s="35" t="str">
        <x:v>Not Started</x:v>
      </x:c>
      <x:c r="B885" s="35" t="n">
        <x:v>883</x:v>
      </x:c>
      <x:c r="C885" s="35" t="str">
        <x:v>P15</x:v>
      </x:c>
      <x:c r="D885" s="35" t="n">
        <x:v>16</x:v>
      </x:c>
      <x:c r="E885" s="35" t="str">
        <x:v>Primary VLA</x:v>
      </x:c>
      <x:c r="F885" s="35" t="str">
        <x:v>MolmoAct2</x:v>
      </x:c>
      <x:c r="G885" s="35" t="n">
        <x:v>2</x:v>
      </x:c>
      <x:c r="H885" s="35" t="str">
        <x:v>Counting</x:v>
      </x:c>
      <x:c r="I885" s="35" t="str">
        <x:v>Main held-out transfer</x:v>
      </x:c>
      <x:c r="J885" s="35" t="str">
        <x:v>PVLA-CT-TR-13</x:v>
      </x:c>
      <x:c r="K885" s="35" t="str">
        <x:v>C-CF10-A</x:v>
      </x:c>
      <x:c r="L885" s="31" t="str">
        <x:v>Leave exactly one object in the bowl.</x:v>
      </x:c>
      <x:c r="M885" s="31" t="str">
        <x:v>Leave exactly one object in the bowl.</x:v>
      </x:c>
      <x:c r="N885" s="31" t="str">
        <x:v>C-CF10A: bowl=[yellow block, green pencil sharpener] (2); table=[airplane toy without propellers, blue pen]; robot home; acceptable action=remove either bowl object.</x:v>
      </x:c>
      <x:c r="O885" s="31" t="str">
        <x:v>REMOVE one bowl object</x:v>
      </x:c>
      <x:c r="P885" s="31" t="str"/>
      <x:c r="Q885" s="31" t="str"/>
      <x:c r="R885" s="31" t="str"/>
      <x:c r="S885" s="31" t="str">
        <x:f>IF('Blind Scoring'!I885="","",'Blind Scoring'!I885)</x:f>
      </x:c>
      <x:c r="T885" s="31" t="str">
        <x:f>'Blind Scoring'!J885</x:f>
        <x:v>No</x:v>
      </x:c>
      <x:c r="U885" s="31" t="str">
        <x:f>IF('Blind Scoring'!L885="","",'Blind Scoring'!L885)</x:f>
      </x:c>
    </x:row>
    <x:row r="886" ht="44" customHeight="1">
      <x:c r="A886" s="35" t="str">
        <x:v>Not Started</x:v>
      </x:c>
      <x:c r="B886" s="35" t="n">
        <x:v>884</x:v>
      </x:c>
      <x:c r="C886" s="35" t="str">
        <x:v>P15</x:v>
      </x:c>
      <x:c r="D886" s="35" t="n">
        <x:v>17</x:v>
      </x:c>
      <x:c r="E886" s="35" t="str">
        <x:v>Primary VLA</x:v>
      </x:c>
      <x:c r="F886" s="35" t="str">
        <x:v>MolmoAct2</x:v>
      </x:c>
      <x:c r="G886" s="35" t="n">
        <x:v>2</x:v>
      </x:c>
      <x:c r="H886" s="35" t="str">
        <x:v>Counting</x:v>
      </x:c>
      <x:c r="I886" s="35" t="str">
        <x:v>Main matched control</x:v>
      </x:c>
      <x:c r="J886" s="35" t="str">
        <x:v>PVLA-CT-CTL-08</x:v>
      </x:c>
      <x:c r="K886" s="35" t="str">
        <x:v>C-CF06-B</x:v>
      </x:c>
      <x:c r="L886" s="31" t="str">
        <x:v>Put the airplane toy without propellers in the bowl.</x:v>
      </x:c>
      <x:c r="M886" s="31" t="str">
        <x:v>Put the airplane toy without propellers in the bowl.</x:v>
      </x:c>
      <x:c r="N886" s="31" t="str">
        <x:v>C-CF06-CB: bowl=[yellow block, green pencil sharpener] (2); table=[airplane toy without propellers, blue pen]; robot home; acceptable action=add either table object.</x:v>
      </x:c>
      <x:c r="O886" s="31" t="str">
        <x:v>ADD airplane toy without propellers</x:v>
      </x:c>
      <x:c r="P886" s="31" t="str"/>
      <x:c r="Q886" s="31" t="str"/>
      <x:c r="R886" s="31" t="str"/>
      <x:c r="S886" s="31" t="str">
        <x:f>IF('Blind Scoring'!I886="","",'Blind Scoring'!I886)</x:f>
      </x:c>
      <x:c r="T886" s="31" t="str">
        <x:f>'Blind Scoring'!J886</x:f>
        <x:v>No</x:v>
      </x:c>
      <x:c r="U886" s="31" t="str">
        <x:f>IF('Blind Scoring'!L886="","",'Blind Scoring'!L886)</x:f>
      </x:c>
    </x:row>
    <x:row r="887" ht="44" customHeight="1">
      <x:c r="A887" s="35" t="str">
        <x:v>Not Started</x:v>
      </x:c>
      <x:c r="B887" s="35" t="n">
        <x:v>885</x:v>
      </x:c>
      <x:c r="C887" s="35" t="str">
        <x:v>P15</x:v>
      </x:c>
      <x:c r="D887" s="35" t="n">
        <x:v>18</x:v>
      </x:c>
      <x:c r="E887" s="35" t="str">
        <x:v>Primary VLA</x:v>
      </x:c>
      <x:c r="F887" s="35" t="str">
        <x:v>MolmoAct2</x:v>
      </x:c>
      <x:c r="G887" s="35" t="n">
        <x:v>2</x:v>
      </x:c>
      <x:c r="H887" s="35" t="str">
        <x:v>Counting</x:v>
      </x:c>
      <x:c r="I887" s="35" t="str">
        <x:v>Training reconstruction</x:v>
      </x:c>
      <x:c r="J887" s="35" t="str">
        <x:v>PVLA-CT-REC-04</x:v>
      </x:c>
      <x:c r="K887" s="35" t="str"/>
      <x:c r="L887" s="31" t="str">
        <x:v>Leave exactly two objects in the bowl.</x:v>
      </x:c>
      <x:c r="M887" s="31" t="str">
        <x:v>Leave exactly two objects in the bowl.</x:v>
      </x:c>
      <x:c r="N887" s="31" t="str">
        <x:v>Reconstruct planned final training episode 861: green pencil sharpener, yellow block, airplane toy without propellers, blue pen; start=Post-Drop. Match camera, calibration, bowl pose, and object geometry exactly.</x:v>
      </x:c>
      <x:c r="O887" s="31" t="str">
        <x:v>yellow block</x:v>
      </x:c>
      <x:c r="P887" s="31" t="str"/>
      <x:c r="Q887" s="31" t="str"/>
      <x:c r="R887" s="31" t="str"/>
      <x:c r="S887" s="31" t="str">
        <x:f>IF('Blind Scoring'!I887="","",'Blind Scoring'!I887)</x:f>
      </x:c>
      <x:c r="T887" s="31" t="str">
        <x:f>'Blind Scoring'!J887</x:f>
        <x:v>No</x:v>
      </x:c>
      <x:c r="U887" s="31" t="str">
        <x:f>IF('Blind Scoring'!L887="","",'Blind Scoring'!L887)</x:f>
      </x:c>
    </x:row>
    <x:row r="888" ht="44" customHeight="1">
      <x:c r="A888" s="35" t="str">
        <x:v>Not Started</x:v>
      </x:c>
      <x:c r="B888" s="35" t="n">
        <x:v>886</x:v>
      </x:c>
      <x:c r="C888" s="35" t="str">
        <x:v>P15</x:v>
      </x:c>
      <x:c r="D888" s="35" t="n">
        <x:v>19</x:v>
      </x:c>
      <x:c r="E888" s="35" t="str">
        <x:v>Primary VLA</x:v>
      </x:c>
      <x:c r="F888" s="35" t="str">
        <x:v>MolmoAct2</x:v>
      </x:c>
      <x:c r="G888" s="35" t="n">
        <x:v>2</x:v>
      </x:c>
      <x:c r="H888" s="35" t="str">
        <x:v>Counting</x:v>
      </x:c>
      <x:c r="I888" s="35" t="str">
        <x:v>Main matched control</x:v>
      </x:c>
      <x:c r="J888" s="35" t="str">
        <x:v>PVLA-CT-CTL-09</x:v>
      </x:c>
      <x:c r="K888" s="35" t="str">
        <x:v>C-CF07-A</x:v>
      </x:c>
      <x:c r="L888" s="31" t="str">
        <x:v>Remove the green pencil sharpener from the bowl.</x:v>
      </x:c>
      <x:c r="M888" s="31" t="str">
        <x:v>Remove the green pencil sharpener from the bowl.</x:v>
      </x:c>
      <x:c r="N888" s="31" t="str">
        <x:v>C-CF07-CA: bowl=[green pencil sharpener, airplane toy without propellers] (2); table=[blue pen, yellow block]; robot home; acceptable action=remove either bowl object.</x:v>
      </x:c>
      <x:c r="O888" s="31" t="str">
        <x:v>REMOVE green pencil sharpener</x:v>
      </x:c>
      <x:c r="P888" s="31" t="str"/>
      <x:c r="Q888" s="31" t="str"/>
      <x:c r="R888" s="31" t="str"/>
      <x:c r="S888" s="31" t="str">
        <x:f>IF('Blind Scoring'!I888="","",'Blind Scoring'!I888)</x:f>
      </x:c>
      <x:c r="T888" s="31" t="str">
        <x:f>'Blind Scoring'!J888</x:f>
        <x:v>No</x:v>
      </x:c>
      <x:c r="U888" s="31" t="str">
        <x:f>IF('Blind Scoring'!L888="","",'Blind Scoring'!L888)</x:f>
      </x:c>
    </x:row>
    <x:row r="889" ht="44" customHeight="1">
      <x:c r="A889" s="35" t="str">
        <x:v>Not Started</x:v>
      </x:c>
      <x:c r="B889" s="35" t="n">
        <x:v>887</x:v>
      </x:c>
      <x:c r="C889" s="35" t="str">
        <x:v>P15</x:v>
      </x:c>
      <x:c r="D889" s="35" t="n">
        <x:v>20</x:v>
      </x:c>
      <x:c r="E889" s="35" t="str">
        <x:v>Primary VLA</x:v>
      </x:c>
      <x:c r="F889" s="35" t="str">
        <x:v>MolmoAct2</x:v>
      </x:c>
      <x:c r="G889" s="35" t="n">
        <x:v>2</x:v>
      </x:c>
      <x:c r="H889" s="35" t="str">
        <x:v>Counting</x:v>
      </x:c>
      <x:c r="I889" s="35" t="str">
        <x:v>Main matched control</x:v>
      </x:c>
      <x:c r="J889" s="35" t="str">
        <x:v>PVLA-CT-CTL-03</x:v>
      </x:c>
      <x:c r="K889" s="35" t="str">
        <x:v>C-CF03-A</x:v>
      </x:c>
      <x:c r="L889" s="31" t="str">
        <x:v>Remove the green pencil sharpener from the bowl.</x:v>
      </x:c>
      <x:c r="M889" s="31" t="str">
        <x:v>Remove the green pencil sharpener from the bowl.</x:v>
      </x:c>
      <x:c r="N889" s="31" t="str">
        <x:v>C-CF03-CA: bowl=[green pencil sharpener, airplane toy without propellers] (2); table=[blue pen, yellow block]; robot home; acceptable action=remove either bowl object.</x:v>
      </x:c>
      <x:c r="O889" s="31" t="str">
        <x:v>REMOVE green pencil sharpener</x:v>
      </x:c>
      <x:c r="P889" s="31" t="str"/>
      <x:c r="Q889" s="31" t="str"/>
      <x:c r="R889" s="31" t="str"/>
      <x:c r="S889" s="31" t="str">
        <x:f>IF('Blind Scoring'!I889="","",'Blind Scoring'!I889)</x:f>
      </x:c>
      <x:c r="T889" s="31" t="str">
        <x:f>'Blind Scoring'!J889</x:f>
        <x:v>No</x:v>
      </x:c>
      <x:c r="U889" s="31" t="str">
        <x:f>IF('Blind Scoring'!L889="","",'Blind Scoring'!L889)</x:f>
      </x:c>
    </x:row>
    <x:row r="890" ht="44" customHeight="1">
      <x:c r="A890" s="35" t="str">
        <x:v>Not Started</x:v>
      </x:c>
      <x:c r="B890" s="35" t="n">
        <x:v>888</x:v>
      </x:c>
      <x:c r="C890" s="35" t="str">
        <x:v>P15</x:v>
      </x:c>
      <x:c r="D890" s="35" t="n">
        <x:v>21</x:v>
      </x:c>
      <x:c r="E890" s="35" t="str">
        <x:v>Primary VLA</x:v>
      </x:c>
      <x:c r="F890" s="35" t="str">
        <x:v>MolmoAct2</x:v>
      </x:c>
      <x:c r="G890" s="35" t="n">
        <x:v>2</x:v>
      </x:c>
      <x:c r="H890" s="35" t="str">
        <x:v>Counting</x:v>
      </x:c>
      <x:c r="I890" s="35" t="str">
        <x:v>Main matched control</x:v>
      </x:c>
      <x:c r="J890" s="35" t="str">
        <x:v>PVLA-CT-CTL-12</x:v>
      </x:c>
      <x:c r="K890" s="35" t="str">
        <x:v>C-CF09-B</x:v>
      </x:c>
      <x:c r="L890" s="31" t="str">
        <x:v>Put the green pencil sharpener in the bowl.</x:v>
      </x:c>
      <x:c r="M890" s="31" t="str">
        <x:v>Put the green pencil sharpener in the bowl.</x:v>
      </x:c>
      <x:c r="N890" s="31" t="str">
        <x:v>C-CF09-CB: bowl=[blue pen, yellow block] (2); table=[green pencil sharpener, airplane toy without propellers]; robot home; acceptable action=add either table object.</x:v>
      </x:c>
      <x:c r="O890" s="31" t="str">
        <x:v>ADD green pencil sharpener</x:v>
      </x:c>
      <x:c r="P890" s="31" t="str"/>
      <x:c r="Q890" s="31" t="str"/>
      <x:c r="R890" s="31" t="str"/>
      <x:c r="S890" s="31" t="str">
        <x:f>IF('Blind Scoring'!I890="","",'Blind Scoring'!I890)</x:f>
      </x:c>
      <x:c r="T890" s="31" t="str">
        <x:f>'Blind Scoring'!J890</x:f>
        <x:v>No</x:v>
      </x:c>
      <x:c r="U890" s="31" t="str">
        <x:f>IF('Blind Scoring'!L890="","",'Blind Scoring'!L890)</x:f>
      </x:c>
    </x:row>
    <x:row r="891" ht="44" customHeight="1">
      <x:c r="A891" s="35" t="str">
        <x:v>Not Started</x:v>
      </x:c>
      <x:c r="B891" s="35" t="n">
        <x:v>889</x:v>
      </x:c>
      <x:c r="C891" s="35" t="str">
        <x:v>P15</x:v>
      </x:c>
      <x:c r="D891" s="35" t="n">
        <x:v>22</x:v>
      </x:c>
      <x:c r="E891" s="35" t="str">
        <x:v>Primary VLA</x:v>
      </x:c>
      <x:c r="F891" s="35" t="str">
        <x:v>MolmoAct2</x:v>
      </x:c>
      <x:c r="G891" s="35" t="n">
        <x:v>2</x:v>
      </x:c>
      <x:c r="H891" s="35" t="str">
        <x:v>Counting</x:v>
      </x:c>
      <x:c r="I891" s="35" t="str">
        <x:v>Exact-scene paraphrase</x:v>
      </x:c>
      <x:c r="J891" s="35" t="str">
        <x:v>PVLA-CT-PAR-06</x:v>
      </x:c>
      <x:c r="K891" s="35" t="str"/>
      <x:c r="L891" s="31" t="str">
        <x:v>Finish with two objects in the bowl.</x:v>
      </x:c>
      <x:c r="M891" s="31" t="str">
        <x:v>Finish with two objects in the bowl.</x:v>
      </x:c>
      <x:c r="N891" s="31" t="str">
        <x:v>C-N01: bowl=[blue pen] (1); table left→right=[yellow block, green pencil sharpener, airplane toy without propellers]; robot home.</x:v>
      </x:c>
      <x:c r="O891" s="31" t="str"/>
      <x:c r="P891" s="31" t="str"/>
      <x:c r="Q891" s="31" t="str"/>
      <x:c r="R891" s="31" t="str"/>
      <x:c r="S891" s="31" t="str">
        <x:f>IF('Blind Scoring'!I891="","",'Blind Scoring'!I891)</x:f>
      </x:c>
      <x:c r="T891" s="31" t="str">
        <x:f>'Blind Scoring'!J891</x:f>
        <x:v>No</x:v>
      </x:c>
      <x:c r="U891" s="31" t="str">
        <x:f>IF('Blind Scoring'!L891="","",'Blind Scoring'!L891)</x:f>
      </x:c>
    </x:row>
    <x:row r="892" ht="44" customHeight="1">
      <x:c r="A892" s="35" t="str">
        <x:v>Not Started</x:v>
      </x:c>
      <x:c r="B892" s="35" t="n">
        <x:v>890</x:v>
      </x:c>
      <x:c r="C892" s="35" t="str">
        <x:v>P15</x:v>
      </x:c>
      <x:c r="D892" s="35" t="n">
        <x:v>23</x:v>
      </x:c>
      <x:c r="E892" s="35" t="str">
        <x:v>Primary VLA</x:v>
      </x:c>
      <x:c r="F892" s="35" t="str">
        <x:v>MolmoAct2</x:v>
      </x:c>
      <x:c r="G892" s="35" t="n">
        <x:v>2</x:v>
      </x:c>
      <x:c r="H892" s="35" t="str">
        <x:v>Counting</x:v>
      </x:c>
      <x:c r="I892" s="35" t="str">
        <x:v>Main matched control</x:v>
      </x:c>
      <x:c r="J892" s="35" t="str">
        <x:v>PVLA-CT-CTL-04</x:v>
      </x:c>
      <x:c r="K892" s="35" t="str">
        <x:v>C-CF03-B</x:v>
      </x:c>
      <x:c r="L892" s="31" t="str">
        <x:v>Put the blue pen in the bowl.</x:v>
      </x:c>
      <x:c r="M892" s="31" t="str">
        <x:v>Put the blue pen in the bowl.</x:v>
      </x:c>
      <x:c r="N892" s="31" t="str">
        <x:v>C-CF03-CB: bowl=[green pencil sharpener, airplane toy without propellers] (2); table=[blue pen, yellow block]; robot home; acceptable action=add either table object.</x:v>
      </x:c>
      <x:c r="O892" s="31" t="str">
        <x:v>ADD blue pen</x:v>
      </x:c>
      <x:c r="P892" s="31" t="str"/>
      <x:c r="Q892" s="31" t="str"/>
      <x:c r="R892" s="31" t="str"/>
      <x:c r="S892" s="31" t="str">
        <x:f>IF('Blind Scoring'!I892="","",'Blind Scoring'!I892)</x:f>
      </x:c>
      <x:c r="T892" s="31" t="str">
        <x:f>'Blind Scoring'!J892</x:f>
        <x:v>No</x:v>
      </x:c>
      <x:c r="U892" s="31" t="str">
        <x:f>IF('Blind Scoring'!L892="","",'Blind Scoring'!L892)</x:f>
      </x:c>
    </x:row>
    <x:row r="893" ht="44" customHeight="1">
      <x:c r="A893" s="35" t="str">
        <x:v>Not Started</x:v>
      </x:c>
      <x:c r="B893" s="35" t="n">
        <x:v>891</x:v>
      </x:c>
      <x:c r="C893" s="35" t="str">
        <x:v>P15</x:v>
      </x:c>
      <x:c r="D893" s="35" t="n">
        <x:v>24</x:v>
      </x:c>
      <x:c r="E893" s="35" t="str">
        <x:v>Primary VLA</x:v>
      </x:c>
      <x:c r="F893" s="35" t="str">
        <x:v>MolmoAct2</x:v>
      </x:c>
      <x:c r="G893" s="35" t="n">
        <x:v>2</x:v>
      </x:c>
      <x:c r="H893" s="35" t="str">
        <x:v>Counting</x:v>
      </x:c>
      <x:c r="I893" s="35" t="str">
        <x:v>Main held-out transfer</x:v>
      </x:c>
      <x:c r="J893" s="35" t="str">
        <x:v>PVLA-CT-TR-01</x:v>
      </x:c>
      <x:c r="K893" s="35" t="str">
        <x:v>C-CF01-A</x:v>
      </x:c>
      <x:c r="L893" s="31" t="str">
        <x:v>Leave exactly one object in the bowl.</x:v>
      </x:c>
      <x:c r="M893" s="31" t="str">
        <x:v>Leave exactly one object in the bowl.</x:v>
      </x:c>
      <x:c r="N893" s="31" t="str">
        <x:v>C-CF01A: bowl=[blue pen, yellow block] (2); table=[green pencil sharpener, airplane toy without propellers]; robot home; acceptable action=remove either bowl object.</x:v>
      </x:c>
      <x:c r="O893" s="31" t="str">
        <x:v>REMOVE one bowl object</x:v>
      </x:c>
      <x:c r="P893" s="31" t="str"/>
      <x:c r="Q893" s="31" t="str"/>
      <x:c r="R893" s="31" t="str"/>
      <x:c r="S893" s="31" t="str">
        <x:f>IF('Blind Scoring'!I893="","",'Blind Scoring'!I893)</x:f>
      </x:c>
      <x:c r="T893" s="31" t="str">
        <x:f>'Blind Scoring'!J893</x:f>
        <x:v>No</x:v>
      </x:c>
      <x:c r="U893" s="31" t="str">
        <x:f>IF('Blind Scoring'!L893="","",'Blind Scoring'!L893)</x:f>
      </x:c>
    </x:row>
    <x:row r="894" ht="44" customHeight="1">
      <x:c r="A894" s="35" t="str">
        <x:v>Not Started</x:v>
      </x:c>
      <x:c r="B894" s="35" t="n">
        <x:v>892</x:v>
      </x:c>
      <x:c r="C894" s="35" t="str">
        <x:v>P15</x:v>
      </x:c>
      <x:c r="D894" s="35" t="n">
        <x:v>25</x:v>
      </x:c>
      <x:c r="E894" s="35" t="str">
        <x:v>Primary VLA</x:v>
      </x:c>
      <x:c r="F894" s="35" t="str">
        <x:v>MolmoAct2</x:v>
      </x:c>
      <x:c r="G894" s="35" t="n">
        <x:v>2</x:v>
      </x:c>
      <x:c r="H894" s="35" t="str">
        <x:v>Counting</x:v>
      </x:c>
      <x:c r="I894" s="35" t="str">
        <x:v>Main held-out transfer</x:v>
      </x:c>
      <x:c r="J894" s="35" t="str">
        <x:v>PVLA-CT-TR-10</x:v>
      </x:c>
      <x:c r="K894" s="35" t="str">
        <x:v>C-CF07-B</x:v>
      </x:c>
      <x:c r="L894" s="31" t="str">
        <x:v>Leave exactly three objects in the bowl.</x:v>
      </x:c>
      <x:c r="M894" s="31" t="str">
        <x:v>Leave exactly three objects in the bowl.</x:v>
      </x:c>
      <x:c r="N894" s="31" t="str">
        <x:v>C-CF07B: bowl=[green pencil sharpener, airplane toy without propellers] (2); table=[blue pen, yellow block]; robot home; acceptable action=add either table object.</x:v>
      </x:c>
      <x:c r="O894" s="31" t="str">
        <x:v>ADD one table object</x:v>
      </x:c>
      <x:c r="P894" s="31" t="str"/>
      <x:c r="Q894" s="31" t="str"/>
      <x:c r="R894" s="31" t="str"/>
      <x:c r="S894" s="31" t="str">
        <x:f>IF('Blind Scoring'!I894="","",'Blind Scoring'!I894)</x:f>
      </x:c>
      <x:c r="T894" s="31" t="str">
        <x:f>'Blind Scoring'!J894</x:f>
        <x:v>No</x:v>
      </x:c>
      <x:c r="U894" s="31" t="str">
        <x:f>IF('Blind Scoring'!L894="","",'Blind Scoring'!L894)</x:f>
      </x:c>
    </x:row>
    <x:row r="895" ht="44" customHeight="1">
      <x:c r="A895" s="35" t="str">
        <x:v>Not Started</x:v>
      </x:c>
      <x:c r="B895" s="35" t="n">
        <x:v>893</x:v>
      </x:c>
      <x:c r="C895" s="35" t="str">
        <x:v>P15</x:v>
      </x:c>
      <x:c r="D895" s="35" t="n">
        <x:v>26</x:v>
      </x:c>
      <x:c r="E895" s="35" t="str">
        <x:v>Primary VLA</x:v>
      </x:c>
      <x:c r="F895" s="35" t="str">
        <x:v>MolmoAct2</x:v>
      </x:c>
      <x:c r="G895" s="35" t="n">
        <x:v>2</x:v>
      </x:c>
      <x:c r="H895" s="35" t="str">
        <x:v>Counting</x:v>
      </x:c>
      <x:c r="I895" s="35" t="str">
        <x:v>Novel layout + seen language</x:v>
      </x:c>
      <x:c r="J895" s="35" t="str">
        <x:v>PVLA-CT-NOV-07</x:v>
      </x:c>
      <x:c r="K895" s="35" t="str"/>
      <x:c r="L895" s="31" t="str">
        <x:v>Make the bowl contain exactly zero objects.</x:v>
      </x:c>
      <x:c r="M895" s="31" t="str">
        <x:v>Make the bowl contain exactly zero objects.</x:v>
      </x:c>
      <x:c r="N895" s="31" t="str">
        <x:v>C-N17: bowl=[green pencil sharpener] (1); table left→right=[airplane toy without propellers, blue pen, yellow block]; robot home.</x:v>
      </x:c>
      <x:c r="O895" s="31" t="str"/>
      <x:c r="P895" s="31" t="str"/>
      <x:c r="Q895" s="31" t="str"/>
      <x:c r="R895" s="31" t="str"/>
      <x:c r="S895" s="31" t="str">
        <x:f>IF('Blind Scoring'!I895="","",'Blind Scoring'!I895)</x:f>
      </x:c>
      <x:c r="T895" s="31" t="str">
        <x:f>'Blind Scoring'!J895</x:f>
        <x:v>No</x:v>
      </x:c>
      <x:c r="U895" s="31" t="str">
        <x:f>IF('Blind Scoring'!L895="","",'Blind Scoring'!L895)</x:f>
      </x:c>
    </x:row>
    <x:row r="896" ht="44" customHeight="1">
      <x:c r="A896" s="35" t="str">
        <x:v>Not Started</x:v>
      </x:c>
      <x:c r="B896" s="35" t="n">
        <x:v>894</x:v>
      </x:c>
      <x:c r="C896" s="35" t="str">
        <x:v>P15</x:v>
      </x:c>
      <x:c r="D896" s="35" t="n">
        <x:v>27</x:v>
      </x:c>
      <x:c r="E896" s="35" t="str">
        <x:v>Primary VLA</x:v>
      </x:c>
      <x:c r="F896" s="35" t="str">
        <x:v>MolmoAct2</x:v>
      </x:c>
      <x:c r="G896" s="35" t="n">
        <x:v>2</x:v>
      </x:c>
      <x:c r="H896" s="35" t="str">
        <x:v>Counting</x:v>
      </x:c>
      <x:c r="I896" s="35" t="str">
        <x:v>Training reconstruction</x:v>
      </x:c>
      <x:c r="J896" s="35" t="str">
        <x:v>PVLA-CT-REC-02</x:v>
      </x:c>
      <x:c r="K896" s="35" t="str"/>
      <x:c r="L896" s="31" t="str">
        <x:v>Leave no objects in the bowl.</x:v>
      </x:c>
      <x:c r="M896" s="31" t="str">
        <x:v>Leave no objects in the bowl.</x:v>
      </x:c>
      <x:c r="N896" s="31" t="str">
        <x:v>Reconstruct planned final training episode 829: blue pen, yellow block, airplane toy without propellers; start=Recovery. Match camera, calibration, bowl pose, and object geometry exactly.</x:v>
      </x:c>
      <x:c r="O896" s="31" t="str">
        <x:v>blue pen</x:v>
      </x:c>
      <x:c r="P896" s="31" t="str"/>
      <x:c r="Q896" s="31" t="str"/>
      <x:c r="R896" s="31" t="str"/>
      <x:c r="S896" s="31" t="str">
        <x:f>IF('Blind Scoring'!I896="","",'Blind Scoring'!I896)</x:f>
      </x:c>
      <x:c r="T896" s="31" t="str">
        <x:f>'Blind Scoring'!J896</x:f>
        <x:v>No</x:v>
      </x:c>
      <x:c r="U896" s="31" t="str">
        <x:f>IF('Blind Scoring'!L896="","",'Blind Scoring'!L896)</x:f>
      </x:c>
    </x:row>
    <x:row r="897" ht="44" customHeight="1">
      <x:c r="A897" s="35" t="str">
        <x:v>Not Started</x:v>
      </x:c>
      <x:c r="B897" s="35" t="n">
        <x:v>895</x:v>
      </x:c>
      <x:c r="C897" s="35" t="str">
        <x:v>P15</x:v>
      </x:c>
      <x:c r="D897" s="35" t="n">
        <x:v>28</x:v>
      </x:c>
      <x:c r="E897" s="35" t="str">
        <x:v>Primary VLA</x:v>
      </x:c>
      <x:c r="F897" s="35" t="str">
        <x:v>MolmoAct2</x:v>
      </x:c>
      <x:c r="G897" s="35" t="n">
        <x:v>2</x:v>
      </x:c>
      <x:c r="H897" s="35" t="str">
        <x:v>Counting</x:v>
      </x:c>
      <x:c r="I897" s="35" t="str">
        <x:v>Main held-out transfer</x:v>
      </x:c>
      <x:c r="J897" s="35" t="str">
        <x:v>PVLA-CT-TR-11</x:v>
      </x:c>
      <x:c r="K897" s="35" t="str">
        <x:v>C-CF09-A</x:v>
      </x:c>
      <x:c r="L897" s="31" t="str">
        <x:v>Leave exactly one object in the bowl.</x:v>
      </x:c>
      <x:c r="M897" s="31" t="str">
        <x:v>Leave exactly one object in the bowl.</x:v>
      </x:c>
      <x:c r="N897" s="31" t="str">
        <x:v>C-CF09A: bowl=[blue pen, yellow block] (2); table=[green pencil sharpener, airplane toy without propellers]; robot home; acceptable action=remove either bowl object.</x:v>
      </x:c>
      <x:c r="O897" s="31" t="str">
        <x:v>REMOVE one bowl object</x:v>
      </x:c>
      <x:c r="P897" s="31" t="str"/>
      <x:c r="Q897" s="31" t="str"/>
      <x:c r="R897" s="31" t="str"/>
      <x:c r="S897" s="31" t="str">
        <x:f>IF('Blind Scoring'!I897="","",'Blind Scoring'!I897)</x:f>
      </x:c>
      <x:c r="T897" s="31" t="str">
        <x:f>'Blind Scoring'!J897</x:f>
        <x:v>No</x:v>
      </x:c>
      <x:c r="U897" s="31" t="str">
        <x:f>IF('Blind Scoring'!L897="","",'Blind Scoring'!L897)</x:f>
      </x:c>
    </x:row>
    <x:row r="898" ht="44" customHeight="1">
      <x:c r="A898" s="35" t="str">
        <x:v>Not Started</x:v>
      </x:c>
      <x:c r="B898" s="35" t="n">
        <x:v>896</x:v>
      </x:c>
      <x:c r="C898" s="35" t="str">
        <x:v>P15</x:v>
      </x:c>
      <x:c r="D898" s="35" t="n">
        <x:v>29</x:v>
      </x:c>
      <x:c r="E898" s="35" t="str">
        <x:v>Primary VLA</x:v>
      </x:c>
      <x:c r="F898" s="35" t="str">
        <x:v>MolmoAct2</x:v>
      </x:c>
      <x:c r="G898" s="35" t="n">
        <x:v>2</x:v>
      </x:c>
      <x:c r="H898" s="35" t="str">
        <x:v>Counting</x:v>
      </x:c>
      <x:c r="I898" s="35" t="str">
        <x:v>Main held-out transfer</x:v>
      </x:c>
      <x:c r="J898" s="35" t="str">
        <x:v>PVLA-CT-TR-02</x:v>
      </x:c>
      <x:c r="K898" s="35" t="str">
        <x:v>C-CF01-B</x:v>
      </x:c>
      <x:c r="L898" s="31" t="str">
        <x:v>Leave exactly three objects in the bowl.</x:v>
      </x:c>
      <x:c r="M898" s="31" t="str">
        <x:v>Leave exactly three objects in the bowl.</x:v>
      </x:c>
      <x:c r="N898" s="31" t="str">
        <x:v>C-CF01B: bowl=[blue pen, yellow block] (2); table=[green pencil sharpener, airplane toy without propellers]; robot home; acceptable action=add either table object.</x:v>
      </x:c>
      <x:c r="O898" s="31" t="str">
        <x:v>ADD one table object</x:v>
      </x:c>
      <x:c r="P898" s="31" t="str"/>
      <x:c r="Q898" s="31" t="str"/>
      <x:c r="R898" s="31" t="str"/>
      <x:c r="S898" s="31" t="str">
        <x:f>IF('Blind Scoring'!I898="","",'Blind Scoring'!I898)</x:f>
      </x:c>
      <x:c r="T898" s="31" t="str">
        <x:f>'Blind Scoring'!J898</x:f>
        <x:v>No</x:v>
      </x:c>
      <x:c r="U898" s="31" t="str">
        <x:f>IF('Blind Scoring'!L898="","",'Blind Scoring'!L898)</x:f>
      </x:c>
    </x:row>
    <x:row r="899" ht="44" customHeight="1">
      <x:c r="A899" s="35" t="str">
        <x:v>Not Started</x:v>
      </x:c>
      <x:c r="B899" s="35" t="n">
        <x:v>897</x:v>
      </x:c>
      <x:c r="C899" s="35" t="str">
        <x:v>P15</x:v>
      </x:c>
      <x:c r="D899" s="35" t="n">
        <x:v>30</x:v>
      </x:c>
      <x:c r="E899" s="35" t="str">
        <x:v>Primary VLA</x:v>
      </x:c>
      <x:c r="F899" s="35" t="str">
        <x:v>MolmoAct2</x:v>
      </x:c>
      <x:c r="G899" s="35" t="n">
        <x:v>2</x:v>
      </x:c>
      <x:c r="H899" s="35" t="str">
        <x:v>Counting</x:v>
      </x:c>
      <x:c r="I899" s="35" t="str">
        <x:v>Main matched control</x:v>
      </x:c>
      <x:c r="J899" s="35" t="str">
        <x:v>PVLA-CT-CTL-14</x:v>
      </x:c>
      <x:c r="K899" s="35" t="str">
        <x:v>C-CF10-B</x:v>
      </x:c>
      <x:c r="L899" s="31" t="str">
        <x:v>Put the airplane toy without propellers in the bowl.</x:v>
      </x:c>
      <x:c r="M899" s="31" t="str">
        <x:v>Put the airplane toy without propellers in the bowl.</x:v>
      </x:c>
      <x:c r="N899" s="31" t="str">
        <x:v>C-CF10-CB: bowl=[yellow block, green pencil sharpener] (2); table=[airplane toy without propellers, blue pen]; robot home; acceptable action=add either table object.</x:v>
      </x:c>
      <x:c r="O899" s="31" t="str">
        <x:v>ADD airplane toy without propellers</x:v>
      </x:c>
      <x:c r="P899" s="31" t="str"/>
      <x:c r="Q899" s="31" t="str"/>
      <x:c r="R899" s="31" t="str"/>
      <x:c r="S899" s="31" t="str">
        <x:f>IF('Blind Scoring'!I899="","",'Blind Scoring'!I899)</x:f>
      </x:c>
      <x:c r="T899" s="31" t="str">
        <x:f>'Blind Scoring'!J899</x:f>
        <x:v>No</x:v>
      </x:c>
      <x:c r="U899" s="31" t="str">
        <x:f>IF('Blind Scoring'!L899="","",'Blind Scoring'!L899)</x:f>
      </x:c>
    </x:row>
    <x:row r="900" ht="44" customHeight="1">
      <x:c r="A900" s="35" t="str">
        <x:v>Not Started</x:v>
      </x:c>
      <x:c r="B900" s="35" t="n">
        <x:v>898</x:v>
      </x:c>
      <x:c r="C900" s="35" t="str">
        <x:v>P15</x:v>
      </x:c>
      <x:c r="D900" s="35" t="n">
        <x:v>31</x:v>
      </x:c>
      <x:c r="E900" s="35" t="str">
        <x:v>Primary VLA</x:v>
      </x:c>
      <x:c r="F900" s="35" t="str">
        <x:v>MolmoAct2</x:v>
      </x:c>
      <x:c r="G900" s="35" t="n">
        <x:v>2</x:v>
      </x:c>
      <x:c r="H900" s="35" t="str">
        <x:v>Counting</x:v>
      </x:c>
      <x:c r="I900" s="35" t="str">
        <x:v>Exact-scene paraphrase</x:v>
      </x:c>
      <x:c r="J900" s="35" t="str">
        <x:v>PVLA-CT-PAR-03</x:v>
      </x:c>
      <x:c r="K900" s="35" t="str"/>
      <x:c r="L900" s="31" t="str">
        <x:v>Finish with two objects in the bowl.</x:v>
      </x:c>
      <x:c r="M900" s="31" t="str">
        <x:v>Finish with two objects in the bowl.</x:v>
      </x:c>
      <x:c r="N900" s="31" t="str">
        <x:v>C-N01: bowl=[blue pen] (1); table left→right=[yellow block, green pencil sharpener, airplane toy without propellers]; robot home.</x:v>
      </x:c>
      <x:c r="O900" s="31" t="str"/>
      <x:c r="P900" s="31" t="str"/>
      <x:c r="Q900" s="31" t="str"/>
      <x:c r="R900" s="31" t="str"/>
      <x:c r="S900" s="31" t="str">
        <x:f>IF('Blind Scoring'!I900="","",'Blind Scoring'!I900)</x:f>
      </x:c>
      <x:c r="T900" s="31" t="str">
        <x:f>'Blind Scoring'!J900</x:f>
        <x:v>No</x:v>
      </x:c>
      <x:c r="U900" s="31" t="str">
        <x:f>IF('Blind Scoring'!L900="","",'Blind Scoring'!L900)</x:f>
      </x:c>
    </x:row>
    <x:row r="901" ht="44" customHeight="1">
      <x:c r="A901" s="35" t="str">
        <x:v>Not Started</x:v>
      </x:c>
      <x:c r="B901" s="35" t="n">
        <x:v>899</x:v>
      </x:c>
      <x:c r="C901" s="35" t="str">
        <x:v>P15</x:v>
      </x:c>
      <x:c r="D901" s="35" t="n">
        <x:v>32</x:v>
      </x:c>
      <x:c r="E901" s="35" t="str">
        <x:v>Primary VLA</x:v>
      </x:c>
      <x:c r="F901" s="35" t="str">
        <x:v>MolmoAct2</x:v>
      </x:c>
      <x:c r="G901" s="35" t="n">
        <x:v>2</x:v>
      </x:c>
      <x:c r="H901" s="35" t="str">
        <x:v>Counting</x:v>
      </x:c>
      <x:c r="I901" s="35" t="str">
        <x:v>Exact-scene paraphrase</x:v>
      </x:c>
      <x:c r="J901" s="35" t="str">
        <x:v>PVLA-CT-PAR-07</x:v>
      </x:c>
      <x:c r="K901" s="35" t="str"/>
      <x:c r="L901" s="31" t="str">
        <x:v>Finish with two objects in the bowl.</x:v>
      </x:c>
      <x:c r="M901" s="31" t="str">
        <x:v>Finish with two objects in the bowl.</x:v>
      </x:c>
      <x:c r="N901" s="31" t="str">
        <x:v>C-N01: bowl=[blue pen] (1); table left→right=[yellow block, green pencil sharpener, airplane toy without propellers]; robot home.</x:v>
      </x:c>
      <x:c r="O901" s="31" t="str"/>
      <x:c r="P901" s="31" t="str"/>
      <x:c r="Q901" s="31" t="str"/>
      <x:c r="R901" s="31" t="str"/>
      <x:c r="S901" s="31" t="str">
        <x:f>IF('Blind Scoring'!I901="","",'Blind Scoring'!I901)</x:f>
      </x:c>
      <x:c r="T901" s="31" t="str">
        <x:f>'Blind Scoring'!J901</x:f>
        <x:v>No</x:v>
      </x:c>
      <x:c r="U901" s="31" t="str">
        <x:f>IF('Blind Scoring'!L901="","",'Blind Scoring'!L901)</x:f>
      </x:c>
    </x:row>
    <x:row r="902" ht="44" customHeight="1">
      <x:c r="A902" s="35" t="str">
        <x:v>Not Started</x:v>
      </x:c>
      <x:c r="B902" s="35" t="n">
        <x:v>900</x:v>
      </x:c>
      <x:c r="C902" s="35" t="str">
        <x:v>P15</x:v>
      </x:c>
      <x:c r="D902" s="35" t="n">
        <x:v>33</x:v>
      </x:c>
      <x:c r="E902" s="35" t="str">
        <x:v>Primary VLA</x:v>
      </x:c>
      <x:c r="F902" s="35" t="str">
        <x:v>MolmoAct2</x:v>
      </x:c>
      <x:c r="G902" s="35" t="n">
        <x:v>2</x:v>
      </x:c>
      <x:c r="H902" s="35" t="str">
        <x:v>Counting</x:v>
      </x:c>
      <x:c r="I902" s="35" t="str">
        <x:v>Main matched control</x:v>
      </x:c>
      <x:c r="J902" s="35" t="str">
        <x:v>PVLA-CT-CTL-01</x:v>
      </x:c>
      <x:c r="K902" s="35" t="str">
        <x:v>C-CF01-A</x:v>
      </x:c>
      <x:c r="L902" s="31" t="str">
        <x:v>Remove the blue pen from the bowl.</x:v>
      </x:c>
      <x:c r="M902" s="31" t="str">
        <x:v>Remove the blue pen from the bowl.</x:v>
      </x:c>
      <x:c r="N902" s="31" t="str">
        <x:v>C-CF01-CA: bowl=[blue pen, yellow block] (2); table=[green pencil sharpener, airplane toy without propellers]; robot home; acceptable action=remove either bowl object.</x:v>
      </x:c>
      <x:c r="O902" s="31" t="str">
        <x:v>REMOVE blue pen</x:v>
      </x:c>
      <x:c r="P902" s="31" t="str"/>
      <x:c r="Q902" s="31" t="str"/>
      <x:c r="R902" s="31" t="str"/>
      <x:c r="S902" s="31" t="str">
        <x:f>IF('Blind Scoring'!I902="","",'Blind Scoring'!I902)</x:f>
      </x:c>
      <x:c r="T902" s="31" t="str">
        <x:f>'Blind Scoring'!J902</x:f>
        <x:v>No</x:v>
      </x:c>
      <x:c r="U902" s="31" t="str">
        <x:f>IF('Blind Scoring'!L902="","",'Blind Scoring'!L902)</x:f>
      </x:c>
    </x:row>
    <x:row r="903" ht="44" customHeight="1">
      <x:c r="A903" s="35" t="str">
        <x:v>Not Started</x:v>
      </x:c>
      <x:c r="B903" s="35" t="n">
        <x:v>901</x:v>
      </x:c>
      <x:c r="C903" s="35" t="str">
        <x:v>P15</x:v>
      </x:c>
      <x:c r="D903" s="35" t="n">
        <x:v>34</x:v>
      </x:c>
      <x:c r="E903" s="35" t="str">
        <x:v>Primary VLA</x:v>
      </x:c>
      <x:c r="F903" s="35" t="str">
        <x:v>MolmoAct2</x:v>
      </x:c>
      <x:c r="G903" s="35" t="n">
        <x:v>2</x:v>
      </x:c>
      <x:c r="H903" s="35" t="str">
        <x:v>Counting</x:v>
      </x:c>
      <x:c r="I903" s="35" t="str">
        <x:v>Main held-out transfer</x:v>
      </x:c>
      <x:c r="J903" s="35" t="str">
        <x:v>PVLA-CT-TR-15</x:v>
      </x:c>
      <x:c r="K903" s="35" t="str">
        <x:v>C-CF12-A</x:v>
      </x:c>
      <x:c r="L903" s="31" t="str">
        <x:v>Leave exactly one object in the bowl.</x:v>
      </x:c>
      <x:c r="M903" s="31" t="str">
        <x:v>Leave exactly one object in the bowl.</x:v>
      </x:c>
      <x:c r="N903" s="31" t="str">
        <x:v>C-CF12A: bowl=[airplane toy without propellers, blue pen] (2); table=[yellow block, green pencil sharpener]; robot home; acceptable action=remove either bowl object.</x:v>
      </x:c>
      <x:c r="O903" s="31" t="str">
        <x:v>REMOVE one bowl object</x:v>
      </x:c>
      <x:c r="P903" s="31" t="str"/>
      <x:c r="Q903" s="31" t="str"/>
      <x:c r="R903" s="31" t="str"/>
      <x:c r="S903" s="31" t="str">
        <x:f>IF('Blind Scoring'!I903="","",'Blind Scoring'!I903)</x:f>
      </x:c>
      <x:c r="T903" s="31" t="str">
        <x:f>'Blind Scoring'!J903</x:f>
        <x:v>No</x:v>
      </x:c>
      <x:c r="U903" s="31" t="str">
        <x:f>IF('Blind Scoring'!L903="","",'Blind Scoring'!L903)</x:f>
      </x:c>
    </x:row>
    <x:row r="904" ht="44" customHeight="1">
      <x:c r="A904" s="35" t="str">
        <x:v>Not Started</x:v>
      </x:c>
      <x:c r="B904" s="35" t="n">
        <x:v>902</x:v>
      </x:c>
      <x:c r="C904" s="35" t="str">
        <x:v>P15</x:v>
      </x:c>
      <x:c r="D904" s="35" t="n">
        <x:v>35</x:v>
      </x:c>
      <x:c r="E904" s="35" t="str">
        <x:v>Primary VLA</x:v>
      </x:c>
      <x:c r="F904" s="35" t="str">
        <x:v>MolmoAct2</x:v>
      </x:c>
      <x:c r="G904" s="35" t="n">
        <x:v>2</x:v>
      </x:c>
      <x:c r="H904" s="35" t="str">
        <x:v>Counting</x:v>
      </x:c>
      <x:c r="I904" s="35" t="str">
        <x:v>Main matched control</x:v>
      </x:c>
      <x:c r="J904" s="35" t="str">
        <x:v>PVLA-CT-CTL-13</x:v>
      </x:c>
      <x:c r="K904" s="35" t="str">
        <x:v>C-CF10-A</x:v>
      </x:c>
      <x:c r="L904" s="31" t="str">
        <x:v>Remove the yellow block from the bowl.</x:v>
      </x:c>
      <x:c r="M904" s="31" t="str">
        <x:v>Remove the yellow block from the bowl.</x:v>
      </x:c>
      <x:c r="N904" s="31" t="str">
        <x:v>C-CF10-CA: bowl=[yellow block, green pencil sharpener] (2); table=[airplane toy without propellers, blue pen]; robot home; acceptable action=remove either bowl object.</x:v>
      </x:c>
      <x:c r="O904" s="31" t="str">
        <x:v>REMOVE yellow block</x:v>
      </x:c>
      <x:c r="P904" s="31" t="str"/>
      <x:c r="Q904" s="31" t="str"/>
      <x:c r="R904" s="31" t="str"/>
      <x:c r="S904" s="31" t="str">
        <x:f>IF('Blind Scoring'!I904="","",'Blind Scoring'!I904)</x:f>
      </x:c>
      <x:c r="T904" s="31" t="str">
        <x:f>'Blind Scoring'!J904</x:f>
        <x:v>No</x:v>
      </x:c>
      <x:c r="U904" s="31" t="str">
        <x:f>IF('Blind Scoring'!L904="","",'Blind Scoring'!L904)</x:f>
      </x:c>
    </x:row>
    <x:row r="905" ht="44" customHeight="1">
      <x:c r="A905" s="35" t="str">
        <x:v>Not Started</x:v>
      </x:c>
      <x:c r="B905" s="35" t="n">
        <x:v>903</x:v>
      </x:c>
      <x:c r="C905" s="35" t="str">
        <x:v>P15</x:v>
      </x:c>
      <x:c r="D905" s="35" t="n">
        <x:v>36</x:v>
      </x:c>
      <x:c r="E905" s="35" t="str">
        <x:v>Primary VLA</x:v>
      </x:c>
      <x:c r="F905" s="35" t="str">
        <x:v>MolmoAct2</x:v>
      </x:c>
      <x:c r="G905" s="35" t="n">
        <x:v>2</x:v>
      </x:c>
      <x:c r="H905" s="35" t="str">
        <x:v>Counting</x:v>
      </x:c>
      <x:c r="I905" s="35" t="str">
        <x:v>Main held-out transfer</x:v>
      </x:c>
      <x:c r="J905" s="35" t="str">
        <x:v>PVLA-CT-TR-05</x:v>
      </x:c>
      <x:c r="K905" s="35" t="str">
        <x:v>C-CF04-A</x:v>
      </x:c>
      <x:c r="L905" s="31" t="str">
        <x:v>Leave exactly one object in the bowl.</x:v>
      </x:c>
      <x:c r="M905" s="31" t="str">
        <x:v>Leave exactly one object in the bowl.</x:v>
      </x:c>
      <x:c r="N905" s="31" t="str">
        <x:v>C-CF04A: bowl=[airplane toy without propellers, blue pen] (2); table=[yellow block, green pencil sharpener]; robot home; acceptable action=remove either bowl object.</x:v>
      </x:c>
      <x:c r="O905" s="31" t="str">
        <x:v>REMOVE one bowl object</x:v>
      </x:c>
      <x:c r="P905" s="31" t="str"/>
      <x:c r="Q905" s="31" t="str"/>
      <x:c r="R905" s="31" t="str"/>
      <x:c r="S905" s="31" t="str">
        <x:f>IF('Blind Scoring'!I905="","",'Blind Scoring'!I905)</x:f>
      </x:c>
      <x:c r="T905" s="31" t="str">
        <x:f>'Blind Scoring'!J905</x:f>
        <x:v>No</x:v>
      </x:c>
      <x:c r="U905" s="31" t="str">
        <x:f>IF('Blind Scoring'!L905="","",'Blind Scoring'!L905)</x:f>
      </x:c>
    </x:row>
    <x:row r="906" ht="44" customHeight="1">
      <x:c r="A906" s="35" t="str">
        <x:v>Not Started</x:v>
      </x:c>
      <x:c r="B906" s="35" t="n">
        <x:v>904</x:v>
      </x:c>
      <x:c r="C906" s="35" t="str">
        <x:v>P15</x:v>
      </x:c>
      <x:c r="D906" s="35" t="n">
        <x:v>37</x:v>
      </x:c>
      <x:c r="E906" s="35" t="str">
        <x:v>Primary VLA</x:v>
      </x:c>
      <x:c r="F906" s="35" t="str">
        <x:v>MolmoAct2</x:v>
      </x:c>
      <x:c r="G906" s="35" t="n">
        <x:v>2</x:v>
      </x:c>
      <x:c r="H906" s="35" t="str">
        <x:v>Counting</x:v>
      </x:c>
      <x:c r="I906" s="35" t="str">
        <x:v>Main matched control</x:v>
      </x:c>
      <x:c r="J906" s="35" t="str">
        <x:v>PVLA-CT-CTL-16</x:v>
      </x:c>
      <x:c r="K906" s="35" t="str">
        <x:v>C-CF12-B</x:v>
      </x:c>
      <x:c r="L906" s="31" t="str">
        <x:v>Put the yellow block in the bowl.</x:v>
      </x:c>
      <x:c r="M906" s="31" t="str">
        <x:v>Put the yellow block in the bowl.</x:v>
      </x:c>
      <x:c r="N906" s="31" t="str">
        <x:v>C-CF12-CB: bowl=[airplane toy without propellers, blue pen] (2); table=[yellow block, green pencil sharpener]; robot home; acceptable action=add either table object.</x:v>
      </x:c>
      <x:c r="O906" s="31" t="str">
        <x:v>ADD yellow block</x:v>
      </x:c>
      <x:c r="P906" s="31" t="str"/>
      <x:c r="Q906" s="31" t="str"/>
      <x:c r="R906" s="31" t="str"/>
      <x:c r="S906" s="31" t="str">
        <x:f>IF('Blind Scoring'!I906="","",'Blind Scoring'!I906)</x:f>
      </x:c>
      <x:c r="T906" s="31" t="str">
        <x:f>'Blind Scoring'!J906</x:f>
        <x:v>No</x:v>
      </x:c>
      <x:c r="U906" s="31" t="str">
        <x:f>IF('Blind Scoring'!L906="","",'Blind Scoring'!L906)</x:f>
      </x:c>
    </x:row>
    <x:row r="907" ht="44" customHeight="1">
      <x:c r="A907" s="35" t="str">
        <x:v>Not Started</x:v>
      </x:c>
      <x:c r="B907" s="35" t="n">
        <x:v>905</x:v>
      </x:c>
      <x:c r="C907" s="35" t="str">
        <x:v>P15</x:v>
      </x:c>
      <x:c r="D907" s="35" t="n">
        <x:v>38</x:v>
      </x:c>
      <x:c r="E907" s="35" t="str">
        <x:v>Primary VLA</x:v>
      </x:c>
      <x:c r="F907" s="35" t="str">
        <x:v>MolmoAct2</x:v>
      </x:c>
      <x:c r="G907" s="35" t="n">
        <x:v>2</x:v>
      </x:c>
      <x:c r="H907" s="35" t="str">
        <x:v>Counting</x:v>
      </x:c>
      <x:c r="I907" s="35" t="str">
        <x:v>Main held-out transfer</x:v>
      </x:c>
      <x:c r="J907" s="35" t="str">
        <x:v>PVLA-CT-TR-16</x:v>
      </x:c>
      <x:c r="K907" s="35" t="str">
        <x:v>C-CF12-B</x:v>
      </x:c>
      <x:c r="L907" s="31" t="str">
        <x:v>Leave exactly three objects in the bowl.</x:v>
      </x:c>
      <x:c r="M907" s="31" t="str">
        <x:v>Leave exactly three objects in the bowl.</x:v>
      </x:c>
      <x:c r="N907" s="31" t="str">
        <x:v>C-CF12B: bowl=[airplane toy without propellers, blue pen] (2); table=[yellow block, green pencil sharpener]; robot home; acceptable action=add either table object.</x:v>
      </x:c>
      <x:c r="O907" s="31" t="str">
        <x:v>ADD one table object</x:v>
      </x:c>
      <x:c r="P907" s="31" t="str"/>
      <x:c r="Q907" s="31" t="str"/>
      <x:c r="R907" s="31" t="str"/>
      <x:c r="S907" s="31" t="str">
        <x:f>IF('Blind Scoring'!I907="","",'Blind Scoring'!I907)</x:f>
      </x:c>
      <x:c r="T907" s="31" t="str">
        <x:f>'Blind Scoring'!J907</x:f>
        <x:v>No</x:v>
      </x:c>
      <x:c r="U907" s="31" t="str">
        <x:f>IF('Blind Scoring'!L907="","",'Blind Scoring'!L907)</x:f>
      </x:c>
    </x:row>
    <x:row r="908" ht="44" customHeight="1">
      <x:c r="A908" s="35" t="str">
        <x:v>Not Started</x:v>
      </x:c>
      <x:c r="B908" s="35" t="n">
        <x:v>906</x:v>
      </x:c>
      <x:c r="C908" s="35" t="str">
        <x:v>P15</x:v>
      </x:c>
      <x:c r="D908" s="35" t="n">
        <x:v>39</x:v>
      </x:c>
      <x:c r="E908" s="35" t="str">
        <x:v>Primary VLA</x:v>
      </x:c>
      <x:c r="F908" s="35" t="str">
        <x:v>MolmoAct2</x:v>
      </x:c>
      <x:c r="G908" s="35" t="n">
        <x:v>2</x:v>
      </x:c>
      <x:c r="H908" s="35" t="str">
        <x:v>Counting</x:v>
      </x:c>
      <x:c r="I908" s="35" t="str">
        <x:v>Training reconstruction</x:v>
      </x:c>
      <x:c r="J908" s="35" t="str">
        <x:v>PVLA-CT-REC-06</x:v>
      </x:c>
      <x:c r="K908" s="35" t="str"/>
      <x:c r="L908" s="31" t="str">
        <x:v>Move the airplane toy without propellers into the bowl.</x:v>
      </x:c>
      <x:c r="M908" s="31" t="str">
        <x:v>Move the airplane toy without propellers into the bowl.</x:v>
      </x:c>
      <x:c r="N908" s="31" t="str">
        <x:v>Reconstruct planned final training episode 950: airplane toy without propellers, blue pen, yellow block, green pencil sharpener; start=Home. Match camera, calibration, bowl pose, and object geometry exactly.</x:v>
      </x:c>
      <x:c r="O908" s="31" t="str">
        <x:v>airplane toy without propellers</x:v>
      </x:c>
      <x:c r="P908" s="31" t="str"/>
      <x:c r="Q908" s="31" t="str"/>
      <x:c r="R908" s="31" t="str"/>
      <x:c r="S908" s="31" t="str">
        <x:f>IF('Blind Scoring'!I908="","",'Blind Scoring'!I908)</x:f>
      </x:c>
      <x:c r="T908" s="31" t="str">
        <x:f>'Blind Scoring'!J908</x:f>
        <x:v>No</x:v>
      </x:c>
      <x:c r="U908" s="31" t="str">
        <x:f>IF('Blind Scoring'!L908="","",'Blind Scoring'!L908)</x:f>
      </x:c>
    </x:row>
    <x:row r="909" ht="44" customHeight="1">
      <x:c r="A909" s="35" t="str">
        <x:v>Not Started</x:v>
      </x:c>
      <x:c r="B909" s="35" t="n">
        <x:v>907</x:v>
      </x:c>
      <x:c r="C909" s="35" t="str">
        <x:v>P15</x:v>
      </x:c>
      <x:c r="D909" s="35" t="n">
        <x:v>40</x:v>
      </x:c>
      <x:c r="E909" s="35" t="str">
        <x:v>Primary VLA</x:v>
      </x:c>
      <x:c r="F909" s="35" t="str">
        <x:v>MolmoAct2</x:v>
      </x:c>
      <x:c r="G909" s="35" t="n">
        <x:v>2</x:v>
      </x:c>
      <x:c r="H909" s="35" t="str">
        <x:v>Counting</x:v>
      </x:c>
      <x:c r="I909" s="35" t="str">
        <x:v>Language ablation — counterfactual</x:v>
      </x:c>
      <x:c r="J909" s="35" t="str">
        <x:v>PVLA-CT-ABL-CF-01</x:v>
      </x:c>
      <x:c r="K909" s="35" t="str">
        <x:v>C-CF04-A</x:v>
      </x:c>
      <x:c r="L909" s="31" t="str">
        <x:v>Leave exactly three objects in the bowl.</x:v>
      </x:c>
      <x:c r="M909" s="31" t="str">
        <x:v>Leave exactly three objects in the bowl.</x:v>
      </x:c>
      <x:c r="N909" s="31" t="str">
        <x:v>C-CF04A: bowl=[airplane toy without propellers, blue pen] (2); table=[yellow block, green pencil sharpener]; robot home; acceptable action=remove either bowl object.</x:v>
      </x:c>
      <x:c r="O909" s="31" t="str">
        <x:v>ADD one table object</x:v>
      </x:c>
      <x:c r="P909" s="31" t="str"/>
      <x:c r="Q909" s="31" t="str"/>
      <x:c r="R909" s="31" t="str"/>
      <x:c r="S909" s="31" t="str">
        <x:f>IF('Blind Scoring'!I909="","",'Blind Scoring'!I909)</x:f>
      </x:c>
      <x:c r="T909" s="31" t="str">
        <x:f>'Blind Scoring'!J909</x:f>
        <x:v>No</x:v>
      </x:c>
      <x:c r="U909" s="31" t="str">
        <x:f>IF('Blind Scoring'!L909="","",'Blind Scoring'!L909)</x:f>
      </x:c>
    </x:row>
    <x:row r="910" ht="44" customHeight="1">
      <x:c r="A910" s="35" t="str">
        <x:v>Not Started</x:v>
      </x:c>
      <x:c r="B910" s="35" t="n">
        <x:v>908</x:v>
      </x:c>
      <x:c r="C910" s="35" t="str">
        <x:v>P15</x:v>
      </x:c>
      <x:c r="D910" s="35" t="n">
        <x:v>41</x:v>
      </x:c>
      <x:c r="E910" s="35" t="str">
        <x:v>Primary VLA</x:v>
      </x:c>
      <x:c r="F910" s="35" t="str">
        <x:v>MolmoAct2</x:v>
      </x:c>
      <x:c r="G910" s="35" t="n">
        <x:v>2</x:v>
      </x:c>
      <x:c r="H910" s="35" t="str">
        <x:v>Counting</x:v>
      </x:c>
      <x:c r="I910" s="35" t="str">
        <x:v>Main held-out transfer</x:v>
      </x:c>
      <x:c r="J910" s="35" t="str">
        <x:v>PVLA-CT-TR-06</x:v>
      </x:c>
      <x:c r="K910" s="35" t="str">
        <x:v>C-CF04-B</x:v>
      </x:c>
      <x:c r="L910" s="31" t="str">
        <x:v>Leave exactly three objects in the bowl.</x:v>
      </x:c>
      <x:c r="M910" s="31" t="str">
        <x:v>Leave exactly three objects in the bowl.</x:v>
      </x:c>
      <x:c r="N910" s="31" t="str">
        <x:v>C-CF04B: bowl=[airplane toy without propellers, blue pen] (2); table=[yellow block, green pencil sharpener]; robot home; acceptable action=add either table object.</x:v>
      </x:c>
      <x:c r="O910" s="31" t="str">
        <x:v>ADD one table object</x:v>
      </x:c>
      <x:c r="P910" s="31" t="str"/>
      <x:c r="Q910" s="31" t="str"/>
      <x:c r="R910" s="31" t="str"/>
      <x:c r="S910" s="31" t="str">
        <x:f>IF('Blind Scoring'!I910="","",'Blind Scoring'!I910)</x:f>
      </x:c>
      <x:c r="T910" s="31" t="str">
        <x:f>'Blind Scoring'!J910</x:f>
        <x:v>No</x:v>
      </x:c>
      <x:c r="U910" s="31" t="str">
        <x:f>IF('Blind Scoring'!L910="","",'Blind Scoring'!L910)</x:f>
      </x:c>
    </x:row>
    <x:row r="911" ht="44" customHeight="1">
      <x:c r="A911" s="35" t="str">
        <x:v>Not Started</x:v>
      </x:c>
      <x:c r="B911" s="35" t="n">
        <x:v>909</x:v>
      </x:c>
      <x:c r="C911" s="35" t="str">
        <x:v>P15</x:v>
      </x:c>
      <x:c r="D911" s="35" t="n">
        <x:v>42</x:v>
      </x:c>
      <x:c r="E911" s="35" t="str">
        <x:v>Primary VLA</x:v>
      </x:c>
      <x:c r="F911" s="35" t="str">
        <x:v>MolmoAct2</x:v>
      </x:c>
      <x:c r="G911" s="35" t="n">
        <x:v>2</x:v>
      </x:c>
      <x:c r="H911" s="35" t="str">
        <x:v>Counting</x:v>
      </x:c>
      <x:c r="I911" s="35" t="str">
        <x:v>Main held-out transfer</x:v>
      </x:c>
      <x:c r="J911" s="35" t="str">
        <x:v>PVLA-CT-TR-07</x:v>
      </x:c>
      <x:c r="K911" s="35" t="str">
        <x:v>C-CF06-A</x:v>
      </x:c>
      <x:c r="L911" s="31" t="str">
        <x:v>Leave exactly one object in the bowl.</x:v>
      </x:c>
      <x:c r="M911" s="31" t="str">
        <x:v>Leave exactly one object in the bowl.</x:v>
      </x:c>
      <x:c r="N911" s="31" t="str">
        <x:v>C-CF06A: bowl=[yellow block, green pencil sharpener] (2); table=[airplane toy without propellers, blue pen]; robot home; acceptable action=remove either bowl object.</x:v>
      </x:c>
      <x:c r="O911" s="31" t="str">
        <x:v>REMOVE one bowl object</x:v>
      </x:c>
      <x:c r="P911" s="31" t="str"/>
      <x:c r="Q911" s="31" t="str"/>
      <x:c r="R911" s="31" t="str"/>
      <x:c r="S911" s="31" t="str">
        <x:f>IF('Blind Scoring'!I911="","",'Blind Scoring'!I911)</x:f>
      </x:c>
      <x:c r="T911" s="31" t="str">
        <x:f>'Blind Scoring'!J911</x:f>
        <x:v>No</x:v>
      </x:c>
      <x:c r="U911" s="31" t="str">
        <x:f>IF('Blind Scoring'!L911="","",'Blind Scoring'!L911)</x:f>
      </x:c>
    </x:row>
    <x:row r="912" ht="44" customHeight="1">
      <x:c r="A912" s="35" t="str">
        <x:v>Not Started</x:v>
      </x:c>
      <x:c r="B912" s="35" t="n">
        <x:v>910</x:v>
      </x:c>
      <x:c r="C912" s="35" t="str">
        <x:v>P15</x:v>
      </x:c>
      <x:c r="D912" s="35" t="n">
        <x:v>43</x:v>
      </x:c>
      <x:c r="E912" s="35" t="str">
        <x:v>Primary VLA</x:v>
      </x:c>
      <x:c r="F912" s="35" t="str">
        <x:v>MolmoAct2</x:v>
      </x:c>
      <x:c r="G912" s="35" t="n">
        <x:v>2</x:v>
      </x:c>
      <x:c r="H912" s="35" t="str">
        <x:v>Counting</x:v>
      </x:c>
      <x:c r="I912" s="35" t="str">
        <x:v>Novel layout + seen language</x:v>
      </x:c>
      <x:c r="J912" s="35" t="str">
        <x:v>PVLA-CT-NOV-02</x:v>
      </x:c>
      <x:c r="K912" s="35" t="str"/>
      <x:c r="L912" s="31" t="str">
        <x:v>Make the bowl contain exactly two objects.</x:v>
      </x:c>
      <x:c r="M912" s="31" t="str">
        <x:v>Make the bowl contain exactly two objects.</x:v>
      </x:c>
      <x:c r="N912" s="31" t="str">
        <x:v>C-N04: bowl=[airplane toy without propellers, blue pen, yellow block] (3); table left→right=[green pencil sharpener]; robot home.</x:v>
      </x:c>
      <x:c r="O912" s="31" t="str"/>
      <x:c r="P912" s="31" t="str"/>
      <x:c r="Q912" s="31" t="str"/>
      <x:c r="R912" s="31" t="str"/>
      <x:c r="S912" s="31" t="str">
        <x:f>IF('Blind Scoring'!I912="","",'Blind Scoring'!I912)</x:f>
      </x:c>
      <x:c r="T912" s="31" t="str">
        <x:f>'Blind Scoring'!J912</x:f>
        <x:v>No</x:v>
      </x:c>
      <x:c r="U912" s="31" t="str">
        <x:f>IF('Blind Scoring'!L912="","",'Blind Scoring'!L912)</x:f>
      </x:c>
    </x:row>
    <x:row r="913" ht="44" customHeight="1">
      <x:c r="A913" s="35" t="str">
        <x:v>Not Started</x:v>
      </x:c>
      <x:c r="B913" s="35" t="n">
        <x:v>911</x:v>
      </x:c>
      <x:c r="C913" s="35" t="str">
        <x:v>P15</x:v>
      </x:c>
      <x:c r="D913" s="35" t="n">
        <x:v>44</x:v>
      </x:c>
      <x:c r="E913" s="35" t="str">
        <x:v>Primary VLA</x:v>
      </x:c>
      <x:c r="F913" s="35" t="str">
        <x:v>MolmoAct2</x:v>
      </x:c>
      <x:c r="G913" s="35" t="n">
        <x:v>2</x:v>
      </x:c>
      <x:c r="H913" s="35" t="str">
        <x:v>Counting</x:v>
      </x:c>
      <x:c r="I913" s="35" t="str">
        <x:v>Main matched control</x:v>
      </x:c>
      <x:c r="J913" s="35" t="str">
        <x:v>PVLA-CT-CTL-15</x:v>
      </x:c>
      <x:c r="K913" s="35" t="str">
        <x:v>C-CF12-A</x:v>
      </x:c>
      <x:c r="L913" s="31" t="str">
        <x:v>Remove the airplane toy without propellers from the bowl.</x:v>
      </x:c>
      <x:c r="M913" s="31" t="str">
        <x:v>Remove the airplane toy without propellers from the bowl.</x:v>
      </x:c>
      <x:c r="N913" s="31" t="str">
        <x:v>C-CF12-CA: bowl=[airplane toy without propellers, blue pen] (2); table=[yellow block, green pencil sharpener]; robot home; acceptable action=remove either bowl object.</x:v>
      </x:c>
      <x:c r="O913" s="31" t="str">
        <x:v>REMOVE airplane toy without propellers</x:v>
      </x:c>
      <x:c r="P913" s="31" t="str"/>
      <x:c r="Q913" s="31" t="str"/>
      <x:c r="R913" s="31" t="str"/>
      <x:c r="S913" s="31" t="str">
        <x:f>IF('Blind Scoring'!I913="","",'Blind Scoring'!I913)</x:f>
      </x:c>
      <x:c r="T913" s="31" t="str">
        <x:f>'Blind Scoring'!J913</x:f>
        <x:v>No</x:v>
      </x:c>
      <x:c r="U913" s="31" t="str">
        <x:f>IF('Blind Scoring'!L913="","",'Blind Scoring'!L913)</x:f>
      </x:c>
    </x:row>
    <x:row r="914" ht="44" customHeight="1">
      <x:c r="A914" s="35" t="str">
        <x:v>Not Started</x:v>
      </x:c>
      <x:c r="B914" s="35" t="n">
        <x:v>912</x:v>
      </x:c>
      <x:c r="C914" s="35" t="str">
        <x:v>P15</x:v>
      </x:c>
      <x:c r="D914" s="35" t="n">
        <x:v>45</x:v>
      </x:c>
      <x:c r="E914" s="35" t="str">
        <x:v>Primary VLA</x:v>
      </x:c>
      <x:c r="F914" s="35" t="str">
        <x:v>MolmoAct2</x:v>
      </x:c>
      <x:c r="G914" s="35" t="n">
        <x:v>2</x:v>
      </x:c>
      <x:c r="H914" s="35" t="str">
        <x:v>Counting</x:v>
      </x:c>
      <x:c r="I914" s="35" t="str">
        <x:v>Main matched control</x:v>
      </x:c>
      <x:c r="J914" s="35" t="str">
        <x:v>PVLA-CT-CTL-06</x:v>
      </x:c>
      <x:c r="K914" s="35" t="str">
        <x:v>C-CF04-B</x:v>
      </x:c>
      <x:c r="L914" s="31" t="str">
        <x:v>Put the yellow block in the bowl.</x:v>
      </x:c>
      <x:c r="M914" s="31" t="str">
        <x:v>Put the yellow block in the bowl.</x:v>
      </x:c>
      <x:c r="N914" s="31" t="str">
        <x:v>C-CF04-CB: bowl=[airplane toy without propellers, blue pen] (2); table=[yellow block, green pencil sharpener]; robot home; acceptable action=add either table object.</x:v>
      </x:c>
      <x:c r="O914" s="31" t="str">
        <x:v>ADD yellow block</x:v>
      </x:c>
      <x:c r="P914" s="31" t="str"/>
      <x:c r="Q914" s="31" t="str"/>
      <x:c r="R914" s="31" t="str"/>
      <x:c r="S914" s="31" t="str">
        <x:f>IF('Blind Scoring'!I914="","",'Blind Scoring'!I914)</x:f>
      </x:c>
      <x:c r="T914" s="31" t="str">
        <x:f>'Blind Scoring'!J914</x:f>
        <x:v>No</x:v>
      </x:c>
      <x:c r="U914" s="31" t="str">
        <x:f>IF('Blind Scoring'!L914="","",'Blind Scoring'!L914)</x:f>
      </x:c>
    </x:row>
    <x:row r="915" ht="44" customHeight="1">
      <x:c r="A915" s="35" t="str">
        <x:v>Not Started</x:v>
      </x:c>
      <x:c r="B915" s="35" t="n">
        <x:v>913</x:v>
      </x:c>
      <x:c r="C915" s="35" t="str">
        <x:v>P15</x:v>
      </x:c>
      <x:c r="D915" s="35" t="n">
        <x:v>46</x:v>
      </x:c>
      <x:c r="E915" s="35" t="str">
        <x:v>Primary VLA</x:v>
      </x:c>
      <x:c r="F915" s="35" t="str">
        <x:v>MolmoAct2</x:v>
      </x:c>
      <x:c r="G915" s="35" t="n">
        <x:v>2</x:v>
      </x:c>
      <x:c r="H915" s="35" t="str">
        <x:v>Counting</x:v>
      </x:c>
      <x:c r="I915" s="35" t="str">
        <x:v>Exact-scene paraphrase</x:v>
      </x:c>
      <x:c r="J915" s="35" t="str">
        <x:v>PVLA-CT-PAR-04</x:v>
      </x:c>
      <x:c r="K915" s="35" t="str"/>
      <x:c r="L915" s="31" t="str">
        <x:v>Finish with two objects in the bowl.</x:v>
      </x:c>
      <x:c r="M915" s="31" t="str">
        <x:v>Finish with two objects in the bowl.</x:v>
      </x:c>
      <x:c r="N915" s="31" t="str">
        <x:v>C-N01: bowl=[blue pen] (1); table left→right=[yellow block, green pencil sharpener, airplane toy without propellers]; robot home.</x:v>
      </x:c>
      <x:c r="O915" s="31" t="str"/>
      <x:c r="P915" s="31" t="str"/>
      <x:c r="Q915" s="31" t="str"/>
      <x:c r="R915" s="31" t="str"/>
      <x:c r="S915" s="31" t="str">
        <x:f>IF('Blind Scoring'!I915="","",'Blind Scoring'!I915)</x:f>
      </x:c>
      <x:c r="T915" s="31" t="str">
        <x:f>'Blind Scoring'!J915</x:f>
        <x:v>No</x:v>
      </x:c>
      <x:c r="U915" s="31" t="str">
        <x:f>IF('Blind Scoring'!L915="","",'Blind Scoring'!L915)</x:f>
      </x:c>
    </x:row>
    <x:row r="916" ht="44" customHeight="1">
      <x:c r="A916" s="35" t="str">
        <x:v>Not Started</x:v>
      </x:c>
      <x:c r="B916" s="35" t="n">
        <x:v>914</x:v>
      </x:c>
      <x:c r="C916" s="35" t="str">
        <x:v>P15</x:v>
      </x:c>
      <x:c r="D916" s="35" t="n">
        <x:v>47</x:v>
      </x:c>
      <x:c r="E916" s="35" t="str">
        <x:v>Primary VLA</x:v>
      </x:c>
      <x:c r="F916" s="35" t="str">
        <x:v>MolmoAct2</x:v>
      </x:c>
      <x:c r="G916" s="35" t="n">
        <x:v>2</x:v>
      </x:c>
      <x:c r="H916" s="35" t="str">
        <x:v>Counting</x:v>
      </x:c>
      <x:c r="I916" s="35" t="str">
        <x:v>Language ablation — counterfactual</x:v>
      </x:c>
      <x:c r="J916" s="35" t="str">
        <x:v>PVLA-CT-ABL-CF-04</x:v>
      </x:c>
      <x:c r="K916" s="35" t="str">
        <x:v>C-CF06-B</x:v>
      </x:c>
      <x:c r="L916" s="31" t="str">
        <x:v>Leave exactly one object in the bowl.</x:v>
      </x:c>
      <x:c r="M916" s="31" t="str">
        <x:v>Leave exactly one object in the bowl.</x:v>
      </x:c>
      <x:c r="N916" s="31" t="str">
        <x:v>C-CF06B: bowl=[yellow block, green pencil sharpener] (2); table=[airplane toy without propellers, blue pen]; robot home; acceptable action=add either table object.</x:v>
      </x:c>
      <x:c r="O916" s="31" t="str">
        <x:v>REMOVE one bowl object</x:v>
      </x:c>
      <x:c r="P916" s="31" t="str"/>
      <x:c r="Q916" s="31" t="str"/>
      <x:c r="R916" s="31" t="str"/>
      <x:c r="S916" s="31" t="str">
        <x:f>IF('Blind Scoring'!I916="","",'Blind Scoring'!I916)</x:f>
      </x:c>
      <x:c r="T916" s="31" t="str">
        <x:f>'Blind Scoring'!J916</x:f>
        <x:v>No</x:v>
      </x:c>
      <x:c r="U916" s="31" t="str">
        <x:f>IF('Blind Scoring'!L916="","",'Blind Scoring'!L916)</x:f>
      </x:c>
    </x:row>
    <x:row r="917" ht="44" customHeight="1">
      <x:c r="A917" s="35" t="str">
        <x:v>Not Started</x:v>
      </x:c>
      <x:c r="B917" s="35" t="n">
        <x:v>915</x:v>
      </x:c>
      <x:c r="C917" s="35" t="str">
        <x:v>P15</x:v>
      </x:c>
      <x:c r="D917" s="35" t="n">
        <x:v>48</x:v>
      </x:c>
      <x:c r="E917" s="35" t="str">
        <x:v>Primary VLA</x:v>
      </x:c>
      <x:c r="F917" s="35" t="str">
        <x:v>MolmoAct2</x:v>
      </x:c>
      <x:c r="G917" s="35" t="n">
        <x:v>2</x:v>
      </x:c>
      <x:c r="H917" s="35" t="str">
        <x:v>Counting</x:v>
      </x:c>
      <x:c r="I917" s="35" t="str">
        <x:v>Main matched control</x:v>
      </x:c>
      <x:c r="J917" s="35" t="str">
        <x:v>PVLA-CT-CTL-11</x:v>
      </x:c>
      <x:c r="K917" s="35" t="str">
        <x:v>C-CF09-A</x:v>
      </x:c>
      <x:c r="L917" s="31" t="str">
        <x:v>Remove the blue pen from the bowl.</x:v>
      </x:c>
      <x:c r="M917" s="31" t="str">
        <x:v>Remove the blue pen from the bowl.</x:v>
      </x:c>
      <x:c r="N917" s="31" t="str">
        <x:v>C-CF09-CA: bowl=[blue pen, yellow block] (2); table=[green pencil sharpener, airplane toy without propellers]; robot home; acceptable action=remove either bowl object.</x:v>
      </x:c>
      <x:c r="O917" s="31" t="str">
        <x:v>REMOVE blue pen</x:v>
      </x:c>
      <x:c r="P917" s="31" t="str"/>
      <x:c r="Q917" s="31" t="str"/>
      <x:c r="R917" s="31" t="str"/>
      <x:c r="S917" s="31" t="str">
        <x:f>IF('Blind Scoring'!I917="","",'Blind Scoring'!I917)</x:f>
      </x:c>
      <x:c r="T917" s="31" t="str">
        <x:f>'Blind Scoring'!J917</x:f>
        <x:v>No</x:v>
      </x:c>
      <x:c r="U917" s="31" t="str">
        <x:f>IF('Blind Scoring'!L917="","",'Blind Scoring'!L917)</x:f>
      </x:c>
    </x:row>
    <x:row r="918" ht="44" customHeight="1">
      <x:c r="A918" s="35" t="str">
        <x:v>Not Started</x:v>
      </x:c>
      <x:c r="B918" s="35" t="n">
        <x:v>916</x:v>
      </x:c>
      <x:c r="C918" s="35" t="str">
        <x:v>P15</x:v>
      </x:c>
      <x:c r="D918" s="35" t="n">
        <x:v>49</x:v>
      </x:c>
      <x:c r="E918" s="35" t="str">
        <x:v>Primary VLA</x:v>
      </x:c>
      <x:c r="F918" s="35" t="str">
        <x:v>MolmoAct2</x:v>
      </x:c>
      <x:c r="G918" s="35" t="n">
        <x:v>2</x:v>
      </x:c>
      <x:c r="H918" s="35" t="str">
        <x:v>Counting</x:v>
      </x:c>
      <x:c r="I918" s="35" t="str">
        <x:v>Training reconstruction</x:v>
      </x:c>
      <x:c r="J918" s="35" t="str">
        <x:v>PVLA-CT-REC-05</x:v>
      </x:c>
      <x:c r="K918" s="35" t="str"/>
      <x:c r="L918" s="31" t="str">
        <x:v>Remove the yellow block from the bowl.</x:v>
      </x:c>
      <x:c r="M918" s="31" t="str">
        <x:v>Remove the yellow block from the bowl.</x:v>
      </x:c>
      <x:c r="N918" s="31" t="str">
        <x:v>Reconstruct planned final training episode 896: yellow block, green pencil sharpener, airplane toy without propellers, blue pen; start=Post-Drop. Match camera, calibration, bowl pose, and object geometry exactly.</x:v>
      </x:c>
      <x:c r="O918" s="31" t="str">
        <x:v>yellow block</x:v>
      </x:c>
      <x:c r="P918" s="31" t="str"/>
      <x:c r="Q918" s="31" t="str"/>
      <x:c r="R918" s="31" t="str"/>
      <x:c r="S918" s="31" t="str">
        <x:f>IF('Blind Scoring'!I918="","",'Blind Scoring'!I918)</x:f>
      </x:c>
      <x:c r="T918" s="31" t="str">
        <x:f>'Blind Scoring'!J918</x:f>
        <x:v>No</x:v>
      </x:c>
      <x:c r="U918" s="31" t="str">
        <x:f>IF('Blind Scoring'!L918="","",'Blind Scoring'!L918)</x:f>
      </x:c>
    </x:row>
    <x:row r="919" ht="44" customHeight="1">
      <x:c r="A919" s="35" t="str">
        <x:v>Not Started</x:v>
      </x:c>
      <x:c r="B919" s="35" t="n">
        <x:v>917</x:v>
      </x:c>
      <x:c r="C919" s="35" t="str">
        <x:v>P15</x:v>
      </x:c>
      <x:c r="D919" s="35" t="n">
        <x:v>50</x:v>
      </x:c>
      <x:c r="E919" s="35" t="str">
        <x:v>Primary VLA</x:v>
      </x:c>
      <x:c r="F919" s="35" t="str">
        <x:v>MolmoAct2</x:v>
      </x:c>
      <x:c r="G919" s="35" t="n">
        <x:v>2</x:v>
      </x:c>
      <x:c r="H919" s="35" t="str">
        <x:v>Counting</x:v>
      </x:c>
      <x:c r="I919" s="35" t="str">
        <x:v>Main held-out transfer</x:v>
      </x:c>
      <x:c r="J919" s="35" t="str">
        <x:v>PVLA-CT-TR-14</x:v>
      </x:c>
      <x:c r="K919" s="35" t="str">
        <x:v>C-CF10-B</x:v>
      </x:c>
      <x:c r="L919" s="31" t="str">
        <x:v>Leave exactly three objects in the bowl.</x:v>
      </x:c>
      <x:c r="M919" s="31" t="str">
        <x:v>Leave exactly three objects in the bowl.</x:v>
      </x:c>
      <x:c r="N919" s="31" t="str">
        <x:v>C-CF10B: bowl=[yellow block, green pencil sharpener] (2); table=[airplane toy without propellers, blue pen]; robot home; acceptable action=add either table object.</x:v>
      </x:c>
      <x:c r="O919" s="31" t="str">
        <x:v>ADD one table object</x:v>
      </x:c>
      <x:c r="P919" s="31" t="str"/>
      <x:c r="Q919" s="31" t="str"/>
      <x:c r="R919" s="31" t="str"/>
      <x:c r="S919" s="31" t="str">
        <x:f>IF('Blind Scoring'!I919="","",'Blind Scoring'!I919)</x:f>
      </x:c>
      <x:c r="T919" s="31" t="str">
        <x:f>'Blind Scoring'!J919</x:f>
        <x:v>No</x:v>
      </x:c>
      <x:c r="U919" s="31" t="str">
        <x:f>IF('Blind Scoring'!L919="","",'Blind Scoring'!L919)</x:f>
      </x:c>
    </x:row>
    <x:row r="920" ht="44" customHeight="1">
      <x:c r="A920" s="35" t="str">
        <x:v>Not Started</x:v>
      </x:c>
      <x:c r="B920" s="35" t="n">
        <x:v>918</x:v>
      </x:c>
      <x:c r="C920" s="35" t="str">
        <x:v>P15</x:v>
      </x:c>
      <x:c r="D920" s="35" t="n">
        <x:v>51</x:v>
      </x:c>
      <x:c r="E920" s="35" t="str">
        <x:v>Primary VLA</x:v>
      </x:c>
      <x:c r="F920" s="35" t="str">
        <x:v>MolmoAct2</x:v>
      </x:c>
      <x:c r="G920" s="35" t="n">
        <x:v>2</x:v>
      </x:c>
      <x:c r="H920" s="35" t="str">
        <x:v>Counting</x:v>
      </x:c>
      <x:c r="I920" s="35" t="str">
        <x:v>Exact-scene paraphrase</x:v>
      </x:c>
      <x:c r="J920" s="35" t="str">
        <x:v>PVLA-CT-PAR-08</x:v>
      </x:c>
      <x:c r="K920" s="35" t="str"/>
      <x:c r="L920" s="31" t="str">
        <x:v>Finish with two objects in the bowl.</x:v>
      </x:c>
      <x:c r="M920" s="31" t="str">
        <x:v>Finish with two objects in the bowl.</x:v>
      </x:c>
      <x:c r="N920" s="31" t="str">
        <x:v>C-N01: bowl=[blue pen] (1); table left→right=[yellow block, green pencil sharpener, airplane toy without propellers]; robot home.</x:v>
      </x:c>
      <x:c r="O920" s="31" t="str"/>
      <x:c r="P920" s="31" t="str"/>
      <x:c r="Q920" s="31" t="str"/>
      <x:c r="R920" s="31" t="str"/>
      <x:c r="S920" s="31" t="str">
        <x:f>IF('Blind Scoring'!I920="","",'Blind Scoring'!I920)</x:f>
      </x:c>
      <x:c r="T920" s="31" t="str">
        <x:f>'Blind Scoring'!J920</x:f>
        <x:v>No</x:v>
      </x:c>
      <x:c r="U920" s="31" t="str">
        <x:f>IF('Blind Scoring'!L920="","",'Blind Scoring'!L920)</x:f>
      </x:c>
    </x:row>
    <x:row r="921" ht="44" customHeight="1">
      <x:c r="A921" s="35" t="str">
        <x:v>Not Started</x:v>
      </x:c>
      <x:c r="B921" s="35" t="n">
        <x:v>919</x:v>
      </x:c>
      <x:c r="C921" s="35" t="str">
        <x:v>P15</x:v>
      </x:c>
      <x:c r="D921" s="35" t="n">
        <x:v>52</x:v>
      </x:c>
      <x:c r="E921" s="35" t="str">
        <x:v>Primary VLA</x:v>
      </x:c>
      <x:c r="F921" s="35" t="str">
        <x:v>MolmoAct2</x:v>
      </x:c>
      <x:c r="G921" s="35" t="n">
        <x:v>2</x:v>
      </x:c>
      <x:c r="H921" s="35" t="str">
        <x:v>Counting</x:v>
      </x:c>
      <x:c r="I921" s="35" t="str">
        <x:v>Language ablation — counterfactual</x:v>
      </x:c>
      <x:c r="J921" s="35" t="str">
        <x:v>PVLA-CT-ABL-CF-02</x:v>
      </x:c>
      <x:c r="K921" s="35" t="str">
        <x:v>C-CF04-B</x:v>
      </x:c>
      <x:c r="L921" s="31" t="str">
        <x:v>Leave exactly one object in the bowl.</x:v>
      </x:c>
      <x:c r="M921" s="31" t="str">
        <x:v>Leave exactly one object in the bowl.</x:v>
      </x:c>
      <x:c r="N921" s="31" t="str">
        <x:v>C-CF04B: bowl=[airplane toy without propellers, blue pen] (2); table=[yellow block, green pencil sharpener]; robot home; acceptable action=add either table object.</x:v>
      </x:c>
      <x:c r="O921" s="31" t="str">
        <x:v>REMOVE one bowl object</x:v>
      </x:c>
      <x:c r="P921" s="31" t="str"/>
      <x:c r="Q921" s="31" t="str"/>
      <x:c r="R921" s="31" t="str"/>
      <x:c r="S921" s="31" t="str">
        <x:f>IF('Blind Scoring'!I921="","",'Blind Scoring'!I921)</x:f>
      </x:c>
      <x:c r="T921" s="31" t="str">
        <x:f>'Blind Scoring'!J921</x:f>
        <x:v>No</x:v>
      </x:c>
      <x:c r="U921" s="31" t="str">
        <x:f>IF('Blind Scoring'!L921="","",'Blind Scoring'!L921)</x:f>
      </x:c>
    </x:row>
    <x:row r="922" ht="44" customHeight="1">
      <x:c r="A922" s="35" t="str">
        <x:v>Not Started</x:v>
      </x:c>
      <x:c r="B922" s="35" t="n">
        <x:v>920</x:v>
      </x:c>
      <x:c r="C922" s="35" t="str">
        <x:v>P15</x:v>
      </x:c>
      <x:c r="D922" s="35" t="n">
        <x:v>53</x:v>
      </x:c>
      <x:c r="E922" s="35" t="str">
        <x:v>Primary VLA</x:v>
      </x:c>
      <x:c r="F922" s="35" t="str">
        <x:v>MolmoAct2</x:v>
      </x:c>
      <x:c r="G922" s="35" t="n">
        <x:v>2</x:v>
      </x:c>
      <x:c r="H922" s="35" t="str">
        <x:v>Counting</x:v>
      </x:c>
      <x:c r="I922" s="35" t="str">
        <x:v>Exact-scene paraphrase</x:v>
      </x:c>
      <x:c r="J922" s="35" t="str">
        <x:v>PVLA-CT-PAR-05</x:v>
      </x:c>
      <x:c r="K922" s="35" t="str"/>
      <x:c r="L922" s="31" t="str">
        <x:v>Finish with two objects in the bowl.</x:v>
      </x:c>
      <x:c r="M922" s="31" t="str">
        <x:v>Finish with two objects in the bowl.</x:v>
      </x:c>
      <x:c r="N922" s="31" t="str">
        <x:v>C-N01: bowl=[blue pen] (1); table left→right=[yellow block, green pencil sharpener, airplane toy without propellers]; robot home.</x:v>
      </x:c>
      <x:c r="O922" s="31" t="str"/>
      <x:c r="P922" s="31" t="str"/>
      <x:c r="Q922" s="31" t="str"/>
      <x:c r="R922" s="31" t="str"/>
      <x:c r="S922" s="31" t="str">
        <x:f>IF('Blind Scoring'!I922="","",'Blind Scoring'!I922)</x:f>
      </x:c>
      <x:c r="T922" s="31" t="str">
        <x:f>'Blind Scoring'!J922</x:f>
        <x:v>No</x:v>
      </x:c>
      <x:c r="U922" s="31" t="str">
        <x:f>IF('Blind Scoring'!L922="","",'Blind Scoring'!L922)</x:f>
      </x:c>
    </x:row>
    <x:row r="923" ht="44" customHeight="1">
      <x:c r="A923" s="35" t="str">
        <x:v>Not Started</x:v>
      </x:c>
      <x:c r="B923" s="35" t="n">
        <x:v>921</x:v>
      </x:c>
      <x:c r="C923" s="35" t="str">
        <x:v>P15</x:v>
      </x:c>
      <x:c r="D923" s="35" t="n">
        <x:v>54</x:v>
      </x:c>
      <x:c r="E923" s="35" t="str">
        <x:v>Primary VLA</x:v>
      </x:c>
      <x:c r="F923" s="35" t="str">
        <x:v>MolmoAct2</x:v>
      </x:c>
      <x:c r="G923" s="35" t="n">
        <x:v>2</x:v>
      </x:c>
      <x:c r="H923" s="35" t="str">
        <x:v>Counting</x:v>
      </x:c>
      <x:c r="I923" s="35" t="str">
        <x:v>Exact-scene paraphrase</x:v>
      </x:c>
      <x:c r="J923" s="35" t="str">
        <x:v>PVLA-CT-PAR-01</x:v>
      </x:c>
      <x:c r="K923" s="35" t="str"/>
      <x:c r="L923" s="31" t="str">
        <x:v>Finish with two objects in the bowl.</x:v>
      </x:c>
      <x:c r="M923" s="31" t="str">
        <x:v>Finish with two objects in the bowl.</x:v>
      </x:c>
      <x:c r="N923" s="31" t="str">
        <x:v>C-N01: bowl=[blue pen] (1); table left→right=[yellow block, green pencil sharpener, airplane toy without propellers]; robot home.</x:v>
      </x:c>
      <x:c r="O923" s="31" t="str"/>
      <x:c r="P923" s="31" t="str"/>
      <x:c r="Q923" s="31" t="str"/>
      <x:c r="R923" s="31" t="str"/>
      <x:c r="S923" s="31" t="str">
        <x:f>IF('Blind Scoring'!I923="","",'Blind Scoring'!I923)</x:f>
      </x:c>
      <x:c r="T923" s="31" t="str">
        <x:f>'Blind Scoring'!J923</x:f>
        <x:v>No</x:v>
      </x:c>
      <x:c r="U923" s="31" t="str">
        <x:f>IF('Blind Scoring'!L923="","",'Blind Scoring'!L923)</x:f>
      </x:c>
    </x:row>
    <x:row r="924" ht="44" customHeight="1">
      <x:c r="A924" s="35" t="str">
        <x:v>Not Started</x:v>
      </x:c>
      <x:c r="B924" s="35" t="n">
        <x:v>922</x:v>
      </x:c>
      <x:c r="C924" s="35" t="str">
        <x:v>P15</x:v>
      </x:c>
      <x:c r="D924" s="35" t="n">
        <x:v>55</x:v>
      </x:c>
      <x:c r="E924" s="35" t="str">
        <x:v>Primary VLA</x:v>
      </x:c>
      <x:c r="F924" s="35" t="str">
        <x:v>MolmoAct2</x:v>
      </x:c>
      <x:c r="G924" s="35" t="n">
        <x:v>2</x:v>
      </x:c>
      <x:c r="H924" s="35" t="str">
        <x:v>Counting</x:v>
      </x:c>
      <x:c r="I924" s="35" t="str">
        <x:v>Main held-out transfer</x:v>
      </x:c>
      <x:c r="J924" s="35" t="str">
        <x:v>PVLA-CT-TR-03</x:v>
      </x:c>
      <x:c r="K924" s="35" t="str">
        <x:v>C-CF03-A</x:v>
      </x:c>
      <x:c r="L924" s="31" t="str">
        <x:v>Leave exactly one object in the bowl.</x:v>
      </x:c>
      <x:c r="M924" s="31" t="str">
        <x:v>Leave exactly one object in the bowl.</x:v>
      </x:c>
      <x:c r="N924" s="31" t="str">
        <x:v>C-CF03A: bowl=[green pencil sharpener, airplane toy without propellers] (2); table=[blue pen, yellow block]; robot home; acceptable action=remove either bowl object.</x:v>
      </x:c>
      <x:c r="O924" s="31" t="str">
        <x:v>REMOVE one bowl object</x:v>
      </x:c>
      <x:c r="P924" s="31" t="str"/>
      <x:c r="Q924" s="31" t="str"/>
      <x:c r="R924" s="31" t="str"/>
      <x:c r="S924" s="31" t="str">
        <x:f>IF('Blind Scoring'!I924="","",'Blind Scoring'!I924)</x:f>
      </x:c>
      <x:c r="T924" s="31" t="str">
        <x:f>'Blind Scoring'!J924</x:f>
        <x:v>No</x:v>
      </x:c>
      <x:c r="U924" s="31" t="str">
        <x:f>IF('Blind Scoring'!L924="","",'Blind Scoring'!L924)</x:f>
      </x:c>
    </x:row>
    <x:row r="925" ht="44" customHeight="1">
      <x:c r="A925" s="35" t="str">
        <x:v>Not Started</x:v>
      </x:c>
      <x:c r="B925" s="35" t="n">
        <x:v>923</x:v>
      </x:c>
      <x:c r="C925" s="35" t="str">
        <x:v>P15</x:v>
      </x:c>
      <x:c r="D925" s="35" t="n">
        <x:v>56</x:v>
      </x:c>
      <x:c r="E925" s="35" t="str">
        <x:v>Primary VLA</x:v>
      </x:c>
      <x:c r="F925" s="35" t="str">
        <x:v>MolmoAct2</x:v>
      </x:c>
      <x:c r="G925" s="35" t="n">
        <x:v>2</x:v>
      </x:c>
      <x:c r="H925" s="35" t="str">
        <x:v>Counting</x:v>
      </x:c>
      <x:c r="I925" s="35" t="str">
        <x:v>Novel layout + seen language</x:v>
      </x:c>
      <x:c r="J925" s="35" t="str">
        <x:v>PVLA-CT-NOV-03</x:v>
      </x:c>
      <x:c r="K925" s="35" t="str"/>
      <x:c r="L925" s="31" t="str">
        <x:v>Adjust the bowl so that it contains two objects.</x:v>
      </x:c>
      <x:c r="M925" s="31" t="str">
        <x:v>Adjust the bowl so that it contains two objects.</x:v>
      </x:c>
      <x:c r="N925" s="31" t="str">
        <x:v>C-N06: bowl=[yellow block, green pencil sharpener, airplane toy without propellers] (3); table left→right=[blue pen]; robot home.</x:v>
      </x:c>
      <x:c r="O925" s="31" t="str"/>
      <x:c r="P925" s="31" t="str"/>
      <x:c r="Q925" s="31" t="str"/>
      <x:c r="R925" s="31" t="str"/>
      <x:c r="S925" s="31" t="str">
        <x:f>IF('Blind Scoring'!I925="","",'Blind Scoring'!I925)</x:f>
      </x:c>
      <x:c r="T925" s="31" t="str">
        <x:f>'Blind Scoring'!J925</x:f>
        <x:v>No</x:v>
      </x:c>
      <x:c r="U925" s="31" t="str">
        <x:f>IF('Blind Scoring'!L925="","",'Blind Scoring'!L925)</x:f>
      </x:c>
    </x:row>
    <x:row r="926" ht="44" customHeight="1">
      <x:c r="A926" s="35" t="str">
        <x:v>Not Started</x:v>
      </x:c>
      <x:c r="B926" s="35" t="n">
        <x:v>924</x:v>
      </x:c>
      <x:c r="C926" s="35" t="str">
        <x:v>P15</x:v>
      </x:c>
      <x:c r="D926" s="35" t="n">
        <x:v>57</x:v>
      </x:c>
      <x:c r="E926" s="35" t="str">
        <x:v>Primary VLA</x:v>
      </x:c>
      <x:c r="F926" s="35" t="str">
        <x:v>MolmoAct2</x:v>
      </x:c>
      <x:c r="G926" s="35" t="n">
        <x:v>2</x:v>
      </x:c>
      <x:c r="H926" s="35" t="str">
        <x:v>Counting</x:v>
      </x:c>
      <x:c r="I926" s="35" t="str">
        <x:v>Novel layout + seen language</x:v>
      </x:c>
      <x:c r="J926" s="35" t="str">
        <x:v>PVLA-CT-NOV-04</x:v>
      </x:c>
      <x:c r="K926" s="35" t="str"/>
      <x:c r="L926" s="31" t="str">
        <x:v>Adjust the bowl so that it contains two objects.</x:v>
      </x:c>
      <x:c r="M926" s="31" t="str">
        <x:v>Adjust the bowl so that it contains two objects.</x:v>
      </x:c>
      <x:c r="N926" s="31" t="str">
        <x:v>C-N09: bowl=[blue pen] (1); table left→right=[yellow block, green pencil sharpener, airplane toy without propellers]; robot home.</x:v>
      </x:c>
      <x:c r="O926" s="31" t="str"/>
      <x:c r="P926" s="31" t="str"/>
      <x:c r="Q926" s="31" t="str"/>
      <x:c r="R926" s="31" t="str"/>
      <x:c r="S926" s="31" t="str">
        <x:f>IF('Blind Scoring'!I926="","",'Blind Scoring'!I926)</x:f>
      </x:c>
      <x:c r="T926" s="31" t="str">
        <x:f>'Blind Scoring'!J926</x:f>
        <x:v>No</x:v>
      </x:c>
      <x:c r="U926" s="31" t="str">
        <x:f>IF('Blind Scoring'!L926="","",'Blind Scoring'!L926)</x:f>
      </x:c>
    </x:row>
    <x:row r="927" ht="44" customHeight="1">
      <x:c r="A927" s="35" t="str">
        <x:v>Not Started</x:v>
      </x:c>
      <x:c r="B927" s="35" t="n">
        <x:v>925</x:v>
      </x:c>
      <x:c r="C927" s="35" t="str">
        <x:v>P15</x:v>
      </x:c>
      <x:c r="D927" s="35" t="n">
        <x:v>58</x:v>
      </x:c>
      <x:c r="E927" s="35" t="str">
        <x:v>Primary VLA</x:v>
      </x:c>
      <x:c r="F927" s="35" t="str">
        <x:v>MolmoAct2</x:v>
      </x:c>
      <x:c r="G927" s="35" t="n">
        <x:v>2</x:v>
      </x:c>
      <x:c r="H927" s="35" t="str">
        <x:v>Counting</x:v>
      </x:c>
      <x:c r="I927" s="35" t="str">
        <x:v>Language ablation — blank</x:v>
      </x:c>
      <x:c r="J927" s="35" t="str">
        <x:v>PVLA-CT-ABL-BLK-01</x:v>
      </x:c>
      <x:c r="K927" s="35" t="str">
        <x:v>C-CF01-A</x:v>
      </x:c>
      <x:c r="L927" s="31" t="str">
        <x:v>[EMPTY STRING — provide no instruction tokens]</x:v>
      </x:c>
      <x:c r="M927" s="31" t="str">
        <x:v>Leave exactly one object in the bowl.</x:v>
      </x:c>
      <x:c r="N927" s="31" t="str">
        <x:v>C-CF01A: bowl=[blue pen, yellow block] (2); table=[green pencil sharpener, airplane toy without propellers]; robot home; acceptable action=remove either bowl object.</x:v>
      </x:c>
      <x:c r="O927" s="31" t="str">
        <x:v>No prespecified task success under blank language; record any action/selected target.</x:v>
      </x:c>
      <x:c r="P927" s="31" t="str"/>
      <x:c r="Q927" s="31" t="str"/>
      <x:c r="R927" s="31" t="str"/>
      <x:c r="S927" s="31" t="str">
        <x:f>IF('Blind Scoring'!I927="","",'Blind Scoring'!I927)</x:f>
      </x:c>
      <x:c r="T927" s="31" t="str">
        <x:f>'Blind Scoring'!J927</x:f>
        <x:v>No</x:v>
      </x:c>
      <x:c r="U927" s="31" t="str">
        <x:f>IF('Blind Scoring'!L927="","",'Blind Scoring'!L927)</x:f>
      </x:c>
    </x:row>
    <x:row r="928" ht="44" customHeight="1">
      <x:c r="A928" s="35" t="str">
        <x:v>Not Started</x:v>
      </x:c>
      <x:c r="B928" s="35" t="n">
        <x:v>926</x:v>
      </x:c>
      <x:c r="C928" s="35" t="str">
        <x:v>P15</x:v>
      </x:c>
      <x:c r="D928" s="35" t="n">
        <x:v>59</x:v>
      </x:c>
      <x:c r="E928" s="35" t="str">
        <x:v>Primary VLA</x:v>
      </x:c>
      <x:c r="F928" s="35" t="str">
        <x:v>MolmoAct2</x:v>
      </x:c>
      <x:c r="G928" s="35" t="n">
        <x:v>2</x:v>
      </x:c>
      <x:c r="H928" s="35" t="str">
        <x:v>Counting</x:v>
      </x:c>
      <x:c r="I928" s="35" t="str">
        <x:v>Main held-out transfer</x:v>
      </x:c>
      <x:c r="J928" s="35" t="str">
        <x:v>PVLA-CT-TR-09</x:v>
      </x:c>
      <x:c r="K928" s="35" t="str">
        <x:v>C-CF07-A</x:v>
      </x:c>
      <x:c r="L928" s="31" t="str">
        <x:v>Leave exactly one object in the bowl.</x:v>
      </x:c>
      <x:c r="M928" s="31" t="str">
        <x:v>Leave exactly one object in the bowl.</x:v>
      </x:c>
      <x:c r="N928" s="31" t="str">
        <x:v>C-CF07A: bowl=[green pencil sharpener, airplane toy without propellers] (2); table=[blue pen, yellow block]; robot home; acceptable action=remove either bowl object.</x:v>
      </x:c>
      <x:c r="O928" s="31" t="str">
        <x:v>REMOVE one bowl object</x:v>
      </x:c>
      <x:c r="P928" s="31" t="str"/>
      <x:c r="Q928" s="31" t="str"/>
      <x:c r="R928" s="31" t="str"/>
      <x:c r="S928" s="31" t="str">
        <x:f>IF('Blind Scoring'!I928="","",'Blind Scoring'!I928)</x:f>
      </x:c>
      <x:c r="T928" s="31" t="str">
        <x:f>'Blind Scoring'!J928</x:f>
        <x:v>No</x:v>
      </x:c>
      <x:c r="U928" s="31" t="str">
        <x:f>IF('Blind Scoring'!L928="","",'Blind Scoring'!L928)</x:f>
      </x:c>
    </x:row>
    <x:row r="929" ht="44" customHeight="1">
      <x:c r="A929" s="35" t="str">
        <x:v>Not Started</x:v>
      </x:c>
      <x:c r="B929" s="35" t="n">
        <x:v>927</x:v>
      </x:c>
      <x:c r="C929" s="35" t="str">
        <x:v>P15</x:v>
      </x:c>
      <x:c r="D929" s="35" t="n">
        <x:v>60</x:v>
      </x:c>
      <x:c r="E929" s="35" t="str">
        <x:v>Primary VLA</x:v>
      </x:c>
      <x:c r="F929" s="35" t="str">
        <x:v>MolmoAct2</x:v>
      </x:c>
      <x:c r="G929" s="35" t="n">
        <x:v>2</x:v>
      </x:c>
      <x:c r="H929" s="35" t="str">
        <x:v>Counting</x:v>
      </x:c>
      <x:c r="I929" s="35" t="str">
        <x:v>Novel layout + seen language</x:v>
      </x:c>
      <x:c r="J929" s="35" t="str">
        <x:v>PVLA-CT-NOV-06</x:v>
      </x:c>
      <x:c r="K929" s="35" t="str"/>
      <x:c r="L929" s="31" t="str">
        <x:v>Adjust the bowl so that it contains zero objects.</x:v>
      </x:c>
      <x:c r="M929" s="31" t="str">
        <x:v>Adjust the bowl so that it contains zero objects.</x:v>
      </x:c>
      <x:c r="N929" s="31" t="str">
        <x:v>C-N15: bowl=[blue pen] (1); table left→right=[yellow block, green pencil sharpener, airplane toy without propellers]; robot home.</x:v>
      </x:c>
      <x:c r="O929" s="31" t="str"/>
      <x:c r="P929" s="31" t="str"/>
      <x:c r="Q929" s="31" t="str"/>
      <x:c r="R929" s="31" t="str"/>
      <x:c r="S929" s="31" t="str">
        <x:f>IF('Blind Scoring'!I929="","",'Blind Scoring'!I929)</x:f>
      </x:c>
      <x:c r="T929" s="31" t="str">
        <x:f>'Blind Scoring'!J929</x:f>
        <x:v>No</x:v>
      </x:c>
      <x:c r="U929" s="31" t="str">
        <x:f>IF('Blind Scoring'!L929="","",'Blind Scoring'!L929)</x:f>
      </x:c>
    </x:row>
    <x:row r="930" ht="44" customHeight="1">
      <x:c r="A930" s="35" t="str">
        <x:v>Not Started</x:v>
      </x:c>
      <x:c r="B930" s="35" t="n">
        <x:v>928</x:v>
      </x:c>
      <x:c r="C930" s="35" t="str">
        <x:v>P15</x:v>
      </x:c>
      <x:c r="D930" s="35" t="n">
        <x:v>61</x:v>
      </x:c>
      <x:c r="E930" s="35" t="str">
        <x:v>Primary VLA</x:v>
      </x:c>
      <x:c r="F930" s="35" t="str">
        <x:v>MolmoAct2</x:v>
      </x:c>
      <x:c r="G930" s="35" t="n">
        <x:v>2</x:v>
      </x:c>
      <x:c r="H930" s="35" t="str">
        <x:v>Counting</x:v>
      </x:c>
      <x:c r="I930" s="35" t="str">
        <x:v>Language ablation — blank</x:v>
      </x:c>
      <x:c r="J930" s="35" t="str">
        <x:v>PVLA-CT-ABL-BLK-03</x:v>
      </x:c>
      <x:c r="K930" s="35" t="str">
        <x:v>C-CF03-A</x:v>
      </x:c>
      <x:c r="L930" s="31" t="str">
        <x:v>[EMPTY STRING — provide no instruction tokens]</x:v>
      </x:c>
      <x:c r="M930" s="31" t="str">
        <x:v>Leave exactly one object in the bowl.</x:v>
      </x:c>
      <x:c r="N930" s="31" t="str">
        <x:v>C-CF03A: bowl=[green pencil sharpener, airplane toy without propellers] (2); table=[blue pen, yellow block]; robot home; acceptable action=remove either bowl object.</x:v>
      </x:c>
      <x:c r="O930" s="31" t="str">
        <x:v>No prespecified task success under blank language; record any action/selected target.</x:v>
      </x:c>
      <x:c r="P930" s="31" t="str"/>
      <x:c r="Q930" s="31" t="str"/>
      <x:c r="R930" s="31" t="str"/>
      <x:c r="S930" s="31" t="str">
        <x:f>IF('Blind Scoring'!I930="","",'Blind Scoring'!I930)</x:f>
      </x:c>
      <x:c r="T930" s="31" t="str">
        <x:f>'Blind Scoring'!J930</x:f>
        <x:v>No</x:v>
      </x:c>
      <x:c r="U930" s="31" t="str">
        <x:f>IF('Blind Scoring'!L930="","",'Blind Scoring'!L930)</x:f>
      </x:c>
    </x:row>
    <x:row r="931" ht="44" customHeight="1">
      <x:c r="A931" s="35" t="str">
        <x:v>Not Started</x:v>
      </x:c>
      <x:c r="B931" s="35" t="n">
        <x:v>929</x:v>
      </x:c>
      <x:c r="C931" s="35" t="str">
        <x:v>P15</x:v>
      </x:c>
      <x:c r="D931" s="35" t="n">
        <x:v>62</x:v>
      </x:c>
      <x:c r="E931" s="35" t="str">
        <x:v>Primary VLA</x:v>
      </x:c>
      <x:c r="F931" s="35" t="str">
        <x:v>MolmoAct2</x:v>
      </x:c>
      <x:c r="G931" s="35" t="n">
        <x:v>2</x:v>
      </x:c>
      <x:c r="H931" s="35" t="str">
        <x:v>Counting</x:v>
      </x:c>
      <x:c r="I931" s="35" t="str">
        <x:v>Novel layout + seen language</x:v>
      </x:c>
      <x:c r="J931" s="35" t="str">
        <x:v>PVLA-CT-NOV-05</x:v>
      </x:c>
      <x:c r="K931" s="35" t="str"/>
      <x:c r="L931" s="31" t="str">
        <x:v>Adjust the bowl so that it contains zero objects.</x:v>
      </x:c>
      <x:c r="M931" s="31" t="str">
        <x:v>Adjust the bowl so that it contains zero objects.</x:v>
      </x:c>
      <x:c r="N931" s="31" t="str">
        <x:v>C-N12: bowl=[yellow block] (1); table left→right=[green pencil sharpener, airplane toy without propellers, blue pen]; robot home.</x:v>
      </x:c>
      <x:c r="O931" s="31" t="str"/>
      <x:c r="P931" s="31" t="str"/>
      <x:c r="Q931" s="31" t="str"/>
      <x:c r="R931" s="31" t="str"/>
      <x:c r="S931" s="31" t="str">
        <x:f>IF('Blind Scoring'!I931="","",'Blind Scoring'!I931)</x:f>
      </x:c>
      <x:c r="T931" s="31" t="str">
        <x:f>'Blind Scoring'!J931</x:f>
        <x:v>No</x:v>
      </x:c>
      <x:c r="U931" s="31" t="str">
        <x:f>IF('Blind Scoring'!L931="","",'Blind Scoring'!L931)</x:f>
      </x:c>
    </x:row>
    <x:row r="932" ht="44" customHeight="1">
      <x:c r="A932" s="35" t="str">
        <x:v>Not Started</x:v>
      </x:c>
      <x:c r="B932" s="35" t="n">
        <x:v>930</x:v>
      </x:c>
      <x:c r="C932" s="35" t="str">
        <x:v>P16</x:v>
      </x:c>
      <x:c r="D932" s="35" t="n">
        <x:v>1</x:v>
      </x:c>
      <x:c r="E932" s="35" t="str">
        <x:v>Primary VLA</x:v>
      </x:c>
      <x:c r="F932" s="35" t="str">
        <x:v>π0.5</x:v>
      </x:c>
      <x:c r="G932" s="35" t="n">
        <x:v>2</x:v>
      </x:c>
      <x:c r="H932" s="35" t="str">
        <x:v>Relational Placement</x:v>
      </x:c>
      <x:c r="I932" s="35" t="str">
        <x:v>Main matched control</x:v>
      </x:c>
      <x:c r="J932" s="35" t="str">
        <x:v>PVLA-RP-CTL-08</x:v>
      </x:c>
      <x:c r="K932" s="35" t="str">
        <x:v>R-CF15</x:v>
      </x:c>
      <x:c r="L932" s="31" t="str">
        <x:v>Place the green pen beside the red block.</x:v>
      </x:c>
      <x:c r="M932" s="31" t="str">
        <x:v>Place the green pen beside the red block.</x:v>
      </x:c>
      <x:c r="N932" s="31" t="str">
        <x:v>R-CF15-CTRL: red block at front-right [REFERENCE]; green pen starts 24 cm in front of the reference [TARGET START]; pink marker and blue block are distractors outside the commanded goal sector.</x:v>
      </x:c>
      <x:c r="O932" s="31" t="str">
        <x:v>green pen near red block</x:v>
      </x:c>
      <x:c r="P932" s="31" t="str"/>
      <x:c r="Q932" s="31" t="str"/>
      <x:c r="R932" s="31" t="str"/>
      <x:c r="S932" s="31" t="str">
        <x:f>IF('Blind Scoring'!I932="","",'Blind Scoring'!I932)</x:f>
      </x:c>
      <x:c r="T932" s="31" t="str">
        <x:f>'Blind Scoring'!J932</x:f>
        <x:v>No</x:v>
      </x:c>
      <x:c r="U932" s="31" t="str">
        <x:f>IF('Blind Scoring'!L932="","",'Blind Scoring'!L932)</x:f>
      </x:c>
    </x:row>
    <x:row r="933" ht="44" customHeight="1">
      <x:c r="A933" s="35" t="str">
        <x:v>Not Started</x:v>
      </x:c>
      <x:c r="B933" s="35" t="n">
        <x:v>931</x:v>
      </x:c>
      <x:c r="C933" s="35" t="str">
        <x:v>P16</x:v>
      </x:c>
      <x:c r="D933" s="35" t="n">
        <x:v>2</x:v>
      </x:c>
      <x:c r="E933" s="35" t="str">
        <x:v>Primary VLA</x:v>
      </x:c>
      <x:c r="F933" s="35" t="str">
        <x:v>π0.5</x:v>
      </x:c>
      <x:c r="G933" s="35" t="n">
        <x:v>2</x:v>
      </x:c>
      <x:c r="H933" s="35" t="str">
        <x:v>Relational Placement</x:v>
      </x:c>
      <x:c r="I933" s="35" t="str">
        <x:v>Main held-out transfer</x:v>
      </x:c>
      <x:c r="J933" s="35" t="str">
        <x:v>PVLA-RP-TR-02</x:v>
      </x:c>
      <x:c r="K933" s="35" t="str">
        <x:v>R-CF03</x:v>
      </x:c>
      <x:c r="L933" s="31" t="str">
        <x:v>Place the green pen to the right of the red block.</x:v>
      </x:c>
      <x:c r="M933" s="31" t="str">
        <x:v>Place the green pen to the right of the red block.</x:v>
      </x:c>
      <x:c r="N933" s="31" t="str">
        <x:v>R-CF03-HELD: red block at back-right [REFERENCE]; green pen starts 24 cm to the left of the reference [TARGET START]; pink marker and blue block are distractors outside the commanded goal sector.</x:v>
      </x:c>
      <x:c r="O933" s="31" t="str">
        <x:v>green pen → to the right of red block</x:v>
      </x:c>
      <x:c r="P933" s="31" t="str"/>
      <x:c r="Q933" s="31" t="str"/>
      <x:c r="R933" s="31" t="str"/>
      <x:c r="S933" s="31" t="str">
        <x:f>IF('Blind Scoring'!I933="","",'Blind Scoring'!I933)</x:f>
      </x:c>
      <x:c r="T933" s="31" t="str">
        <x:f>'Blind Scoring'!J933</x:f>
        <x:v>No</x:v>
      </x:c>
      <x:c r="U933" s="31" t="str">
        <x:f>IF('Blind Scoring'!L933="","",'Blind Scoring'!L933)</x:f>
      </x:c>
    </x:row>
    <x:row r="934" ht="44" customHeight="1">
      <x:c r="A934" s="35" t="str">
        <x:v>Not Started</x:v>
      </x:c>
      <x:c r="B934" s="35" t="n">
        <x:v>932</x:v>
      </x:c>
      <x:c r="C934" s="35" t="str">
        <x:v>P16</x:v>
      </x:c>
      <x:c r="D934" s="35" t="n">
        <x:v>3</x:v>
      </x:c>
      <x:c r="E934" s="35" t="str">
        <x:v>Primary VLA</x:v>
      </x:c>
      <x:c r="F934" s="35" t="str">
        <x:v>π0.5</x:v>
      </x:c>
      <x:c r="G934" s="35" t="n">
        <x:v>2</x:v>
      </x:c>
      <x:c r="H934" s="35" t="str">
        <x:v>Relational Placement</x:v>
      </x:c>
      <x:c r="I934" s="35" t="str">
        <x:v>Main matched control</x:v>
      </x:c>
      <x:c r="J934" s="35" t="str">
        <x:v>PVLA-RP-CTL-01</x:v>
      </x:c>
      <x:c r="K934" s="35" t="str">
        <x:v>R-CF01</x:v>
      </x:c>
      <x:c r="L934" s="31" t="str">
        <x:v>Place the green pen near the red block.</x:v>
      </x:c>
      <x:c r="M934" s="31" t="str">
        <x:v>Place the green pen near the red block.</x:v>
      </x:c>
      <x:c r="N934" s="31" t="str">
        <x:v>R-CF01-CTRL: red block at center [REFERENCE]; green pen starts 18 cm behind the reference [TARGET START]; pink marker and blue block are distractors outside the commanded goal sector.</x:v>
      </x:c>
      <x:c r="O934" s="31" t="str">
        <x:v>green pen near red block</x:v>
      </x:c>
      <x:c r="P934" s="31" t="str"/>
      <x:c r="Q934" s="31" t="str"/>
      <x:c r="R934" s="31" t="str"/>
      <x:c r="S934" s="31" t="str">
        <x:f>IF('Blind Scoring'!I934="","",'Blind Scoring'!I934)</x:f>
      </x:c>
      <x:c r="T934" s="31" t="str">
        <x:f>'Blind Scoring'!J934</x:f>
        <x:v>No</x:v>
      </x:c>
      <x:c r="U934" s="31" t="str">
        <x:f>IF('Blind Scoring'!L934="","",'Blind Scoring'!L934)</x:f>
      </x:c>
    </x:row>
    <x:row r="935" ht="44" customHeight="1">
      <x:c r="A935" s="35" t="str">
        <x:v>Not Started</x:v>
      </x:c>
      <x:c r="B935" s="35" t="n">
        <x:v>933</x:v>
      </x:c>
      <x:c r="C935" s="35" t="str">
        <x:v>P16</x:v>
      </x:c>
      <x:c r="D935" s="35" t="n">
        <x:v>4</x:v>
      </x:c>
      <x:c r="E935" s="35" t="str">
        <x:v>Primary VLA</x:v>
      </x:c>
      <x:c r="F935" s="35" t="str">
        <x:v>π0.5</x:v>
      </x:c>
      <x:c r="G935" s="35" t="n">
        <x:v>2</x:v>
      </x:c>
      <x:c r="H935" s="35" t="str">
        <x:v>Relational Placement</x:v>
      </x:c>
      <x:c r="I935" s="35" t="str">
        <x:v>Language ablation — blank</x:v>
      </x:c>
      <x:c r="J935" s="35" t="str">
        <x:v>PVLA-RP-ABL-BLK-01</x:v>
      </x:c>
      <x:c r="K935" s="35" t="str">
        <x:v>R-CF01</x:v>
      </x:c>
      <x:c r="L935" s="31" t="str">
        <x:v>[EMPTY STRING — provide no instruction tokens]</x:v>
      </x:c>
      <x:c r="M935" s="31" t="str">
        <x:v>Place the green pen in front of the red block.</x:v>
      </x:c>
      <x:c r="N935" s="31" t="str">
        <x:v>R-CF01-HELD: red block at center [REFERENCE]; green pen starts 18 cm behind the reference [TARGET START]; pink marker and blue block are distractors outside the commanded goal sector.</x:v>
      </x:c>
      <x:c r="O935" s="31" t="str">
        <x:v>No prespecified task success under blank language; record any action/selected target.</x:v>
      </x:c>
      <x:c r="P935" s="31" t="str"/>
      <x:c r="Q935" s="31" t="str"/>
      <x:c r="R935" s="31" t="str"/>
      <x:c r="S935" s="31" t="str">
        <x:f>IF('Blind Scoring'!I935="","",'Blind Scoring'!I935)</x:f>
      </x:c>
      <x:c r="T935" s="31" t="str">
        <x:f>'Blind Scoring'!J935</x:f>
        <x:v>No</x:v>
      </x:c>
      <x:c r="U935" s="31" t="str">
        <x:f>IF('Blind Scoring'!L935="","",'Blind Scoring'!L935)</x:f>
      </x:c>
    </x:row>
    <x:row r="936" ht="44" customHeight="1">
      <x:c r="A936" s="35" t="str">
        <x:v>Not Started</x:v>
      </x:c>
      <x:c r="B936" s="35" t="n">
        <x:v>934</x:v>
      </x:c>
      <x:c r="C936" s="35" t="str">
        <x:v>P16</x:v>
      </x:c>
      <x:c r="D936" s="35" t="n">
        <x:v>5</x:v>
      </x:c>
      <x:c r="E936" s="35" t="str">
        <x:v>Primary VLA</x:v>
      </x:c>
      <x:c r="F936" s="35" t="str">
        <x:v>π0.5</x:v>
      </x:c>
      <x:c r="G936" s="35" t="n">
        <x:v>2</x:v>
      </x:c>
      <x:c r="H936" s="35" t="str">
        <x:v>Relational Placement</x:v>
      </x:c>
      <x:c r="I936" s="35" t="str">
        <x:v>Exact-scene paraphrase</x:v>
      </x:c>
      <x:c r="J936" s="35" t="str">
        <x:v>PVLA-RP-PAR-05</x:v>
      </x:c>
      <x:c r="K936" s="35" t="str"/>
      <x:c r="L936" s="31" t="str">
        <x:v>Move the red block to the side of the pink marker facing the robot.</x:v>
      </x:c>
      <x:c r="M936" s="31" t="str">
        <x:v>Move the red block to the side of the pink marker facing the robot.</x:v>
      </x:c>
      <x:c r="N936" s="31" t="str">
        <x:v>R-P01: pink marker at center [REFERENCE]; red block starts 21 cm behind the reference [TARGET START]; remaining objects are distractors with ≥12 cm clearance from the target path and commanded goal sector.</x:v>
      </x:c>
      <x:c r="O936" s="31" t="str">
        <x:v>red block</x:v>
      </x:c>
      <x:c r="P936" s="31" t="str"/>
      <x:c r="Q936" s="31" t="str"/>
      <x:c r="R936" s="31" t="str"/>
      <x:c r="S936" s="31" t="str">
        <x:f>IF('Blind Scoring'!I936="","",'Blind Scoring'!I936)</x:f>
      </x:c>
      <x:c r="T936" s="31" t="str">
        <x:f>'Blind Scoring'!J936</x:f>
        <x:v>No</x:v>
      </x:c>
      <x:c r="U936" s="31" t="str">
        <x:f>IF('Blind Scoring'!L936="","",'Blind Scoring'!L936)</x:f>
      </x:c>
    </x:row>
    <x:row r="937" ht="44" customHeight="1">
      <x:c r="A937" s="35" t="str">
        <x:v>Not Started</x:v>
      </x:c>
      <x:c r="B937" s="35" t="n">
        <x:v>935</x:v>
      </x:c>
      <x:c r="C937" s="35" t="str">
        <x:v>P16</x:v>
      </x:c>
      <x:c r="D937" s="35" t="n">
        <x:v>6</x:v>
      </x:c>
      <x:c r="E937" s="35" t="str">
        <x:v>Primary VLA</x:v>
      </x:c>
      <x:c r="F937" s="35" t="str">
        <x:v>π0.5</x:v>
      </x:c>
      <x:c r="G937" s="35" t="n">
        <x:v>2</x:v>
      </x:c>
      <x:c r="H937" s="35" t="str">
        <x:v>Relational Placement</x:v>
      </x:c>
      <x:c r="I937" s="35" t="str">
        <x:v>Main matched control</x:v>
      </x:c>
      <x:c r="J937" s="35" t="str">
        <x:v>PVLA-RP-CTL-13</x:v>
      </x:c>
      <x:c r="K937" s="35" t="str">
        <x:v>R-CF24</x:v>
      </x:c>
      <x:c r="L937" s="31" t="str">
        <x:v>Place the red block beside the green pen.</x:v>
      </x:c>
      <x:c r="M937" s="31" t="str">
        <x:v>Place the red block beside the green pen.</x:v>
      </x:c>
      <x:c r="N937" s="31" t="str">
        <x:v>R-CF24-CTRL: green pen at front-left [REFERENCE]; red block starts 24 cm to the right of the reference [TARGET START]; blue block and pink marker are distractors outside the commanded goal sector.</x:v>
      </x:c>
      <x:c r="O937" s="31" t="str">
        <x:v>red block near green pen</x:v>
      </x:c>
      <x:c r="P937" s="31" t="str"/>
      <x:c r="Q937" s="31" t="str"/>
      <x:c r="R937" s="31" t="str"/>
      <x:c r="S937" s="31" t="str">
        <x:f>IF('Blind Scoring'!I937="","",'Blind Scoring'!I937)</x:f>
      </x:c>
      <x:c r="T937" s="31" t="str">
        <x:f>'Blind Scoring'!J937</x:f>
        <x:v>No</x:v>
      </x:c>
      <x:c r="U937" s="31" t="str">
        <x:f>IF('Blind Scoring'!L937="","",'Blind Scoring'!L937)</x:f>
      </x:c>
    </x:row>
    <x:row r="938" ht="44" customHeight="1">
      <x:c r="A938" s="35" t="str">
        <x:v>Not Started</x:v>
      </x:c>
      <x:c r="B938" s="35" t="n">
        <x:v>936</x:v>
      </x:c>
      <x:c r="C938" s="35" t="str">
        <x:v>P16</x:v>
      </x:c>
      <x:c r="D938" s="35" t="n">
        <x:v>7</x:v>
      </x:c>
      <x:c r="E938" s="35" t="str">
        <x:v>Primary VLA</x:v>
      </x:c>
      <x:c r="F938" s="35" t="str">
        <x:v>π0.5</x:v>
      </x:c>
      <x:c r="G938" s="35" t="n">
        <x:v>2</x:v>
      </x:c>
      <x:c r="H938" s="35" t="str">
        <x:v>Relational Placement</x:v>
      </x:c>
      <x:c r="I938" s="35" t="str">
        <x:v>Novel layout + seen language</x:v>
      </x:c>
      <x:c r="J938" s="35" t="str">
        <x:v>PVLA-RP-NOV-03</x:v>
      </x:c>
      <x:c r="K938" s="35" t="str"/>
      <x:c r="L938" s="31" t="str">
        <x:v>Place the blue block behind the green pen.</x:v>
      </x:c>
      <x:c r="M938" s="31" t="str">
        <x:v>Place the blue block behind the green pen.</x:v>
      </x:c>
      <x:c r="N938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938" s="31" t="str">
        <x:v>blue block</x:v>
      </x:c>
      <x:c r="P938" s="31" t="str"/>
      <x:c r="Q938" s="31" t="str"/>
      <x:c r="R938" s="31" t="str"/>
      <x:c r="S938" s="31" t="str">
        <x:f>IF('Blind Scoring'!I938="","",'Blind Scoring'!I938)</x:f>
      </x:c>
      <x:c r="T938" s="31" t="str">
        <x:f>'Blind Scoring'!J938</x:f>
        <x:v>No</x:v>
      </x:c>
      <x:c r="U938" s="31" t="str">
        <x:f>IF('Blind Scoring'!L938="","",'Blind Scoring'!L938)</x:f>
      </x:c>
    </x:row>
    <x:row r="939" ht="44" customHeight="1">
      <x:c r="A939" s="35" t="str">
        <x:v>Not Started</x:v>
      </x:c>
      <x:c r="B939" s="35" t="n">
        <x:v>937</x:v>
      </x:c>
      <x:c r="C939" s="35" t="str">
        <x:v>P16</x:v>
      </x:c>
      <x:c r="D939" s="35" t="n">
        <x:v>8</x:v>
      </x:c>
      <x:c r="E939" s="35" t="str">
        <x:v>Primary VLA</x:v>
      </x:c>
      <x:c r="F939" s="35" t="str">
        <x:v>π0.5</x:v>
      </x:c>
      <x:c r="G939" s="35" t="n">
        <x:v>2</x:v>
      </x:c>
      <x:c r="H939" s="35" t="str">
        <x:v>Relational Placement</x:v>
      </x:c>
      <x:c r="I939" s="35" t="str">
        <x:v>Main held-out transfer</x:v>
      </x:c>
      <x:c r="J939" s="35" t="str">
        <x:v>PVLA-RP-TR-01</x:v>
      </x:c>
      <x:c r="K939" s="35" t="str">
        <x:v>R-CF01</x:v>
      </x:c>
      <x:c r="L939" s="31" t="str">
        <x:v>Place the green pen in front of the red block.</x:v>
      </x:c>
      <x:c r="M939" s="31" t="str">
        <x:v>Place the green pen in front of the red block.</x:v>
      </x:c>
      <x:c r="N939" s="31" t="str">
        <x:v>R-CF01-HELD: red block at center [REFERENCE]; green pen starts 18 cm behind the reference [TARGET START]; pink marker and blue block are distractors outside the commanded goal sector.</x:v>
      </x:c>
      <x:c r="O939" s="31" t="str">
        <x:v>green pen → in front of red block</x:v>
      </x:c>
      <x:c r="P939" s="31" t="str"/>
      <x:c r="Q939" s="31" t="str"/>
      <x:c r="R939" s="31" t="str"/>
      <x:c r="S939" s="31" t="str">
        <x:f>IF('Blind Scoring'!I939="","",'Blind Scoring'!I939)</x:f>
      </x:c>
      <x:c r="T939" s="31" t="str">
        <x:f>'Blind Scoring'!J939</x:f>
        <x:v>No</x:v>
      </x:c>
      <x:c r="U939" s="31" t="str">
        <x:f>IF('Blind Scoring'!L939="","",'Blind Scoring'!L939)</x:f>
      </x:c>
    </x:row>
    <x:row r="940" ht="44" customHeight="1">
      <x:c r="A940" s="35" t="str">
        <x:v>Not Started</x:v>
      </x:c>
      <x:c r="B940" s="35" t="n">
        <x:v>938</x:v>
      </x:c>
      <x:c r="C940" s="35" t="str">
        <x:v>P16</x:v>
      </x:c>
      <x:c r="D940" s="35" t="n">
        <x:v>9</x:v>
      </x:c>
      <x:c r="E940" s="35" t="str">
        <x:v>Primary VLA</x:v>
      </x:c>
      <x:c r="F940" s="35" t="str">
        <x:v>π0.5</x:v>
      </x:c>
      <x:c r="G940" s="35" t="n">
        <x:v>2</x:v>
      </x:c>
      <x:c r="H940" s="35" t="str">
        <x:v>Relational Placement</x:v>
      </x:c>
      <x:c r="I940" s="35" t="str">
        <x:v>Language ablation — blank</x:v>
      </x:c>
      <x:c r="J940" s="35" t="str">
        <x:v>PVLA-RP-ABL-BLK-03</x:v>
      </x:c>
      <x:c r="K940" s="35" t="str">
        <x:v>R-CF05</x:v>
      </x:c>
      <x:c r="L940" s="31" t="str">
        <x:v>[EMPTY STRING — provide no instruction tokens]</x:v>
      </x:c>
      <x:c r="M940" s="31" t="str">
        <x:v>Place the green pen to the left of the red block.</x:v>
      </x:c>
      <x:c r="N940" s="31" t="str">
        <x:v>R-CF05-HELD: red block at front-right [REFERENCE]; green pen starts 21 cm to the right of the reference [TARGET START]; pink marker and blue block are distractors outside the commanded goal sector.</x:v>
      </x:c>
      <x:c r="O940" s="31" t="str">
        <x:v>No prespecified task success under blank language; record any action/selected target.</x:v>
      </x:c>
      <x:c r="P940" s="31" t="str"/>
      <x:c r="Q940" s="31" t="str"/>
      <x:c r="R940" s="31" t="str"/>
      <x:c r="S940" s="31" t="str">
        <x:f>IF('Blind Scoring'!I940="","",'Blind Scoring'!I940)</x:f>
      </x:c>
      <x:c r="T940" s="31" t="str">
        <x:f>'Blind Scoring'!J940</x:f>
        <x:v>No</x:v>
      </x:c>
      <x:c r="U940" s="31" t="str">
        <x:f>IF('Blind Scoring'!L940="","",'Blind Scoring'!L940)</x:f>
      </x:c>
    </x:row>
    <x:row r="941" ht="44" customHeight="1">
      <x:c r="A941" s="35" t="str">
        <x:v>Not Started</x:v>
      </x:c>
      <x:c r="B941" s="35" t="n">
        <x:v>939</x:v>
      </x:c>
      <x:c r="C941" s="35" t="str">
        <x:v>P16</x:v>
      </x:c>
      <x:c r="D941" s="35" t="n">
        <x:v>10</x:v>
      </x:c>
      <x:c r="E941" s="35" t="str">
        <x:v>Primary VLA</x:v>
      </x:c>
      <x:c r="F941" s="35" t="str">
        <x:v>π0.5</x:v>
      </x:c>
      <x:c r="G941" s="35" t="n">
        <x:v>2</x:v>
      </x:c>
      <x:c r="H941" s="35" t="str">
        <x:v>Relational Placement</x:v>
      </x:c>
      <x:c r="I941" s="35" t="str">
        <x:v>Main matched control</x:v>
      </x:c>
      <x:c r="J941" s="35" t="str">
        <x:v>PVLA-RP-CTL-02</x:v>
      </x:c>
      <x:c r="K941" s="35" t="str">
        <x:v>R-CF03</x:v>
      </x:c>
      <x:c r="L941" s="31" t="str">
        <x:v>Place the green pen beside the red block.</x:v>
      </x:c>
      <x:c r="M941" s="31" t="str">
        <x:v>Place the green pen beside the red block.</x:v>
      </x:c>
      <x:c r="N941" s="31" t="str">
        <x:v>R-CF03-CTRL: red block at back-right [REFERENCE]; green pen starts 24 cm to the left of the reference [TARGET START]; pink marker and blue block are distractors outside the commanded goal sector.</x:v>
      </x:c>
      <x:c r="O941" s="31" t="str">
        <x:v>green pen near red block</x:v>
      </x:c>
      <x:c r="P941" s="31" t="str"/>
      <x:c r="Q941" s="31" t="str"/>
      <x:c r="R941" s="31" t="str"/>
      <x:c r="S941" s="31" t="str">
        <x:f>IF('Blind Scoring'!I941="","",'Blind Scoring'!I941)</x:f>
      </x:c>
      <x:c r="T941" s="31" t="str">
        <x:f>'Blind Scoring'!J941</x:f>
        <x:v>No</x:v>
      </x:c>
      <x:c r="U941" s="31" t="str">
        <x:f>IF('Blind Scoring'!L941="","",'Blind Scoring'!L941)</x:f>
      </x:c>
    </x:row>
    <x:row r="942" ht="44" customHeight="1">
      <x:c r="A942" s="35" t="str">
        <x:v>Not Started</x:v>
      </x:c>
      <x:c r="B942" s="35" t="n">
        <x:v>940</x:v>
      </x:c>
      <x:c r="C942" s="35" t="str">
        <x:v>P16</x:v>
      </x:c>
      <x:c r="D942" s="35" t="n">
        <x:v>11</x:v>
      </x:c>
      <x:c r="E942" s="35" t="str">
        <x:v>Primary VLA</x:v>
      </x:c>
      <x:c r="F942" s="35" t="str">
        <x:v>π0.5</x:v>
      </x:c>
      <x:c r="G942" s="35" t="n">
        <x:v>2</x:v>
      </x:c>
      <x:c r="H942" s="35" t="str">
        <x:v>Relational Placement</x:v>
      </x:c>
      <x:c r="I942" s="35" t="str">
        <x:v>Main matched control</x:v>
      </x:c>
      <x:c r="J942" s="35" t="str">
        <x:v>PVLA-RP-CTL-10</x:v>
      </x:c>
      <x:c r="K942" s="35" t="str">
        <x:v>R-CF18</x:v>
      </x:c>
      <x:c r="L942" s="31" t="str">
        <x:v>Place the red block beside the green pen.</x:v>
      </x:c>
      <x:c r="M942" s="31" t="str">
        <x:v>Place the red block beside the green pen.</x:v>
      </x:c>
      <x:c r="N942" s="31" t="str">
        <x:v>R-CF18-CTRL: green pen at back-right [REFERENCE]; red block starts 24 cm in front of the reference [TARGET START]; blue block and pink marker are distractors outside the commanded goal sector.</x:v>
      </x:c>
      <x:c r="O942" s="31" t="str">
        <x:v>red block near green pen</x:v>
      </x:c>
      <x:c r="P942" s="31" t="str"/>
      <x:c r="Q942" s="31" t="str"/>
      <x:c r="R942" s="31" t="str"/>
      <x:c r="S942" s="31" t="str">
        <x:f>IF('Blind Scoring'!I942="","",'Blind Scoring'!I942)</x:f>
      </x:c>
      <x:c r="T942" s="31" t="str">
        <x:f>'Blind Scoring'!J942</x:f>
        <x:v>No</x:v>
      </x:c>
      <x:c r="U942" s="31" t="str">
        <x:f>IF('Blind Scoring'!L942="","",'Blind Scoring'!L942)</x:f>
      </x:c>
    </x:row>
    <x:row r="943" ht="44" customHeight="1">
      <x:c r="A943" s="35" t="str">
        <x:v>Not Started</x:v>
      </x:c>
      <x:c r="B943" s="35" t="n">
        <x:v>941</x:v>
      </x:c>
      <x:c r="C943" s="35" t="str">
        <x:v>P16</x:v>
      </x:c>
      <x:c r="D943" s="35" t="n">
        <x:v>12</x:v>
      </x:c>
      <x:c r="E943" s="35" t="str">
        <x:v>Primary VLA</x:v>
      </x:c>
      <x:c r="F943" s="35" t="str">
        <x:v>π0.5</x:v>
      </x:c>
      <x:c r="G943" s="35" t="n">
        <x:v>2</x:v>
      </x:c>
      <x:c r="H943" s="35" t="str">
        <x:v>Relational Placement</x:v>
      </x:c>
      <x:c r="I943" s="35" t="str">
        <x:v>Training reconstruction</x:v>
      </x:c>
      <x:c r="J943" s="35" t="str">
        <x:v>PVLA-RP-REC-03</x:v>
      </x:c>
      <x:c r="K943" s="35" t="str"/>
      <x:c r="L943" s="31" t="str">
        <x:v>Place the green pen behind the pink marker.</x:v>
      </x:c>
      <x:c r="M943" s="31" t="str">
        <x:v>Place the green pen behind the pink marker.</x:v>
      </x:c>
      <x:c r="N943" s="31" t="str">
        <x:v>Reconstruct planned final training episode 218: green pen, pink marker, red block; start=Home. Match camera, calibration, bowl pose, and object geometry exactly.</x:v>
      </x:c>
      <x:c r="O943" s="31" t="str">
        <x:v>green pen</x:v>
      </x:c>
      <x:c r="P943" s="31" t="str"/>
      <x:c r="Q943" s="31" t="str"/>
      <x:c r="R943" s="31" t="str"/>
      <x:c r="S943" s="31" t="str">
        <x:f>IF('Blind Scoring'!I943="","",'Blind Scoring'!I943)</x:f>
      </x:c>
      <x:c r="T943" s="31" t="str">
        <x:f>'Blind Scoring'!J943</x:f>
        <x:v>No</x:v>
      </x:c>
      <x:c r="U943" s="31" t="str">
        <x:f>IF('Blind Scoring'!L943="","",'Blind Scoring'!L943)</x:f>
      </x:c>
    </x:row>
    <x:row r="944" ht="44" customHeight="1">
      <x:c r="A944" s="35" t="str">
        <x:v>Not Started</x:v>
      </x:c>
      <x:c r="B944" s="35" t="n">
        <x:v>942</x:v>
      </x:c>
      <x:c r="C944" s="35" t="str">
        <x:v>P16</x:v>
      </x:c>
      <x:c r="D944" s="35" t="n">
        <x:v>13</x:v>
      </x:c>
      <x:c r="E944" s="35" t="str">
        <x:v>Primary VLA</x:v>
      </x:c>
      <x:c r="F944" s="35" t="str">
        <x:v>π0.5</x:v>
      </x:c>
      <x:c r="G944" s="35" t="n">
        <x:v>2</x:v>
      </x:c>
      <x:c r="H944" s="35" t="str">
        <x:v>Relational Placement</x:v>
      </x:c>
      <x:c r="I944" s="35" t="str">
        <x:v>Main held-out transfer</x:v>
      </x:c>
      <x:c r="J944" s="35" t="str">
        <x:v>PVLA-RP-TR-06</x:v>
      </x:c>
      <x:c r="K944" s="35" t="str">
        <x:v>R-CF11</x:v>
      </x:c>
      <x:c r="L944" s="31" t="str">
        <x:v>Place the green pen to the right of the red block.</x:v>
      </x:c>
      <x:c r="M944" s="31" t="str">
        <x:v>Place the green pen to the right of the red block.</x:v>
      </x:c>
      <x:c r="N944" s="31" t="str">
        <x:v>R-CF11-HELD: red block at center [REFERENCE]; green pen starts 21 cm to the left of the reference [TARGET START]; pink marker and blue block are distractors outside the commanded goal sector.</x:v>
      </x:c>
      <x:c r="O944" s="31" t="str">
        <x:v>green pen → to the right of red block</x:v>
      </x:c>
      <x:c r="P944" s="31" t="str"/>
      <x:c r="Q944" s="31" t="str"/>
      <x:c r="R944" s="31" t="str"/>
      <x:c r="S944" s="31" t="str">
        <x:f>IF('Blind Scoring'!I944="","",'Blind Scoring'!I944)</x:f>
      </x:c>
      <x:c r="T944" s="31" t="str">
        <x:f>'Blind Scoring'!J944</x:f>
        <x:v>No</x:v>
      </x:c>
      <x:c r="U944" s="31" t="str">
        <x:f>IF('Blind Scoring'!L944="","",'Blind Scoring'!L944)</x:f>
      </x:c>
    </x:row>
    <x:row r="945" ht="44" customHeight="1">
      <x:c r="A945" s="35" t="str">
        <x:v>Not Started</x:v>
      </x:c>
      <x:c r="B945" s="35" t="n">
        <x:v>943</x:v>
      </x:c>
      <x:c r="C945" s="35" t="str">
        <x:v>P16</x:v>
      </x:c>
      <x:c r="D945" s="35" t="n">
        <x:v>14</x:v>
      </x:c>
      <x:c r="E945" s="35" t="str">
        <x:v>Primary VLA</x:v>
      </x:c>
      <x:c r="F945" s="35" t="str">
        <x:v>π0.5</x:v>
      </x:c>
      <x:c r="G945" s="35" t="n">
        <x:v>2</x:v>
      </x:c>
      <x:c r="H945" s="35" t="str">
        <x:v>Relational Placement</x:v>
      </x:c>
      <x:c r="I945" s="35" t="str">
        <x:v>Main matched control</x:v>
      </x:c>
      <x:c r="J945" s="35" t="str">
        <x:v>PVLA-RP-CTL-06</x:v>
      </x:c>
      <x:c r="K945" s="35" t="str">
        <x:v>R-CF11</x:v>
      </x:c>
      <x:c r="L945" s="31" t="str">
        <x:v>Place the green pen next to the red block.</x:v>
      </x:c>
      <x:c r="M945" s="31" t="str">
        <x:v>Place the green pen next to the red block.</x:v>
      </x:c>
      <x:c r="N945" s="31" t="str">
        <x:v>R-CF11-CTRL: red block at center [REFERENCE]; green pen starts 21 cm to the left of the reference [TARGET START]; pink marker and blue block are distractors outside the commanded goal sector.</x:v>
      </x:c>
      <x:c r="O945" s="31" t="str">
        <x:v>green pen near red block</x:v>
      </x:c>
      <x:c r="P945" s="31" t="str"/>
      <x:c r="Q945" s="31" t="str"/>
      <x:c r="R945" s="31" t="str"/>
      <x:c r="S945" s="31" t="str">
        <x:f>IF('Blind Scoring'!I945="","",'Blind Scoring'!I945)</x:f>
      </x:c>
      <x:c r="T945" s="31" t="str">
        <x:f>'Blind Scoring'!J945</x:f>
        <x:v>No</x:v>
      </x:c>
      <x:c r="U945" s="31" t="str">
        <x:f>IF('Blind Scoring'!L945="","",'Blind Scoring'!L945)</x:f>
      </x:c>
    </x:row>
    <x:row r="946" ht="44" customHeight="1">
      <x:c r="A946" s="35" t="str">
        <x:v>Not Started</x:v>
      </x:c>
      <x:c r="B946" s="35" t="n">
        <x:v>944</x:v>
      </x:c>
      <x:c r="C946" s="35" t="str">
        <x:v>P16</x:v>
      </x:c>
      <x:c r="D946" s="35" t="n">
        <x:v>15</x:v>
      </x:c>
      <x:c r="E946" s="35" t="str">
        <x:v>Primary VLA</x:v>
      </x:c>
      <x:c r="F946" s="35" t="str">
        <x:v>π0.5</x:v>
      </x:c>
      <x:c r="G946" s="35" t="n">
        <x:v>2</x:v>
      </x:c>
      <x:c r="H946" s="35" t="str">
        <x:v>Relational Placement</x:v>
      </x:c>
      <x:c r="I946" s="35" t="str">
        <x:v>Main held-out transfer</x:v>
      </x:c>
      <x:c r="J946" s="35" t="str">
        <x:v>PVLA-RP-TR-16</x:v>
      </x:c>
      <x:c r="K946" s="35" t="str">
        <x:v>R-CF30</x:v>
      </x:c>
      <x:c r="L946" s="31" t="str">
        <x:v>Place the red block to the right of the green pen.</x:v>
      </x:c>
      <x:c r="M946" s="31" t="str">
        <x:v>Place the red block to the right of the green pen.</x:v>
      </x:c>
      <x:c r="N946" s="31" t="str">
        <x:v>R-CF30-HELD: green pen at front-right [REFERENCE]; red block starts 24 cm to the left of the reference [TARGET START]; blue block and pink marker are distractors outside the commanded goal sector.</x:v>
      </x:c>
      <x:c r="O946" s="31" t="str">
        <x:v>red block → to the right of green pen</x:v>
      </x:c>
      <x:c r="P946" s="31" t="str"/>
      <x:c r="Q946" s="31" t="str"/>
      <x:c r="R946" s="31" t="str"/>
      <x:c r="S946" s="31" t="str">
        <x:f>IF('Blind Scoring'!I946="","",'Blind Scoring'!I946)</x:f>
      </x:c>
      <x:c r="T946" s="31" t="str">
        <x:f>'Blind Scoring'!J946</x:f>
        <x:v>No</x:v>
      </x:c>
      <x:c r="U946" s="31" t="str">
        <x:f>IF('Blind Scoring'!L946="","",'Blind Scoring'!L946)</x:f>
      </x:c>
    </x:row>
    <x:row r="947" ht="44" customHeight="1">
      <x:c r="A947" s="35" t="str">
        <x:v>Not Started</x:v>
      </x:c>
      <x:c r="B947" s="35" t="n">
        <x:v>945</x:v>
      </x:c>
      <x:c r="C947" s="35" t="str">
        <x:v>P16</x:v>
      </x:c>
      <x:c r="D947" s="35" t="n">
        <x:v>16</x:v>
      </x:c>
      <x:c r="E947" s="35" t="str">
        <x:v>Primary VLA</x:v>
      </x:c>
      <x:c r="F947" s="35" t="str">
        <x:v>π0.5</x:v>
      </x:c>
      <x:c r="G947" s="35" t="n">
        <x:v>2</x:v>
      </x:c>
      <x:c r="H947" s="35" t="str">
        <x:v>Relational Placement</x:v>
      </x:c>
      <x:c r="I947" s="35" t="str">
        <x:v>Main matched control</x:v>
      </x:c>
      <x:c r="J947" s="35" t="str">
        <x:v>PVLA-RP-CTL-14</x:v>
      </x:c>
      <x:c r="K947" s="35" t="str">
        <x:v>R-CF26</x:v>
      </x:c>
      <x:c r="L947" s="31" t="str">
        <x:v>Place the red block next to the green pen.</x:v>
      </x:c>
      <x:c r="M947" s="31" t="str">
        <x:v>Place the red block next to the green pen.</x:v>
      </x:c>
      <x:c r="N947" s="31" t="str">
        <x:v>R-CF26-CTRL: green pen at center [REFERENCE]; red block starts 21 cm in front of the reference [TARGET START]; blue block and pink marker are distractors outside the commanded goal sector.</x:v>
      </x:c>
      <x:c r="O947" s="31" t="str">
        <x:v>red block near green pen</x:v>
      </x:c>
      <x:c r="P947" s="31" t="str"/>
      <x:c r="Q947" s="31" t="str"/>
      <x:c r="R947" s="31" t="str"/>
      <x:c r="S947" s="31" t="str">
        <x:f>IF('Blind Scoring'!I947="","",'Blind Scoring'!I947)</x:f>
      </x:c>
      <x:c r="T947" s="31" t="str">
        <x:f>'Blind Scoring'!J947</x:f>
        <x:v>No</x:v>
      </x:c>
      <x:c r="U947" s="31" t="str">
        <x:f>IF('Blind Scoring'!L947="","",'Blind Scoring'!L947)</x:f>
      </x:c>
    </x:row>
    <x:row r="948" ht="44" customHeight="1">
      <x:c r="A948" s="35" t="str">
        <x:v>Not Started</x:v>
      </x:c>
      <x:c r="B948" s="35" t="n">
        <x:v>946</x:v>
      </x:c>
      <x:c r="C948" s="35" t="str">
        <x:v>P16</x:v>
      </x:c>
      <x:c r="D948" s="35" t="n">
        <x:v>17</x:v>
      </x:c>
      <x:c r="E948" s="35" t="str">
        <x:v>Primary VLA</x:v>
      </x:c>
      <x:c r="F948" s="35" t="str">
        <x:v>π0.5</x:v>
      </x:c>
      <x:c r="G948" s="35" t="n">
        <x:v>2</x:v>
      </x:c>
      <x:c r="H948" s="35" t="str">
        <x:v>Relational Placement</x:v>
      </x:c>
      <x:c r="I948" s="35" t="str">
        <x:v>Novel layout + seen language</x:v>
      </x:c>
      <x:c r="J948" s="35" t="str">
        <x:v>PVLA-RP-NOV-05</x:v>
      </x:c>
      <x:c r="K948" s="35" t="str"/>
      <x:c r="L948" s="31" t="str">
        <x:v>Place the pink marker to the right of the blue block.</x:v>
      </x:c>
      <x:c r="M948" s="31" t="str">
        <x:v>Place the pink marker to the right of the blue block.</x:v>
      </x:c>
      <x:c r="N948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948" s="31" t="str">
        <x:v>pink marker</x:v>
      </x:c>
      <x:c r="P948" s="31" t="str"/>
      <x:c r="Q948" s="31" t="str"/>
      <x:c r="R948" s="31" t="str"/>
      <x:c r="S948" s="31" t="str">
        <x:f>IF('Blind Scoring'!I948="","",'Blind Scoring'!I948)</x:f>
      </x:c>
      <x:c r="T948" s="31" t="str">
        <x:f>'Blind Scoring'!J948</x:f>
        <x:v>No</x:v>
      </x:c>
      <x:c r="U948" s="31" t="str">
        <x:f>IF('Blind Scoring'!L948="","",'Blind Scoring'!L948)</x:f>
      </x:c>
    </x:row>
    <x:row r="949" ht="44" customHeight="1">
      <x:c r="A949" s="35" t="str">
        <x:v>Not Started</x:v>
      </x:c>
      <x:c r="B949" s="35" t="n">
        <x:v>947</x:v>
      </x:c>
      <x:c r="C949" s="35" t="str">
        <x:v>P16</x:v>
      </x:c>
      <x:c r="D949" s="35" t="n">
        <x:v>18</x:v>
      </x:c>
      <x:c r="E949" s="35" t="str">
        <x:v>Primary VLA</x:v>
      </x:c>
      <x:c r="F949" s="35" t="str">
        <x:v>π0.5</x:v>
      </x:c>
      <x:c r="G949" s="35" t="n">
        <x:v>2</x:v>
      </x:c>
      <x:c r="H949" s="35" t="str">
        <x:v>Relational Placement</x:v>
      </x:c>
      <x:c r="I949" s="35" t="str">
        <x:v>Novel layout + seen language</x:v>
      </x:c>
      <x:c r="J949" s="35" t="str">
        <x:v>PVLA-RP-NOV-07</x:v>
      </x:c>
      <x:c r="K949" s="35" t="str"/>
      <x:c r="L949" s="31" t="str">
        <x:v>Place the pink marker in front of the blue block.</x:v>
      </x:c>
      <x:c r="M949" s="31" t="str">
        <x:v>Place the pink marker in front of the blue block.</x:v>
      </x:c>
      <x:c r="N949" s="31" t="str">
        <x:v>R-S17: blue block at center [REFERENCE]; pink marker starts 18 cm behind the reference [TARGET START]; remaining objects are distractors with ≥12 cm clearance from the target path and commanded goal sector.</x:v>
      </x:c>
      <x:c r="O949" s="31" t="str">
        <x:v>pink marker</x:v>
      </x:c>
      <x:c r="P949" s="31" t="str"/>
      <x:c r="Q949" s="31" t="str"/>
      <x:c r="R949" s="31" t="str"/>
      <x:c r="S949" s="31" t="str">
        <x:f>IF('Blind Scoring'!I949="","",'Blind Scoring'!I949)</x:f>
      </x:c>
      <x:c r="T949" s="31" t="str">
        <x:f>'Blind Scoring'!J949</x:f>
        <x:v>No</x:v>
      </x:c>
      <x:c r="U949" s="31" t="str">
        <x:f>IF('Blind Scoring'!L949="","",'Blind Scoring'!L949)</x:f>
      </x:c>
    </x:row>
    <x:row r="950" ht="44" customHeight="1">
      <x:c r="A950" s="35" t="str">
        <x:v>Not Started</x:v>
      </x:c>
      <x:c r="B950" s="35" t="n">
        <x:v>948</x:v>
      </x:c>
      <x:c r="C950" s="35" t="str">
        <x:v>P16</x:v>
      </x:c>
      <x:c r="D950" s="35" t="n">
        <x:v>19</x:v>
      </x:c>
      <x:c r="E950" s="35" t="str">
        <x:v>Primary VLA</x:v>
      </x:c>
      <x:c r="F950" s="35" t="str">
        <x:v>π0.5</x:v>
      </x:c>
      <x:c r="G950" s="35" t="n">
        <x:v>2</x:v>
      </x:c>
      <x:c r="H950" s="35" t="str">
        <x:v>Relational Placement</x:v>
      </x:c>
      <x:c r="I950" s="35" t="str">
        <x:v>Exact-scene paraphrase</x:v>
      </x:c>
      <x:c r="J950" s="35" t="str">
        <x:v>PVLA-RP-PAR-07</x:v>
      </x:c>
      <x:c r="K950" s="35" t="str"/>
      <x:c r="L950" s="31" t="str">
        <x:v>Move the red block to the side of the pink marker facing the robot.</x:v>
      </x:c>
      <x:c r="M950" s="31" t="str">
        <x:v>Move the red block to the side of the pink marker facing the robot.</x:v>
      </x:c>
      <x:c r="N950" s="31" t="str">
        <x:v>R-P01: pink marker at center [REFERENCE]; red block starts 21 cm behind the reference [TARGET START]; remaining objects are distractors with ≥12 cm clearance from the target path and commanded goal sector.</x:v>
      </x:c>
      <x:c r="O950" s="31" t="str">
        <x:v>red block</x:v>
      </x:c>
      <x:c r="P950" s="31" t="str"/>
      <x:c r="Q950" s="31" t="str"/>
      <x:c r="R950" s="31" t="str"/>
      <x:c r="S950" s="31" t="str">
        <x:f>IF('Blind Scoring'!I950="","",'Blind Scoring'!I950)</x:f>
      </x:c>
      <x:c r="T950" s="31" t="str">
        <x:f>'Blind Scoring'!J950</x:f>
        <x:v>No</x:v>
      </x:c>
      <x:c r="U950" s="31" t="str">
        <x:f>IF('Blind Scoring'!L950="","",'Blind Scoring'!L950)</x:f>
      </x:c>
    </x:row>
    <x:row r="951" ht="44" customHeight="1">
      <x:c r="A951" s="35" t="str">
        <x:v>Not Started</x:v>
      </x:c>
      <x:c r="B951" s="35" t="n">
        <x:v>949</x:v>
      </x:c>
      <x:c r="C951" s="35" t="str">
        <x:v>P16</x:v>
      </x:c>
      <x:c r="D951" s="35" t="n">
        <x:v>20</x:v>
      </x:c>
      <x:c r="E951" s="35" t="str">
        <x:v>Primary VLA</x:v>
      </x:c>
      <x:c r="F951" s="35" t="str">
        <x:v>π0.5</x:v>
      </x:c>
      <x:c r="G951" s="35" t="n">
        <x:v>2</x:v>
      </x:c>
      <x:c r="H951" s="35" t="str">
        <x:v>Relational Placement</x:v>
      </x:c>
      <x:c r="I951" s="35" t="str">
        <x:v>Exact-scene paraphrase</x:v>
      </x:c>
      <x:c r="J951" s="35" t="str">
        <x:v>PVLA-RP-PAR-01</x:v>
      </x:c>
      <x:c r="K951" s="35" t="str"/>
      <x:c r="L951" s="31" t="str">
        <x:v>Move the red block to the side of the pink marker facing the robot.</x:v>
      </x:c>
      <x:c r="M951" s="31" t="str">
        <x:v>Move the red block to the side of the pink marker facing the robot.</x:v>
      </x:c>
      <x:c r="N951" s="31" t="str">
        <x:v>R-P01: pink marker at center [REFERENCE]; red block starts 21 cm behind the reference [TARGET START]; remaining objects are distractors with ≥12 cm clearance from the target path and commanded goal sector.</x:v>
      </x:c>
      <x:c r="O951" s="31" t="str">
        <x:v>red block</x:v>
      </x:c>
      <x:c r="P951" s="31" t="str"/>
      <x:c r="Q951" s="31" t="str"/>
      <x:c r="R951" s="31" t="str"/>
      <x:c r="S951" s="31" t="str">
        <x:f>IF('Blind Scoring'!I951="","",'Blind Scoring'!I951)</x:f>
      </x:c>
      <x:c r="T951" s="31" t="str">
        <x:f>'Blind Scoring'!J951</x:f>
        <x:v>No</x:v>
      </x:c>
      <x:c r="U951" s="31" t="str">
        <x:f>IF('Blind Scoring'!L951="","",'Blind Scoring'!L951)</x:f>
      </x:c>
    </x:row>
    <x:row r="952" ht="44" customHeight="1">
      <x:c r="A952" s="35" t="str">
        <x:v>Not Started</x:v>
      </x:c>
      <x:c r="B952" s="35" t="n">
        <x:v>950</x:v>
      </x:c>
      <x:c r="C952" s="35" t="str">
        <x:v>P16</x:v>
      </x:c>
      <x:c r="D952" s="35" t="n">
        <x:v>21</x:v>
      </x:c>
      <x:c r="E952" s="35" t="str">
        <x:v>Primary VLA</x:v>
      </x:c>
      <x:c r="F952" s="35" t="str">
        <x:v>π0.5</x:v>
      </x:c>
      <x:c r="G952" s="35" t="n">
        <x:v>2</x:v>
      </x:c>
      <x:c r="H952" s="35" t="str">
        <x:v>Relational Placement</x:v>
      </x:c>
      <x:c r="I952" s="35" t="str">
        <x:v>Main held-out transfer</x:v>
      </x:c>
      <x:c r="J952" s="35" t="str">
        <x:v>PVLA-RP-TR-09</x:v>
      </x:c>
      <x:c r="K952" s="35" t="str">
        <x:v>R-CF16</x:v>
      </x:c>
      <x:c r="L952" s="31" t="str">
        <x:v>Place the red block to the left of the green pen.</x:v>
      </x:c>
      <x:c r="M952" s="31" t="str">
        <x:v>Place the red block to the left of the green pen.</x:v>
      </x:c>
      <x:c r="N952" s="31" t="str">
        <x:v>R-CF16-HELD: green pen at center [REFERENCE]; red block starts 18 cm to the right of the reference [TARGET START]; blue block and pink marker are distractors outside the commanded goal sector.</x:v>
      </x:c>
      <x:c r="O952" s="31" t="str">
        <x:v>red block → to the left of green pen</x:v>
      </x:c>
      <x:c r="P952" s="31" t="str"/>
      <x:c r="Q952" s="31" t="str"/>
      <x:c r="R952" s="31" t="str"/>
      <x:c r="S952" s="31" t="str">
        <x:f>IF('Blind Scoring'!I952="","",'Blind Scoring'!I952)</x:f>
      </x:c>
      <x:c r="T952" s="31" t="str">
        <x:f>'Blind Scoring'!J952</x:f>
        <x:v>No</x:v>
      </x:c>
      <x:c r="U952" s="31" t="str">
        <x:f>IF('Blind Scoring'!L952="","",'Blind Scoring'!L952)</x:f>
      </x:c>
    </x:row>
    <x:row r="953" ht="44" customHeight="1">
      <x:c r="A953" s="35" t="str">
        <x:v>Not Started</x:v>
      </x:c>
      <x:c r="B953" s="35" t="n">
        <x:v>951</x:v>
      </x:c>
      <x:c r="C953" s="35" t="str">
        <x:v>P16</x:v>
      </x:c>
      <x:c r="D953" s="35" t="n">
        <x:v>22</x:v>
      </x:c>
      <x:c r="E953" s="35" t="str">
        <x:v>Primary VLA</x:v>
      </x:c>
      <x:c r="F953" s="35" t="str">
        <x:v>π0.5</x:v>
      </x:c>
      <x:c r="G953" s="35" t="n">
        <x:v>2</x:v>
      </x:c>
      <x:c r="H953" s="35" t="str">
        <x:v>Relational Placement</x:v>
      </x:c>
      <x:c r="I953" s="35" t="str">
        <x:v>Training reconstruction</x:v>
      </x:c>
      <x:c r="J953" s="35" t="str">
        <x:v>PVLA-RP-REC-02</x:v>
      </x:c>
      <x:c r="K953" s="35" t="str"/>
      <x:c r="L953" s="31" t="str">
        <x:v>Put the green pen on the table in front of the pink marker.</x:v>
      </x:c>
      <x:c r="M953" s="31" t="str">
        <x:v>Put the green pen on the table in front of the pink marker.</x:v>
      </x:c>
      <x:c r="N953" s="31" t="str">
        <x:v>Reconstruct planned final training episode 206: green pen, red block, pink marker, blue block; start=Home. Match camera, calibration, bowl pose, and object geometry exactly.</x:v>
      </x:c>
      <x:c r="O953" s="31" t="str">
        <x:v>green pen</x:v>
      </x:c>
      <x:c r="P953" s="31" t="str"/>
      <x:c r="Q953" s="31" t="str"/>
      <x:c r="R953" s="31" t="str"/>
      <x:c r="S953" s="31" t="str">
        <x:f>IF('Blind Scoring'!I953="","",'Blind Scoring'!I953)</x:f>
      </x:c>
      <x:c r="T953" s="31" t="str">
        <x:f>'Blind Scoring'!J953</x:f>
        <x:v>No</x:v>
      </x:c>
      <x:c r="U953" s="31" t="str">
        <x:f>IF('Blind Scoring'!L953="","",'Blind Scoring'!L953)</x:f>
      </x:c>
    </x:row>
    <x:row r="954" ht="44" customHeight="1">
      <x:c r="A954" s="35" t="str">
        <x:v>Not Started</x:v>
      </x:c>
      <x:c r="B954" s="35" t="n">
        <x:v>952</x:v>
      </x:c>
      <x:c r="C954" s="35" t="str">
        <x:v>P16</x:v>
      </x:c>
      <x:c r="D954" s="35" t="n">
        <x:v>23</x:v>
      </x:c>
      <x:c r="E954" s="35" t="str">
        <x:v>Primary VLA</x:v>
      </x:c>
      <x:c r="F954" s="35" t="str">
        <x:v>π0.5</x:v>
      </x:c>
      <x:c r="G954" s="35" t="n">
        <x:v>2</x:v>
      </x:c>
      <x:c r="H954" s="35" t="str">
        <x:v>Relational Placement</x:v>
      </x:c>
      <x:c r="I954" s="35" t="str">
        <x:v>Main held-out transfer</x:v>
      </x:c>
      <x:c r="J954" s="35" t="str">
        <x:v>PVLA-RP-TR-10</x:v>
      </x:c>
      <x:c r="K954" s="35" t="str">
        <x:v>R-CF18</x:v>
      </x:c>
      <x:c r="L954" s="31" t="str">
        <x:v>Place the red block behind the green pen.</x:v>
      </x:c>
      <x:c r="M954" s="31" t="str">
        <x:v>Place the red block behind the green pen.</x:v>
      </x:c>
      <x:c r="N954" s="31" t="str">
        <x:v>R-CF18-HELD: green pen at back-right [REFERENCE]; red block starts 24 cm in front of the reference [TARGET START]; blue block and pink marker are distractors outside the commanded goal sector.</x:v>
      </x:c>
      <x:c r="O954" s="31" t="str">
        <x:v>red block → behind green pen</x:v>
      </x:c>
      <x:c r="P954" s="31" t="str"/>
      <x:c r="Q954" s="31" t="str"/>
      <x:c r="R954" s="31" t="str"/>
      <x:c r="S954" s="31" t="str">
        <x:f>IF('Blind Scoring'!I954="","",'Blind Scoring'!I954)</x:f>
      </x:c>
      <x:c r="T954" s="31" t="str">
        <x:f>'Blind Scoring'!J954</x:f>
        <x:v>No</x:v>
      </x:c>
      <x:c r="U954" s="31" t="str">
        <x:f>IF('Blind Scoring'!L954="","",'Blind Scoring'!L954)</x:f>
      </x:c>
    </x:row>
    <x:row r="955" ht="44" customHeight="1">
      <x:c r="A955" s="35" t="str">
        <x:v>Not Started</x:v>
      </x:c>
      <x:c r="B955" s="35" t="n">
        <x:v>953</x:v>
      </x:c>
      <x:c r="C955" s="35" t="str">
        <x:v>P16</x:v>
      </x:c>
      <x:c r="D955" s="35" t="n">
        <x:v>24</x:v>
      </x:c>
      <x:c r="E955" s="35" t="str">
        <x:v>Primary VLA</x:v>
      </x:c>
      <x:c r="F955" s="35" t="str">
        <x:v>π0.5</x:v>
      </x:c>
      <x:c r="G955" s="35" t="n">
        <x:v>2</x:v>
      </x:c>
      <x:c r="H955" s="35" t="str">
        <x:v>Relational Placement</x:v>
      </x:c>
      <x:c r="I955" s="35" t="str">
        <x:v>Novel layout + seen language</x:v>
      </x:c>
      <x:c r="J955" s="35" t="str">
        <x:v>PVLA-RP-NOV-02</x:v>
      </x:c>
      <x:c r="K955" s="35" t="str"/>
      <x:c r="L955" s="31" t="str">
        <x:v>Place the green pen to the right of the pink marker.</x:v>
      </x:c>
      <x:c r="M955" s="31" t="str">
        <x:v>Place the green pen to the right of the pink marker.</x:v>
      </x:c>
      <x:c r="N955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955" s="31" t="str">
        <x:v>green pen</x:v>
      </x:c>
      <x:c r="P955" s="31" t="str"/>
      <x:c r="Q955" s="31" t="str"/>
      <x:c r="R955" s="31" t="str"/>
      <x:c r="S955" s="31" t="str">
        <x:f>IF('Blind Scoring'!I955="","",'Blind Scoring'!I955)</x:f>
      </x:c>
      <x:c r="T955" s="31" t="str">
        <x:f>'Blind Scoring'!J955</x:f>
        <x:v>No</x:v>
      </x:c>
      <x:c r="U955" s="31" t="str">
        <x:f>IF('Blind Scoring'!L955="","",'Blind Scoring'!L955)</x:f>
      </x:c>
    </x:row>
    <x:row r="956" ht="44" customHeight="1">
      <x:c r="A956" s="35" t="str">
        <x:v>Not Started</x:v>
      </x:c>
      <x:c r="B956" s="35" t="n">
        <x:v>954</x:v>
      </x:c>
      <x:c r="C956" s="35" t="str">
        <x:v>P16</x:v>
      </x:c>
      <x:c r="D956" s="35" t="n">
        <x:v>25</x:v>
      </x:c>
      <x:c r="E956" s="35" t="str">
        <x:v>Primary VLA</x:v>
      </x:c>
      <x:c r="F956" s="35" t="str">
        <x:v>π0.5</x:v>
      </x:c>
      <x:c r="G956" s="35" t="n">
        <x:v>2</x:v>
      </x:c>
      <x:c r="H956" s="35" t="str">
        <x:v>Relational Placement</x:v>
      </x:c>
      <x:c r="I956" s="35" t="str">
        <x:v>Main held-out transfer</x:v>
      </x:c>
      <x:c r="J956" s="35" t="str">
        <x:v>PVLA-RP-TR-12</x:v>
      </x:c>
      <x:c r="K956" s="35" t="str">
        <x:v>R-CF22</x:v>
      </x:c>
      <x:c r="L956" s="31" t="str">
        <x:v>Place the red block to the right of the green pen.</x:v>
      </x:c>
      <x:c r="M956" s="31" t="str">
        <x:v>Place the red block to the right of the green pen.</x:v>
      </x:c>
      <x:c r="N956" s="31" t="str">
        <x:v>R-CF22-HELD: green pen at back-left [REFERENCE]; red block starts 18 cm to the left of the reference [TARGET START]; blue block and pink marker are distractors outside the commanded goal sector.</x:v>
      </x:c>
      <x:c r="O956" s="31" t="str">
        <x:v>red block → to the right of green pen</x:v>
      </x:c>
      <x:c r="P956" s="31" t="str"/>
      <x:c r="Q956" s="31" t="str"/>
      <x:c r="R956" s="31" t="str"/>
      <x:c r="S956" s="31" t="str">
        <x:f>IF('Blind Scoring'!I956="","",'Blind Scoring'!I956)</x:f>
      </x:c>
      <x:c r="T956" s="31" t="str">
        <x:f>'Blind Scoring'!J956</x:f>
        <x:v>No</x:v>
      </x:c>
      <x:c r="U956" s="31" t="str">
        <x:f>IF('Blind Scoring'!L956="","",'Blind Scoring'!L956)</x:f>
      </x:c>
    </x:row>
    <x:row r="957" ht="44" customHeight="1">
      <x:c r="A957" s="35" t="str">
        <x:v>Not Started</x:v>
      </x:c>
      <x:c r="B957" s="35" t="n">
        <x:v>955</x:v>
      </x:c>
      <x:c r="C957" s="35" t="str">
        <x:v>P16</x:v>
      </x:c>
      <x:c r="D957" s="35" t="n">
        <x:v>26</x:v>
      </x:c>
      <x:c r="E957" s="35" t="str">
        <x:v>Primary VLA</x:v>
      </x:c>
      <x:c r="F957" s="35" t="str">
        <x:v>π0.5</x:v>
      </x:c>
      <x:c r="G957" s="35" t="n">
        <x:v>2</x:v>
      </x:c>
      <x:c r="H957" s="35" t="str">
        <x:v>Relational Placement</x:v>
      </x:c>
      <x:c r="I957" s="35" t="str">
        <x:v>Exact-scene paraphrase</x:v>
      </x:c>
      <x:c r="J957" s="35" t="str">
        <x:v>PVLA-RP-PAR-08</x:v>
      </x:c>
      <x:c r="K957" s="35" t="str"/>
      <x:c r="L957" s="31" t="str">
        <x:v>Move the red block to the side of the pink marker facing the robot.</x:v>
      </x:c>
      <x:c r="M957" s="31" t="str">
        <x:v>Move the red block to the side of the pink marker facing the robot.</x:v>
      </x:c>
      <x:c r="N957" s="31" t="str">
        <x:v>R-P01: pink marker at center [REFERENCE]; red block starts 21 cm behind the reference [TARGET START]; remaining objects are distractors with ≥12 cm clearance from the target path and commanded goal sector.</x:v>
      </x:c>
      <x:c r="O957" s="31" t="str">
        <x:v>red block</x:v>
      </x:c>
      <x:c r="P957" s="31" t="str"/>
      <x:c r="Q957" s="31" t="str"/>
      <x:c r="R957" s="31" t="str"/>
      <x:c r="S957" s="31" t="str">
        <x:f>IF('Blind Scoring'!I957="","",'Blind Scoring'!I957)</x:f>
      </x:c>
      <x:c r="T957" s="31" t="str">
        <x:f>'Blind Scoring'!J957</x:f>
        <x:v>No</x:v>
      </x:c>
      <x:c r="U957" s="31" t="str">
        <x:f>IF('Blind Scoring'!L957="","",'Blind Scoring'!L957)</x:f>
      </x:c>
    </x:row>
    <x:row r="958" ht="44" customHeight="1">
      <x:c r="A958" s="35" t="str">
        <x:v>Not Started</x:v>
      </x:c>
      <x:c r="B958" s="35" t="n">
        <x:v>956</x:v>
      </x:c>
      <x:c r="C958" s="35" t="str">
        <x:v>P16</x:v>
      </x:c>
      <x:c r="D958" s="35" t="n">
        <x:v>27</x:v>
      </x:c>
      <x:c r="E958" s="35" t="str">
        <x:v>Primary VLA</x:v>
      </x:c>
      <x:c r="F958" s="35" t="str">
        <x:v>π0.5</x:v>
      </x:c>
      <x:c r="G958" s="35" t="n">
        <x:v>2</x:v>
      </x:c>
      <x:c r="H958" s="35" t="str">
        <x:v>Relational Placement</x:v>
      </x:c>
      <x:c r="I958" s="35" t="str">
        <x:v>Main held-out transfer</x:v>
      </x:c>
      <x:c r="J958" s="35" t="str">
        <x:v>PVLA-RP-TR-05</x:v>
      </x:c>
      <x:c r="K958" s="35" t="str">
        <x:v>R-CF09</x:v>
      </x:c>
      <x:c r="L958" s="31" t="str">
        <x:v>Place the green pen in front of the red block.</x:v>
      </x:c>
      <x:c r="M958" s="31" t="str">
        <x:v>Place the green pen in front of the red block.</x:v>
      </x:c>
      <x:c r="N958" s="31" t="str">
        <x:v>R-CF09-HELD: red block at front-left [REFERENCE]; green pen starts 24 cm behind the reference [TARGET START]; pink marker and blue block are distractors outside the commanded goal sector.</x:v>
      </x:c>
      <x:c r="O958" s="31" t="str">
        <x:v>green pen → in front of red block</x:v>
      </x:c>
      <x:c r="P958" s="31" t="str"/>
      <x:c r="Q958" s="31" t="str"/>
      <x:c r="R958" s="31" t="str"/>
      <x:c r="S958" s="31" t="str">
        <x:f>IF('Blind Scoring'!I958="","",'Blind Scoring'!I958)</x:f>
      </x:c>
      <x:c r="T958" s="31" t="str">
        <x:f>'Blind Scoring'!J958</x:f>
        <x:v>No</x:v>
      </x:c>
      <x:c r="U958" s="31" t="str">
        <x:f>IF('Blind Scoring'!L958="","",'Blind Scoring'!L958)</x:f>
      </x:c>
    </x:row>
    <x:row r="959" ht="44" customHeight="1">
      <x:c r="A959" s="35" t="str">
        <x:v>Not Started</x:v>
      </x:c>
      <x:c r="B959" s="35" t="n">
        <x:v>957</x:v>
      </x:c>
      <x:c r="C959" s="35" t="str">
        <x:v>P16</x:v>
      </x:c>
      <x:c r="D959" s="35" t="n">
        <x:v>28</x:v>
      </x:c>
      <x:c r="E959" s="35" t="str">
        <x:v>Primary VLA</x:v>
      </x:c>
      <x:c r="F959" s="35" t="str">
        <x:v>π0.5</x:v>
      </x:c>
      <x:c r="G959" s="35" t="n">
        <x:v>2</x:v>
      </x:c>
      <x:c r="H959" s="35" t="str">
        <x:v>Relational Placement</x:v>
      </x:c>
      <x:c r="I959" s="35" t="str">
        <x:v>Language ablation — counterfactual</x:v>
      </x:c>
      <x:c r="J959" s="35" t="str">
        <x:v>PVLA-RP-ABL-CF-03</x:v>
      </x:c>
      <x:c r="K959" s="35" t="str">
        <x:v>R-CF13</x:v>
      </x:c>
      <x:c r="L959" s="31" t="str">
        <x:v>Place the green pen to the right of the red block.</x:v>
      </x:c>
      <x:c r="M959" s="31" t="str">
        <x:v>Place the green pen to the right of the red block.</x:v>
      </x:c>
      <x:c r="N959" s="31" t="str">
        <x:v>R-CF13-HELD: red block at back-right [REFERENCE]; green pen starts 18 cm to the right of the reference [TARGET START]; pink marker and blue block are distractors outside the commanded goal sector.</x:v>
      </x:c>
      <x:c r="O959" s="31" t="str">
        <x:v>green pen → to the right of red block</x:v>
      </x:c>
      <x:c r="P959" s="31" t="str"/>
      <x:c r="Q959" s="31" t="str"/>
      <x:c r="R959" s="31" t="str"/>
      <x:c r="S959" s="31" t="str">
        <x:f>IF('Blind Scoring'!I959="","",'Blind Scoring'!I959)</x:f>
      </x:c>
      <x:c r="T959" s="31" t="str">
        <x:f>'Blind Scoring'!J959</x:f>
        <x:v>No</x:v>
      </x:c>
      <x:c r="U959" s="31" t="str">
        <x:f>IF('Blind Scoring'!L959="","",'Blind Scoring'!L959)</x:f>
      </x:c>
    </x:row>
    <x:row r="960" ht="44" customHeight="1">
      <x:c r="A960" s="35" t="str">
        <x:v>Not Started</x:v>
      </x:c>
      <x:c r="B960" s="35" t="n">
        <x:v>958</x:v>
      </x:c>
      <x:c r="C960" s="35" t="str">
        <x:v>P16</x:v>
      </x:c>
      <x:c r="D960" s="35" t="n">
        <x:v>29</x:v>
      </x:c>
      <x:c r="E960" s="35" t="str">
        <x:v>Primary VLA</x:v>
      </x:c>
      <x:c r="F960" s="35" t="str">
        <x:v>π0.5</x:v>
      </x:c>
      <x:c r="G960" s="35" t="n">
        <x:v>2</x:v>
      </x:c>
      <x:c r="H960" s="35" t="str">
        <x:v>Relational Placement</x:v>
      </x:c>
      <x:c r="I960" s="35" t="str">
        <x:v>Main held-out transfer</x:v>
      </x:c>
      <x:c r="J960" s="35" t="str">
        <x:v>PVLA-RP-TR-07</x:v>
      </x:c>
      <x:c r="K960" s="35" t="str">
        <x:v>R-CF13</x:v>
      </x:c>
      <x:c r="L960" s="31" t="str">
        <x:v>Place the green pen to the left of the red block.</x:v>
      </x:c>
      <x:c r="M960" s="31" t="str">
        <x:v>Place the green pen to the left of the red block.</x:v>
      </x:c>
      <x:c r="N960" s="31" t="str">
        <x:v>R-CF13-HELD: red block at back-right [REFERENCE]; green pen starts 18 cm to the right of the reference [TARGET START]; pink marker and blue block are distractors outside the commanded goal sector.</x:v>
      </x:c>
      <x:c r="O960" s="31" t="str">
        <x:v>green pen → to the left of red block</x:v>
      </x:c>
      <x:c r="P960" s="31" t="str"/>
      <x:c r="Q960" s="31" t="str"/>
      <x:c r="R960" s="31" t="str"/>
      <x:c r="S960" s="31" t="str">
        <x:f>IF('Blind Scoring'!I960="","",'Blind Scoring'!I960)</x:f>
      </x:c>
      <x:c r="T960" s="31" t="str">
        <x:f>'Blind Scoring'!J960</x:f>
        <x:v>No</x:v>
      </x:c>
      <x:c r="U960" s="31" t="str">
        <x:f>IF('Blind Scoring'!L960="","",'Blind Scoring'!L960)</x:f>
      </x:c>
    </x:row>
    <x:row r="961" ht="44" customHeight="1">
      <x:c r="A961" s="35" t="str">
        <x:v>Not Started</x:v>
      </x:c>
      <x:c r="B961" s="35" t="n">
        <x:v>959</x:v>
      </x:c>
      <x:c r="C961" s="35" t="str">
        <x:v>P16</x:v>
      </x:c>
      <x:c r="D961" s="35" t="n">
        <x:v>30</x:v>
      </x:c>
      <x:c r="E961" s="35" t="str">
        <x:v>Primary VLA</x:v>
      </x:c>
      <x:c r="F961" s="35" t="str">
        <x:v>π0.5</x:v>
      </x:c>
      <x:c r="G961" s="35" t="n">
        <x:v>2</x:v>
      </x:c>
      <x:c r="H961" s="35" t="str">
        <x:v>Relational Placement</x:v>
      </x:c>
      <x:c r="I961" s="35" t="str">
        <x:v>Training reconstruction</x:v>
      </x:c>
      <x:c r="J961" s="35" t="str">
        <x:v>PVLA-RP-REC-01</x:v>
      </x:c>
      <x:c r="K961" s="35" t="str"/>
      <x:c r="L961" s="31" t="str">
        <x:v>Move the green pen to the front of the pink marker.</x:v>
      </x:c>
      <x:c r="M961" s="31" t="str">
        <x:v>Move the green pen to the front of the pink marker.</x:v>
      </x:c>
      <x:c r="N961" s="31" t="str">
        <x:v>Reconstruct planned final training episode 204: green pen, pink marker; start=Home. Match camera, calibration, bowl pose, and object geometry exactly.</x:v>
      </x:c>
      <x:c r="O961" s="31" t="str">
        <x:v>green pen</x:v>
      </x:c>
      <x:c r="P961" s="31" t="str"/>
      <x:c r="Q961" s="31" t="str"/>
      <x:c r="R961" s="31" t="str"/>
      <x:c r="S961" s="31" t="str">
        <x:f>IF('Blind Scoring'!I961="","",'Blind Scoring'!I961)</x:f>
      </x:c>
      <x:c r="T961" s="31" t="str">
        <x:f>'Blind Scoring'!J961</x:f>
        <x:v>No</x:v>
      </x:c>
      <x:c r="U961" s="31" t="str">
        <x:f>IF('Blind Scoring'!L961="","",'Blind Scoring'!L961)</x:f>
      </x:c>
    </x:row>
    <x:row r="962" ht="44" customHeight="1">
      <x:c r="A962" s="35" t="str">
        <x:v>Not Started</x:v>
      </x:c>
      <x:c r="B962" s="35" t="n">
        <x:v>960</x:v>
      </x:c>
      <x:c r="C962" s="35" t="str">
        <x:v>P16</x:v>
      </x:c>
      <x:c r="D962" s="35" t="n">
        <x:v>31</x:v>
      </x:c>
      <x:c r="E962" s="35" t="str">
        <x:v>Primary VLA</x:v>
      </x:c>
      <x:c r="F962" s="35" t="str">
        <x:v>π0.5</x:v>
      </x:c>
      <x:c r="G962" s="35" t="n">
        <x:v>2</x:v>
      </x:c>
      <x:c r="H962" s="35" t="str">
        <x:v>Relational Placement</x:v>
      </x:c>
      <x:c r="I962" s="35" t="str">
        <x:v>Main held-out transfer</x:v>
      </x:c>
      <x:c r="J962" s="35" t="str">
        <x:v>PVLA-RP-TR-14</x:v>
      </x:c>
      <x:c r="K962" s="35" t="str">
        <x:v>R-CF26</x:v>
      </x:c>
      <x:c r="L962" s="31" t="str">
        <x:v>Place the red block behind the green pen.</x:v>
      </x:c>
      <x:c r="M962" s="31" t="str">
        <x:v>Place the red block behind the green pen.</x:v>
      </x:c>
      <x:c r="N962" s="31" t="str">
        <x:v>R-CF26-HELD: green pen at center [REFERENCE]; red block starts 21 cm in front of the reference [TARGET START]; blue block and pink marker are distractors outside the commanded goal sector.</x:v>
      </x:c>
      <x:c r="O962" s="31" t="str">
        <x:v>red block → behind green pen</x:v>
      </x:c>
      <x:c r="P962" s="31" t="str"/>
      <x:c r="Q962" s="31" t="str"/>
      <x:c r="R962" s="31" t="str"/>
      <x:c r="S962" s="31" t="str">
        <x:f>IF('Blind Scoring'!I962="","",'Blind Scoring'!I962)</x:f>
      </x:c>
      <x:c r="T962" s="31" t="str">
        <x:f>'Blind Scoring'!J962</x:f>
        <x:v>No</x:v>
      </x:c>
      <x:c r="U962" s="31" t="str">
        <x:f>IF('Blind Scoring'!L962="","",'Blind Scoring'!L962)</x:f>
      </x:c>
    </x:row>
    <x:row r="963" ht="44" customHeight="1">
      <x:c r="A963" s="35" t="str">
        <x:v>Not Started</x:v>
      </x:c>
      <x:c r="B963" s="35" t="n">
        <x:v>961</x:v>
      </x:c>
      <x:c r="C963" s="35" t="str">
        <x:v>P16</x:v>
      </x:c>
      <x:c r="D963" s="35" t="n">
        <x:v>32</x:v>
      </x:c>
      <x:c r="E963" s="35" t="str">
        <x:v>Primary VLA</x:v>
      </x:c>
      <x:c r="F963" s="35" t="str">
        <x:v>π0.5</x:v>
      </x:c>
      <x:c r="G963" s="35" t="n">
        <x:v>2</x:v>
      </x:c>
      <x:c r="H963" s="35" t="str">
        <x:v>Relational Placement</x:v>
      </x:c>
      <x:c r="I963" s="35" t="str">
        <x:v>Main matched control</x:v>
      </x:c>
      <x:c r="J963" s="35" t="str">
        <x:v>PVLA-RP-CTL-07</x:v>
      </x:c>
      <x:c r="K963" s="35" t="str">
        <x:v>R-CF13</x:v>
      </x:c>
      <x:c r="L963" s="31" t="str">
        <x:v>Place the green pen near the red block.</x:v>
      </x:c>
      <x:c r="M963" s="31" t="str">
        <x:v>Place the green pen near the red block.</x:v>
      </x:c>
      <x:c r="N963" s="31" t="str">
        <x:v>R-CF13-CTRL: red block at back-right [REFERENCE]; green pen starts 18 cm to the right of the reference [TARGET START]; pink marker and blue block are distractors outside the commanded goal sector.</x:v>
      </x:c>
      <x:c r="O963" s="31" t="str">
        <x:v>green pen near red block</x:v>
      </x:c>
      <x:c r="P963" s="31" t="str"/>
      <x:c r="Q963" s="31" t="str"/>
      <x:c r="R963" s="31" t="str"/>
      <x:c r="S963" s="31" t="str">
        <x:f>IF('Blind Scoring'!I963="","",'Blind Scoring'!I963)</x:f>
      </x:c>
      <x:c r="T963" s="31" t="str">
        <x:f>'Blind Scoring'!J963</x:f>
        <x:v>No</x:v>
      </x:c>
      <x:c r="U963" s="31" t="str">
        <x:f>IF('Blind Scoring'!L963="","",'Blind Scoring'!L963)</x:f>
      </x:c>
    </x:row>
    <x:row r="964" ht="44" customHeight="1">
      <x:c r="A964" s="35" t="str">
        <x:v>Not Started</x:v>
      </x:c>
      <x:c r="B964" s="35" t="n">
        <x:v>962</x:v>
      </x:c>
      <x:c r="C964" s="35" t="str">
        <x:v>P16</x:v>
      </x:c>
      <x:c r="D964" s="35" t="n">
        <x:v>33</x:v>
      </x:c>
      <x:c r="E964" s="35" t="str">
        <x:v>Primary VLA</x:v>
      </x:c>
      <x:c r="F964" s="35" t="str">
        <x:v>π0.5</x:v>
      </x:c>
      <x:c r="G964" s="35" t="n">
        <x:v>2</x:v>
      </x:c>
      <x:c r="H964" s="35" t="str">
        <x:v>Relational Placement</x:v>
      </x:c>
      <x:c r="I964" s="35" t="str">
        <x:v>Main matched control</x:v>
      </x:c>
      <x:c r="J964" s="35" t="str">
        <x:v>PVLA-RP-CTL-16</x:v>
      </x:c>
      <x:c r="K964" s="35" t="str">
        <x:v>R-CF30</x:v>
      </x:c>
      <x:c r="L964" s="31" t="str">
        <x:v>Place the red block beside the green pen.</x:v>
      </x:c>
      <x:c r="M964" s="31" t="str">
        <x:v>Place the red block beside the green pen.</x:v>
      </x:c>
      <x:c r="N964" s="31" t="str">
        <x:v>R-CF30-CTRL: green pen at front-right [REFERENCE]; red block starts 24 cm to the left of the reference [TARGET START]; blue block and pink marker are distractors outside the commanded goal sector.</x:v>
      </x:c>
      <x:c r="O964" s="31" t="str">
        <x:v>red block near green pen</x:v>
      </x:c>
      <x:c r="P964" s="31" t="str"/>
      <x:c r="Q964" s="31" t="str"/>
      <x:c r="R964" s="31" t="str"/>
      <x:c r="S964" s="31" t="str">
        <x:f>IF('Blind Scoring'!I964="","",'Blind Scoring'!I964)</x:f>
      </x:c>
      <x:c r="T964" s="31" t="str">
        <x:f>'Blind Scoring'!J964</x:f>
        <x:v>No</x:v>
      </x:c>
      <x:c r="U964" s="31" t="str">
        <x:f>IF('Blind Scoring'!L964="","",'Blind Scoring'!L964)</x:f>
      </x:c>
    </x:row>
    <x:row r="965" ht="44" customHeight="1">
      <x:c r="A965" s="35" t="str">
        <x:v>Not Started</x:v>
      </x:c>
      <x:c r="B965" s="35" t="n">
        <x:v>963</x:v>
      </x:c>
      <x:c r="C965" s="35" t="str">
        <x:v>P16</x:v>
      </x:c>
      <x:c r="D965" s="35" t="n">
        <x:v>34</x:v>
      </x:c>
      <x:c r="E965" s="35" t="str">
        <x:v>Primary VLA</x:v>
      </x:c>
      <x:c r="F965" s="35" t="str">
        <x:v>π0.5</x:v>
      </x:c>
      <x:c r="G965" s="35" t="n">
        <x:v>2</x:v>
      </x:c>
      <x:c r="H965" s="35" t="str">
        <x:v>Relational Placement</x:v>
      </x:c>
      <x:c r="I965" s="35" t="str">
        <x:v>Main held-out transfer</x:v>
      </x:c>
      <x:c r="J965" s="35" t="str">
        <x:v>PVLA-RP-TR-04</x:v>
      </x:c>
      <x:c r="K965" s="35" t="str">
        <x:v>R-CF07</x:v>
      </x:c>
      <x:c r="L965" s="31" t="str">
        <x:v>Place the green pen behind the red block.</x:v>
      </x:c>
      <x:c r="M965" s="31" t="str">
        <x:v>Place the green pen behind the red block.</x:v>
      </x:c>
      <x:c r="N965" s="31" t="str">
        <x:v>R-CF07-HELD: red block at back-left [REFERENCE]; green pen starts 18 cm in front of the reference [TARGET START]; pink marker and blue block are distractors outside the commanded goal sector.</x:v>
      </x:c>
      <x:c r="O965" s="31" t="str">
        <x:v>green pen → behind red block</x:v>
      </x:c>
      <x:c r="P965" s="31" t="str"/>
      <x:c r="Q965" s="31" t="str"/>
      <x:c r="R965" s="31" t="str"/>
      <x:c r="S965" s="31" t="str">
        <x:f>IF('Blind Scoring'!I965="","",'Blind Scoring'!I965)</x:f>
      </x:c>
      <x:c r="T965" s="31" t="str">
        <x:f>'Blind Scoring'!J965</x:f>
        <x:v>No</x:v>
      </x:c>
      <x:c r="U965" s="31" t="str">
        <x:f>IF('Blind Scoring'!L965="","",'Blind Scoring'!L965)</x:f>
      </x:c>
    </x:row>
    <x:row r="966" ht="44" customHeight="1">
      <x:c r="A966" s="35" t="str">
        <x:v>Not Started</x:v>
      </x:c>
      <x:c r="B966" s="35" t="n">
        <x:v>964</x:v>
      </x:c>
      <x:c r="C966" s="35" t="str">
        <x:v>P16</x:v>
      </x:c>
      <x:c r="D966" s="35" t="n">
        <x:v>35</x:v>
      </x:c>
      <x:c r="E966" s="35" t="str">
        <x:v>Primary VLA</x:v>
      </x:c>
      <x:c r="F966" s="35" t="str">
        <x:v>π0.5</x:v>
      </x:c>
      <x:c r="G966" s="35" t="n">
        <x:v>2</x:v>
      </x:c>
      <x:c r="H966" s="35" t="str">
        <x:v>Relational Placement</x:v>
      </x:c>
      <x:c r="I966" s="35" t="str">
        <x:v>Exact-scene paraphrase</x:v>
      </x:c>
      <x:c r="J966" s="35" t="str">
        <x:v>PVLA-RP-PAR-03</x:v>
      </x:c>
      <x:c r="K966" s="35" t="str"/>
      <x:c r="L966" s="31" t="str">
        <x:v>Move the red block to the side of the pink marker facing the robot.</x:v>
      </x:c>
      <x:c r="M966" s="31" t="str">
        <x:v>Move the red block to the side of the pink marker facing the robot.</x:v>
      </x:c>
      <x:c r="N966" s="31" t="str">
        <x:v>R-P01: pink marker at center [REFERENCE]; red block starts 21 cm behind the reference [TARGET START]; remaining objects are distractors with ≥12 cm clearance from the target path and commanded goal sector.</x:v>
      </x:c>
      <x:c r="O966" s="31" t="str">
        <x:v>red block</x:v>
      </x:c>
      <x:c r="P966" s="31" t="str"/>
      <x:c r="Q966" s="31" t="str"/>
      <x:c r="R966" s="31" t="str"/>
      <x:c r="S966" s="31" t="str">
        <x:f>IF('Blind Scoring'!I966="","",'Blind Scoring'!I966)</x:f>
      </x:c>
      <x:c r="T966" s="31" t="str">
        <x:f>'Blind Scoring'!J966</x:f>
        <x:v>No</x:v>
      </x:c>
      <x:c r="U966" s="31" t="str">
        <x:f>IF('Blind Scoring'!L966="","",'Blind Scoring'!L966)</x:f>
      </x:c>
    </x:row>
    <x:row r="967" ht="44" customHeight="1">
      <x:c r="A967" s="35" t="str">
        <x:v>Not Started</x:v>
      </x:c>
      <x:c r="B967" s="35" t="n">
        <x:v>965</x:v>
      </x:c>
      <x:c r="C967" s="35" t="str">
        <x:v>P16</x:v>
      </x:c>
      <x:c r="D967" s="35" t="n">
        <x:v>36</x:v>
      </x:c>
      <x:c r="E967" s="35" t="str">
        <x:v>Primary VLA</x:v>
      </x:c>
      <x:c r="F967" s="35" t="str">
        <x:v>π0.5</x:v>
      </x:c>
      <x:c r="G967" s="35" t="n">
        <x:v>2</x:v>
      </x:c>
      <x:c r="H967" s="35" t="str">
        <x:v>Relational Placement</x:v>
      </x:c>
      <x:c r="I967" s="35" t="str">
        <x:v>Main held-out transfer</x:v>
      </x:c>
      <x:c r="J967" s="35" t="str">
        <x:v>PVLA-RP-TR-08</x:v>
      </x:c>
      <x:c r="K967" s="35" t="str">
        <x:v>R-CF15</x:v>
      </x:c>
      <x:c r="L967" s="31" t="str">
        <x:v>Place the green pen behind the red block.</x:v>
      </x:c>
      <x:c r="M967" s="31" t="str">
        <x:v>Place the green pen behind the red block.</x:v>
      </x:c>
      <x:c r="N967" s="31" t="str">
        <x:v>R-CF15-HELD: red block at front-right [REFERENCE]; green pen starts 24 cm in front of the reference [TARGET START]; pink marker and blue block are distractors outside the commanded goal sector.</x:v>
      </x:c>
      <x:c r="O967" s="31" t="str">
        <x:v>green pen → behind red block</x:v>
      </x:c>
      <x:c r="P967" s="31" t="str"/>
      <x:c r="Q967" s="31" t="str"/>
      <x:c r="R967" s="31" t="str"/>
      <x:c r="S967" s="31" t="str">
        <x:f>IF('Blind Scoring'!I967="","",'Blind Scoring'!I967)</x:f>
      </x:c>
      <x:c r="T967" s="31" t="str">
        <x:f>'Blind Scoring'!J967</x:f>
        <x:v>No</x:v>
      </x:c>
      <x:c r="U967" s="31" t="str">
        <x:f>IF('Blind Scoring'!L967="","",'Blind Scoring'!L967)</x:f>
      </x:c>
    </x:row>
    <x:row r="968" ht="44" customHeight="1">
      <x:c r="A968" s="35" t="str">
        <x:v>Not Started</x:v>
      </x:c>
      <x:c r="B968" s="35" t="n">
        <x:v>966</x:v>
      </x:c>
      <x:c r="C968" s="35" t="str">
        <x:v>P16</x:v>
      </x:c>
      <x:c r="D968" s="35" t="n">
        <x:v>37</x:v>
      </x:c>
      <x:c r="E968" s="35" t="str">
        <x:v>Primary VLA</x:v>
      </x:c>
      <x:c r="F968" s="35" t="str">
        <x:v>π0.5</x:v>
      </x:c>
      <x:c r="G968" s="35" t="n">
        <x:v>2</x:v>
      </x:c>
      <x:c r="H968" s="35" t="str">
        <x:v>Relational Placement</x:v>
      </x:c>
      <x:c r="I968" s="35" t="str">
        <x:v>Exact-scene paraphrase</x:v>
      </x:c>
      <x:c r="J968" s="35" t="str">
        <x:v>PVLA-RP-PAR-04</x:v>
      </x:c>
      <x:c r="K968" s="35" t="str"/>
      <x:c r="L968" s="31" t="str">
        <x:v>Move the red block to the side of the pink marker facing the robot.</x:v>
      </x:c>
      <x:c r="M968" s="31" t="str">
        <x:v>Move the red block to the side of the pink marker facing the robot.</x:v>
      </x:c>
      <x:c r="N968" s="31" t="str">
        <x:v>R-P01: pink marker at center [REFERENCE]; red block starts 21 cm behind the reference [TARGET START]; remaining objects are distractors with ≥12 cm clearance from the target path and commanded goal sector.</x:v>
      </x:c>
      <x:c r="O968" s="31" t="str">
        <x:v>red block</x:v>
      </x:c>
      <x:c r="P968" s="31" t="str"/>
      <x:c r="Q968" s="31" t="str"/>
      <x:c r="R968" s="31" t="str"/>
      <x:c r="S968" s="31" t="str">
        <x:f>IF('Blind Scoring'!I968="","",'Blind Scoring'!I968)</x:f>
      </x:c>
      <x:c r="T968" s="31" t="str">
        <x:f>'Blind Scoring'!J968</x:f>
        <x:v>No</x:v>
      </x:c>
      <x:c r="U968" s="31" t="str">
        <x:f>IF('Blind Scoring'!L968="","",'Blind Scoring'!L968)</x:f>
      </x:c>
    </x:row>
    <x:row r="969" ht="44" customHeight="1">
      <x:c r="A969" s="35" t="str">
        <x:v>Not Started</x:v>
      </x:c>
      <x:c r="B969" s="35" t="n">
        <x:v>967</x:v>
      </x:c>
      <x:c r="C969" s="35" t="str">
        <x:v>P16</x:v>
      </x:c>
      <x:c r="D969" s="35" t="n">
        <x:v>38</x:v>
      </x:c>
      <x:c r="E969" s="35" t="str">
        <x:v>Primary VLA</x:v>
      </x:c>
      <x:c r="F969" s="35" t="str">
        <x:v>π0.5</x:v>
      </x:c>
      <x:c r="G969" s="35" t="n">
        <x:v>2</x:v>
      </x:c>
      <x:c r="H969" s="35" t="str">
        <x:v>Relational Placement</x:v>
      </x:c>
      <x:c r="I969" s="35" t="str">
        <x:v>Main matched control</x:v>
      </x:c>
      <x:c r="J969" s="35" t="str">
        <x:v>PVLA-RP-CTL-03</x:v>
      </x:c>
      <x:c r="K969" s="35" t="str">
        <x:v>R-CF05</x:v>
      </x:c>
      <x:c r="L969" s="31" t="str">
        <x:v>Place the green pen next to the red block.</x:v>
      </x:c>
      <x:c r="M969" s="31" t="str">
        <x:v>Place the green pen next to the red block.</x:v>
      </x:c>
      <x:c r="N969" s="31" t="str">
        <x:v>R-CF05-CTRL: red block at front-right [REFERENCE]; green pen starts 21 cm to the right of the reference [TARGET START]; pink marker and blue block are distractors outside the commanded goal sector.</x:v>
      </x:c>
      <x:c r="O969" s="31" t="str">
        <x:v>green pen near red block</x:v>
      </x:c>
      <x:c r="P969" s="31" t="str"/>
      <x:c r="Q969" s="31" t="str"/>
      <x:c r="R969" s="31" t="str"/>
      <x:c r="S969" s="31" t="str">
        <x:f>IF('Blind Scoring'!I969="","",'Blind Scoring'!I969)</x:f>
      </x:c>
      <x:c r="T969" s="31" t="str">
        <x:f>'Blind Scoring'!J969</x:f>
        <x:v>No</x:v>
      </x:c>
      <x:c r="U969" s="31" t="str">
        <x:f>IF('Blind Scoring'!L969="","",'Blind Scoring'!L969)</x:f>
      </x:c>
    </x:row>
    <x:row r="970" ht="44" customHeight="1">
      <x:c r="A970" s="35" t="str">
        <x:v>Not Started</x:v>
      </x:c>
      <x:c r="B970" s="35" t="n">
        <x:v>968</x:v>
      </x:c>
      <x:c r="C970" s="35" t="str">
        <x:v>P16</x:v>
      </x:c>
      <x:c r="D970" s="35" t="n">
        <x:v>39</x:v>
      </x:c>
      <x:c r="E970" s="35" t="str">
        <x:v>Primary VLA</x:v>
      </x:c>
      <x:c r="F970" s="35" t="str">
        <x:v>π0.5</x:v>
      </x:c>
      <x:c r="G970" s="35" t="n">
        <x:v>2</x:v>
      </x:c>
      <x:c r="H970" s="35" t="str">
        <x:v>Relational Placement</x:v>
      </x:c>
      <x:c r="I970" s="35" t="str">
        <x:v>Main matched control</x:v>
      </x:c>
      <x:c r="J970" s="35" t="str">
        <x:v>PVLA-RP-CTL-04</x:v>
      </x:c>
      <x:c r="K970" s="35" t="str">
        <x:v>R-CF07</x:v>
      </x:c>
      <x:c r="L970" s="31" t="str">
        <x:v>Place the green pen near the red block.</x:v>
      </x:c>
      <x:c r="M970" s="31" t="str">
        <x:v>Place the green pen near the red block.</x:v>
      </x:c>
      <x:c r="N970" s="31" t="str">
        <x:v>R-CF07-CTRL: red block at back-left [REFERENCE]; green pen starts 18 cm in front of the reference [TARGET START]; pink marker and blue block are distractors outside the commanded goal sector.</x:v>
      </x:c>
      <x:c r="O970" s="31" t="str">
        <x:v>green pen near red block</x:v>
      </x:c>
      <x:c r="P970" s="31" t="str"/>
      <x:c r="Q970" s="31" t="str"/>
      <x:c r="R970" s="31" t="str"/>
      <x:c r="S970" s="31" t="str">
        <x:f>IF('Blind Scoring'!I970="","",'Blind Scoring'!I970)</x:f>
      </x:c>
      <x:c r="T970" s="31" t="str">
        <x:f>'Blind Scoring'!J970</x:f>
        <x:v>No</x:v>
      </x:c>
      <x:c r="U970" s="31" t="str">
        <x:f>IF('Blind Scoring'!L970="","",'Blind Scoring'!L970)</x:f>
      </x:c>
    </x:row>
    <x:row r="971" ht="44" customHeight="1">
      <x:c r="A971" s="35" t="str">
        <x:v>Not Started</x:v>
      </x:c>
      <x:c r="B971" s="35" t="n">
        <x:v>969</x:v>
      </x:c>
      <x:c r="C971" s="35" t="str">
        <x:v>P16</x:v>
      </x:c>
      <x:c r="D971" s="35" t="n">
        <x:v>40</x:v>
      </x:c>
      <x:c r="E971" s="35" t="str">
        <x:v>Primary VLA</x:v>
      </x:c>
      <x:c r="F971" s="35" t="str">
        <x:v>π0.5</x:v>
      </x:c>
      <x:c r="G971" s="35" t="n">
        <x:v>2</x:v>
      </x:c>
      <x:c r="H971" s="35" t="str">
        <x:v>Relational Placement</x:v>
      </x:c>
      <x:c r="I971" s="35" t="str">
        <x:v>Language ablation — counterfactual</x:v>
      </x:c>
      <x:c r="J971" s="35" t="str">
        <x:v>PVLA-RP-ABL-CF-02</x:v>
      </x:c>
      <x:c r="K971" s="35" t="str">
        <x:v>R-CF11</x:v>
      </x:c>
      <x:c r="L971" s="31" t="str">
        <x:v>Place the green pen to the left of the red block.</x:v>
      </x:c>
      <x:c r="M971" s="31" t="str">
        <x:v>Place the green pen to the left of the red block.</x:v>
      </x:c>
      <x:c r="N971" s="31" t="str">
        <x:v>R-CF11-HELD: red block at center [REFERENCE]; green pen starts 21 cm to the left of the reference [TARGET START]; pink marker and blue block are distractors outside the commanded goal sector.</x:v>
      </x:c>
      <x:c r="O971" s="31" t="str">
        <x:v>green pen → to the left of red block</x:v>
      </x:c>
      <x:c r="P971" s="31" t="str"/>
      <x:c r="Q971" s="31" t="str"/>
      <x:c r="R971" s="31" t="str"/>
      <x:c r="S971" s="31" t="str">
        <x:f>IF('Blind Scoring'!I971="","",'Blind Scoring'!I971)</x:f>
      </x:c>
      <x:c r="T971" s="31" t="str">
        <x:f>'Blind Scoring'!J971</x:f>
        <x:v>No</x:v>
      </x:c>
      <x:c r="U971" s="31" t="str">
        <x:f>IF('Blind Scoring'!L971="","",'Blind Scoring'!L971)</x:f>
      </x:c>
    </x:row>
    <x:row r="972" ht="44" customHeight="1">
      <x:c r="A972" s="35" t="str">
        <x:v>Not Started</x:v>
      </x:c>
      <x:c r="B972" s="35" t="n">
        <x:v>970</x:v>
      </x:c>
      <x:c r="C972" s="35" t="str">
        <x:v>P16</x:v>
      </x:c>
      <x:c r="D972" s="35" t="n">
        <x:v>41</x:v>
      </x:c>
      <x:c r="E972" s="35" t="str">
        <x:v>Primary VLA</x:v>
      </x:c>
      <x:c r="F972" s="35" t="str">
        <x:v>π0.5</x:v>
      </x:c>
      <x:c r="G972" s="35" t="n">
        <x:v>2</x:v>
      </x:c>
      <x:c r="H972" s="35" t="str">
        <x:v>Relational Placement</x:v>
      </x:c>
      <x:c r="I972" s="35" t="str">
        <x:v>Main held-out transfer</x:v>
      </x:c>
      <x:c r="J972" s="35" t="str">
        <x:v>PVLA-RP-TR-15</x:v>
      </x:c>
      <x:c r="K972" s="35" t="str">
        <x:v>R-CF28</x:v>
      </x:c>
      <x:c r="L972" s="31" t="str">
        <x:v>Place the red block in front of the green pen.</x:v>
      </x:c>
      <x:c r="M972" s="31" t="str">
        <x:v>Place the red block in front of the green pen.</x:v>
      </x:c>
      <x:c r="N972" s="31" t="str">
        <x:v>R-CF28-HELD: green pen at back-right [REFERENCE]; red block starts 18 cm behind the reference [TARGET START]; blue block and pink marker are distractors outside the commanded goal sector.</x:v>
      </x:c>
      <x:c r="O972" s="31" t="str">
        <x:v>red block → in front of green pen</x:v>
      </x:c>
      <x:c r="P972" s="31" t="str"/>
      <x:c r="Q972" s="31" t="str"/>
      <x:c r="R972" s="31" t="str"/>
      <x:c r="S972" s="31" t="str">
        <x:f>IF('Blind Scoring'!I972="","",'Blind Scoring'!I972)</x:f>
      </x:c>
      <x:c r="T972" s="31" t="str">
        <x:f>'Blind Scoring'!J972</x:f>
        <x:v>No</x:v>
      </x:c>
      <x:c r="U972" s="31" t="str">
        <x:f>IF('Blind Scoring'!L972="","",'Blind Scoring'!L972)</x:f>
      </x:c>
    </x:row>
    <x:row r="973" ht="44" customHeight="1">
      <x:c r="A973" s="35" t="str">
        <x:v>Not Started</x:v>
      </x:c>
      <x:c r="B973" s="35" t="n">
        <x:v>971</x:v>
      </x:c>
      <x:c r="C973" s="35" t="str">
        <x:v>P16</x:v>
      </x:c>
      <x:c r="D973" s="35" t="n">
        <x:v>42</x:v>
      </x:c>
      <x:c r="E973" s="35" t="str">
        <x:v>Primary VLA</x:v>
      </x:c>
      <x:c r="F973" s="35" t="str">
        <x:v>π0.5</x:v>
      </x:c>
      <x:c r="G973" s="35" t="n">
        <x:v>2</x:v>
      </x:c>
      <x:c r="H973" s="35" t="str">
        <x:v>Relational Placement</x:v>
      </x:c>
      <x:c r="I973" s="35" t="str">
        <x:v>Main matched control</x:v>
      </x:c>
      <x:c r="J973" s="35" t="str">
        <x:v>PVLA-RP-CTL-12</x:v>
      </x:c>
      <x:c r="K973" s="35" t="str">
        <x:v>R-CF22</x:v>
      </x:c>
      <x:c r="L973" s="31" t="str">
        <x:v>Place the red block near the green pen.</x:v>
      </x:c>
      <x:c r="M973" s="31" t="str">
        <x:v>Place the red block near the green pen.</x:v>
      </x:c>
      <x:c r="N973" s="31" t="str">
        <x:v>R-CF22-CTRL: green pen at back-left [REFERENCE]; red block starts 18 cm to the left of the reference [TARGET START]; blue block and pink marker are distractors outside the commanded goal sector.</x:v>
      </x:c>
      <x:c r="O973" s="31" t="str">
        <x:v>red block near green pen</x:v>
      </x:c>
      <x:c r="P973" s="31" t="str"/>
      <x:c r="Q973" s="31" t="str"/>
      <x:c r="R973" s="31" t="str"/>
      <x:c r="S973" s="31" t="str">
        <x:f>IF('Blind Scoring'!I973="","",'Blind Scoring'!I973)</x:f>
      </x:c>
      <x:c r="T973" s="31" t="str">
        <x:f>'Blind Scoring'!J973</x:f>
        <x:v>No</x:v>
      </x:c>
      <x:c r="U973" s="31" t="str">
        <x:f>IF('Blind Scoring'!L973="","",'Blind Scoring'!L973)</x:f>
      </x:c>
    </x:row>
    <x:row r="974" ht="44" customHeight="1">
      <x:c r="A974" s="35" t="str">
        <x:v>Not Started</x:v>
      </x:c>
      <x:c r="B974" s="35" t="n">
        <x:v>972</x:v>
      </x:c>
      <x:c r="C974" s="35" t="str">
        <x:v>P16</x:v>
      </x:c>
      <x:c r="D974" s="35" t="n">
        <x:v>43</x:v>
      </x:c>
      <x:c r="E974" s="35" t="str">
        <x:v>Primary VLA</x:v>
      </x:c>
      <x:c r="F974" s="35" t="str">
        <x:v>π0.5</x:v>
      </x:c>
      <x:c r="G974" s="35" t="n">
        <x:v>2</x:v>
      </x:c>
      <x:c r="H974" s="35" t="str">
        <x:v>Relational Placement</x:v>
      </x:c>
      <x:c r="I974" s="35" t="str">
        <x:v>Main matched control</x:v>
      </x:c>
      <x:c r="J974" s="35" t="str">
        <x:v>PVLA-RP-CTL-15</x:v>
      </x:c>
      <x:c r="K974" s="35" t="str">
        <x:v>R-CF28</x:v>
      </x:c>
      <x:c r="L974" s="31" t="str">
        <x:v>Place the red block near the green pen.</x:v>
      </x:c>
      <x:c r="M974" s="31" t="str">
        <x:v>Place the red block near the green pen.</x:v>
      </x:c>
      <x:c r="N974" s="31" t="str">
        <x:v>R-CF28-CTRL: green pen at back-right [REFERENCE]; red block starts 18 cm behind the reference [TARGET START]; blue block and pink marker are distractors outside the commanded goal sector.</x:v>
      </x:c>
      <x:c r="O974" s="31" t="str">
        <x:v>red block near green pen</x:v>
      </x:c>
      <x:c r="P974" s="31" t="str"/>
      <x:c r="Q974" s="31" t="str"/>
      <x:c r="R974" s="31" t="str"/>
      <x:c r="S974" s="31" t="str">
        <x:f>IF('Blind Scoring'!I974="","",'Blind Scoring'!I974)</x:f>
      </x:c>
      <x:c r="T974" s="31" t="str">
        <x:f>'Blind Scoring'!J974</x:f>
        <x:v>No</x:v>
      </x:c>
      <x:c r="U974" s="31" t="str">
        <x:f>IF('Blind Scoring'!L974="","",'Blind Scoring'!L974)</x:f>
      </x:c>
    </x:row>
    <x:row r="975" ht="44" customHeight="1">
      <x:c r="A975" s="35" t="str">
        <x:v>Not Started</x:v>
      </x:c>
      <x:c r="B975" s="35" t="n">
        <x:v>973</x:v>
      </x:c>
      <x:c r="C975" s="35" t="str">
        <x:v>P16</x:v>
      </x:c>
      <x:c r="D975" s="35" t="n">
        <x:v>44</x:v>
      </x:c>
      <x:c r="E975" s="35" t="str">
        <x:v>Primary VLA</x:v>
      </x:c>
      <x:c r="F975" s="35" t="str">
        <x:v>π0.5</x:v>
      </x:c>
      <x:c r="G975" s="35" t="n">
        <x:v>2</x:v>
      </x:c>
      <x:c r="H975" s="35" t="str">
        <x:v>Relational Placement</x:v>
      </x:c>
      <x:c r="I975" s="35" t="str">
        <x:v>Language ablation — blank</x:v>
      </x:c>
      <x:c r="J975" s="35" t="str">
        <x:v>PVLA-RP-ABL-BLK-02</x:v>
      </x:c>
      <x:c r="K975" s="35" t="str">
        <x:v>R-CF03</x:v>
      </x:c>
      <x:c r="L975" s="31" t="str">
        <x:v>[EMPTY STRING — provide no instruction tokens]</x:v>
      </x:c>
      <x:c r="M975" s="31" t="str">
        <x:v>Place the green pen to the right of the red block.</x:v>
      </x:c>
      <x:c r="N975" s="31" t="str">
        <x:v>R-CF03-HELD: red block at back-right [REFERENCE]; green pen starts 24 cm to the left of the reference [TARGET START]; pink marker and blue block are distractors outside the commanded goal sector.</x:v>
      </x:c>
      <x:c r="O975" s="31" t="str">
        <x:v>No prespecified task success under blank language; record any action/selected target.</x:v>
      </x:c>
      <x:c r="P975" s="31" t="str"/>
      <x:c r="Q975" s="31" t="str"/>
      <x:c r="R975" s="31" t="str"/>
      <x:c r="S975" s="31" t="str">
        <x:f>IF('Blind Scoring'!I975="","",'Blind Scoring'!I975)</x:f>
      </x:c>
      <x:c r="T975" s="31" t="str">
        <x:f>'Blind Scoring'!J975</x:f>
        <x:v>No</x:v>
      </x:c>
      <x:c r="U975" s="31" t="str">
        <x:f>IF('Blind Scoring'!L975="","",'Blind Scoring'!L975)</x:f>
      </x:c>
    </x:row>
    <x:row r="976" ht="44" customHeight="1">
      <x:c r="A976" s="35" t="str">
        <x:v>Not Started</x:v>
      </x:c>
      <x:c r="B976" s="35" t="n">
        <x:v>974</x:v>
      </x:c>
      <x:c r="C976" s="35" t="str">
        <x:v>P16</x:v>
      </x:c>
      <x:c r="D976" s="35" t="n">
        <x:v>45</x:v>
      </x:c>
      <x:c r="E976" s="35" t="str">
        <x:v>Primary VLA</x:v>
      </x:c>
      <x:c r="F976" s="35" t="str">
        <x:v>π0.5</x:v>
      </x:c>
      <x:c r="G976" s="35" t="n">
        <x:v>2</x:v>
      </x:c>
      <x:c r="H976" s="35" t="str">
        <x:v>Relational Placement</x:v>
      </x:c>
      <x:c r="I976" s="35" t="str">
        <x:v>Language ablation — counterfactual</x:v>
      </x:c>
      <x:c r="J976" s="35" t="str">
        <x:v>PVLA-RP-ABL-CF-01</x:v>
      </x:c>
      <x:c r="K976" s="35" t="str">
        <x:v>R-CF09</x:v>
      </x:c>
      <x:c r="L976" s="31" t="str">
        <x:v>Place the green pen behind the red block.</x:v>
      </x:c>
      <x:c r="M976" s="31" t="str">
        <x:v>Place the green pen behind the red block.</x:v>
      </x:c>
      <x:c r="N976" s="31" t="str">
        <x:v>R-CF09-HELD: red block at front-left [REFERENCE]; green pen starts 24 cm behind the reference [TARGET START]; pink marker and blue block are distractors outside the commanded goal sector.</x:v>
      </x:c>
      <x:c r="O976" s="31" t="str">
        <x:v>green pen → behind red block</x:v>
      </x:c>
      <x:c r="P976" s="31" t="str"/>
      <x:c r="Q976" s="31" t="str"/>
      <x:c r="R976" s="31" t="str"/>
      <x:c r="S976" s="31" t="str">
        <x:f>IF('Blind Scoring'!I976="","",'Blind Scoring'!I976)</x:f>
      </x:c>
      <x:c r="T976" s="31" t="str">
        <x:f>'Blind Scoring'!J976</x:f>
        <x:v>No</x:v>
      </x:c>
      <x:c r="U976" s="31" t="str">
        <x:f>IF('Blind Scoring'!L976="","",'Blind Scoring'!L976)</x:f>
      </x:c>
    </x:row>
    <x:row r="977" ht="44" customHeight="1">
      <x:c r="A977" s="35" t="str">
        <x:v>Not Started</x:v>
      </x:c>
      <x:c r="B977" s="35" t="n">
        <x:v>975</x:v>
      </x:c>
      <x:c r="C977" s="35" t="str">
        <x:v>P16</x:v>
      </x:c>
      <x:c r="D977" s="35" t="n">
        <x:v>46</x:v>
      </x:c>
      <x:c r="E977" s="35" t="str">
        <x:v>Primary VLA</x:v>
      </x:c>
      <x:c r="F977" s="35" t="str">
        <x:v>π0.5</x:v>
      </x:c>
      <x:c r="G977" s="35" t="n">
        <x:v>2</x:v>
      </x:c>
      <x:c r="H977" s="35" t="str">
        <x:v>Relational Placement</x:v>
      </x:c>
      <x:c r="I977" s="35" t="str">
        <x:v>Main matched control</x:v>
      </x:c>
      <x:c r="J977" s="35" t="str">
        <x:v>PVLA-RP-CTL-05</x:v>
      </x:c>
      <x:c r="K977" s="35" t="str">
        <x:v>R-CF09</x:v>
      </x:c>
      <x:c r="L977" s="31" t="str">
        <x:v>Place the green pen beside the red block.</x:v>
      </x:c>
      <x:c r="M977" s="31" t="str">
        <x:v>Place the green pen beside the red block.</x:v>
      </x:c>
      <x:c r="N977" s="31" t="str">
        <x:v>R-CF09-CTRL: red block at front-left [REFERENCE]; green pen starts 24 cm behind the reference [TARGET START]; pink marker and blue block are distractors outside the commanded goal sector.</x:v>
      </x:c>
      <x:c r="O977" s="31" t="str">
        <x:v>green pen near red block</x:v>
      </x:c>
      <x:c r="P977" s="31" t="str"/>
      <x:c r="Q977" s="31" t="str"/>
      <x:c r="R977" s="31" t="str"/>
      <x:c r="S977" s="31" t="str">
        <x:f>IF('Blind Scoring'!I977="","",'Blind Scoring'!I977)</x:f>
      </x:c>
      <x:c r="T977" s="31" t="str">
        <x:f>'Blind Scoring'!J977</x:f>
        <x:v>No</x:v>
      </x:c>
      <x:c r="U977" s="31" t="str">
        <x:f>IF('Blind Scoring'!L977="","",'Blind Scoring'!L977)</x:f>
      </x:c>
    </x:row>
    <x:row r="978" ht="44" customHeight="1">
      <x:c r="A978" s="35" t="str">
        <x:v>Not Started</x:v>
      </x:c>
      <x:c r="B978" s="35" t="n">
        <x:v>976</x:v>
      </x:c>
      <x:c r="C978" s="35" t="str">
        <x:v>P16</x:v>
      </x:c>
      <x:c r="D978" s="35" t="n">
        <x:v>47</x:v>
      </x:c>
      <x:c r="E978" s="35" t="str">
        <x:v>Primary VLA</x:v>
      </x:c>
      <x:c r="F978" s="35" t="str">
        <x:v>π0.5</x:v>
      </x:c>
      <x:c r="G978" s="35" t="n">
        <x:v>2</x:v>
      </x:c>
      <x:c r="H978" s="35" t="str">
        <x:v>Relational Placement</x:v>
      </x:c>
      <x:c r="I978" s="35" t="str">
        <x:v>Main held-out transfer</x:v>
      </x:c>
      <x:c r="J978" s="35" t="str">
        <x:v>PVLA-RP-TR-03</x:v>
      </x:c>
      <x:c r="K978" s="35" t="str">
        <x:v>R-CF05</x:v>
      </x:c>
      <x:c r="L978" s="31" t="str">
        <x:v>Place the green pen to the left of the red block.</x:v>
      </x:c>
      <x:c r="M978" s="31" t="str">
        <x:v>Place the green pen to the left of the red block.</x:v>
      </x:c>
      <x:c r="N978" s="31" t="str">
        <x:v>R-CF05-HELD: red block at front-right [REFERENCE]; green pen starts 21 cm to the right of the reference [TARGET START]; pink marker and blue block are distractors outside the commanded goal sector.</x:v>
      </x:c>
      <x:c r="O978" s="31" t="str">
        <x:v>green pen → to the left of red block</x:v>
      </x:c>
      <x:c r="P978" s="31" t="str"/>
      <x:c r="Q978" s="31" t="str"/>
      <x:c r="R978" s="31" t="str"/>
      <x:c r="S978" s="31" t="str">
        <x:f>IF('Blind Scoring'!I978="","",'Blind Scoring'!I978)</x:f>
      </x:c>
      <x:c r="T978" s="31" t="str">
        <x:f>'Blind Scoring'!J978</x:f>
        <x:v>No</x:v>
      </x:c>
      <x:c r="U978" s="31" t="str">
        <x:f>IF('Blind Scoring'!L978="","",'Blind Scoring'!L978)</x:f>
      </x:c>
    </x:row>
    <x:row r="979" ht="44" customHeight="1">
      <x:c r="A979" s="35" t="str">
        <x:v>Not Started</x:v>
      </x:c>
      <x:c r="B979" s="35" t="n">
        <x:v>977</x:v>
      </x:c>
      <x:c r="C979" s="35" t="str">
        <x:v>P16</x:v>
      </x:c>
      <x:c r="D979" s="35" t="n">
        <x:v>48</x:v>
      </x:c>
      <x:c r="E979" s="35" t="str">
        <x:v>Primary VLA</x:v>
      </x:c>
      <x:c r="F979" s="35" t="str">
        <x:v>π0.5</x:v>
      </x:c>
      <x:c r="G979" s="35" t="n">
        <x:v>2</x:v>
      </x:c>
      <x:c r="H979" s="35" t="str">
        <x:v>Relational Placement</x:v>
      </x:c>
      <x:c r="I979" s="35" t="str">
        <x:v>Novel layout + seen language</x:v>
      </x:c>
      <x:c r="J979" s="35" t="str">
        <x:v>PVLA-RP-NOV-08</x:v>
      </x:c>
      <x:c r="K979" s="35" t="str"/>
      <x:c r="L979" s="31" t="str">
        <x:v>Place the red block to the right of the blue block.</x:v>
      </x:c>
      <x:c r="M979" s="31" t="str">
        <x:v>Place the red block to the right of the blue block.</x:v>
      </x:c>
      <x:c r="N979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979" s="31" t="str">
        <x:v>red block</x:v>
      </x:c>
      <x:c r="P979" s="31" t="str"/>
      <x:c r="Q979" s="31" t="str"/>
      <x:c r="R979" s="31" t="str"/>
      <x:c r="S979" s="31" t="str">
        <x:f>IF('Blind Scoring'!I979="","",'Blind Scoring'!I979)</x:f>
      </x:c>
      <x:c r="T979" s="31" t="str">
        <x:f>'Blind Scoring'!J979</x:f>
        <x:v>No</x:v>
      </x:c>
      <x:c r="U979" s="31" t="str">
        <x:f>IF('Blind Scoring'!L979="","",'Blind Scoring'!L979)</x:f>
      </x:c>
    </x:row>
    <x:row r="980" ht="44" customHeight="1">
      <x:c r="A980" s="35" t="str">
        <x:v>Not Started</x:v>
      </x:c>
      <x:c r="B980" s="35" t="n">
        <x:v>978</x:v>
      </x:c>
      <x:c r="C980" s="35" t="str">
        <x:v>P16</x:v>
      </x:c>
      <x:c r="D980" s="35" t="n">
        <x:v>49</x:v>
      </x:c>
      <x:c r="E980" s="35" t="str">
        <x:v>Primary VLA</x:v>
      </x:c>
      <x:c r="F980" s="35" t="str">
        <x:v>π0.5</x:v>
      </x:c>
      <x:c r="G980" s="35" t="n">
        <x:v>2</x:v>
      </x:c>
      <x:c r="H980" s="35" t="str">
        <x:v>Relational Placement</x:v>
      </x:c>
      <x:c r="I980" s="35" t="str">
        <x:v>Main matched control</x:v>
      </x:c>
      <x:c r="J980" s="35" t="str">
        <x:v>PVLA-RP-CTL-11</x:v>
      </x:c>
      <x:c r="K980" s="35" t="str">
        <x:v>R-CF20</x:v>
      </x:c>
      <x:c r="L980" s="31" t="str">
        <x:v>Place the red block next to the green pen.</x:v>
      </x:c>
      <x:c r="M980" s="31" t="str">
        <x:v>Place the red block next to the green pen.</x:v>
      </x:c>
      <x:c r="N980" s="31" t="str">
        <x:v>R-CF20-CTRL: green pen at front-right [REFERENCE]; red block starts 21 cm behind the reference [TARGET START]; blue block and pink marker are distractors outside the commanded goal sector.</x:v>
      </x:c>
      <x:c r="O980" s="31" t="str">
        <x:v>red block near green pen</x:v>
      </x:c>
      <x:c r="P980" s="31" t="str"/>
      <x:c r="Q980" s="31" t="str"/>
      <x:c r="R980" s="31" t="str"/>
      <x:c r="S980" s="31" t="str">
        <x:f>IF('Blind Scoring'!I980="","",'Blind Scoring'!I980)</x:f>
      </x:c>
      <x:c r="T980" s="31" t="str">
        <x:f>'Blind Scoring'!J980</x:f>
        <x:v>No</x:v>
      </x:c>
      <x:c r="U980" s="31" t="str">
        <x:f>IF('Blind Scoring'!L980="","",'Blind Scoring'!L980)</x:f>
      </x:c>
    </x:row>
    <x:row r="981" ht="44" customHeight="1">
      <x:c r="A981" s="35" t="str">
        <x:v>Not Started</x:v>
      </x:c>
      <x:c r="B981" s="35" t="n">
        <x:v>979</x:v>
      </x:c>
      <x:c r="C981" s="35" t="str">
        <x:v>P16</x:v>
      </x:c>
      <x:c r="D981" s="35" t="n">
        <x:v>50</x:v>
      </x:c>
      <x:c r="E981" s="35" t="str">
        <x:v>Primary VLA</x:v>
      </x:c>
      <x:c r="F981" s="35" t="str">
        <x:v>π0.5</x:v>
      </x:c>
      <x:c r="G981" s="35" t="n">
        <x:v>2</x:v>
      </x:c>
      <x:c r="H981" s="35" t="str">
        <x:v>Relational Placement</x:v>
      </x:c>
      <x:c r="I981" s="35" t="str">
        <x:v>Language ablation — blank</x:v>
      </x:c>
      <x:c r="J981" s="35" t="str">
        <x:v>PVLA-RP-ABL-BLK-04</x:v>
      </x:c>
      <x:c r="K981" s="35" t="str">
        <x:v>R-CF07</x:v>
      </x:c>
      <x:c r="L981" s="31" t="str">
        <x:v>[EMPTY STRING — provide no instruction tokens]</x:v>
      </x:c>
      <x:c r="M981" s="31" t="str">
        <x:v>Place the green pen behind the red block.</x:v>
      </x:c>
      <x:c r="N981" s="31" t="str">
        <x:v>R-CF07-HELD: red block at back-left [REFERENCE]; green pen starts 18 cm in front of the reference [TARGET START]; pink marker and blue block are distractors outside the commanded goal sector.</x:v>
      </x:c>
      <x:c r="O981" s="31" t="str">
        <x:v>No prespecified task success under blank language; record any action/selected target.</x:v>
      </x:c>
      <x:c r="P981" s="31" t="str"/>
      <x:c r="Q981" s="31" t="str"/>
      <x:c r="R981" s="31" t="str"/>
      <x:c r="S981" s="31" t="str">
        <x:f>IF('Blind Scoring'!I981="","",'Blind Scoring'!I981)</x:f>
      </x:c>
      <x:c r="T981" s="31" t="str">
        <x:f>'Blind Scoring'!J981</x:f>
        <x:v>No</x:v>
      </x:c>
      <x:c r="U981" s="31" t="str">
        <x:f>IF('Blind Scoring'!L981="","",'Blind Scoring'!L981)</x:f>
      </x:c>
    </x:row>
    <x:row r="982" ht="44" customHeight="1">
      <x:c r="A982" s="35" t="str">
        <x:v>Not Started</x:v>
      </x:c>
      <x:c r="B982" s="35" t="n">
        <x:v>980</x:v>
      </x:c>
      <x:c r="C982" s="35" t="str">
        <x:v>P16</x:v>
      </x:c>
      <x:c r="D982" s="35" t="n">
        <x:v>51</x:v>
      </x:c>
      <x:c r="E982" s="35" t="str">
        <x:v>Primary VLA</x:v>
      </x:c>
      <x:c r="F982" s="35" t="str">
        <x:v>π0.5</x:v>
      </x:c>
      <x:c r="G982" s="35" t="n">
        <x:v>2</x:v>
      </x:c>
      <x:c r="H982" s="35" t="str">
        <x:v>Relational Placement</x:v>
      </x:c>
      <x:c r="I982" s="35" t="str">
        <x:v>Training reconstruction</x:v>
      </x:c>
      <x:c r="J982" s="35" t="str">
        <x:v>PVLA-RP-REC-06</x:v>
      </x:c>
      <x:c r="K982" s="35" t="str"/>
      <x:c r="L982" s="31" t="str">
        <x:v>Place the green pen to the right of the pink marker.</x:v>
      </x:c>
      <x:c r="M982" s="31" t="str">
        <x:v>Place the green pen to the right of the pink marker.</x:v>
      </x:c>
      <x:c r="N982" s="31" t="str">
        <x:v>Reconstruct planned final training episode 243: green pen, pink marker, red block; start=Home. Match camera, calibration, bowl pose, and object geometry exactly.</x:v>
      </x:c>
      <x:c r="O982" s="31" t="str">
        <x:v>green pen</x:v>
      </x:c>
      <x:c r="P982" s="31" t="str"/>
      <x:c r="Q982" s="31" t="str"/>
      <x:c r="R982" s="31" t="str"/>
      <x:c r="S982" s="31" t="str">
        <x:f>IF('Blind Scoring'!I982="","",'Blind Scoring'!I982)</x:f>
      </x:c>
      <x:c r="T982" s="31" t="str">
        <x:f>'Blind Scoring'!J982</x:f>
        <x:v>No</x:v>
      </x:c>
      <x:c r="U982" s="31" t="str">
        <x:f>IF('Blind Scoring'!L982="","",'Blind Scoring'!L982)</x:f>
      </x:c>
    </x:row>
    <x:row r="983" ht="44" customHeight="1">
      <x:c r="A983" s="35" t="str">
        <x:v>Not Started</x:v>
      </x:c>
      <x:c r="B983" s="35" t="n">
        <x:v>981</x:v>
      </x:c>
      <x:c r="C983" s="35" t="str">
        <x:v>P16</x:v>
      </x:c>
      <x:c r="D983" s="35" t="n">
        <x:v>52</x:v>
      </x:c>
      <x:c r="E983" s="35" t="str">
        <x:v>Primary VLA</x:v>
      </x:c>
      <x:c r="F983" s="35" t="str">
        <x:v>π0.5</x:v>
      </x:c>
      <x:c r="G983" s="35" t="n">
        <x:v>2</x:v>
      </x:c>
      <x:c r="H983" s="35" t="str">
        <x:v>Relational Placement</x:v>
      </x:c>
      <x:c r="I983" s="35" t="str">
        <x:v>Novel layout + seen language</x:v>
      </x:c>
      <x:c r="J983" s="35" t="str">
        <x:v>PVLA-RP-NOV-06</x:v>
      </x:c>
      <x:c r="K983" s="35" t="str"/>
      <x:c r="L983" s="31" t="str">
        <x:v>Place the red block to the left of the blue block.</x:v>
      </x:c>
      <x:c r="M983" s="31" t="str">
        <x:v>Place the red block to the left of the blue block.</x:v>
      </x:c>
      <x:c r="N983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983" s="31" t="str">
        <x:v>red block</x:v>
      </x:c>
      <x:c r="P983" s="31" t="str"/>
      <x:c r="Q983" s="31" t="str"/>
      <x:c r="R983" s="31" t="str"/>
      <x:c r="S983" s="31" t="str">
        <x:f>IF('Blind Scoring'!I983="","",'Blind Scoring'!I983)</x:f>
      </x:c>
      <x:c r="T983" s="31" t="str">
        <x:f>'Blind Scoring'!J983</x:f>
        <x:v>No</x:v>
      </x:c>
      <x:c r="U983" s="31" t="str">
        <x:f>IF('Blind Scoring'!L983="","",'Blind Scoring'!L983)</x:f>
      </x:c>
    </x:row>
    <x:row r="984" ht="44" customHeight="1">
      <x:c r="A984" s="35" t="str">
        <x:v>Not Started</x:v>
      </x:c>
      <x:c r="B984" s="35" t="n">
        <x:v>982</x:v>
      </x:c>
      <x:c r="C984" s="35" t="str">
        <x:v>P16</x:v>
      </x:c>
      <x:c r="D984" s="35" t="n">
        <x:v>53</x:v>
      </x:c>
      <x:c r="E984" s="35" t="str">
        <x:v>Primary VLA</x:v>
      </x:c>
      <x:c r="F984" s="35" t="str">
        <x:v>π0.5</x:v>
      </x:c>
      <x:c r="G984" s="35" t="n">
        <x:v>2</x:v>
      </x:c>
      <x:c r="H984" s="35" t="str">
        <x:v>Relational Placement</x:v>
      </x:c>
      <x:c r="I984" s="35" t="str">
        <x:v>Exact-scene paraphrase</x:v>
      </x:c>
      <x:c r="J984" s="35" t="str">
        <x:v>PVLA-RP-PAR-06</x:v>
      </x:c>
      <x:c r="K984" s="35" t="str"/>
      <x:c r="L984" s="31" t="str">
        <x:v>Move the red block to the side of the pink marker facing the robot.</x:v>
      </x:c>
      <x:c r="M984" s="31" t="str">
        <x:v>Move the red block to the side of the pink marker facing the robot.</x:v>
      </x:c>
      <x:c r="N984" s="31" t="str">
        <x:v>R-P01: pink marker at center [REFERENCE]; red block starts 21 cm behind the reference [TARGET START]; remaining objects are distractors with ≥12 cm clearance from the target path and commanded goal sector.</x:v>
      </x:c>
      <x:c r="O984" s="31" t="str">
        <x:v>red block</x:v>
      </x:c>
      <x:c r="P984" s="31" t="str"/>
      <x:c r="Q984" s="31" t="str"/>
      <x:c r="R984" s="31" t="str"/>
      <x:c r="S984" s="31" t="str">
        <x:f>IF('Blind Scoring'!I984="","",'Blind Scoring'!I984)</x:f>
      </x:c>
      <x:c r="T984" s="31" t="str">
        <x:f>'Blind Scoring'!J984</x:f>
        <x:v>No</x:v>
      </x:c>
      <x:c r="U984" s="31" t="str">
        <x:f>IF('Blind Scoring'!L984="","",'Blind Scoring'!L984)</x:f>
      </x:c>
    </x:row>
    <x:row r="985" ht="44" customHeight="1">
      <x:c r="A985" s="35" t="str">
        <x:v>Not Started</x:v>
      </x:c>
      <x:c r="B985" s="35" t="n">
        <x:v>983</x:v>
      </x:c>
      <x:c r="C985" s="35" t="str">
        <x:v>P16</x:v>
      </x:c>
      <x:c r="D985" s="35" t="n">
        <x:v>54</x:v>
      </x:c>
      <x:c r="E985" s="35" t="str">
        <x:v>Primary VLA</x:v>
      </x:c>
      <x:c r="F985" s="35" t="str">
        <x:v>π0.5</x:v>
      </x:c>
      <x:c r="G985" s="35" t="n">
        <x:v>2</x:v>
      </x:c>
      <x:c r="H985" s="35" t="str">
        <x:v>Relational Placement</x:v>
      </x:c>
      <x:c r="I985" s="35" t="str">
        <x:v>Main matched control</x:v>
      </x:c>
      <x:c r="J985" s="35" t="str">
        <x:v>PVLA-RP-CTL-09</x:v>
      </x:c>
      <x:c r="K985" s="35" t="str">
        <x:v>R-CF16</x:v>
      </x:c>
      <x:c r="L985" s="31" t="str">
        <x:v>Place the red block near the green pen.</x:v>
      </x:c>
      <x:c r="M985" s="31" t="str">
        <x:v>Place the red block near the green pen.</x:v>
      </x:c>
      <x:c r="N985" s="31" t="str">
        <x:v>R-CF16-CTRL: green pen at center [REFERENCE]; red block starts 18 cm to the right of the reference [TARGET START]; blue block and pink marker are distractors outside the commanded goal sector.</x:v>
      </x:c>
      <x:c r="O985" s="31" t="str">
        <x:v>red block near green pen</x:v>
      </x:c>
      <x:c r="P985" s="31" t="str"/>
      <x:c r="Q985" s="31" t="str"/>
      <x:c r="R985" s="31" t="str"/>
      <x:c r="S985" s="31" t="str">
        <x:f>IF('Blind Scoring'!I985="","",'Blind Scoring'!I985)</x:f>
      </x:c>
      <x:c r="T985" s="31" t="str">
        <x:f>'Blind Scoring'!J985</x:f>
        <x:v>No</x:v>
      </x:c>
      <x:c r="U985" s="31" t="str">
        <x:f>IF('Blind Scoring'!L985="","",'Blind Scoring'!L985)</x:f>
      </x:c>
    </x:row>
    <x:row r="986" ht="44" customHeight="1">
      <x:c r="A986" s="35" t="str">
        <x:v>Not Started</x:v>
      </x:c>
      <x:c r="B986" s="35" t="n">
        <x:v>984</x:v>
      </x:c>
      <x:c r="C986" s="35" t="str">
        <x:v>P16</x:v>
      </x:c>
      <x:c r="D986" s="35" t="n">
        <x:v>55</x:v>
      </x:c>
      <x:c r="E986" s="35" t="str">
        <x:v>Primary VLA</x:v>
      </x:c>
      <x:c r="F986" s="35" t="str">
        <x:v>π0.5</x:v>
      </x:c>
      <x:c r="G986" s="35" t="n">
        <x:v>2</x:v>
      </x:c>
      <x:c r="H986" s="35" t="str">
        <x:v>Relational Placement</x:v>
      </x:c>
      <x:c r="I986" s="35" t="str">
        <x:v>Main held-out transfer</x:v>
      </x:c>
      <x:c r="J986" s="35" t="str">
        <x:v>PVLA-RP-TR-13</x:v>
      </x:c>
      <x:c r="K986" s="35" t="str">
        <x:v>R-CF24</x:v>
      </x:c>
      <x:c r="L986" s="31" t="str">
        <x:v>Place the red block to the left of the green pen.</x:v>
      </x:c>
      <x:c r="M986" s="31" t="str">
        <x:v>Place the red block to the left of the green pen.</x:v>
      </x:c>
      <x:c r="N986" s="31" t="str">
        <x:v>R-CF24-HELD: green pen at front-left [REFERENCE]; red block starts 24 cm to the right of the reference [TARGET START]; blue block and pink marker are distractors outside the commanded goal sector.</x:v>
      </x:c>
      <x:c r="O986" s="31" t="str">
        <x:v>red block → to the left of green pen</x:v>
      </x:c>
      <x:c r="P986" s="31" t="str"/>
      <x:c r="Q986" s="31" t="str"/>
      <x:c r="R986" s="31" t="str"/>
      <x:c r="S986" s="31" t="str">
        <x:f>IF('Blind Scoring'!I986="","",'Blind Scoring'!I986)</x:f>
      </x:c>
      <x:c r="T986" s="31" t="str">
        <x:f>'Blind Scoring'!J986</x:f>
        <x:v>No</x:v>
      </x:c>
      <x:c r="U986" s="31" t="str">
        <x:f>IF('Blind Scoring'!L986="","",'Blind Scoring'!L986)</x:f>
      </x:c>
    </x:row>
    <x:row r="987" ht="44" customHeight="1">
      <x:c r="A987" s="35" t="str">
        <x:v>Not Started</x:v>
      </x:c>
      <x:c r="B987" s="35" t="n">
        <x:v>985</x:v>
      </x:c>
      <x:c r="C987" s="35" t="str">
        <x:v>P16</x:v>
      </x:c>
      <x:c r="D987" s="35" t="n">
        <x:v>56</x:v>
      </x:c>
      <x:c r="E987" s="35" t="str">
        <x:v>Primary VLA</x:v>
      </x:c>
      <x:c r="F987" s="35" t="str">
        <x:v>π0.5</x:v>
      </x:c>
      <x:c r="G987" s="35" t="n">
        <x:v>2</x:v>
      </x:c>
      <x:c r="H987" s="35" t="str">
        <x:v>Relational Placement</x:v>
      </x:c>
      <x:c r="I987" s="35" t="str">
        <x:v>Training reconstruction</x:v>
      </x:c>
      <x:c r="J987" s="35" t="str">
        <x:v>PVLA-RP-REC-05</x:v>
      </x:c>
      <x:c r="K987" s="35" t="str"/>
      <x:c r="L987" s="31" t="str">
        <x:v>Place the green pen to the left of the pink marker.</x:v>
      </x:c>
      <x:c r="M987" s="31" t="str">
        <x:v>Place the green pen to the left of the pink marker.</x:v>
      </x:c>
      <x:c r="N987" s="31" t="str">
        <x:v>Reconstruct planned final training episode 230: green pen, pink marker, red block; start=Home. Match camera, calibration, bowl pose, and object geometry exactly.</x:v>
      </x:c>
      <x:c r="O987" s="31" t="str">
        <x:v>green pen</x:v>
      </x:c>
      <x:c r="P987" s="31" t="str"/>
      <x:c r="Q987" s="31" t="str"/>
      <x:c r="R987" s="31" t="str"/>
      <x:c r="S987" s="31" t="str">
        <x:f>IF('Blind Scoring'!I987="","",'Blind Scoring'!I987)</x:f>
      </x:c>
      <x:c r="T987" s="31" t="str">
        <x:f>'Blind Scoring'!J987</x:f>
        <x:v>No</x:v>
      </x:c>
      <x:c r="U987" s="31" t="str">
        <x:f>IF('Blind Scoring'!L987="","",'Blind Scoring'!L987)</x:f>
      </x:c>
    </x:row>
    <x:row r="988" ht="44" customHeight="1">
      <x:c r="A988" s="35" t="str">
        <x:v>Not Started</x:v>
      </x:c>
      <x:c r="B988" s="35" t="n">
        <x:v>986</x:v>
      </x:c>
      <x:c r="C988" s="35" t="str">
        <x:v>P16</x:v>
      </x:c>
      <x:c r="D988" s="35" t="n">
        <x:v>57</x:v>
      </x:c>
      <x:c r="E988" s="35" t="str">
        <x:v>Primary VLA</x:v>
      </x:c>
      <x:c r="F988" s="35" t="str">
        <x:v>π0.5</x:v>
      </x:c>
      <x:c r="G988" s="35" t="n">
        <x:v>2</x:v>
      </x:c>
      <x:c r="H988" s="35" t="str">
        <x:v>Relational Placement</x:v>
      </x:c>
      <x:c r="I988" s="35" t="str">
        <x:v>Main held-out transfer</x:v>
      </x:c>
      <x:c r="J988" s="35" t="str">
        <x:v>PVLA-RP-TR-11</x:v>
      </x:c>
      <x:c r="K988" s="35" t="str">
        <x:v>R-CF20</x:v>
      </x:c>
      <x:c r="L988" s="31" t="str">
        <x:v>Place the red block in front of the green pen.</x:v>
      </x:c>
      <x:c r="M988" s="31" t="str">
        <x:v>Place the red block in front of the green pen.</x:v>
      </x:c>
      <x:c r="N988" s="31" t="str">
        <x:v>R-CF20-HELD: green pen at front-right [REFERENCE]; red block starts 21 cm behind the reference [TARGET START]; blue block and pink marker are distractors outside the commanded goal sector.</x:v>
      </x:c>
      <x:c r="O988" s="31" t="str">
        <x:v>red block → in front of green pen</x:v>
      </x:c>
      <x:c r="P988" s="31" t="str"/>
      <x:c r="Q988" s="31" t="str"/>
      <x:c r="R988" s="31" t="str"/>
      <x:c r="S988" s="31" t="str">
        <x:f>IF('Blind Scoring'!I988="","",'Blind Scoring'!I988)</x:f>
      </x:c>
      <x:c r="T988" s="31" t="str">
        <x:f>'Blind Scoring'!J988</x:f>
        <x:v>No</x:v>
      </x:c>
      <x:c r="U988" s="31" t="str">
        <x:f>IF('Blind Scoring'!L988="","",'Blind Scoring'!L988)</x:f>
      </x:c>
    </x:row>
    <x:row r="989" ht="44" customHeight="1">
      <x:c r="A989" s="35" t="str">
        <x:v>Not Started</x:v>
      </x:c>
      <x:c r="B989" s="35" t="n">
        <x:v>987</x:v>
      </x:c>
      <x:c r="C989" s="35" t="str">
        <x:v>P16</x:v>
      </x:c>
      <x:c r="D989" s="35" t="n">
        <x:v>58</x:v>
      </x:c>
      <x:c r="E989" s="35" t="str">
        <x:v>Primary VLA</x:v>
      </x:c>
      <x:c r="F989" s="35" t="str">
        <x:v>π0.5</x:v>
      </x:c>
      <x:c r="G989" s="35" t="n">
        <x:v>2</x:v>
      </x:c>
      <x:c r="H989" s="35" t="str">
        <x:v>Relational Placement</x:v>
      </x:c>
      <x:c r="I989" s="35" t="str">
        <x:v>Language ablation — counterfactual</x:v>
      </x:c>
      <x:c r="J989" s="35" t="str">
        <x:v>PVLA-RP-ABL-CF-04</x:v>
      </x:c>
      <x:c r="K989" s="35" t="str">
        <x:v>R-CF15</x:v>
      </x:c>
      <x:c r="L989" s="31" t="str">
        <x:v>Place the green pen in front of the red block.</x:v>
      </x:c>
      <x:c r="M989" s="31" t="str">
        <x:v>Place the green pen in front of the red block.</x:v>
      </x:c>
      <x:c r="N989" s="31" t="str">
        <x:v>R-CF15-HELD: red block at front-right [REFERENCE]; green pen starts 24 cm in front of the reference [TARGET START]; pink marker and blue block are distractors outside the commanded goal sector.</x:v>
      </x:c>
      <x:c r="O989" s="31" t="str">
        <x:v>green pen → in front of red block</x:v>
      </x:c>
      <x:c r="P989" s="31" t="str"/>
      <x:c r="Q989" s="31" t="str"/>
      <x:c r="R989" s="31" t="str"/>
      <x:c r="S989" s="31" t="str">
        <x:f>IF('Blind Scoring'!I989="","",'Blind Scoring'!I989)</x:f>
      </x:c>
      <x:c r="T989" s="31" t="str">
        <x:f>'Blind Scoring'!J989</x:f>
        <x:v>No</x:v>
      </x:c>
      <x:c r="U989" s="31" t="str">
        <x:f>IF('Blind Scoring'!L989="","",'Blind Scoring'!L989)</x:f>
      </x:c>
    </x:row>
    <x:row r="990" ht="44" customHeight="1">
      <x:c r="A990" s="35" t="str">
        <x:v>Not Started</x:v>
      </x:c>
      <x:c r="B990" s="35" t="n">
        <x:v>988</x:v>
      </x:c>
      <x:c r="C990" s="35" t="str">
        <x:v>P16</x:v>
      </x:c>
      <x:c r="D990" s="35" t="n">
        <x:v>59</x:v>
      </x:c>
      <x:c r="E990" s="35" t="str">
        <x:v>Primary VLA</x:v>
      </x:c>
      <x:c r="F990" s="35" t="str">
        <x:v>π0.5</x:v>
      </x:c>
      <x:c r="G990" s="35" t="n">
        <x:v>2</x:v>
      </x:c>
      <x:c r="H990" s="35" t="str">
        <x:v>Relational Placement</x:v>
      </x:c>
      <x:c r="I990" s="35" t="str">
        <x:v>Novel layout + seen language</x:v>
      </x:c>
      <x:c r="J990" s="35" t="str">
        <x:v>PVLA-RP-NOV-01</x:v>
      </x:c>
      <x:c r="K990" s="35" t="str"/>
      <x:c r="L990" s="31" t="str">
        <x:v>Place the blue block in front of the green pen.</x:v>
      </x:c>
      <x:c r="M990" s="31" t="str">
        <x:v>Place the blue block in front of the green pen.</x:v>
      </x:c>
      <x:c r="N990" s="31" t="str">
        <x:v>R-S01: green pen at center [REFERENCE]; blue block starts 24 cm behind the reference [TARGET START]; remaining objects are distractors with ≥12 cm clearance from the target path and commanded goal sector.</x:v>
      </x:c>
      <x:c r="O990" s="31" t="str">
        <x:v>blue block</x:v>
      </x:c>
      <x:c r="P990" s="31" t="str"/>
      <x:c r="Q990" s="31" t="str"/>
      <x:c r="R990" s="31" t="str"/>
      <x:c r="S990" s="31" t="str">
        <x:f>IF('Blind Scoring'!I990="","",'Blind Scoring'!I990)</x:f>
      </x:c>
      <x:c r="T990" s="31" t="str">
        <x:f>'Blind Scoring'!J990</x:f>
        <x:v>No</x:v>
      </x:c>
      <x:c r="U990" s="31" t="str">
        <x:f>IF('Blind Scoring'!L990="","",'Blind Scoring'!L990)</x:f>
      </x:c>
    </x:row>
    <x:row r="991" ht="44" customHeight="1">
      <x:c r="A991" s="35" t="str">
        <x:v>Not Started</x:v>
      </x:c>
      <x:c r="B991" s="35" t="n">
        <x:v>989</x:v>
      </x:c>
      <x:c r="C991" s="35" t="str">
        <x:v>P16</x:v>
      </x:c>
      <x:c r="D991" s="35" t="n">
        <x:v>60</x:v>
      </x:c>
      <x:c r="E991" s="35" t="str">
        <x:v>Primary VLA</x:v>
      </x:c>
      <x:c r="F991" s="35" t="str">
        <x:v>π0.5</x:v>
      </x:c>
      <x:c r="G991" s="35" t="n">
        <x:v>2</x:v>
      </x:c>
      <x:c r="H991" s="35" t="str">
        <x:v>Relational Placement</x:v>
      </x:c>
      <x:c r="I991" s="35" t="str">
        <x:v>Novel layout + seen language</x:v>
      </x:c>
      <x:c r="J991" s="35" t="str">
        <x:v>PVLA-RP-NOV-04</x:v>
      </x:c>
      <x:c r="K991" s="35" t="str"/>
      <x:c r="L991" s="31" t="str">
        <x:v>Place the green pen in front of the pink marker.</x:v>
      </x:c>
      <x:c r="M991" s="31" t="str">
        <x:v>Place the green pen in front of the pink marker.</x:v>
      </x:c>
      <x:c r="N991" s="31" t="str">
        <x:v>R-S09: pink marker at center [REFERENCE]; green pen starts 21 cm behind the reference [TARGET START]; remaining objects are distractors with ≥12 cm clearance from the target path and commanded goal sector.</x:v>
      </x:c>
      <x:c r="O991" s="31" t="str">
        <x:v>green pen</x:v>
      </x:c>
      <x:c r="P991" s="31" t="str"/>
      <x:c r="Q991" s="31" t="str"/>
      <x:c r="R991" s="31" t="str"/>
      <x:c r="S991" s="31" t="str">
        <x:f>IF('Blind Scoring'!I991="","",'Blind Scoring'!I991)</x:f>
      </x:c>
      <x:c r="T991" s="31" t="str">
        <x:f>'Blind Scoring'!J991</x:f>
        <x:v>No</x:v>
      </x:c>
      <x:c r="U991" s="31" t="str">
        <x:f>IF('Blind Scoring'!L991="","",'Blind Scoring'!L991)</x:f>
      </x:c>
    </x:row>
    <x:row r="992" ht="44" customHeight="1">
      <x:c r="A992" s="35" t="str">
        <x:v>Not Started</x:v>
      </x:c>
      <x:c r="B992" s="35" t="n">
        <x:v>990</x:v>
      </x:c>
      <x:c r="C992" s="35" t="str">
        <x:v>P16</x:v>
      </x:c>
      <x:c r="D992" s="35" t="n">
        <x:v>61</x:v>
      </x:c>
      <x:c r="E992" s="35" t="str">
        <x:v>Primary VLA</x:v>
      </x:c>
      <x:c r="F992" s="35" t="str">
        <x:v>π0.5</x:v>
      </x:c>
      <x:c r="G992" s="35" t="n">
        <x:v>2</x:v>
      </x:c>
      <x:c r="H992" s="35" t="str">
        <x:v>Relational Placement</x:v>
      </x:c>
      <x:c r="I992" s="35" t="str">
        <x:v>Training reconstruction</x:v>
      </x:c>
      <x:c r="J992" s="35" t="str">
        <x:v>PVLA-RP-REC-04</x:v>
      </x:c>
      <x:c r="K992" s="35" t="str"/>
      <x:c r="L992" s="31" t="str">
        <x:v>Place the green pen behind the pink marker.</x:v>
      </x:c>
      <x:c r="M992" s="31" t="str">
        <x:v>Place the green pen behind the pink marker.</x:v>
      </x:c>
      <x:c r="N992" s="31" t="str">
        <x:v>Reconstruct planned final training episode 219: green pen, red block, pink marker, blue block; start=Home. Match camera, calibration, bowl pose, and object geometry exactly.</x:v>
      </x:c>
      <x:c r="O992" s="31" t="str">
        <x:v>green pen</x:v>
      </x:c>
      <x:c r="P992" s="31" t="str"/>
      <x:c r="Q992" s="31" t="str"/>
      <x:c r="R992" s="31" t="str"/>
      <x:c r="S992" s="31" t="str">
        <x:f>IF('Blind Scoring'!I992="","",'Blind Scoring'!I992)</x:f>
      </x:c>
      <x:c r="T992" s="31" t="str">
        <x:f>'Blind Scoring'!J992</x:f>
        <x:v>No</x:v>
      </x:c>
      <x:c r="U992" s="31" t="str">
        <x:f>IF('Blind Scoring'!L992="","",'Blind Scoring'!L992)</x:f>
      </x:c>
    </x:row>
    <x:row r="993" ht="44" customHeight="1">
      <x:c r="A993" s="35" t="str">
        <x:v>Not Started</x:v>
      </x:c>
      <x:c r="B993" s="35" t="n">
        <x:v>991</x:v>
      </x:c>
      <x:c r="C993" s="35" t="str">
        <x:v>P16</x:v>
      </x:c>
      <x:c r="D993" s="35" t="n">
        <x:v>62</x:v>
      </x:c>
      <x:c r="E993" s="35" t="str">
        <x:v>Primary VLA</x:v>
      </x:c>
      <x:c r="F993" s="35" t="str">
        <x:v>π0.5</x:v>
      </x:c>
      <x:c r="G993" s="35" t="n">
        <x:v>2</x:v>
      </x:c>
      <x:c r="H993" s="35" t="str">
        <x:v>Relational Placement</x:v>
      </x:c>
      <x:c r="I993" s="35" t="str">
        <x:v>Exact-scene paraphrase</x:v>
      </x:c>
      <x:c r="J993" s="35" t="str">
        <x:v>PVLA-RP-PAR-02</x:v>
      </x:c>
      <x:c r="K993" s="35" t="str"/>
      <x:c r="L993" s="31" t="str">
        <x:v>Move the red block to the side of the pink marker facing the robot.</x:v>
      </x:c>
      <x:c r="M993" s="31" t="str">
        <x:v>Move the red block to the side of the pink marker facing the robot.</x:v>
      </x:c>
      <x:c r="N993" s="31" t="str">
        <x:v>R-P01: pink marker at center [REFERENCE]; red block starts 21 cm behind the reference [TARGET START]; remaining objects are distractors with ≥12 cm clearance from the target path and commanded goal sector.</x:v>
      </x:c>
      <x:c r="O993" s="31" t="str">
        <x:v>red block</x:v>
      </x:c>
      <x:c r="P993" s="31" t="str"/>
      <x:c r="Q993" s="31" t="str"/>
      <x:c r="R993" s="31" t="str"/>
      <x:c r="S993" s="31" t="str">
        <x:f>IF('Blind Scoring'!I993="","",'Blind Scoring'!I993)</x:f>
      </x:c>
      <x:c r="T993" s="31" t="str">
        <x:f>'Blind Scoring'!J993</x:f>
        <x:v>No</x:v>
      </x:c>
      <x:c r="U993" s="31" t="str">
        <x:f>IF('Blind Scoring'!L993="","",'Blind Scoring'!L993)</x:f>
      </x:c>
    </x:row>
    <x:row r="994" ht="44" customHeight="1">
      <x:c r="A994" s="35" t="str">
        <x:v>Not Started</x:v>
      </x:c>
      <x:c r="B994" s="35" t="n">
        <x:v>992</x:v>
      </x:c>
      <x:c r="C994" s="35" t="str">
        <x:v>P17</x:v>
      </x:c>
      <x:c r="D994" s="35" t="n">
        <x:v>1</x:v>
      </x:c>
      <x:c r="E994" s="35" t="str">
        <x:v>Primary VLA</x:v>
      </x:c>
      <x:c r="F994" s="35" t="str">
        <x:v>π0.5</x:v>
      </x:c>
      <x:c r="G994" s="35" t="n">
        <x:v>2</x:v>
      </x:c>
      <x:c r="H994" s="35" t="str">
        <x:v>Counting</x:v>
      </x:c>
      <x:c r="I994" s="35" t="str">
        <x:v>Novel layout + seen language</x:v>
      </x:c>
      <x:c r="J994" s="35" t="str">
        <x:v>PVLA-CT-NOV-06</x:v>
      </x:c>
      <x:c r="K994" s="35" t="str"/>
      <x:c r="L994" s="31" t="str">
        <x:v>Adjust the bowl so that it contains zero objects.</x:v>
      </x:c>
      <x:c r="M994" s="31" t="str">
        <x:v>Adjust the bowl so that it contains zero objects.</x:v>
      </x:c>
      <x:c r="N994" s="31" t="str">
        <x:v>C-N15: bowl=[blue pen] (1); table left→right=[yellow block, green pencil sharpener, airplane toy without propellers]; robot home.</x:v>
      </x:c>
      <x:c r="O994" s="31" t="str"/>
      <x:c r="P994" s="31" t="str"/>
      <x:c r="Q994" s="31" t="str"/>
      <x:c r="R994" s="31" t="str"/>
      <x:c r="S994" s="31" t="str">
        <x:f>IF('Blind Scoring'!I994="","",'Blind Scoring'!I994)</x:f>
      </x:c>
      <x:c r="T994" s="31" t="str">
        <x:f>'Blind Scoring'!J994</x:f>
        <x:v>No</x:v>
      </x:c>
      <x:c r="U994" s="31" t="str">
        <x:f>IF('Blind Scoring'!L994="","",'Blind Scoring'!L994)</x:f>
      </x:c>
    </x:row>
    <x:row r="995" ht="44" customHeight="1">
      <x:c r="A995" s="35" t="str">
        <x:v>Not Started</x:v>
      </x:c>
      <x:c r="B995" s="35" t="n">
        <x:v>993</x:v>
      </x:c>
      <x:c r="C995" s="35" t="str">
        <x:v>P17</x:v>
      </x:c>
      <x:c r="D995" s="35" t="n">
        <x:v>2</x:v>
      </x:c>
      <x:c r="E995" s="35" t="str">
        <x:v>Primary VLA</x:v>
      </x:c>
      <x:c r="F995" s="35" t="str">
        <x:v>π0.5</x:v>
      </x:c>
      <x:c r="G995" s="35" t="n">
        <x:v>2</x:v>
      </x:c>
      <x:c r="H995" s="35" t="str">
        <x:v>Counting</x:v>
      </x:c>
      <x:c r="I995" s="35" t="str">
        <x:v>Main matched control</x:v>
      </x:c>
      <x:c r="J995" s="35" t="str">
        <x:v>PVLA-CT-CTL-03</x:v>
      </x:c>
      <x:c r="K995" s="35" t="str">
        <x:v>C-CF03-A</x:v>
      </x:c>
      <x:c r="L995" s="31" t="str">
        <x:v>Remove the green pencil sharpener from the bowl.</x:v>
      </x:c>
      <x:c r="M995" s="31" t="str">
        <x:v>Remove the green pencil sharpener from the bowl.</x:v>
      </x:c>
      <x:c r="N995" s="31" t="str">
        <x:v>C-CF03-CA: bowl=[green pencil sharpener, airplane toy without propellers] (2); table=[blue pen, yellow block]; robot home; acceptable action=remove either bowl object.</x:v>
      </x:c>
      <x:c r="O995" s="31" t="str">
        <x:v>REMOVE green pencil sharpener</x:v>
      </x:c>
      <x:c r="P995" s="31" t="str"/>
      <x:c r="Q995" s="31" t="str"/>
      <x:c r="R995" s="31" t="str"/>
      <x:c r="S995" s="31" t="str">
        <x:f>IF('Blind Scoring'!I995="","",'Blind Scoring'!I995)</x:f>
      </x:c>
      <x:c r="T995" s="31" t="str">
        <x:f>'Blind Scoring'!J995</x:f>
        <x:v>No</x:v>
      </x:c>
      <x:c r="U995" s="31" t="str">
        <x:f>IF('Blind Scoring'!L995="","",'Blind Scoring'!L995)</x:f>
      </x:c>
    </x:row>
    <x:row r="996" ht="44" customHeight="1">
      <x:c r="A996" s="35" t="str">
        <x:v>Not Started</x:v>
      </x:c>
      <x:c r="B996" s="35" t="n">
        <x:v>994</x:v>
      </x:c>
      <x:c r="C996" s="35" t="str">
        <x:v>P17</x:v>
      </x:c>
      <x:c r="D996" s="35" t="n">
        <x:v>3</x:v>
      </x:c>
      <x:c r="E996" s="35" t="str">
        <x:v>Primary VLA</x:v>
      </x:c>
      <x:c r="F996" s="35" t="str">
        <x:v>π0.5</x:v>
      </x:c>
      <x:c r="G996" s="35" t="n">
        <x:v>2</x:v>
      </x:c>
      <x:c r="H996" s="35" t="str">
        <x:v>Counting</x:v>
      </x:c>
      <x:c r="I996" s="35" t="str">
        <x:v>Main matched control</x:v>
      </x:c>
      <x:c r="J996" s="35" t="str">
        <x:v>PVLA-CT-CTL-11</x:v>
      </x:c>
      <x:c r="K996" s="35" t="str">
        <x:v>C-CF09-A</x:v>
      </x:c>
      <x:c r="L996" s="31" t="str">
        <x:v>Remove the blue pen from the bowl.</x:v>
      </x:c>
      <x:c r="M996" s="31" t="str">
        <x:v>Remove the blue pen from the bowl.</x:v>
      </x:c>
      <x:c r="N996" s="31" t="str">
        <x:v>C-CF09-CA: bowl=[blue pen, yellow block] (2); table=[green pencil sharpener, airplane toy without propellers]; robot home; acceptable action=remove either bowl object.</x:v>
      </x:c>
      <x:c r="O996" s="31" t="str">
        <x:v>REMOVE blue pen</x:v>
      </x:c>
      <x:c r="P996" s="31" t="str"/>
      <x:c r="Q996" s="31" t="str"/>
      <x:c r="R996" s="31" t="str"/>
      <x:c r="S996" s="31" t="str">
        <x:f>IF('Blind Scoring'!I996="","",'Blind Scoring'!I996)</x:f>
      </x:c>
      <x:c r="T996" s="31" t="str">
        <x:f>'Blind Scoring'!J996</x:f>
        <x:v>No</x:v>
      </x:c>
      <x:c r="U996" s="31" t="str">
        <x:f>IF('Blind Scoring'!L996="","",'Blind Scoring'!L996)</x:f>
      </x:c>
    </x:row>
    <x:row r="997" ht="44" customHeight="1">
      <x:c r="A997" s="35" t="str">
        <x:v>Not Started</x:v>
      </x:c>
      <x:c r="B997" s="35" t="n">
        <x:v>995</x:v>
      </x:c>
      <x:c r="C997" s="35" t="str">
        <x:v>P17</x:v>
      </x:c>
      <x:c r="D997" s="35" t="n">
        <x:v>4</x:v>
      </x:c>
      <x:c r="E997" s="35" t="str">
        <x:v>Primary VLA</x:v>
      </x:c>
      <x:c r="F997" s="35" t="str">
        <x:v>π0.5</x:v>
      </x:c>
      <x:c r="G997" s="35" t="n">
        <x:v>2</x:v>
      </x:c>
      <x:c r="H997" s="35" t="str">
        <x:v>Counting</x:v>
      </x:c>
      <x:c r="I997" s="35" t="str">
        <x:v>Main matched control</x:v>
      </x:c>
      <x:c r="J997" s="35" t="str">
        <x:v>PVLA-CT-CTL-02</x:v>
      </x:c>
      <x:c r="K997" s="35" t="str">
        <x:v>C-CF01-B</x:v>
      </x:c>
      <x:c r="L997" s="31" t="str">
        <x:v>Put the green pencil sharpener in the bowl.</x:v>
      </x:c>
      <x:c r="M997" s="31" t="str">
        <x:v>Put the green pencil sharpener in the bowl.</x:v>
      </x:c>
      <x:c r="N997" s="31" t="str">
        <x:v>C-CF01-CB: bowl=[blue pen, yellow block] (2); table=[green pencil sharpener, airplane toy without propellers]; robot home; acceptable action=add either table object.</x:v>
      </x:c>
      <x:c r="O997" s="31" t="str">
        <x:v>ADD green pencil sharpener</x:v>
      </x:c>
      <x:c r="P997" s="31" t="str"/>
      <x:c r="Q997" s="31" t="str"/>
      <x:c r="R997" s="31" t="str"/>
      <x:c r="S997" s="31" t="str">
        <x:f>IF('Blind Scoring'!I997="","",'Blind Scoring'!I997)</x:f>
      </x:c>
      <x:c r="T997" s="31" t="str">
        <x:f>'Blind Scoring'!J997</x:f>
        <x:v>No</x:v>
      </x:c>
      <x:c r="U997" s="31" t="str">
        <x:f>IF('Blind Scoring'!L997="","",'Blind Scoring'!L997)</x:f>
      </x:c>
    </x:row>
    <x:row r="998" ht="44" customHeight="1">
      <x:c r="A998" s="35" t="str">
        <x:v>Not Started</x:v>
      </x:c>
      <x:c r="B998" s="35" t="n">
        <x:v>996</x:v>
      </x:c>
      <x:c r="C998" s="35" t="str">
        <x:v>P17</x:v>
      </x:c>
      <x:c r="D998" s="35" t="n">
        <x:v>5</x:v>
      </x:c>
      <x:c r="E998" s="35" t="str">
        <x:v>Primary VLA</x:v>
      </x:c>
      <x:c r="F998" s="35" t="str">
        <x:v>π0.5</x:v>
      </x:c>
      <x:c r="G998" s="35" t="n">
        <x:v>2</x:v>
      </x:c>
      <x:c r="H998" s="35" t="str">
        <x:v>Counting</x:v>
      </x:c>
      <x:c r="I998" s="35" t="str">
        <x:v>Main matched control</x:v>
      </x:c>
      <x:c r="J998" s="35" t="str">
        <x:v>PVLA-CT-CTL-05</x:v>
      </x:c>
      <x:c r="K998" s="35" t="str">
        <x:v>C-CF04-A</x:v>
      </x:c>
      <x:c r="L998" s="31" t="str">
        <x:v>Remove the airplane toy without propellers from the bowl.</x:v>
      </x:c>
      <x:c r="M998" s="31" t="str">
        <x:v>Remove the airplane toy without propellers from the bowl.</x:v>
      </x:c>
      <x:c r="N998" s="31" t="str">
        <x:v>C-CF04-CA: bowl=[airplane toy without propellers, blue pen] (2); table=[yellow block, green pencil sharpener]; robot home; acceptable action=remove either bowl object.</x:v>
      </x:c>
      <x:c r="O998" s="31" t="str">
        <x:v>REMOVE airplane toy without propellers</x:v>
      </x:c>
      <x:c r="P998" s="31" t="str"/>
      <x:c r="Q998" s="31" t="str"/>
      <x:c r="R998" s="31" t="str"/>
      <x:c r="S998" s="31" t="str">
        <x:f>IF('Blind Scoring'!I998="","",'Blind Scoring'!I998)</x:f>
      </x:c>
      <x:c r="T998" s="31" t="str">
        <x:f>'Blind Scoring'!J998</x:f>
        <x:v>No</x:v>
      </x:c>
      <x:c r="U998" s="31" t="str">
        <x:f>IF('Blind Scoring'!L998="","",'Blind Scoring'!L998)</x:f>
      </x:c>
    </x:row>
    <x:row r="999" ht="44" customHeight="1">
      <x:c r="A999" s="35" t="str">
        <x:v>Not Started</x:v>
      </x:c>
      <x:c r="B999" s="35" t="n">
        <x:v>997</x:v>
      </x:c>
      <x:c r="C999" s="35" t="str">
        <x:v>P17</x:v>
      </x:c>
      <x:c r="D999" s="35" t="n">
        <x:v>6</x:v>
      </x:c>
      <x:c r="E999" s="35" t="str">
        <x:v>Primary VLA</x:v>
      </x:c>
      <x:c r="F999" s="35" t="str">
        <x:v>π0.5</x:v>
      </x:c>
      <x:c r="G999" s="35" t="n">
        <x:v>2</x:v>
      </x:c>
      <x:c r="H999" s="35" t="str">
        <x:v>Counting</x:v>
      </x:c>
      <x:c r="I999" s="35" t="str">
        <x:v>Language ablation — counterfactual</x:v>
      </x:c>
      <x:c r="J999" s="35" t="str">
        <x:v>PVLA-CT-ABL-CF-04</x:v>
      </x:c>
      <x:c r="K999" s="35" t="str">
        <x:v>C-CF06-B</x:v>
      </x:c>
      <x:c r="L999" s="31" t="str">
        <x:v>Leave exactly one object in the bowl.</x:v>
      </x:c>
      <x:c r="M999" s="31" t="str">
        <x:v>Leave exactly one object in the bowl.</x:v>
      </x:c>
      <x:c r="N999" s="31" t="str">
        <x:v>C-CF06B: bowl=[yellow block, green pencil sharpener] (2); table=[airplane toy without propellers, blue pen]; robot home; acceptable action=add either table object.</x:v>
      </x:c>
      <x:c r="O999" s="31" t="str">
        <x:v>REMOVE one bowl object</x:v>
      </x:c>
      <x:c r="P999" s="31" t="str"/>
      <x:c r="Q999" s="31" t="str"/>
      <x:c r="R999" s="31" t="str"/>
      <x:c r="S999" s="31" t="str">
        <x:f>IF('Blind Scoring'!I999="","",'Blind Scoring'!I999)</x:f>
      </x:c>
      <x:c r="T999" s="31" t="str">
        <x:f>'Blind Scoring'!J999</x:f>
        <x:v>No</x:v>
      </x:c>
      <x:c r="U999" s="31" t="str">
        <x:f>IF('Blind Scoring'!L999="","",'Blind Scoring'!L999)</x:f>
      </x:c>
    </x:row>
    <x:row r="1000" ht="44" customHeight="1">
      <x:c r="A1000" s="35" t="str">
        <x:v>Not Started</x:v>
      </x:c>
      <x:c r="B1000" s="35" t="n">
        <x:v>998</x:v>
      </x:c>
      <x:c r="C1000" s="35" t="str">
        <x:v>P17</x:v>
      </x:c>
      <x:c r="D1000" s="35" t="n">
        <x:v>7</x:v>
      </x:c>
      <x:c r="E1000" s="35" t="str">
        <x:v>Primary VLA</x:v>
      </x:c>
      <x:c r="F1000" s="35" t="str">
        <x:v>π0.5</x:v>
      </x:c>
      <x:c r="G1000" s="35" t="n">
        <x:v>2</x:v>
      </x:c>
      <x:c r="H1000" s="35" t="str">
        <x:v>Counting</x:v>
      </x:c>
      <x:c r="I1000" s="35" t="str">
        <x:v>Main matched control</x:v>
      </x:c>
      <x:c r="J1000" s="35" t="str">
        <x:v>PVLA-CT-CTL-08</x:v>
      </x:c>
      <x:c r="K1000" s="35" t="str">
        <x:v>C-CF06-B</x:v>
      </x:c>
      <x:c r="L1000" s="31" t="str">
        <x:v>Put the airplane toy without propellers in the bowl.</x:v>
      </x:c>
      <x:c r="M1000" s="31" t="str">
        <x:v>Put the airplane toy without propellers in the bowl.</x:v>
      </x:c>
      <x:c r="N1000" s="31" t="str">
        <x:v>C-CF06-CB: bowl=[yellow block, green pencil sharpener] (2); table=[airplane toy without propellers, blue pen]; robot home; acceptable action=add either table object.</x:v>
      </x:c>
      <x:c r="O1000" s="31" t="str">
        <x:v>ADD airplane toy without propellers</x:v>
      </x:c>
      <x:c r="P1000" s="31" t="str"/>
      <x:c r="Q1000" s="31" t="str"/>
      <x:c r="R1000" s="31" t="str"/>
      <x:c r="S1000" s="31" t="str">
        <x:f>IF('Blind Scoring'!I1000="","",'Blind Scoring'!I1000)</x:f>
      </x:c>
      <x:c r="T1000" s="31" t="str">
        <x:f>'Blind Scoring'!J1000</x:f>
        <x:v>No</x:v>
      </x:c>
      <x:c r="U1000" s="31" t="str">
        <x:f>IF('Blind Scoring'!L1000="","",'Blind Scoring'!L1000)</x:f>
      </x:c>
    </x:row>
    <x:row r="1001" ht="44" customHeight="1">
      <x:c r="A1001" s="35" t="str">
        <x:v>Not Started</x:v>
      </x:c>
      <x:c r="B1001" s="35" t="n">
        <x:v>999</x:v>
      </x:c>
      <x:c r="C1001" s="35" t="str">
        <x:v>P17</x:v>
      </x:c>
      <x:c r="D1001" s="35" t="n">
        <x:v>8</x:v>
      </x:c>
      <x:c r="E1001" s="35" t="str">
        <x:v>Primary VLA</x:v>
      </x:c>
      <x:c r="F1001" s="35" t="str">
        <x:v>π0.5</x:v>
      </x:c>
      <x:c r="G1001" s="35" t="n">
        <x:v>2</x:v>
      </x:c>
      <x:c r="H1001" s="35" t="str">
        <x:v>Counting</x:v>
      </x:c>
      <x:c r="I1001" s="35" t="str">
        <x:v>Main held-out transfer</x:v>
      </x:c>
      <x:c r="J1001" s="35" t="str">
        <x:v>PVLA-CT-TR-08</x:v>
      </x:c>
      <x:c r="K1001" s="35" t="str">
        <x:v>C-CF06-B</x:v>
      </x:c>
      <x:c r="L1001" s="31" t="str">
        <x:v>Leave exactly three objects in the bowl.</x:v>
      </x:c>
      <x:c r="M1001" s="31" t="str">
        <x:v>Leave exactly three objects in the bowl.</x:v>
      </x:c>
      <x:c r="N1001" s="31" t="str">
        <x:v>C-CF06B: bowl=[yellow block, green pencil sharpener] (2); table=[airplane toy without propellers, blue pen]; robot home; acceptable action=add either table object.</x:v>
      </x:c>
      <x:c r="O1001" s="31" t="str">
        <x:v>ADD one table object</x:v>
      </x:c>
      <x:c r="P1001" s="31" t="str"/>
      <x:c r="Q1001" s="31" t="str"/>
      <x:c r="R1001" s="31" t="str"/>
      <x:c r="S1001" s="31" t="str">
        <x:f>IF('Blind Scoring'!I1001="","",'Blind Scoring'!I1001)</x:f>
      </x:c>
      <x:c r="T1001" s="31" t="str">
        <x:f>'Blind Scoring'!J1001</x:f>
        <x:v>No</x:v>
      </x:c>
      <x:c r="U1001" s="31" t="str">
        <x:f>IF('Blind Scoring'!L1001="","",'Blind Scoring'!L1001)</x:f>
      </x:c>
    </x:row>
    <x:row r="1002" ht="44" customHeight="1">
      <x:c r="A1002" s="35" t="str">
        <x:v>Not Started</x:v>
      </x:c>
      <x:c r="B1002" s="35" t="n">
        <x:v>1000</x:v>
      </x:c>
      <x:c r="C1002" s="35" t="str">
        <x:v>P17</x:v>
      </x:c>
      <x:c r="D1002" s="35" t="n">
        <x:v>9</x:v>
      </x:c>
      <x:c r="E1002" s="35" t="str">
        <x:v>Primary VLA</x:v>
      </x:c>
      <x:c r="F1002" s="35" t="str">
        <x:v>π0.5</x:v>
      </x:c>
      <x:c r="G1002" s="35" t="n">
        <x:v>2</x:v>
      </x:c>
      <x:c r="H1002" s="35" t="str">
        <x:v>Counting</x:v>
      </x:c>
      <x:c r="I1002" s="35" t="str">
        <x:v>Novel layout + seen language</x:v>
      </x:c>
      <x:c r="J1002" s="35" t="str">
        <x:v>PVLA-CT-NOV-02</x:v>
      </x:c>
      <x:c r="K1002" s="35" t="str"/>
      <x:c r="L1002" s="31" t="str">
        <x:v>Make the bowl contain exactly two objects.</x:v>
      </x:c>
      <x:c r="M1002" s="31" t="str">
        <x:v>Make the bowl contain exactly two objects.</x:v>
      </x:c>
      <x:c r="N1002" s="31" t="str">
        <x:v>C-N04: bowl=[airplane toy without propellers, blue pen, yellow block] (3); table left→right=[green pencil sharpener]; robot home.</x:v>
      </x:c>
      <x:c r="O1002" s="31" t="str"/>
      <x:c r="P1002" s="31" t="str"/>
      <x:c r="Q1002" s="31" t="str"/>
      <x:c r="R1002" s="31" t="str"/>
      <x:c r="S1002" s="31" t="str">
        <x:f>IF('Blind Scoring'!I1002="","",'Blind Scoring'!I1002)</x:f>
      </x:c>
      <x:c r="T1002" s="31" t="str">
        <x:f>'Blind Scoring'!J1002</x:f>
        <x:v>No</x:v>
      </x:c>
      <x:c r="U1002" s="31" t="str">
        <x:f>IF('Blind Scoring'!L1002="","",'Blind Scoring'!L1002)</x:f>
      </x:c>
    </x:row>
    <x:row r="1003" ht="44" customHeight="1">
      <x:c r="A1003" s="35" t="str">
        <x:v>Not Started</x:v>
      </x:c>
      <x:c r="B1003" s="35" t="n">
        <x:v>1001</x:v>
      </x:c>
      <x:c r="C1003" s="35" t="str">
        <x:v>P17</x:v>
      </x:c>
      <x:c r="D1003" s="35" t="n">
        <x:v>10</x:v>
      </x:c>
      <x:c r="E1003" s="35" t="str">
        <x:v>Primary VLA</x:v>
      </x:c>
      <x:c r="F1003" s="35" t="str">
        <x:v>π0.5</x:v>
      </x:c>
      <x:c r="G1003" s="35" t="n">
        <x:v>2</x:v>
      </x:c>
      <x:c r="H1003" s="35" t="str">
        <x:v>Counting</x:v>
      </x:c>
      <x:c r="I1003" s="35" t="str">
        <x:v>Novel layout + seen language</x:v>
      </x:c>
      <x:c r="J1003" s="35" t="str">
        <x:v>PVLA-CT-NOV-03</x:v>
      </x:c>
      <x:c r="K1003" s="35" t="str"/>
      <x:c r="L1003" s="31" t="str">
        <x:v>Adjust the bowl so that it contains two objects.</x:v>
      </x:c>
      <x:c r="M1003" s="31" t="str">
        <x:v>Adjust the bowl so that it contains two objects.</x:v>
      </x:c>
      <x:c r="N1003" s="31" t="str">
        <x:v>C-N06: bowl=[yellow block, green pencil sharpener, airplane toy without propellers] (3); table left→right=[blue pen]; robot home.</x:v>
      </x:c>
      <x:c r="O1003" s="31" t="str"/>
      <x:c r="P1003" s="31" t="str"/>
      <x:c r="Q1003" s="31" t="str"/>
      <x:c r="R1003" s="31" t="str"/>
      <x:c r="S1003" s="31" t="str">
        <x:f>IF('Blind Scoring'!I1003="","",'Blind Scoring'!I1003)</x:f>
      </x:c>
      <x:c r="T1003" s="31" t="str">
        <x:f>'Blind Scoring'!J1003</x:f>
        <x:v>No</x:v>
      </x:c>
      <x:c r="U1003" s="31" t="str">
        <x:f>IF('Blind Scoring'!L1003="","",'Blind Scoring'!L1003)</x:f>
      </x:c>
    </x:row>
    <x:row r="1004" ht="44" customHeight="1">
      <x:c r="A1004" s="35" t="str">
        <x:v>Not Started</x:v>
      </x:c>
      <x:c r="B1004" s="35" t="n">
        <x:v>1002</x:v>
      </x:c>
      <x:c r="C1004" s="35" t="str">
        <x:v>P17</x:v>
      </x:c>
      <x:c r="D1004" s="35" t="n">
        <x:v>11</x:v>
      </x:c>
      <x:c r="E1004" s="35" t="str">
        <x:v>Primary VLA</x:v>
      </x:c>
      <x:c r="F1004" s="35" t="str">
        <x:v>π0.5</x:v>
      </x:c>
      <x:c r="G1004" s="35" t="n">
        <x:v>2</x:v>
      </x:c>
      <x:c r="H1004" s="35" t="str">
        <x:v>Counting</x:v>
      </x:c>
      <x:c r="I1004" s="35" t="str">
        <x:v>Main matched control</x:v>
      </x:c>
      <x:c r="J1004" s="35" t="str">
        <x:v>PVLA-CT-CTL-01</x:v>
      </x:c>
      <x:c r="K1004" s="35" t="str">
        <x:v>C-CF01-A</x:v>
      </x:c>
      <x:c r="L1004" s="31" t="str">
        <x:v>Remove the blue pen from the bowl.</x:v>
      </x:c>
      <x:c r="M1004" s="31" t="str">
        <x:v>Remove the blue pen from the bowl.</x:v>
      </x:c>
      <x:c r="N1004" s="31" t="str">
        <x:v>C-CF01-CA: bowl=[blue pen, yellow block] (2); table=[green pencil sharpener, airplane toy without propellers]; robot home; acceptable action=remove either bowl object.</x:v>
      </x:c>
      <x:c r="O1004" s="31" t="str">
        <x:v>REMOVE blue pen</x:v>
      </x:c>
      <x:c r="P1004" s="31" t="str"/>
      <x:c r="Q1004" s="31" t="str"/>
      <x:c r="R1004" s="31" t="str"/>
      <x:c r="S1004" s="31" t="str">
        <x:f>IF('Blind Scoring'!I1004="","",'Blind Scoring'!I1004)</x:f>
      </x:c>
      <x:c r="T1004" s="31" t="str">
        <x:f>'Blind Scoring'!J1004</x:f>
        <x:v>No</x:v>
      </x:c>
      <x:c r="U1004" s="31" t="str">
        <x:f>IF('Blind Scoring'!L1004="","",'Blind Scoring'!L1004)</x:f>
      </x:c>
    </x:row>
    <x:row r="1005" ht="44" customHeight="1">
      <x:c r="A1005" s="35" t="str">
        <x:v>Not Started</x:v>
      </x:c>
      <x:c r="B1005" s="35" t="n">
        <x:v>1003</x:v>
      </x:c>
      <x:c r="C1005" s="35" t="str">
        <x:v>P17</x:v>
      </x:c>
      <x:c r="D1005" s="35" t="n">
        <x:v>12</x:v>
      </x:c>
      <x:c r="E1005" s="35" t="str">
        <x:v>Primary VLA</x:v>
      </x:c>
      <x:c r="F1005" s="35" t="str">
        <x:v>π0.5</x:v>
      </x:c>
      <x:c r="G1005" s="35" t="n">
        <x:v>2</x:v>
      </x:c>
      <x:c r="H1005" s="35" t="str">
        <x:v>Counting</x:v>
      </x:c>
      <x:c r="I1005" s="35" t="str">
        <x:v>Main held-out transfer</x:v>
      </x:c>
      <x:c r="J1005" s="35" t="str">
        <x:v>PVLA-CT-TR-02</x:v>
      </x:c>
      <x:c r="K1005" s="35" t="str">
        <x:v>C-CF01-B</x:v>
      </x:c>
      <x:c r="L1005" s="31" t="str">
        <x:v>Leave exactly three objects in the bowl.</x:v>
      </x:c>
      <x:c r="M1005" s="31" t="str">
        <x:v>Leave exactly three objects in the bowl.</x:v>
      </x:c>
      <x:c r="N1005" s="31" t="str">
        <x:v>C-CF01B: bowl=[blue pen, yellow block] (2); table=[green pencil sharpener, airplane toy without propellers]; robot home; acceptable action=add either table object.</x:v>
      </x:c>
      <x:c r="O1005" s="31" t="str">
        <x:v>ADD one table object</x:v>
      </x:c>
      <x:c r="P1005" s="31" t="str"/>
      <x:c r="Q1005" s="31" t="str"/>
      <x:c r="R1005" s="31" t="str"/>
      <x:c r="S1005" s="31" t="str">
        <x:f>IF('Blind Scoring'!I1005="","",'Blind Scoring'!I1005)</x:f>
      </x:c>
      <x:c r="T1005" s="31" t="str">
        <x:f>'Blind Scoring'!J1005</x:f>
        <x:v>No</x:v>
      </x:c>
      <x:c r="U1005" s="31" t="str">
        <x:f>IF('Blind Scoring'!L1005="","",'Blind Scoring'!L1005)</x:f>
      </x:c>
    </x:row>
    <x:row r="1006" ht="44" customHeight="1">
      <x:c r="A1006" s="35" t="str">
        <x:v>Not Started</x:v>
      </x:c>
      <x:c r="B1006" s="35" t="n">
        <x:v>1004</x:v>
      </x:c>
      <x:c r="C1006" s="35" t="str">
        <x:v>P17</x:v>
      </x:c>
      <x:c r="D1006" s="35" t="n">
        <x:v>13</x:v>
      </x:c>
      <x:c r="E1006" s="35" t="str">
        <x:v>Primary VLA</x:v>
      </x:c>
      <x:c r="F1006" s="35" t="str">
        <x:v>π0.5</x:v>
      </x:c>
      <x:c r="G1006" s="35" t="n">
        <x:v>2</x:v>
      </x:c>
      <x:c r="H1006" s="35" t="str">
        <x:v>Counting</x:v>
      </x:c>
      <x:c r="I1006" s="35" t="str">
        <x:v>Language ablation — counterfactual</x:v>
      </x:c>
      <x:c r="J1006" s="35" t="str">
        <x:v>PVLA-CT-ABL-CF-02</x:v>
      </x:c>
      <x:c r="K1006" s="35" t="str">
        <x:v>C-CF04-B</x:v>
      </x:c>
      <x:c r="L1006" s="31" t="str">
        <x:v>Leave exactly one object in the bowl.</x:v>
      </x:c>
      <x:c r="M1006" s="31" t="str">
        <x:v>Leave exactly one object in the bowl.</x:v>
      </x:c>
      <x:c r="N1006" s="31" t="str">
        <x:v>C-CF04B: bowl=[airplane toy without propellers, blue pen] (2); table=[yellow block, green pencil sharpener]; robot home; acceptable action=add either table object.</x:v>
      </x:c>
      <x:c r="O1006" s="31" t="str">
        <x:v>REMOVE one bowl object</x:v>
      </x:c>
      <x:c r="P1006" s="31" t="str"/>
      <x:c r="Q1006" s="31" t="str"/>
      <x:c r="R1006" s="31" t="str"/>
      <x:c r="S1006" s="31" t="str">
        <x:f>IF('Blind Scoring'!I1006="","",'Blind Scoring'!I1006)</x:f>
      </x:c>
      <x:c r="T1006" s="31" t="str">
        <x:f>'Blind Scoring'!J1006</x:f>
        <x:v>No</x:v>
      </x:c>
      <x:c r="U1006" s="31" t="str">
        <x:f>IF('Blind Scoring'!L1006="","",'Blind Scoring'!L1006)</x:f>
      </x:c>
    </x:row>
    <x:row r="1007" ht="44" customHeight="1">
      <x:c r="A1007" s="35" t="str">
        <x:v>Not Started</x:v>
      </x:c>
      <x:c r="B1007" s="35" t="n">
        <x:v>1005</x:v>
      </x:c>
      <x:c r="C1007" s="35" t="str">
        <x:v>P17</x:v>
      </x:c>
      <x:c r="D1007" s="35" t="n">
        <x:v>14</x:v>
      </x:c>
      <x:c r="E1007" s="35" t="str">
        <x:v>Primary VLA</x:v>
      </x:c>
      <x:c r="F1007" s="35" t="str">
        <x:v>π0.5</x:v>
      </x:c>
      <x:c r="G1007" s="35" t="n">
        <x:v>2</x:v>
      </x:c>
      <x:c r="H1007" s="35" t="str">
        <x:v>Counting</x:v>
      </x:c>
      <x:c r="I1007" s="35" t="str">
        <x:v>Main held-out transfer</x:v>
      </x:c>
      <x:c r="J1007" s="35" t="str">
        <x:v>PVLA-CT-TR-09</x:v>
      </x:c>
      <x:c r="K1007" s="35" t="str">
        <x:v>C-CF07-A</x:v>
      </x:c>
      <x:c r="L1007" s="31" t="str">
        <x:v>Leave exactly one object in the bowl.</x:v>
      </x:c>
      <x:c r="M1007" s="31" t="str">
        <x:v>Leave exactly one object in the bowl.</x:v>
      </x:c>
      <x:c r="N1007" s="31" t="str">
        <x:v>C-CF07A: bowl=[green pencil sharpener, airplane toy without propellers] (2); table=[blue pen, yellow block]; robot home; acceptable action=remove either bowl object.</x:v>
      </x:c>
      <x:c r="O1007" s="31" t="str">
        <x:v>REMOVE one bowl object</x:v>
      </x:c>
      <x:c r="P1007" s="31" t="str"/>
      <x:c r="Q1007" s="31" t="str"/>
      <x:c r="R1007" s="31" t="str"/>
      <x:c r="S1007" s="31" t="str">
        <x:f>IF('Blind Scoring'!I1007="","",'Blind Scoring'!I1007)</x:f>
      </x:c>
      <x:c r="T1007" s="31" t="str">
        <x:f>'Blind Scoring'!J1007</x:f>
        <x:v>No</x:v>
      </x:c>
      <x:c r="U1007" s="31" t="str">
        <x:f>IF('Blind Scoring'!L1007="","",'Blind Scoring'!L1007)</x:f>
      </x:c>
    </x:row>
    <x:row r="1008" ht="44" customHeight="1">
      <x:c r="A1008" s="35" t="str">
        <x:v>Not Started</x:v>
      </x:c>
      <x:c r="B1008" s="35" t="n">
        <x:v>1006</x:v>
      </x:c>
      <x:c r="C1008" s="35" t="str">
        <x:v>P17</x:v>
      </x:c>
      <x:c r="D1008" s="35" t="n">
        <x:v>15</x:v>
      </x:c>
      <x:c r="E1008" s="35" t="str">
        <x:v>Primary VLA</x:v>
      </x:c>
      <x:c r="F1008" s="35" t="str">
        <x:v>π0.5</x:v>
      </x:c>
      <x:c r="G1008" s="35" t="n">
        <x:v>2</x:v>
      </x:c>
      <x:c r="H1008" s="35" t="str">
        <x:v>Counting</x:v>
      </x:c>
      <x:c r="I1008" s="35" t="str">
        <x:v>Training reconstruction</x:v>
      </x:c>
      <x:c r="J1008" s="35" t="str">
        <x:v>PVLA-CT-REC-01</x:v>
      </x:c>
      <x:c r="K1008" s="35" t="str"/>
      <x:c r="L1008" s="31" t="str">
        <x:v>Move the blue pen into the bowl.</x:v>
      </x:c>
      <x:c r="M1008" s="31" t="str">
        <x:v>Move the blue pen into the bowl.</x:v>
      </x:c>
      <x:c r="N1008" s="31" t="str">
        <x:v>Reconstruct planned final training episode 800: blue pen, yellow block, green pencil sharpener, airplane toy without propellers; start=Home. Match camera, calibration, bowl pose, and object geometry exactly.</x:v>
      </x:c>
      <x:c r="O1008" s="31" t="str">
        <x:v>blue pen</x:v>
      </x:c>
      <x:c r="P1008" s="31" t="str"/>
      <x:c r="Q1008" s="31" t="str"/>
      <x:c r="R1008" s="31" t="str"/>
      <x:c r="S1008" s="31" t="str">
        <x:f>IF('Blind Scoring'!I1008="","",'Blind Scoring'!I1008)</x:f>
      </x:c>
      <x:c r="T1008" s="31" t="str">
        <x:f>'Blind Scoring'!J1008</x:f>
        <x:v>No</x:v>
      </x:c>
      <x:c r="U1008" s="31" t="str">
        <x:f>IF('Blind Scoring'!L1008="","",'Blind Scoring'!L1008)</x:f>
      </x:c>
    </x:row>
    <x:row r="1009" ht="44" customHeight="1">
      <x:c r="A1009" s="35" t="str">
        <x:v>Not Started</x:v>
      </x:c>
      <x:c r="B1009" s="35" t="n">
        <x:v>1007</x:v>
      </x:c>
      <x:c r="C1009" s="35" t="str">
        <x:v>P17</x:v>
      </x:c>
      <x:c r="D1009" s="35" t="n">
        <x:v>16</x:v>
      </x:c>
      <x:c r="E1009" s="35" t="str">
        <x:v>Primary VLA</x:v>
      </x:c>
      <x:c r="F1009" s="35" t="str">
        <x:v>π0.5</x:v>
      </x:c>
      <x:c r="G1009" s="35" t="n">
        <x:v>2</x:v>
      </x:c>
      <x:c r="H1009" s="35" t="str">
        <x:v>Counting</x:v>
      </x:c>
      <x:c r="I1009" s="35" t="str">
        <x:v>Novel layout + seen language</x:v>
      </x:c>
      <x:c r="J1009" s="35" t="str">
        <x:v>PVLA-CT-NOV-07</x:v>
      </x:c>
      <x:c r="K1009" s="35" t="str"/>
      <x:c r="L1009" s="31" t="str">
        <x:v>Make the bowl contain exactly zero objects.</x:v>
      </x:c>
      <x:c r="M1009" s="31" t="str">
        <x:v>Make the bowl contain exactly zero objects.</x:v>
      </x:c>
      <x:c r="N1009" s="31" t="str">
        <x:v>C-N17: bowl=[green pencil sharpener] (1); table left→right=[airplane toy without propellers, blue pen, yellow block]; robot home.</x:v>
      </x:c>
      <x:c r="O1009" s="31" t="str"/>
      <x:c r="P1009" s="31" t="str"/>
      <x:c r="Q1009" s="31" t="str"/>
      <x:c r="R1009" s="31" t="str"/>
      <x:c r="S1009" s="31" t="str">
        <x:f>IF('Blind Scoring'!I1009="","",'Blind Scoring'!I1009)</x:f>
      </x:c>
      <x:c r="T1009" s="31" t="str">
        <x:f>'Blind Scoring'!J1009</x:f>
        <x:v>No</x:v>
      </x:c>
      <x:c r="U1009" s="31" t="str">
        <x:f>IF('Blind Scoring'!L1009="","",'Blind Scoring'!L1009)</x:f>
      </x:c>
    </x:row>
    <x:row r="1010" ht="44" customHeight="1">
      <x:c r="A1010" s="35" t="str">
        <x:v>Not Started</x:v>
      </x:c>
      <x:c r="B1010" s="35" t="n">
        <x:v>1008</x:v>
      </x:c>
      <x:c r="C1010" s="35" t="str">
        <x:v>P17</x:v>
      </x:c>
      <x:c r="D1010" s="35" t="n">
        <x:v>17</x:v>
      </x:c>
      <x:c r="E1010" s="35" t="str">
        <x:v>Primary VLA</x:v>
      </x:c>
      <x:c r="F1010" s="35" t="str">
        <x:v>π0.5</x:v>
      </x:c>
      <x:c r="G1010" s="35" t="n">
        <x:v>2</x:v>
      </x:c>
      <x:c r="H1010" s="35" t="str">
        <x:v>Counting</x:v>
      </x:c>
      <x:c r="I1010" s="35" t="str">
        <x:v>Training reconstruction</x:v>
      </x:c>
      <x:c r="J1010" s="35" t="str">
        <x:v>PVLA-CT-REC-03</x:v>
      </x:c>
      <x:c r="K1010" s="35" t="str"/>
      <x:c r="L1010" s="31" t="str">
        <x:v>Move the yellow block into the bowl.</x:v>
      </x:c>
      <x:c r="M1010" s="31" t="str">
        <x:v>Move the yellow block into the bowl.</x:v>
      </x:c>
      <x:c r="N1010" s="31" t="str">
        <x:v>Reconstruct planned final training episode 850: yellow block, green pencil sharpener, airplane toy without propellers, blue pen; start=Home. Match camera, calibration, bowl pose, and object geometry exactly.</x:v>
      </x:c>
      <x:c r="O1010" s="31" t="str">
        <x:v>yellow block</x:v>
      </x:c>
      <x:c r="P1010" s="31" t="str"/>
      <x:c r="Q1010" s="31" t="str"/>
      <x:c r="R1010" s="31" t="str"/>
      <x:c r="S1010" s="31" t="str">
        <x:f>IF('Blind Scoring'!I1010="","",'Blind Scoring'!I1010)</x:f>
      </x:c>
      <x:c r="T1010" s="31" t="str">
        <x:f>'Blind Scoring'!J1010</x:f>
        <x:v>No</x:v>
      </x:c>
      <x:c r="U1010" s="31" t="str">
        <x:f>IF('Blind Scoring'!L1010="","",'Blind Scoring'!L1010)</x:f>
      </x:c>
    </x:row>
    <x:row r="1011" ht="44" customHeight="1">
      <x:c r="A1011" s="35" t="str">
        <x:v>Not Started</x:v>
      </x:c>
      <x:c r="B1011" s="35" t="n">
        <x:v>1009</x:v>
      </x:c>
      <x:c r="C1011" s="35" t="str">
        <x:v>P17</x:v>
      </x:c>
      <x:c r="D1011" s="35" t="n">
        <x:v>18</x:v>
      </x:c>
      <x:c r="E1011" s="35" t="str">
        <x:v>Primary VLA</x:v>
      </x:c>
      <x:c r="F1011" s="35" t="str">
        <x:v>π0.5</x:v>
      </x:c>
      <x:c r="G1011" s="35" t="n">
        <x:v>2</x:v>
      </x:c>
      <x:c r="H1011" s="35" t="str">
        <x:v>Counting</x:v>
      </x:c>
      <x:c r="I1011" s="35" t="str">
        <x:v>Main held-out transfer</x:v>
      </x:c>
      <x:c r="J1011" s="35" t="str">
        <x:v>PVLA-CT-TR-01</x:v>
      </x:c>
      <x:c r="K1011" s="35" t="str">
        <x:v>C-CF01-A</x:v>
      </x:c>
      <x:c r="L1011" s="31" t="str">
        <x:v>Leave exactly one object in the bowl.</x:v>
      </x:c>
      <x:c r="M1011" s="31" t="str">
        <x:v>Leave exactly one object in the bowl.</x:v>
      </x:c>
      <x:c r="N1011" s="31" t="str">
        <x:v>C-CF01A: bowl=[blue pen, yellow block] (2); table=[green pencil sharpener, airplane toy without propellers]; robot home; acceptable action=remove either bowl object.</x:v>
      </x:c>
      <x:c r="O1011" s="31" t="str">
        <x:v>REMOVE one bowl object</x:v>
      </x:c>
      <x:c r="P1011" s="31" t="str"/>
      <x:c r="Q1011" s="31" t="str"/>
      <x:c r="R1011" s="31" t="str"/>
      <x:c r="S1011" s="31" t="str">
        <x:f>IF('Blind Scoring'!I1011="","",'Blind Scoring'!I1011)</x:f>
      </x:c>
      <x:c r="T1011" s="31" t="str">
        <x:f>'Blind Scoring'!J1011</x:f>
        <x:v>No</x:v>
      </x:c>
      <x:c r="U1011" s="31" t="str">
        <x:f>IF('Blind Scoring'!L1011="","",'Blind Scoring'!L1011)</x:f>
      </x:c>
    </x:row>
    <x:row r="1012" ht="44" customHeight="1">
      <x:c r="A1012" s="35" t="str">
        <x:v>Not Started</x:v>
      </x:c>
      <x:c r="B1012" s="35" t="n">
        <x:v>1010</x:v>
      </x:c>
      <x:c r="C1012" s="35" t="str">
        <x:v>P17</x:v>
      </x:c>
      <x:c r="D1012" s="35" t="n">
        <x:v>19</x:v>
      </x:c>
      <x:c r="E1012" s="35" t="str">
        <x:v>Primary VLA</x:v>
      </x:c>
      <x:c r="F1012" s="35" t="str">
        <x:v>π0.5</x:v>
      </x:c>
      <x:c r="G1012" s="35" t="n">
        <x:v>2</x:v>
      </x:c>
      <x:c r="H1012" s="35" t="str">
        <x:v>Counting</x:v>
      </x:c>
      <x:c r="I1012" s="35" t="str">
        <x:v>Language ablation — blank</x:v>
      </x:c>
      <x:c r="J1012" s="35" t="str">
        <x:v>PVLA-CT-ABL-BLK-02</x:v>
      </x:c>
      <x:c r="K1012" s="35" t="str">
        <x:v>C-CF01-B</x:v>
      </x:c>
      <x:c r="L1012" s="31" t="str">
        <x:v>[EMPTY STRING — provide no instruction tokens]</x:v>
      </x:c>
      <x:c r="M1012" s="31" t="str">
        <x:v>Leave exactly three objects in the bowl.</x:v>
      </x:c>
      <x:c r="N1012" s="31" t="str">
        <x:v>C-CF01B: bowl=[blue pen, yellow block] (2); table=[green pencil sharpener, airplane toy without propellers]; robot home; acceptable action=add either table object.</x:v>
      </x:c>
      <x:c r="O1012" s="31" t="str">
        <x:v>No prespecified task success under blank language; record any action/selected target.</x:v>
      </x:c>
      <x:c r="P1012" s="31" t="str"/>
      <x:c r="Q1012" s="31" t="str"/>
      <x:c r="R1012" s="31" t="str"/>
      <x:c r="S1012" s="31" t="str">
        <x:f>IF('Blind Scoring'!I1012="","",'Blind Scoring'!I1012)</x:f>
      </x:c>
      <x:c r="T1012" s="31" t="str">
        <x:f>'Blind Scoring'!J1012</x:f>
        <x:v>No</x:v>
      </x:c>
      <x:c r="U1012" s="31" t="str">
        <x:f>IF('Blind Scoring'!L1012="","",'Blind Scoring'!L1012)</x:f>
      </x:c>
    </x:row>
    <x:row r="1013" ht="44" customHeight="1">
      <x:c r="A1013" s="35" t="str">
        <x:v>Not Started</x:v>
      </x:c>
      <x:c r="B1013" s="35" t="n">
        <x:v>1011</x:v>
      </x:c>
      <x:c r="C1013" s="35" t="str">
        <x:v>P17</x:v>
      </x:c>
      <x:c r="D1013" s="35" t="n">
        <x:v>20</x:v>
      </x:c>
      <x:c r="E1013" s="35" t="str">
        <x:v>Primary VLA</x:v>
      </x:c>
      <x:c r="F1013" s="35" t="str">
        <x:v>π0.5</x:v>
      </x:c>
      <x:c r="G1013" s="35" t="n">
        <x:v>2</x:v>
      </x:c>
      <x:c r="H1013" s="35" t="str">
        <x:v>Counting</x:v>
      </x:c>
      <x:c r="I1013" s="35" t="str">
        <x:v>Main matched control</x:v>
      </x:c>
      <x:c r="J1013" s="35" t="str">
        <x:v>PVLA-CT-CTL-14</x:v>
      </x:c>
      <x:c r="K1013" s="35" t="str">
        <x:v>C-CF10-B</x:v>
      </x:c>
      <x:c r="L1013" s="31" t="str">
        <x:v>Put the airplane toy without propellers in the bowl.</x:v>
      </x:c>
      <x:c r="M1013" s="31" t="str">
        <x:v>Put the airplane toy without propellers in the bowl.</x:v>
      </x:c>
      <x:c r="N1013" s="31" t="str">
        <x:v>C-CF10-CB: bowl=[yellow block, green pencil sharpener] (2); table=[airplane toy without propellers, blue pen]; robot home; acceptable action=add either table object.</x:v>
      </x:c>
      <x:c r="O1013" s="31" t="str">
        <x:v>ADD airplane toy without propellers</x:v>
      </x:c>
      <x:c r="P1013" s="31" t="str"/>
      <x:c r="Q1013" s="31" t="str"/>
      <x:c r="R1013" s="31" t="str"/>
      <x:c r="S1013" s="31" t="str">
        <x:f>IF('Blind Scoring'!I1013="","",'Blind Scoring'!I1013)</x:f>
      </x:c>
      <x:c r="T1013" s="31" t="str">
        <x:f>'Blind Scoring'!J1013</x:f>
        <x:v>No</x:v>
      </x:c>
      <x:c r="U1013" s="31" t="str">
        <x:f>IF('Blind Scoring'!L1013="","",'Blind Scoring'!L1013)</x:f>
      </x:c>
    </x:row>
    <x:row r="1014" ht="44" customHeight="1">
      <x:c r="A1014" s="35" t="str">
        <x:v>Not Started</x:v>
      </x:c>
      <x:c r="B1014" s="35" t="n">
        <x:v>1012</x:v>
      </x:c>
      <x:c r="C1014" s="35" t="str">
        <x:v>P17</x:v>
      </x:c>
      <x:c r="D1014" s="35" t="n">
        <x:v>21</x:v>
      </x:c>
      <x:c r="E1014" s="35" t="str">
        <x:v>Primary VLA</x:v>
      </x:c>
      <x:c r="F1014" s="35" t="str">
        <x:v>π0.5</x:v>
      </x:c>
      <x:c r="G1014" s="35" t="n">
        <x:v>2</x:v>
      </x:c>
      <x:c r="H1014" s="35" t="str">
        <x:v>Counting</x:v>
      </x:c>
      <x:c r="I1014" s="35" t="str">
        <x:v>Novel layout + seen language</x:v>
      </x:c>
      <x:c r="J1014" s="35" t="str">
        <x:v>PVLA-CT-NOV-04</x:v>
      </x:c>
      <x:c r="K1014" s="35" t="str"/>
      <x:c r="L1014" s="31" t="str">
        <x:v>Adjust the bowl so that it contains two objects.</x:v>
      </x:c>
      <x:c r="M1014" s="31" t="str">
        <x:v>Adjust the bowl so that it contains two objects.</x:v>
      </x:c>
      <x:c r="N1014" s="31" t="str">
        <x:v>C-N09: bowl=[blue pen] (1); table left→right=[yellow block, green pencil sharpener, airplane toy without propellers]; robot home.</x:v>
      </x:c>
      <x:c r="O1014" s="31" t="str"/>
      <x:c r="P1014" s="31" t="str"/>
      <x:c r="Q1014" s="31" t="str"/>
      <x:c r="R1014" s="31" t="str"/>
      <x:c r="S1014" s="31" t="str">
        <x:f>IF('Blind Scoring'!I1014="","",'Blind Scoring'!I1014)</x:f>
      </x:c>
      <x:c r="T1014" s="31" t="str">
        <x:f>'Blind Scoring'!J1014</x:f>
        <x:v>No</x:v>
      </x:c>
      <x:c r="U1014" s="31" t="str">
        <x:f>IF('Blind Scoring'!L1014="","",'Blind Scoring'!L1014)</x:f>
      </x:c>
    </x:row>
    <x:row r="1015" ht="44" customHeight="1">
      <x:c r="A1015" s="35" t="str">
        <x:v>Not Started</x:v>
      </x:c>
      <x:c r="B1015" s="35" t="n">
        <x:v>1013</x:v>
      </x:c>
      <x:c r="C1015" s="35" t="str">
        <x:v>P17</x:v>
      </x:c>
      <x:c r="D1015" s="35" t="n">
        <x:v>22</x:v>
      </x:c>
      <x:c r="E1015" s="35" t="str">
        <x:v>Primary VLA</x:v>
      </x:c>
      <x:c r="F1015" s="35" t="str">
        <x:v>π0.5</x:v>
      </x:c>
      <x:c r="G1015" s="35" t="n">
        <x:v>2</x:v>
      </x:c>
      <x:c r="H1015" s="35" t="str">
        <x:v>Counting</x:v>
      </x:c>
      <x:c r="I1015" s="35" t="str">
        <x:v>Novel layout + seen language</x:v>
      </x:c>
      <x:c r="J1015" s="35" t="str">
        <x:v>PVLA-CT-NOV-08</x:v>
      </x:c>
      <x:c r="K1015" s="35" t="str"/>
      <x:c r="L1015" s="31" t="str">
        <x:v>Make the bowl contain exactly zero objects.</x:v>
      </x:c>
      <x:c r="M1015" s="31" t="str">
        <x:v>Make the bowl contain exactly zero objects.</x:v>
      </x:c>
      <x:c r="N1015" s="31" t="str">
        <x:v>C-N20: bowl=[yellow block] (1); table left→right=[green pencil sharpener, airplane toy without propellers, blue pen]; robot home.</x:v>
      </x:c>
      <x:c r="O1015" s="31" t="str"/>
      <x:c r="P1015" s="31" t="str"/>
      <x:c r="Q1015" s="31" t="str"/>
      <x:c r="R1015" s="31" t="str"/>
      <x:c r="S1015" s="31" t="str">
        <x:f>IF('Blind Scoring'!I1015="","",'Blind Scoring'!I1015)</x:f>
      </x:c>
      <x:c r="T1015" s="31" t="str">
        <x:f>'Blind Scoring'!J1015</x:f>
        <x:v>No</x:v>
      </x:c>
      <x:c r="U1015" s="31" t="str">
        <x:f>IF('Blind Scoring'!L1015="","",'Blind Scoring'!L1015)</x:f>
      </x:c>
    </x:row>
    <x:row r="1016" ht="44" customHeight="1">
      <x:c r="A1016" s="35" t="str">
        <x:v>Not Started</x:v>
      </x:c>
      <x:c r="B1016" s="35" t="n">
        <x:v>1014</x:v>
      </x:c>
      <x:c r="C1016" s="35" t="str">
        <x:v>P17</x:v>
      </x:c>
      <x:c r="D1016" s="35" t="n">
        <x:v>23</x:v>
      </x:c>
      <x:c r="E1016" s="35" t="str">
        <x:v>Primary VLA</x:v>
      </x:c>
      <x:c r="F1016" s="35" t="str">
        <x:v>π0.5</x:v>
      </x:c>
      <x:c r="G1016" s="35" t="n">
        <x:v>2</x:v>
      </x:c>
      <x:c r="H1016" s="35" t="str">
        <x:v>Counting</x:v>
      </x:c>
      <x:c r="I1016" s="35" t="str">
        <x:v>Main held-out transfer</x:v>
      </x:c>
      <x:c r="J1016" s="35" t="str">
        <x:v>PVLA-CT-TR-07</x:v>
      </x:c>
      <x:c r="K1016" s="35" t="str">
        <x:v>C-CF06-A</x:v>
      </x:c>
      <x:c r="L1016" s="31" t="str">
        <x:v>Leave exactly one object in the bowl.</x:v>
      </x:c>
      <x:c r="M1016" s="31" t="str">
        <x:v>Leave exactly one object in the bowl.</x:v>
      </x:c>
      <x:c r="N1016" s="31" t="str">
        <x:v>C-CF06A: bowl=[yellow block, green pencil sharpener] (2); table=[airplane toy without propellers, blue pen]; robot home; acceptable action=remove either bowl object.</x:v>
      </x:c>
      <x:c r="O1016" s="31" t="str">
        <x:v>REMOVE one bowl object</x:v>
      </x:c>
      <x:c r="P1016" s="31" t="str"/>
      <x:c r="Q1016" s="31" t="str"/>
      <x:c r="R1016" s="31" t="str"/>
      <x:c r="S1016" s="31" t="str">
        <x:f>IF('Blind Scoring'!I1016="","",'Blind Scoring'!I1016)</x:f>
      </x:c>
      <x:c r="T1016" s="31" t="str">
        <x:f>'Blind Scoring'!J1016</x:f>
        <x:v>No</x:v>
      </x:c>
      <x:c r="U1016" s="31" t="str">
        <x:f>IF('Blind Scoring'!L1016="","",'Blind Scoring'!L1016)</x:f>
      </x:c>
    </x:row>
    <x:row r="1017" ht="44" customHeight="1">
      <x:c r="A1017" s="35" t="str">
        <x:v>Not Started</x:v>
      </x:c>
      <x:c r="B1017" s="35" t="n">
        <x:v>1015</x:v>
      </x:c>
      <x:c r="C1017" s="35" t="str">
        <x:v>P17</x:v>
      </x:c>
      <x:c r="D1017" s="35" t="n">
        <x:v>24</x:v>
      </x:c>
      <x:c r="E1017" s="35" t="str">
        <x:v>Primary VLA</x:v>
      </x:c>
      <x:c r="F1017" s="35" t="str">
        <x:v>π0.5</x:v>
      </x:c>
      <x:c r="G1017" s="35" t="n">
        <x:v>2</x:v>
      </x:c>
      <x:c r="H1017" s="35" t="str">
        <x:v>Counting</x:v>
      </x:c>
      <x:c r="I1017" s="35" t="str">
        <x:v>Main matched control</x:v>
      </x:c>
      <x:c r="J1017" s="35" t="str">
        <x:v>PVLA-CT-CTL-13</x:v>
      </x:c>
      <x:c r="K1017" s="35" t="str">
        <x:v>C-CF10-A</x:v>
      </x:c>
      <x:c r="L1017" s="31" t="str">
        <x:v>Remove the yellow block from the bowl.</x:v>
      </x:c>
      <x:c r="M1017" s="31" t="str">
        <x:v>Remove the yellow block from the bowl.</x:v>
      </x:c>
      <x:c r="N1017" s="31" t="str">
        <x:v>C-CF10-CA: bowl=[yellow block, green pencil sharpener] (2); table=[airplane toy without propellers, blue pen]; robot home; acceptable action=remove either bowl object.</x:v>
      </x:c>
      <x:c r="O1017" s="31" t="str">
        <x:v>REMOVE yellow block</x:v>
      </x:c>
      <x:c r="P1017" s="31" t="str"/>
      <x:c r="Q1017" s="31" t="str"/>
      <x:c r="R1017" s="31" t="str"/>
      <x:c r="S1017" s="31" t="str">
        <x:f>IF('Blind Scoring'!I1017="","",'Blind Scoring'!I1017)</x:f>
      </x:c>
      <x:c r="T1017" s="31" t="str">
        <x:f>'Blind Scoring'!J1017</x:f>
        <x:v>No</x:v>
      </x:c>
      <x:c r="U1017" s="31" t="str">
        <x:f>IF('Blind Scoring'!L1017="","",'Blind Scoring'!L1017)</x:f>
      </x:c>
    </x:row>
    <x:row r="1018" ht="44" customHeight="1">
      <x:c r="A1018" s="35" t="str">
        <x:v>Not Started</x:v>
      </x:c>
      <x:c r="B1018" s="35" t="n">
        <x:v>1016</x:v>
      </x:c>
      <x:c r="C1018" s="35" t="str">
        <x:v>P17</x:v>
      </x:c>
      <x:c r="D1018" s="35" t="n">
        <x:v>25</x:v>
      </x:c>
      <x:c r="E1018" s="35" t="str">
        <x:v>Primary VLA</x:v>
      </x:c>
      <x:c r="F1018" s="35" t="str">
        <x:v>π0.5</x:v>
      </x:c>
      <x:c r="G1018" s="35" t="n">
        <x:v>2</x:v>
      </x:c>
      <x:c r="H1018" s="35" t="str">
        <x:v>Counting</x:v>
      </x:c>
      <x:c r="I1018" s="35" t="str">
        <x:v>Main matched control</x:v>
      </x:c>
      <x:c r="J1018" s="35" t="str">
        <x:v>PVLA-CT-CTL-10</x:v>
      </x:c>
      <x:c r="K1018" s="35" t="str">
        <x:v>C-CF07-B</x:v>
      </x:c>
      <x:c r="L1018" s="31" t="str">
        <x:v>Put the blue pen in the bowl.</x:v>
      </x:c>
      <x:c r="M1018" s="31" t="str">
        <x:v>Put the blue pen in the bowl.</x:v>
      </x:c>
      <x:c r="N1018" s="31" t="str">
        <x:v>C-CF07-CB: bowl=[green pencil sharpener, airplane toy without propellers] (2); table=[blue pen, yellow block]; robot home; acceptable action=add either table object.</x:v>
      </x:c>
      <x:c r="O1018" s="31" t="str">
        <x:v>ADD blue pen</x:v>
      </x:c>
      <x:c r="P1018" s="31" t="str"/>
      <x:c r="Q1018" s="31" t="str"/>
      <x:c r="R1018" s="31" t="str"/>
      <x:c r="S1018" s="31" t="str">
        <x:f>IF('Blind Scoring'!I1018="","",'Blind Scoring'!I1018)</x:f>
      </x:c>
      <x:c r="T1018" s="31" t="str">
        <x:f>'Blind Scoring'!J1018</x:f>
        <x:v>No</x:v>
      </x:c>
      <x:c r="U1018" s="31" t="str">
        <x:f>IF('Blind Scoring'!L1018="","",'Blind Scoring'!L1018)</x:f>
      </x:c>
    </x:row>
    <x:row r="1019" ht="44" customHeight="1">
      <x:c r="A1019" s="35" t="str">
        <x:v>Not Started</x:v>
      </x:c>
      <x:c r="B1019" s="35" t="n">
        <x:v>1017</x:v>
      </x:c>
      <x:c r="C1019" s="35" t="str">
        <x:v>P17</x:v>
      </x:c>
      <x:c r="D1019" s="35" t="n">
        <x:v>26</x:v>
      </x:c>
      <x:c r="E1019" s="35" t="str">
        <x:v>Primary VLA</x:v>
      </x:c>
      <x:c r="F1019" s="35" t="str">
        <x:v>π0.5</x:v>
      </x:c>
      <x:c r="G1019" s="35" t="n">
        <x:v>2</x:v>
      </x:c>
      <x:c r="H1019" s="35" t="str">
        <x:v>Counting</x:v>
      </x:c>
      <x:c r="I1019" s="35" t="str">
        <x:v>Main held-out transfer</x:v>
      </x:c>
      <x:c r="J1019" s="35" t="str">
        <x:v>PVLA-CT-TR-16</x:v>
      </x:c>
      <x:c r="K1019" s="35" t="str">
        <x:v>C-CF12-B</x:v>
      </x:c>
      <x:c r="L1019" s="31" t="str">
        <x:v>Leave exactly three objects in the bowl.</x:v>
      </x:c>
      <x:c r="M1019" s="31" t="str">
        <x:v>Leave exactly three objects in the bowl.</x:v>
      </x:c>
      <x:c r="N1019" s="31" t="str">
        <x:v>C-CF12B: bowl=[airplane toy without propellers, blue pen] (2); table=[yellow block, green pencil sharpener]; robot home; acceptable action=add either table object.</x:v>
      </x:c>
      <x:c r="O1019" s="31" t="str">
        <x:v>ADD one table object</x:v>
      </x:c>
      <x:c r="P1019" s="31" t="str"/>
      <x:c r="Q1019" s="31" t="str"/>
      <x:c r="R1019" s="31" t="str"/>
      <x:c r="S1019" s="31" t="str">
        <x:f>IF('Blind Scoring'!I1019="","",'Blind Scoring'!I1019)</x:f>
      </x:c>
      <x:c r="T1019" s="31" t="str">
        <x:f>'Blind Scoring'!J1019</x:f>
        <x:v>No</x:v>
      </x:c>
      <x:c r="U1019" s="31" t="str">
        <x:f>IF('Blind Scoring'!L1019="","",'Blind Scoring'!L1019)</x:f>
      </x:c>
    </x:row>
    <x:row r="1020" ht="44" customHeight="1">
      <x:c r="A1020" s="35" t="str">
        <x:v>Not Started</x:v>
      </x:c>
      <x:c r="B1020" s="35" t="n">
        <x:v>1018</x:v>
      </x:c>
      <x:c r="C1020" s="35" t="str">
        <x:v>P17</x:v>
      </x:c>
      <x:c r="D1020" s="35" t="n">
        <x:v>27</x:v>
      </x:c>
      <x:c r="E1020" s="35" t="str">
        <x:v>Primary VLA</x:v>
      </x:c>
      <x:c r="F1020" s="35" t="str">
        <x:v>π0.5</x:v>
      </x:c>
      <x:c r="G1020" s="35" t="n">
        <x:v>2</x:v>
      </x:c>
      <x:c r="H1020" s="35" t="str">
        <x:v>Counting</x:v>
      </x:c>
      <x:c r="I1020" s="35" t="str">
        <x:v>Novel layout + seen language</x:v>
      </x:c>
      <x:c r="J1020" s="35" t="str">
        <x:v>PVLA-CT-NOV-05</x:v>
      </x:c>
      <x:c r="K1020" s="35" t="str"/>
      <x:c r="L1020" s="31" t="str">
        <x:v>Adjust the bowl so that it contains zero objects.</x:v>
      </x:c>
      <x:c r="M1020" s="31" t="str">
        <x:v>Adjust the bowl so that it contains zero objects.</x:v>
      </x:c>
      <x:c r="N1020" s="31" t="str">
        <x:v>C-N12: bowl=[yellow block] (1); table left→right=[green pencil sharpener, airplane toy without propellers, blue pen]; robot home.</x:v>
      </x:c>
      <x:c r="O1020" s="31" t="str"/>
      <x:c r="P1020" s="31" t="str"/>
      <x:c r="Q1020" s="31" t="str"/>
      <x:c r="R1020" s="31" t="str"/>
      <x:c r="S1020" s="31" t="str">
        <x:f>IF('Blind Scoring'!I1020="","",'Blind Scoring'!I1020)</x:f>
      </x:c>
      <x:c r="T1020" s="31" t="str">
        <x:f>'Blind Scoring'!J1020</x:f>
        <x:v>No</x:v>
      </x:c>
      <x:c r="U1020" s="31" t="str">
        <x:f>IF('Blind Scoring'!L1020="","",'Blind Scoring'!L1020)</x:f>
      </x:c>
    </x:row>
    <x:row r="1021" ht="44" customHeight="1">
      <x:c r="A1021" s="35" t="str">
        <x:v>Not Started</x:v>
      </x:c>
      <x:c r="B1021" s="35" t="n">
        <x:v>1019</x:v>
      </x:c>
      <x:c r="C1021" s="35" t="str">
        <x:v>P17</x:v>
      </x:c>
      <x:c r="D1021" s="35" t="n">
        <x:v>28</x:v>
      </x:c>
      <x:c r="E1021" s="35" t="str">
        <x:v>Primary VLA</x:v>
      </x:c>
      <x:c r="F1021" s="35" t="str">
        <x:v>π0.5</x:v>
      </x:c>
      <x:c r="G1021" s="35" t="n">
        <x:v>2</x:v>
      </x:c>
      <x:c r="H1021" s="35" t="str">
        <x:v>Counting</x:v>
      </x:c>
      <x:c r="I1021" s="35" t="str">
        <x:v>Main held-out transfer</x:v>
      </x:c>
      <x:c r="J1021" s="35" t="str">
        <x:v>PVLA-CT-TR-06</x:v>
      </x:c>
      <x:c r="K1021" s="35" t="str">
        <x:v>C-CF04-B</x:v>
      </x:c>
      <x:c r="L1021" s="31" t="str">
        <x:v>Leave exactly three objects in the bowl.</x:v>
      </x:c>
      <x:c r="M1021" s="31" t="str">
        <x:v>Leave exactly three objects in the bowl.</x:v>
      </x:c>
      <x:c r="N1021" s="31" t="str">
        <x:v>C-CF04B: bowl=[airplane toy without propellers, blue pen] (2); table=[yellow block, green pencil sharpener]; robot home; acceptable action=add either table object.</x:v>
      </x:c>
      <x:c r="O1021" s="31" t="str">
        <x:v>ADD one table object</x:v>
      </x:c>
      <x:c r="P1021" s="31" t="str"/>
      <x:c r="Q1021" s="31" t="str"/>
      <x:c r="R1021" s="31" t="str"/>
      <x:c r="S1021" s="31" t="str">
        <x:f>IF('Blind Scoring'!I1021="","",'Blind Scoring'!I1021)</x:f>
      </x:c>
      <x:c r="T1021" s="31" t="str">
        <x:f>'Blind Scoring'!J1021</x:f>
        <x:v>No</x:v>
      </x:c>
      <x:c r="U1021" s="31" t="str">
        <x:f>IF('Blind Scoring'!L1021="","",'Blind Scoring'!L1021)</x:f>
      </x:c>
    </x:row>
    <x:row r="1022" ht="44" customHeight="1">
      <x:c r="A1022" s="35" t="str">
        <x:v>Not Started</x:v>
      </x:c>
      <x:c r="B1022" s="35" t="n">
        <x:v>1020</x:v>
      </x:c>
      <x:c r="C1022" s="35" t="str">
        <x:v>P17</x:v>
      </x:c>
      <x:c r="D1022" s="35" t="n">
        <x:v>29</x:v>
      </x:c>
      <x:c r="E1022" s="35" t="str">
        <x:v>Primary VLA</x:v>
      </x:c>
      <x:c r="F1022" s="35" t="str">
        <x:v>π0.5</x:v>
      </x:c>
      <x:c r="G1022" s="35" t="n">
        <x:v>2</x:v>
      </x:c>
      <x:c r="H1022" s="35" t="str">
        <x:v>Counting</x:v>
      </x:c>
      <x:c r="I1022" s="35" t="str">
        <x:v>Main held-out transfer</x:v>
      </x:c>
      <x:c r="J1022" s="35" t="str">
        <x:v>PVLA-CT-TR-03</x:v>
      </x:c>
      <x:c r="K1022" s="35" t="str">
        <x:v>C-CF03-A</x:v>
      </x:c>
      <x:c r="L1022" s="31" t="str">
        <x:v>Leave exactly one object in the bowl.</x:v>
      </x:c>
      <x:c r="M1022" s="31" t="str">
        <x:v>Leave exactly one object in the bowl.</x:v>
      </x:c>
      <x:c r="N1022" s="31" t="str">
        <x:v>C-CF03A: bowl=[green pencil sharpener, airplane toy without propellers] (2); table=[blue pen, yellow block]; robot home; acceptable action=remove either bowl object.</x:v>
      </x:c>
      <x:c r="O1022" s="31" t="str">
        <x:v>REMOVE one bowl object</x:v>
      </x:c>
      <x:c r="P1022" s="31" t="str"/>
      <x:c r="Q1022" s="31" t="str"/>
      <x:c r="R1022" s="31" t="str"/>
      <x:c r="S1022" s="31" t="str">
        <x:f>IF('Blind Scoring'!I1022="","",'Blind Scoring'!I1022)</x:f>
      </x:c>
      <x:c r="T1022" s="31" t="str">
        <x:f>'Blind Scoring'!J1022</x:f>
        <x:v>No</x:v>
      </x:c>
      <x:c r="U1022" s="31" t="str">
        <x:f>IF('Blind Scoring'!L1022="","",'Blind Scoring'!L1022)</x:f>
      </x:c>
    </x:row>
    <x:row r="1023" ht="44" customHeight="1">
      <x:c r="A1023" s="35" t="str">
        <x:v>Not Started</x:v>
      </x:c>
      <x:c r="B1023" s="35" t="n">
        <x:v>1021</x:v>
      </x:c>
      <x:c r="C1023" s="35" t="str">
        <x:v>P17</x:v>
      </x:c>
      <x:c r="D1023" s="35" t="n">
        <x:v>30</x:v>
      </x:c>
      <x:c r="E1023" s="35" t="str">
        <x:v>Primary VLA</x:v>
      </x:c>
      <x:c r="F1023" s="35" t="str">
        <x:v>π0.5</x:v>
      </x:c>
      <x:c r="G1023" s="35" t="n">
        <x:v>2</x:v>
      </x:c>
      <x:c r="H1023" s="35" t="str">
        <x:v>Counting</x:v>
      </x:c>
      <x:c r="I1023" s="35" t="str">
        <x:v>Main held-out transfer</x:v>
      </x:c>
      <x:c r="J1023" s="35" t="str">
        <x:v>PVLA-CT-TR-14</x:v>
      </x:c>
      <x:c r="K1023" s="35" t="str">
        <x:v>C-CF10-B</x:v>
      </x:c>
      <x:c r="L1023" s="31" t="str">
        <x:v>Leave exactly three objects in the bowl.</x:v>
      </x:c>
      <x:c r="M1023" s="31" t="str">
        <x:v>Leave exactly three objects in the bowl.</x:v>
      </x:c>
      <x:c r="N1023" s="31" t="str">
        <x:v>C-CF10B: bowl=[yellow block, green pencil sharpener] (2); table=[airplane toy without propellers, blue pen]; robot home; acceptable action=add either table object.</x:v>
      </x:c>
      <x:c r="O1023" s="31" t="str">
        <x:v>ADD one table object</x:v>
      </x:c>
      <x:c r="P1023" s="31" t="str"/>
      <x:c r="Q1023" s="31" t="str"/>
      <x:c r="R1023" s="31" t="str"/>
      <x:c r="S1023" s="31" t="str">
        <x:f>IF('Blind Scoring'!I1023="","",'Blind Scoring'!I1023)</x:f>
      </x:c>
      <x:c r="T1023" s="31" t="str">
        <x:f>'Blind Scoring'!J1023</x:f>
        <x:v>No</x:v>
      </x:c>
      <x:c r="U1023" s="31" t="str">
        <x:f>IF('Blind Scoring'!L1023="","",'Blind Scoring'!L1023)</x:f>
      </x:c>
    </x:row>
    <x:row r="1024" ht="44" customHeight="1">
      <x:c r="A1024" s="35" t="str">
        <x:v>Not Started</x:v>
      </x:c>
      <x:c r="B1024" s="35" t="n">
        <x:v>1022</x:v>
      </x:c>
      <x:c r="C1024" s="35" t="str">
        <x:v>P17</x:v>
      </x:c>
      <x:c r="D1024" s="35" t="n">
        <x:v>31</x:v>
      </x:c>
      <x:c r="E1024" s="35" t="str">
        <x:v>Primary VLA</x:v>
      </x:c>
      <x:c r="F1024" s="35" t="str">
        <x:v>π0.5</x:v>
      </x:c>
      <x:c r="G1024" s="35" t="n">
        <x:v>2</x:v>
      </x:c>
      <x:c r="H1024" s="35" t="str">
        <x:v>Counting</x:v>
      </x:c>
      <x:c r="I1024" s="35" t="str">
        <x:v>Training reconstruction</x:v>
      </x:c>
      <x:c r="J1024" s="35" t="str">
        <x:v>PVLA-CT-REC-04</x:v>
      </x:c>
      <x:c r="K1024" s="35" t="str"/>
      <x:c r="L1024" s="31" t="str">
        <x:v>Leave exactly two objects in the bowl.</x:v>
      </x:c>
      <x:c r="M1024" s="31" t="str">
        <x:v>Leave exactly two objects in the bowl.</x:v>
      </x:c>
      <x:c r="N1024" s="31" t="str">
        <x:v>Reconstruct planned final training episode 861: green pencil sharpener, yellow block, airplane toy without propellers, blue pen; start=Post-Drop. Match camera, calibration, bowl pose, and object geometry exactly.</x:v>
      </x:c>
      <x:c r="O1024" s="31" t="str">
        <x:v>yellow block</x:v>
      </x:c>
      <x:c r="P1024" s="31" t="str"/>
      <x:c r="Q1024" s="31" t="str"/>
      <x:c r="R1024" s="31" t="str"/>
      <x:c r="S1024" s="31" t="str">
        <x:f>IF('Blind Scoring'!I1024="","",'Blind Scoring'!I1024)</x:f>
      </x:c>
      <x:c r="T1024" s="31" t="str">
        <x:f>'Blind Scoring'!J1024</x:f>
        <x:v>No</x:v>
      </x:c>
      <x:c r="U1024" s="31" t="str">
        <x:f>IF('Blind Scoring'!L1024="","",'Blind Scoring'!L1024)</x:f>
      </x:c>
    </x:row>
    <x:row r="1025" ht="44" customHeight="1">
      <x:c r="A1025" s="35" t="str">
        <x:v>Not Started</x:v>
      </x:c>
      <x:c r="B1025" s="35" t="n">
        <x:v>1023</x:v>
      </x:c>
      <x:c r="C1025" s="35" t="str">
        <x:v>P17</x:v>
      </x:c>
      <x:c r="D1025" s="35" t="n">
        <x:v>32</x:v>
      </x:c>
      <x:c r="E1025" s="35" t="str">
        <x:v>Primary VLA</x:v>
      </x:c>
      <x:c r="F1025" s="35" t="str">
        <x:v>π0.5</x:v>
      </x:c>
      <x:c r="G1025" s="35" t="n">
        <x:v>2</x:v>
      </x:c>
      <x:c r="H1025" s="35" t="str">
        <x:v>Counting</x:v>
      </x:c>
      <x:c r="I1025" s="35" t="str">
        <x:v>Exact-scene paraphrase</x:v>
      </x:c>
      <x:c r="J1025" s="35" t="str">
        <x:v>PVLA-CT-PAR-01</x:v>
      </x:c>
      <x:c r="K1025" s="35" t="str"/>
      <x:c r="L1025" s="31" t="str">
        <x:v>Finish with two objects in the bowl.</x:v>
      </x:c>
      <x:c r="M1025" s="31" t="str">
        <x:v>Finish with two objects in the bowl.</x:v>
      </x:c>
      <x:c r="N1025" s="31" t="str">
        <x:v>C-N01: bowl=[blue pen] (1); table left→right=[yellow block, green pencil sharpener, airplane toy without propellers]; robot home.</x:v>
      </x:c>
      <x:c r="O1025" s="31" t="str"/>
      <x:c r="P1025" s="31" t="str"/>
      <x:c r="Q1025" s="31" t="str"/>
      <x:c r="R1025" s="31" t="str"/>
      <x:c r="S1025" s="31" t="str">
        <x:f>IF('Blind Scoring'!I1025="","",'Blind Scoring'!I1025)</x:f>
      </x:c>
      <x:c r="T1025" s="31" t="str">
        <x:f>'Blind Scoring'!J1025</x:f>
        <x:v>No</x:v>
      </x:c>
      <x:c r="U1025" s="31" t="str">
        <x:f>IF('Blind Scoring'!L1025="","",'Blind Scoring'!L1025)</x:f>
      </x:c>
    </x:row>
    <x:row r="1026" ht="44" customHeight="1">
      <x:c r="A1026" s="35" t="str">
        <x:v>Not Started</x:v>
      </x:c>
      <x:c r="B1026" s="35" t="n">
        <x:v>1024</x:v>
      </x:c>
      <x:c r="C1026" s="35" t="str">
        <x:v>P17</x:v>
      </x:c>
      <x:c r="D1026" s="35" t="n">
        <x:v>33</x:v>
      </x:c>
      <x:c r="E1026" s="35" t="str">
        <x:v>Primary VLA</x:v>
      </x:c>
      <x:c r="F1026" s="35" t="str">
        <x:v>π0.5</x:v>
      </x:c>
      <x:c r="G1026" s="35" t="n">
        <x:v>2</x:v>
      </x:c>
      <x:c r="H1026" s="35" t="str">
        <x:v>Counting</x:v>
      </x:c>
      <x:c r="I1026" s="35" t="str">
        <x:v>Main matched control</x:v>
      </x:c>
      <x:c r="J1026" s="35" t="str">
        <x:v>PVLA-CT-CTL-09</x:v>
      </x:c>
      <x:c r="K1026" s="35" t="str">
        <x:v>C-CF07-A</x:v>
      </x:c>
      <x:c r="L1026" s="31" t="str">
        <x:v>Remove the green pencil sharpener from the bowl.</x:v>
      </x:c>
      <x:c r="M1026" s="31" t="str">
        <x:v>Remove the green pencil sharpener from the bowl.</x:v>
      </x:c>
      <x:c r="N1026" s="31" t="str">
        <x:v>C-CF07-CA: bowl=[green pencil sharpener, airplane toy without propellers] (2); table=[blue pen, yellow block]; robot home; acceptable action=remove either bowl object.</x:v>
      </x:c>
      <x:c r="O1026" s="31" t="str">
        <x:v>REMOVE green pencil sharpener</x:v>
      </x:c>
      <x:c r="P1026" s="31" t="str"/>
      <x:c r="Q1026" s="31" t="str"/>
      <x:c r="R1026" s="31" t="str"/>
      <x:c r="S1026" s="31" t="str">
        <x:f>IF('Blind Scoring'!I1026="","",'Blind Scoring'!I1026)</x:f>
      </x:c>
      <x:c r="T1026" s="31" t="str">
        <x:f>'Blind Scoring'!J1026</x:f>
        <x:v>No</x:v>
      </x:c>
      <x:c r="U1026" s="31" t="str">
        <x:f>IF('Blind Scoring'!L1026="","",'Blind Scoring'!L1026)</x:f>
      </x:c>
    </x:row>
    <x:row r="1027" ht="44" customHeight="1">
      <x:c r="A1027" s="35" t="str">
        <x:v>Not Started</x:v>
      </x:c>
      <x:c r="B1027" s="35" t="n">
        <x:v>1025</x:v>
      </x:c>
      <x:c r="C1027" s="35" t="str">
        <x:v>P17</x:v>
      </x:c>
      <x:c r="D1027" s="35" t="n">
        <x:v>34</x:v>
      </x:c>
      <x:c r="E1027" s="35" t="str">
        <x:v>Primary VLA</x:v>
      </x:c>
      <x:c r="F1027" s="35" t="str">
        <x:v>π0.5</x:v>
      </x:c>
      <x:c r="G1027" s="35" t="n">
        <x:v>2</x:v>
      </x:c>
      <x:c r="H1027" s="35" t="str">
        <x:v>Counting</x:v>
      </x:c>
      <x:c r="I1027" s="35" t="str">
        <x:v>Exact-scene paraphrase</x:v>
      </x:c>
      <x:c r="J1027" s="35" t="str">
        <x:v>PVLA-CT-PAR-02</x:v>
      </x:c>
      <x:c r="K1027" s="35" t="str"/>
      <x:c r="L1027" s="31" t="str">
        <x:v>Finish with two objects in the bowl.</x:v>
      </x:c>
      <x:c r="M1027" s="31" t="str">
        <x:v>Finish with two objects in the bowl.</x:v>
      </x:c>
      <x:c r="N1027" s="31" t="str">
        <x:v>C-N01: bowl=[blue pen] (1); table left→right=[yellow block, green pencil sharpener, airplane toy without propellers]; robot home.</x:v>
      </x:c>
      <x:c r="O1027" s="31" t="str"/>
      <x:c r="P1027" s="31" t="str"/>
      <x:c r="Q1027" s="31" t="str"/>
      <x:c r="R1027" s="31" t="str"/>
      <x:c r="S1027" s="31" t="str">
        <x:f>IF('Blind Scoring'!I1027="","",'Blind Scoring'!I1027)</x:f>
      </x:c>
      <x:c r="T1027" s="31" t="str">
        <x:f>'Blind Scoring'!J1027</x:f>
        <x:v>No</x:v>
      </x:c>
      <x:c r="U1027" s="31" t="str">
        <x:f>IF('Blind Scoring'!L1027="","",'Blind Scoring'!L1027)</x:f>
      </x:c>
    </x:row>
    <x:row r="1028" ht="44" customHeight="1">
      <x:c r="A1028" s="35" t="str">
        <x:v>Not Started</x:v>
      </x:c>
      <x:c r="B1028" s="35" t="n">
        <x:v>1026</x:v>
      </x:c>
      <x:c r="C1028" s="35" t="str">
        <x:v>P17</x:v>
      </x:c>
      <x:c r="D1028" s="35" t="n">
        <x:v>35</x:v>
      </x:c>
      <x:c r="E1028" s="35" t="str">
        <x:v>Primary VLA</x:v>
      </x:c>
      <x:c r="F1028" s="35" t="str">
        <x:v>π0.5</x:v>
      </x:c>
      <x:c r="G1028" s="35" t="n">
        <x:v>2</x:v>
      </x:c>
      <x:c r="H1028" s="35" t="str">
        <x:v>Counting</x:v>
      </x:c>
      <x:c r="I1028" s="35" t="str">
        <x:v>Main held-out transfer</x:v>
      </x:c>
      <x:c r="J1028" s="35" t="str">
        <x:v>PVLA-CT-TR-15</x:v>
      </x:c>
      <x:c r="K1028" s="35" t="str">
        <x:v>C-CF12-A</x:v>
      </x:c>
      <x:c r="L1028" s="31" t="str">
        <x:v>Leave exactly one object in the bowl.</x:v>
      </x:c>
      <x:c r="M1028" s="31" t="str">
        <x:v>Leave exactly one object in the bowl.</x:v>
      </x:c>
      <x:c r="N1028" s="31" t="str">
        <x:v>C-CF12A: bowl=[airplane toy without propellers, blue pen] (2); table=[yellow block, green pencil sharpener]; robot home; acceptable action=remove either bowl object.</x:v>
      </x:c>
      <x:c r="O1028" s="31" t="str">
        <x:v>REMOVE one bowl object</x:v>
      </x:c>
      <x:c r="P1028" s="31" t="str"/>
      <x:c r="Q1028" s="31" t="str"/>
      <x:c r="R1028" s="31" t="str"/>
      <x:c r="S1028" s="31" t="str">
        <x:f>IF('Blind Scoring'!I1028="","",'Blind Scoring'!I1028)</x:f>
      </x:c>
      <x:c r="T1028" s="31" t="str">
        <x:f>'Blind Scoring'!J1028</x:f>
        <x:v>No</x:v>
      </x:c>
      <x:c r="U1028" s="31" t="str">
        <x:f>IF('Blind Scoring'!L1028="","",'Blind Scoring'!L1028)</x:f>
      </x:c>
    </x:row>
    <x:row r="1029" ht="44" customHeight="1">
      <x:c r="A1029" s="35" t="str">
        <x:v>Not Started</x:v>
      </x:c>
      <x:c r="B1029" s="35" t="n">
        <x:v>1027</x:v>
      </x:c>
      <x:c r="C1029" s="35" t="str">
        <x:v>P17</x:v>
      </x:c>
      <x:c r="D1029" s="35" t="n">
        <x:v>36</x:v>
      </x:c>
      <x:c r="E1029" s="35" t="str">
        <x:v>Primary VLA</x:v>
      </x:c>
      <x:c r="F1029" s="35" t="str">
        <x:v>π0.5</x:v>
      </x:c>
      <x:c r="G1029" s="35" t="n">
        <x:v>2</x:v>
      </x:c>
      <x:c r="H1029" s="35" t="str">
        <x:v>Counting</x:v>
      </x:c>
      <x:c r="I1029" s="35" t="str">
        <x:v>Exact-scene paraphrase</x:v>
      </x:c>
      <x:c r="J1029" s="35" t="str">
        <x:v>PVLA-CT-PAR-06</x:v>
      </x:c>
      <x:c r="K1029" s="35" t="str"/>
      <x:c r="L1029" s="31" t="str">
        <x:v>Finish with two objects in the bowl.</x:v>
      </x:c>
      <x:c r="M1029" s="31" t="str">
        <x:v>Finish with two objects in the bowl.</x:v>
      </x:c>
      <x:c r="N1029" s="31" t="str">
        <x:v>C-N01: bowl=[blue pen] (1); table left→right=[yellow block, green pencil sharpener, airplane toy without propellers]; robot home.</x:v>
      </x:c>
      <x:c r="O1029" s="31" t="str"/>
      <x:c r="P1029" s="31" t="str"/>
      <x:c r="Q1029" s="31" t="str"/>
      <x:c r="R1029" s="31" t="str"/>
      <x:c r="S1029" s="31" t="str">
        <x:f>IF('Blind Scoring'!I1029="","",'Blind Scoring'!I1029)</x:f>
      </x:c>
      <x:c r="T1029" s="31" t="str">
        <x:f>'Blind Scoring'!J1029</x:f>
        <x:v>No</x:v>
      </x:c>
      <x:c r="U1029" s="31" t="str">
        <x:f>IF('Blind Scoring'!L1029="","",'Blind Scoring'!L1029)</x:f>
      </x:c>
    </x:row>
    <x:row r="1030" ht="44" customHeight="1">
      <x:c r="A1030" s="35" t="str">
        <x:v>Not Started</x:v>
      </x:c>
      <x:c r="B1030" s="35" t="n">
        <x:v>1028</x:v>
      </x:c>
      <x:c r="C1030" s="35" t="str">
        <x:v>P17</x:v>
      </x:c>
      <x:c r="D1030" s="35" t="n">
        <x:v>37</x:v>
      </x:c>
      <x:c r="E1030" s="35" t="str">
        <x:v>Primary VLA</x:v>
      </x:c>
      <x:c r="F1030" s="35" t="str">
        <x:v>π0.5</x:v>
      </x:c>
      <x:c r="G1030" s="35" t="n">
        <x:v>2</x:v>
      </x:c>
      <x:c r="H1030" s="35" t="str">
        <x:v>Counting</x:v>
      </x:c>
      <x:c r="I1030" s="35" t="str">
        <x:v>Main matched control</x:v>
      </x:c>
      <x:c r="J1030" s="35" t="str">
        <x:v>PVLA-CT-CTL-07</x:v>
      </x:c>
      <x:c r="K1030" s="35" t="str">
        <x:v>C-CF06-A</x:v>
      </x:c>
      <x:c r="L1030" s="31" t="str">
        <x:v>Remove the yellow block from the bowl.</x:v>
      </x:c>
      <x:c r="M1030" s="31" t="str">
        <x:v>Remove the yellow block from the bowl.</x:v>
      </x:c>
      <x:c r="N1030" s="31" t="str">
        <x:v>C-CF06-CA: bowl=[yellow block, green pencil sharpener] (2); table=[airplane toy without propellers, blue pen]; robot home; acceptable action=remove either bowl object.</x:v>
      </x:c>
      <x:c r="O1030" s="31" t="str">
        <x:v>REMOVE yellow block</x:v>
      </x:c>
      <x:c r="P1030" s="31" t="str"/>
      <x:c r="Q1030" s="31" t="str"/>
      <x:c r="R1030" s="31" t="str"/>
      <x:c r="S1030" s="31" t="str">
        <x:f>IF('Blind Scoring'!I1030="","",'Blind Scoring'!I1030)</x:f>
      </x:c>
      <x:c r="T1030" s="31" t="str">
        <x:f>'Blind Scoring'!J1030</x:f>
        <x:v>No</x:v>
      </x:c>
      <x:c r="U1030" s="31" t="str">
        <x:f>IF('Blind Scoring'!L1030="","",'Blind Scoring'!L1030)</x:f>
      </x:c>
    </x:row>
    <x:row r="1031" ht="44" customHeight="1">
      <x:c r="A1031" s="35" t="str">
        <x:v>Not Started</x:v>
      </x:c>
      <x:c r="B1031" s="35" t="n">
        <x:v>1029</x:v>
      </x:c>
      <x:c r="C1031" s="35" t="str">
        <x:v>P17</x:v>
      </x:c>
      <x:c r="D1031" s="35" t="n">
        <x:v>38</x:v>
      </x:c>
      <x:c r="E1031" s="35" t="str">
        <x:v>Primary VLA</x:v>
      </x:c>
      <x:c r="F1031" s="35" t="str">
        <x:v>π0.5</x:v>
      </x:c>
      <x:c r="G1031" s="35" t="n">
        <x:v>2</x:v>
      </x:c>
      <x:c r="H1031" s="35" t="str">
        <x:v>Counting</x:v>
      </x:c>
      <x:c r="I1031" s="35" t="str">
        <x:v>Exact-scene paraphrase</x:v>
      </x:c>
      <x:c r="J1031" s="35" t="str">
        <x:v>PVLA-CT-PAR-03</x:v>
      </x:c>
      <x:c r="K1031" s="35" t="str"/>
      <x:c r="L1031" s="31" t="str">
        <x:v>Finish with two objects in the bowl.</x:v>
      </x:c>
      <x:c r="M1031" s="31" t="str">
        <x:v>Finish with two objects in the bowl.</x:v>
      </x:c>
      <x:c r="N1031" s="31" t="str">
        <x:v>C-N01: bowl=[blue pen] (1); table left→right=[yellow block, green pencil sharpener, airplane toy without propellers]; robot home.</x:v>
      </x:c>
      <x:c r="O1031" s="31" t="str"/>
      <x:c r="P1031" s="31" t="str"/>
      <x:c r="Q1031" s="31" t="str"/>
      <x:c r="R1031" s="31" t="str"/>
      <x:c r="S1031" s="31" t="str">
        <x:f>IF('Blind Scoring'!I1031="","",'Blind Scoring'!I1031)</x:f>
      </x:c>
      <x:c r="T1031" s="31" t="str">
        <x:f>'Blind Scoring'!J1031</x:f>
        <x:v>No</x:v>
      </x:c>
      <x:c r="U1031" s="31" t="str">
        <x:f>IF('Blind Scoring'!L1031="","",'Blind Scoring'!L1031)</x:f>
      </x:c>
    </x:row>
    <x:row r="1032" ht="44" customHeight="1">
      <x:c r="A1032" s="35" t="str">
        <x:v>Not Started</x:v>
      </x:c>
      <x:c r="B1032" s="35" t="n">
        <x:v>1030</x:v>
      </x:c>
      <x:c r="C1032" s="35" t="str">
        <x:v>P17</x:v>
      </x:c>
      <x:c r="D1032" s="35" t="n">
        <x:v>39</x:v>
      </x:c>
      <x:c r="E1032" s="35" t="str">
        <x:v>Primary VLA</x:v>
      </x:c>
      <x:c r="F1032" s="35" t="str">
        <x:v>π0.5</x:v>
      </x:c>
      <x:c r="G1032" s="35" t="n">
        <x:v>2</x:v>
      </x:c>
      <x:c r="H1032" s="35" t="str">
        <x:v>Counting</x:v>
      </x:c>
      <x:c r="I1032" s="35" t="str">
        <x:v>Training reconstruction</x:v>
      </x:c>
      <x:c r="J1032" s="35" t="str">
        <x:v>PVLA-CT-REC-06</x:v>
      </x:c>
      <x:c r="K1032" s="35" t="str"/>
      <x:c r="L1032" s="31" t="str">
        <x:v>Move the airplane toy without propellers into the bowl.</x:v>
      </x:c>
      <x:c r="M1032" s="31" t="str">
        <x:v>Move the airplane toy without propellers into the bowl.</x:v>
      </x:c>
      <x:c r="N1032" s="31" t="str">
        <x:v>Reconstruct planned final training episode 950: airplane toy without propellers, blue pen, yellow block, green pencil sharpener; start=Home. Match camera, calibration, bowl pose, and object geometry exactly.</x:v>
      </x:c>
      <x:c r="O1032" s="31" t="str">
        <x:v>airplane toy without propellers</x:v>
      </x:c>
      <x:c r="P1032" s="31" t="str"/>
      <x:c r="Q1032" s="31" t="str"/>
      <x:c r="R1032" s="31" t="str"/>
      <x:c r="S1032" s="31" t="str">
        <x:f>IF('Blind Scoring'!I1032="","",'Blind Scoring'!I1032)</x:f>
      </x:c>
      <x:c r="T1032" s="31" t="str">
        <x:f>'Blind Scoring'!J1032</x:f>
        <x:v>No</x:v>
      </x:c>
      <x:c r="U1032" s="31" t="str">
        <x:f>IF('Blind Scoring'!L1032="","",'Blind Scoring'!L1032)</x:f>
      </x:c>
    </x:row>
    <x:row r="1033" ht="44" customHeight="1">
      <x:c r="A1033" s="35" t="str">
        <x:v>Not Started</x:v>
      </x:c>
      <x:c r="B1033" s="35" t="n">
        <x:v>1031</x:v>
      </x:c>
      <x:c r="C1033" s="35" t="str">
        <x:v>P17</x:v>
      </x:c>
      <x:c r="D1033" s="35" t="n">
        <x:v>40</x:v>
      </x:c>
      <x:c r="E1033" s="35" t="str">
        <x:v>Primary VLA</x:v>
      </x:c>
      <x:c r="F1033" s="35" t="str">
        <x:v>π0.5</x:v>
      </x:c>
      <x:c r="G1033" s="35" t="n">
        <x:v>2</x:v>
      </x:c>
      <x:c r="H1033" s="35" t="str">
        <x:v>Counting</x:v>
      </x:c>
      <x:c r="I1033" s="35" t="str">
        <x:v>Main held-out transfer</x:v>
      </x:c>
      <x:c r="J1033" s="35" t="str">
        <x:v>PVLA-CT-TR-04</x:v>
      </x:c>
      <x:c r="K1033" s="35" t="str">
        <x:v>C-CF03-B</x:v>
      </x:c>
      <x:c r="L1033" s="31" t="str">
        <x:v>Leave exactly three objects in the bowl.</x:v>
      </x:c>
      <x:c r="M1033" s="31" t="str">
        <x:v>Leave exactly three objects in the bowl.</x:v>
      </x:c>
      <x:c r="N1033" s="31" t="str">
        <x:v>C-CF03B: bowl=[green pencil sharpener, airplane toy without propellers] (2); table=[blue pen, yellow block]; robot home; acceptable action=add either table object.</x:v>
      </x:c>
      <x:c r="O1033" s="31" t="str">
        <x:v>ADD one table object</x:v>
      </x:c>
      <x:c r="P1033" s="31" t="str"/>
      <x:c r="Q1033" s="31" t="str"/>
      <x:c r="R1033" s="31" t="str"/>
      <x:c r="S1033" s="31" t="str">
        <x:f>IF('Blind Scoring'!I1033="","",'Blind Scoring'!I1033)</x:f>
      </x:c>
      <x:c r="T1033" s="31" t="str">
        <x:f>'Blind Scoring'!J1033</x:f>
        <x:v>No</x:v>
      </x:c>
      <x:c r="U1033" s="31" t="str">
        <x:f>IF('Blind Scoring'!L1033="","",'Blind Scoring'!L1033)</x:f>
      </x:c>
    </x:row>
    <x:row r="1034" ht="44" customHeight="1">
      <x:c r="A1034" s="35" t="str">
        <x:v>Not Started</x:v>
      </x:c>
      <x:c r="B1034" s="35" t="n">
        <x:v>1032</x:v>
      </x:c>
      <x:c r="C1034" s="35" t="str">
        <x:v>P17</x:v>
      </x:c>
      <x:c r="D1034" s="35" t="n">
        <x:v>41</x:v>
      </x:c>
      <x:c r="E1034" s="35" t="str">
        <x:v>Primary VLA</x:v>
      </x:c>
      <x:c r="F1034" s="35" t="str">
        <x:v>π0.5</x:v>
      </x:c>
      <x:c r="G1034" s="35" t="n">
        <x:v>2</x:v>
      </x:c>
      <x:c r="H1034" s="35" t="str">
        <x:v>Counting</x:v>
      </x:c>
      <x:c r="I1034" s="35" t="str">
        <x:v>Language ablation — blank</x:v>
      </x:c>
      <x:c r="J1034" s="35" t="str">
        <x:v>PVLA-CT-ABL-BLK-01</x:v>
      </x:c>
      <x:c r="K1034" s="35" t="str">
        <x:v>C-CF01-A</x:v>
      </x:c>
      <x:c r="L1034" s="31" t="str">
        <x:v>[EMPTY STRING — provide no instruction tokens]</x:v>
      </x:c>
      <x:c r="M1034" s="31" t="str">
        <x:v>Leave exactly one object in the bowl.</x:v>
      </x:c>
      <x:c r="N1034" s="31" t="str">
        <x:v>C-CF01A: bowl=[blue pen, yellow block] (2); table=[green pencil sharpener, airplane toy without propellers]; robot home; acceptable action=remove either bowl object.</x:v>
      </x:c>
      <x:c r="O1034" s="31" t="str">
        <x:v>No prespecified task success under blank language; record any action/selected target.</x:v>
      </x:c>
      <x:c r="P1034" s="31" t="str"/>
      <x:c r="Q1034" s="31" t="str"/>
      <x:c r="R1034" s="31" t="str"/>
      <x:c r="S1034" s="31" t="str">
        <x:f>IF('Blind Scoring'!I1034="","",'Blind Scoring'!I1034)</x:f>
      </x:c>
      <x:c r="T1034" s="31" t="str">
        <x:f>'Blind Scoring'!J1034</x:f>
        <x:v>No</x:v>
      </x:c>
      <x:c r="U1034" s="31" t="str">
        <x:f>IF('Blind Scoring'!L1034="","",'Blind Scoring'!L1034)</x:f>
      </x:c>
    </x:row>
    <x:row r="1035" ht="44" customHeight="1">
      <x:c r="A1035" s="35" t="str">
        <x:v>Not Started</x:v>
      </x:c>
      <x:c r="B1035" s="35" t="n">
        <x:v>1033</x:v>
      </x:c>
      <x:c r="C1035" s="35" t="str">
        <x:v>P17</x:v>
      </x:c>
      <x:c r="D1035" s="35" t="n">
        <x:v>42</x:v>
      </x:c>
      <x:c r="E1035" s="35" t="str">
        <x:v>Primary VLA</x:v>
      </x:c>
      <x:c r="F1035" s="35" t="str">
        <x:v>π0.5</x:v>
      </x:c>
      <x:c r="G1035" s="35" t="n">
        <x:v>2</x:v>
      </x:c>
      <x:c r="H1035" s="35" t="str">
        <x:v>Counting</x:v>
      </x:c>
      <x:c r="I1035" s="35" t="str">
        <x:v>Exact-scene paraphrase</x:v>
      </x:c>
      <x:c r="J1035" s="35" t="str">
        <x:v>PVLA-CT-PAR-05</x:v>
      </x:c>
      <x:c r="K1035" s="35" t="str"/>
      <x:c r="L1035" s="31" t="str">
        <x:v>Finish with two objects in the bowl.</x:v>
      </x:c>
      <x:c r="M1035" s="31" t="str">
        <x:v>Finish with two objects in the bowl.</x:v>
      </x:c>
      <x:c r="N1035" s="31" t="str">
        <x:v>C-N01: bowl=[blue pen] (1); table left→right=[yellow block, green pencil sharpener, airplane toy without propellers]; robot home.</x:v>
      </x:c>
      <x:c r="O1035" s="31" t="str"/>
      <x:c r="P1035" s="31" t="str"/>
      <x:c r="Q1035" s="31" t="str"/>
      <x:c r="R1035" s="31" t="str"/>
      <x:c r="S1035" s="31" t="str">
        <x:f>IF('Blind Scoring'!I1035="","",'Blind Scoring'!I1035)</x:f>
      </x:c>
      <x:c r="T1035" s="31" t="str">
        <x:f>'Blind Scoring'!J1035</x:f>
        <x:v>No</x:v>
      </x:c>
      <x:c r="U1035" s="31" t="str">
        <x:f>IF('Blind Scoring'!L1035="","",'Blind Scoring'!L1035)</x:f>
      </x:c>
    </x:row>
    <x:row r="1036" ht="44" customHeight="1">
      <x:c r="A1036" s="35" t="str">
        <x:v>Not Started</x:v>
      </x:c>
      <x:c r="B1036" s="35" t="n">
        <x:v>1034</x:v>
      </x:c>
      <x:c r="C1036" s="35" t="str">
        <x:v>P17</x:v>
      </x:c>
      <x:c r="D1036" s="35" t="n">
        <x:v>43</x:v>
      </x:c>
      <x:c r="E1036" s="35" t="str">
        <x:v>Primary VLA</x:v>
      </x:c>
      <x:c r="F1036" s="35" t="str">
        <x:v>π0.5</x:v>
      </x:c>
      <x:c r="G1036" s="35" t="n">
        <x:v>2</x:v>
      </x:c>
      <x:c r="H1036" s="35" t="str">
        <x:v>Counting</x:v>
      </x:c>
      <x:c r="I1036" s="35" t="str">
        <x:v>Training reconstruction</x:v>
      </x:c>
      <x:c r="J1036" s="35" t="str">
        <x:v>PVLA-CT-REC-02</x:v>
      </x:c>
      <x:c r="K1036" s="35" t="str"/>
      <x:c r="L1036" s="31" t="str">
        <x:v>Leave no objects in the bowl.</x:v>
      </x:c>
      <x:c r="M1036" s="31" t="str">
        <x:v>Leave no objects in the bowl.</x:v>
      </x:c>
      <x:c r="N1036" s="31" t="str">
        <x:v>Reconstruct planned final training episode 829: blue pen, yellow block, airplane toy without propellers; start=Recovery. Match camera, calibration, bowl pose, and object geometry exactly.</x:v>
      </x:c>
      <x:c r="O1036" s="31" t="str">
        <x:v>blue pen</x:v>
      </x:c>
      <x:c r="P1036" s="31" t="str"/>
      <x:c r="Q1036" s="31" t="str"/>
      <x:c r="R1036" s="31" t="str"/>
      <x:c r="S1036" s="31" t="str">
        <x:f>IF('Blind Scoring'!I1036="","",'Blind Scoring'!I1036)</x:f>
      </x:c>
      <x:c r="T1036" s="31" t="str">
        <x:f>'Blind Scoring'!J1036</x:f>
        <x:v>No</x:v>
      </x:c>
      <x:c r="U1036" s="31" t="str">
        <x:f>IF('Blind Scoring'!L1036="","",'Blind Scoring'!L1036)</x:f>
      </x:c>
    </x:row>
    <x:row r="1037" ht="44" customHeight="1">
      <x:c r="A1037" s="35" t="str">
        <x:v>Not Started</x:v>
      </x:c>
      <x:c r="B1037" s="35" t="n">
        <x:v>1035</x:v>
      </x:c>
      <x:c r="C1037" s="35" t="str">
        <x:v>P17</x:v>
      </x:c>
      <x:c r="D1037" s="35" t="n">
        <x:v>44</x:v>
      </x:c>
      <x:c r="E1037" s="35" t="str">
        <x:v>Primary VLA</x:v>
      </x:c>
      <x:c r="F1037" s="35" t="str">
        <x:v>π0.5</x:v>
      </x:c>
      <x:c r="G1037" s="35" t="n">
        <x:v>2</x:v>
      </x:c>
      <x:c r="H1037" s="35" t="str">
        <x:v>Counting</x:v>
      </x:c>
      <x:c r="I1037" s="35" t="str">
        <x:v>Main held-out transfer</x:v>
      </x:c>
      <x:c r="J1037" s="35" t="str">
        <x:v>PVLA-CT-TR-11</x:v>
      </x:c>
      <x:c r="K1037" s="35" t="str">
        <x:v>C-CF09-A</x:v>
      </x:c>
      <x:c r="L1037" s="31" t="str">
        <x:v>Leave exactly one object in the bowl.</x:v>
      </x:c>
      <x:c r="M1037" s="31" t="str">
        <x:v>Leave exactly one object in the bowl.</x:v>
      </x:c>
      <x:c r="N1037" s="31" t="str">
        <x:v>C-CF09A: bowl=[blue pen, yellow block] (2); table=[green pencil sharpener, airplane toy without propellers]; robot home; acceptable action=remove either bowl object.</x:v>
      </x:c>
      <x:c r="O1037" s="31" t="str">
        <x:v>REMOVE one bowl object</x:v>
      </x:c>
      <x:c r="P1037" s="31" t="str"/>
      <x:c r="Q1037" s="31" t="str"/>
      <x:c r="R1037" s="31" t="str"/>
      <x:c r="S1037" s="31" t="str">
        <x:f>IF('Blind Scoring'!I1037="","",'Blind Scoring'!I1037)</x:f>
      </x:c>
      <x:c r="T1037" s="31" t="str">
        <x:f>'Blind Scoring'!J1037</x:f>
        <x:v>No</x:v>
      </x:c>
      <x:c r="U1037" s="31" t="str">
        <x:f>IF('Blind Scoring'!L1037="","",'Blind Scoring'!L1037)</x:f>
      </x:c>
    </x:row>
    <x:row r="1038" ht="44" customHeight="1">
      <x:c r="A1038" s="35" t="str">
        <x:v>Not Started</x:v>
      </x:c>
      <x:c r="B1038" s="35" t="n">
        <x:v>1036</x:v>
      </x:c>
      <x:c r="C1038" s="35" t="str">
        <x:v>P17</x:v>
      </x:c>
      <x:c r="D1038" s="35" t="n">
        <x:v>45</x:v>
      </x:c>
      <x:c r="E1038" s="35" t="str">
        <x:v>Primary VLA</x:v>
      </x:c>
      <x:c r="F1038" s="35" t="str">
        <x:v>π0.5</x:v>
      </x:c>
      <x:c r="G1038" s="35" t="n">
        <x:v>2</x:v>
      </x:c>
      <x:c r="H1038" s="35" t="str">
        <x:v>Counting</x:v>
      </x:c>
      <x:c r="I1038" s="35" t="str">
        <x:v>Main matched control</x:v>
      </x:c>
      <x:c r="J1038" s="35" t="str">
        <x:v>PVLA-CT-CTL-04</x:v>
      </x:c>
      <x:c r="K1038" s="35" t="str">
        <x:v>C-CF03-B</x:v>
      </x:c>
      <x:c r="L1038" s="31" t="str">
        <x:v>Put the blue pen in the bowl.</x:v>
      </x:c>
      <x:c r="M1038" s="31" t="str">
        <x:v>Put the blue pen in the bowl.</x:v>
      </x:c>
      <x:c r="N1038" s="31" t="str">
        <x:v>C-CF03-CB: bowl=[green pencil sharpener, airplane toy without propellers] (2); table=[blue pen, yellow block]; robot home; acceptable action=add either table object.</x:v>
      </x:c>
      <x:c r="O1038" s="31" t="str">
        <x:v>ADD blue pen</x:v>
      </x:c>
      <x:c r="P1038" s="31" t="str"/>
      <x:c r="Q1038" s="31" t="str"/>
      <x:c r="R1038" s="31" t="str"/>
      <x:c r="S1038" s="31" t="str">
        <x:f>IF('Blind Scoring'!I1038="","",'Blind Scoring'!I1038)</x:f>
      </x:c>
      <x:c r="T1038" s="31" t="str">
        <x:f>'Blind Scoring'!J1038</x:f>
        <x:v>No</x:v>
      </x:c>
      <x:c r="U1038" s="31" t="str">
        <x:f>IF('Blind Scoring'!L1038="","",'Blind Scoring'!L1038)</x:f>
      </x:c>
    </x:row>
    <x:row r="1039" ht="44" customHeight="1">
      <x:c r="A1039" s="35" t="str">
        <x:v>Not Started</x:v>
      </x:c>
      <x:c r="B1039" s="35" t="n">
        <x:v>1037</x:v>
      </x:c>
      <x:c r="C1039" s="35" t="str">
        <x:v>P17</x:v>
      </x:c>
      <x:c r="D1039" s="35" t="n">
        <x:v>46</x:v>
      </x:c>
      <x:c r="E1039" s="35" t="str">
        <x:v>Primary VLA</x:v>
      </x:c>
      <x:c r="F1039" s="35" t="str">
        <x:v>π0.5</x:v>
      </x:c>
      <x:c r="G1039" s="35" t="n">
        <x:v>2</x:v>
      </x:c>
      <x:c r="H1039" s="35" t="str">
        <x:v>Counting</x:v>
      </x:c>
      <x:c r="I1039" s="35" t="str">
        <x:v>Main matched control</x:v>
      </x:c>
      <x:c r="J1039" s="35" t="str">
        <x:v>PVLA-CT-CTL-15</x:v>
      </x:c>
      <x:c r="K1039" s="35" t="str">
        <x:v>C-CF12-A</x:v>
      </x:c>
      <x:c r="L1039" s="31" t="str">
        <x:v>Remove the airplane toy without propellers from the bowl.</x:v>
      </x:c>
      <x:c r="M1039" s="31" t="str">
        <x:v>Remove the airplane toy without propellers from the bowl.</x:v>
      </x:c>
      <x:c r="N1039" s="31" t="str">
        <x:v>C-CF12-CA: bowl=[airplane toy without propellers, blue pen] (2); table=[yellow block, green pencil sharpener]; robot home; acceptable action=remove either bowl object.</x:v>
      </x:c>
      <x:c r="O1039" s="31" t="str">
        <x:v>REMOVE airplane toy without propellers</x:v>
      </x:c>
      <x:c r="P1039" s="31" t="str"/>
      <x:c r="Q1039" s="31" t="str"/>
      <x:c r="R1039" s="31" t="str"/>
      <x:c r="S1039" s="31" t="str">
        <x:f>IF('Blind Scoring'!I1039="","",'Blind Scoring'!I1039)</x:f>
      </x:c>
      <x:c r="T1039" s="31" t="str">
        <x:f>'Blind Scoring'!J1039</x:f>
        <x:v>No</x:v>
      </x:c>
      <x:c r="U1039" s="31" t="str">
        <x:f>IF('Blind Scoring'!L1039="","",'Blind Scoring'!L1039)</x:f>
      </x:c>
    </x:row>
    <x:row r="1040" ht="44" customHeight="1">
      <x:c r="A1040" s="35" t="str">
        <x:v>Not Started</x:v>
      </x:c>
      <x:c r="B1040" s="35" t="n">
        <x:v>1038</x:v>
      </x:c>
      <x:c r="C1040" s="35" t="str">
        <x:v>P17</x:v>
      </x:c>
      <x:c r="D1040" s="35" t="n">
        <x:v>47</x:v>
      </x:c>
      <x:c r="E1040" s="35" t="str">
        <x:v>Primary VLA</x:v>
      </x:c>
      <x:c r="F1040" s="35" t="str">
        <x:v>π0.5</x:v>
      </x:c>
      <x:c r="G1040" s="35" t="n">
        <x:v>2</x:v>
      </x:c>
      <x:c r="H1040" s="35" t="str">
        <x:v>Counting</x:v>
      </x:c>
      <x:c r="I1040" s="35" t="str">
        <x:v>Language ablation — counterfactual</x:v>
      </x:c>
      <x:c r="J1040" s="35" t="str">
        <x:v>PVLA-CT-ABL-CF-01</x:v>
      </x:c>
      <x:c r="K1040" s="35" t="str">
        <x:v>C-CF04-A</x:v>
      </x:c>
      <x:c r="L1040" s="31" t="str">
        <x:v>Leave exactly three objects in the bowl.</x:v>
      </x:c>
      <x:c r="M1040" s="31" t="str">
        <x:v>Leave exactly three objects in the bowl.</x:v>
      </x:c>
      <x:c r="N1040" s="31" t="str">
        <x:v>C-CF04A: bowl=[airplane toy without propellers, blue pen] (2); table=[yellow block, green pencil sharpener]; robot home; acceptable action=remove either bowl object.</x:v>
      </x:c>
      <x:c r="O1040" s="31" t="str">
        <x:v>ADD one table object</x:v>
      </x:c>
      <x:c r="P1040" s="31" t="str"/>
      <x:c r="Q1040" s="31" t="str"/>
      <x:c r="R1040" s="31" t="str"/>
      <x:c r="S1040" s="31" t="str">
        <x:f>IF('Blind Scoring'!I1040="","",'Blind Scoring'!I1040)</x:f>
      </x:c>
      <x:c r="T1040" s="31" t="str">
        <x:f>'Blind Scoring'!J1040</x:f>
        <x:v>No</x:v>
      </x:c>
      <x:c r="U1040" s="31" t="str">
        <x:f>IF('Blind Scoring'!L1040="","",'Blind Scoring'!L1040)</x:f>
      </x:c>
    </x:row>
    <x:row r="1041" ht="44" customHeight="1">
      <x:c r="A1041" s="35" t="str">
        <x:v>Not Started</x:v>
      </x:c>
      <x:c r="B1041" s="35" t="n">
        <x:v>1039</x:v>
      </x:c>
      <x:c r="C1041" s="35" t="str">
        <x:v>P17</x:v>
      </x:c>
      <x:c r="D1041" s="35" t="n">
        <x:v>48</x:v>
      </x:c>
      <x:c r="E1041" s="35" t="str">
        <x:v>Primary VLA</x:v>
      </x:c>
      <x:c r="F1041" s="35" t="str">
        <x:v>π0.5</x:v>
      </x:c>
      <x:c r="G1041" s="35" t="n">
        <x:v>2</x:v>
      </x:c>
      <x:c r="H1041" s="35" t="str">
        <x:v>Counting</x:v>
      </x:c>
      <x:c r="I1041" s="35" t="str">
        <x:v>Main matched control</x:v>
      </x:c>
      <x:c r="J1041" s="35" t="str">
        <x:v>PVLA-CT-CTL-12</x:v>
      </x:c>
      <x:c r="K1041" s="35" t="str">
        <x:v>C-CF09-B</x:v>
      </x:c>
      <x:c r="L1041" s="31" t="str">
        <x:v>Put the green pencil sharpener in the bowl.</x:v>
      </x:c>
      <x:c r="M1041" s="31" t="str">
        <x:v>Put the green pencil sharpener in the bowl.</x:v>
      </x:c>
      <x:c r="N1041" s="31" t="str">
        <x:v>C-CF09-CB: bowl=[blue pen, yellow block] (2); table=[green pencil sharpener, airplane toy without propellers]; robot home; acceptable action=add either table object.</x:v>
      </x:c>
      <x:c r="O1041" s="31" t="str">
        <x:v>ADD green pencil sharpener</x:v>
      </x:c>
      <x:c r="P1041" s="31" t="str"/>
      <x:c r="Q1041" s="31" t="str"/>
      <x:c r="R1041" s="31" t="str"/>
      <x:c r="S1041" s="31" t="str">
        <x:f>IF('Blind Scoring'!I1041="","",'Blind Scoring'!I1041)</x:f>
      </x:c>
      <x:c r="T1041" s="31" t="str">
        <x:f>'Blind Scoring'!J1041</x:f>
        <x:v>No</x:v>
      </x:c>
      <x:c r="U1041" s="31" t="str">
        <x:f>IF('Blind Scoring'!L1041="","",'Blind Scoring'!L1041)</x:f>
      </x:c>
    </x:row>
    <x:row r="1042" ht="44" customHeight="1">
      <x:c r="A1042" s="35" t="str">
        <x:v>Not Started</x:v>
      </x:c>
      <x:c r="B1042" s="35" t="n">
        <x:v>1040</x:v>
      </x:c>
      <x:c r="C1042" s="35" t="str">
        <x:v>P17</x:v>
      </x:c>
      <x:c r="D1042" s="35" t="n">
        <x:v>49</x:v>
      </x:c>
      <x:c r="E1042" s="35" t="str">
        <x:v>Primary VLA</x:v>
      </x:c>
      <x:c r="F1042" s="35" t="str">
        <x:v>π0.5</x:v>
      </x:c>
      <x:c r="G1042" s="35" t="n">
        <x:v>2</x:v>
      </x:c>
      <x:c r="H1042" s="35" t="str">
        <x:v>Counting</x:v>
      </x:c>
      <x:c r="I1042" s="35" t="str">
        <x:v>Main held-out transfer</x:v>
      </x:c>
      <x:c r="J1042" s="35" t="str">
        <x:v>PVLA-CT-TR-10</x:v>
      </x:c>
      <x:c r="K1042" s="35" t="str">
        <x:v>C-CF07-B</x:v>
      </x:c>
      <x:c r="L1042" s="31" t="str">
        <x:v>Leave exactly three objects in the bowl.</x:v>
      </x:c>
      <x:c r="M1042" s="31" t="str">
        <x:v>Leave exactly three objects in the bowl.</x:v>
      </x:c>
      <x:c r="N1042" s="31" t="str">
        <x:v>C-CF07B: bowl=[green pencil sharpener, airplane toy without propellers] (2); table=[blue pen, yellow block]; robot home; acceptable action=add either table object.</x:v>
      </x:c>
      <x:c r="O1042" s="31" t="str">
        <x:v>ADD one table object</x:v>
      </x:c>
      <x:c r="P1042" s="31" t="str"/>
      <x:c r="Q1042" s="31" t="str"/>
      <x:c r="R1042" s="31" t="str"/>
      <x:c r="S1042" s="31" t="str">
        <x:f>IF('Blind Scoring'!I1042="","",'Blind Scoring'!I1042)</x:f>
      </x:c>
      <x:c r="T1042" s="31" t="str">
        <x:f>'Blind Scoring'!J1042</x:f>
        <x:v>No</x:v>
      </x:c>
      <x:c r="U1042" s="31" t="str">
        <x:f>IF('Blind Scoring'!L1042="","",'Blind Scoring'!L1042)</x:f>
      </x:c>
    </x:row>
    <x:row r="1043" ht="44" customHeight="1">
      <x:c r="A1043" s="35" t="str">
        <x:v>Not Started</x:v>
      </x:c>
      <x:c r="B1043" s="35" t="n">
        <x:v>1041</x:v>
      </x:c>
      <x:c r="C1043" s="35" t="str">
        <x:v>P17</x:v>
      </x:c>
      <x:c r="D1043" s="35" t="n">
        <x:v>50</x:v>
      </x:c>
      <x:c r="E1043" s="35" t="str">
        <x:v>Primary VLA</x:v>
      </x:c>
      <x:c r="F1043" s="35" t="str">
        <x:v>π0.5</x:v>
      </x:c>
      <x:c r="G1043" s="35" t="n">
        <x:v>2</x:v>
      </x:c>
      <x:c r="H1043" s="35" t="str">
        <x:v>Counting</x:v>
      </x:c>
      <x:c r="I1043" s="35" t="str">
        <x:v>Language ablation — blank</x:v>
      </x:c>
      <x:c r="J1043" s="35" t="str">
        <x:v>PVLA-CT-ABL-BLK-03</x:v>
      </x:c>
      <x:c r="K1043" s="35" t="str">
        <x:v>C-CF03-A</x:v>
      </x:c>
      <x:c r="L1043" s="31" t="str">
        <x:v>[EMPTY STRING — provide no instruction tokens]</x:v>
      </x:c>
      <x:c r="M1043" s="31" t="str">
        <x:v>Leave exactly one object in the bowl.</x:v>
      </x:c>
      <x:c r="N1043" s="31" t="str">
        <x:v>C-CF03A: bowl=[green pencil sharpener, airplane toy without propellers] (2); table=[blue pen, yellow block]; robot home; acceptable action=remove either bowl object.</x:v>
      </x:c>
      <x:c r="O1043" s="31" t="str">
        <x:v>No prespecified task success under blank language; record any action/selected target.</x:v>
      </x:c>
      <x:c r="P1043" s="31" t="str"/>
      <x:c r="Q1043" s="31" t="str"/>
      <x:c r="R1043" s="31" t="str"/>
      <x:c r="S1043" s="31" t="str">
        <x:f>IF('Blind Scoring'!I1043="","",'Blind Scoring'!I1043)</x:f>
      </x:c>
      <x:c r="T1043" s="31" t="str">
        <x:f>'Blind Scoring'!J1043</x:f>
        <x:v>No</x:v>
      </x:c>
      <x:c r="U1043" s="31" t="str">
        <x:f>IF('Blind Scoring'!L1043="","",'Blind Scoring'!L1043)</x:f>
      </x:c>
    </x:row>
    <x:row r="1044" ht="44" customHeight="1">
      <x:c r="A1044" s="35" t="str">
        <x:v>Not Started</x:v>
      </x:c>
      <x:c r="B1044" s="35" t="n">
        <x:v>1042</x:v>
      </x:c>
      <x:c r="C1044" s="35" t="str">
        <x:v>P17</x:v>
      </x:c>
      <x:c r="D1044" s="35" t="n">
        <x:v>51</x:v>
      </x:c>
      <x:c r="E1044" s="35" t="str">
        <x:v>Primary VLA</x:v>
      </x:c>
      <x:c r="F1044" s="35" t="str">
        <x:v>π0.5</x:v>
      </x:c>
      <x:c r="G1044" s="35" t="n">
        <x:v>2</x:v>
      </x:c>
      <x:c r="H1044" s="35" t="str">
        <x:v>Counting</x:v>
      </x:c>
      <x:c r="I1044" s="35" t="str">
        <x:v>Main matched control</x:v>
      </x:c>
      <x:c r="J1044" s="35" t="str">
        <x:v>PVLA-CT-CTL-16</x:v>
      </x:c>
      <x:c r="K1044" s="35" t="str">
        <x:v>C-CF12-B</x:v>
      </x:c>
      <x:c r="L1044" s="31" t="str">
        <x:v>Put the yellow block in the bowl.</x:v>
      </x:c>
      <x:c r="M1044" s="31" t="str">
        <x:v>Put the yellow block in the bowl.</x:v>
      </x:c>
      <x:c r="N1044" s="31" t="str">
        <x:v>C-CF12-CB: bowl=[airplane toy without propellers, blue pen] (2); table=[yellow block, green pencil sharpener]; robot home; acceptable action=add either table object.</x:v>
      </x:c>
      <x:c r="O1044" s="31" t="str">
        <x:v>ADD yellow block</x:v>
      </x:c>
      <x:c r="P1044" s="31" t="str"/>
      <x:c r="Q1044" s="31" t="str"/>
      <x:c r="R1044" s="31" t="str"/>
      <x:c r="S1044" s="31" t="str">
        <x:f>IF('Blind Scoring'!I1044="","",'Blind Scoring'!I1044)</x:f>
      </x:c>
      <x:c r="T1044" s="31" t="str">
        <x:f>'Blind Scoring'!J1044</x:f>
        <x:v>No</x:v>
      </x:c>
      <x:c r="U1044" s="31" t="str">
        <x:f>IF('Blind Scoring'!L1044="","",'Blind Scoring'!L1044)</x:f>
      </x:c>
    </x:row>
    <x:row r="1045" ht="44" customHeight="1">
      <x:c r="A1045" s="35" t="str">
        <x:v>Not Started</x:v>
      </x:c>
      <x:c r="B1045" s="35" t="n">
        <x:v>1043</x:v>
      </x:c>
      <x:c r="C1045" s="35" t="str">
        <x:v>P17</x:v>
      </x:c>
      <x:c r="D1045" s="35" t="n">
        <x:v>52</x:v>
      </x:c>
      <x:c r="E1045" s="35" t="str">
        <x:v>Primary VLA</x:v>
      </x:c>
      <x:c r="F1045" s="35" t="str">
        <x:v>π0.5</x:v>
      </x:c>
      <x:c r="G1045" s="35" t="n">
        <x:v>2</x:v>
      </x:c>
      <x:c r="H1045" s="35" t="str">
        <x:v>Counting</x:v>
      </x:c>
      <x:c r="I1045" s="35" t="str">
        <x:v>Language ablation — counterfactual</x:v>
      </x:c>
      <x:c r="J1045" s="35" t="str">
        <x:v>PVLA-CT-ABL-CF-03</x:v>
      </x:c>
      <x:c r="K1045" s="35" t="str">
        <x:v>C-CF06-A</x:v>
      </x:c>
      <x:c r="L1045" s="31" t="str">
        <x:v>Leave exactly three objects in the bowl.</x:v>
      </x:c>
      <x:c r="M1045" s="31" t="str">
        <x:v>Leave exactly three objects in the bowl.</x:v>
      </x:c>
      <x:c r="N1045" s="31" t="str">
        <x:v>C-CF06A: bowl=[yellow block, green pencil sharpener] (2); table=[airplane toy without propellers, blue pen]; robot home; acceptable action=remove either bowl object.</x:v>
      </x:c>
      <x:c r="O1045" s="31" t="str">
        <x:v>ADD one table object</x:v>
      </x:c>
      <x:c r="P1045" s="31" t="str"/>
      <x:c r="Q1045" s="31" t="str"/>
      <x:c r="R1045" s="31" t="str"/>
      <x:c r="S1045" s="31" t="str">
        <x:f>IF('Blind Scoring'!I1045="","",'Blind Scoring'!I1045)</x:f>
      </x:c>
      <x:c r="T1045" s="31" t="str">
        <x:f>'Blind Scoring'!J1045</x:f>
        <x:v>No</x:v>
      </x:c>
      <x:c r="U1045" s="31" t="str">
        <x:f>IF('Blind Scoring'!L1045="","",'Blind Scoring'!L1045)</x:f>
      </x:c>
    </x:row>
    <x:row r="1046" ht="44" customHeight="1">
      <x:c r="A1046" s="35" t="str">
        <x:v>Not Started</x:v>
      </x:c>
      <x:c r="B1046" s="35" t="n">
        <x:v>1044</x:v>
      </x:c>
      <x:c r="C1046" s="35" t="str">
        <x:v>P17</x:v>
      </x:c>
      <x:c r="D1046" s="35" t="n">
        <x:v>53</x:v>
      </x:c>
      <x:c r="E1046" s="35" t="str">
        <x:v>Primary VLA</x:v>
      </x:c>
      <x:c r="F1046" s="35" t="str">
        <x:v>π0.5</x:v>
      </x:c>
      <x:c r="G1046" s="35" t="n">
        <x:v>2</x:v>
      </x:c>
      <x:c r="H1046" s="35" t="str">
        <x:v>Counting</x:v>
      </x:c>
      <x:c r="I1046" s="35" t="str">
        <x:v>Exact-scene paraphrase</x:v>
      </x:c>
      <x:c r="J1046" s="35" t="str">
        <x:v>PVLA-CT-PAR-04</x:v>
      </x:c>
      <x:c r="K1046" s="35" t="str"/>
      <x:c r="L1046" s="31" t="str">
        <x:v>Finish with two objects in the bowl.</x:v>
      </x:c>
      <x:c r="M1046" s="31" t="str">
        <x:v>Finish with two objects in the bowl.</x:v>
      </x:c>
      <x:c r="N1046" s="31" t="str">
        <x:v>C-N01: bowl=[blue pen] (1); table left→right=[yellow block, green pencil sharpener, airplane toy without propellers]; robot home.</x:v>
      </x:c>
      <x:c r="O1046" s="31" t="str"/>
      <x:c r="P1046" s="31" t="str"/>
      <x:c r="Q1046" s="31" t="str"/>
      <x:c r="R1046" s="31" t="str"/>
      <x:c r="S1046" s="31" t="str">
        <x:f>IF('Blind Scoring'!I1046="","",'Blind Scoring'!I1046)</x:f>
      </x:c>
      <x:c r="T1046" s="31" t="str">
        <x:f>'Blind Scoring'!J1046</x:f>
        <x:v>No</x:v>
      </x:c>
      <x:c r="U1046" s="31" t="str">
        <x:f>IF('Blind Scoring'!L1046="","",'Blind Scoring'!L1046)</x:f>
      </x:c>
    </x:row>
    <x:row r="1047" ht="44" customHeight="1">
      <x:c r="A1047" s="35" t="str">
        <x:v>Not Started</x:v>
      </x:c>
      <x:c r="B1047" s="35" t="n">
        <x:v>1045</x:v>
      </x:c>
      <x:c r="C1047" s="35" t="str">
        <x:v>P17</x:v>
      </x:c>
      <x:c r="D1047" s="35" t="n">
        <x:v>54</x:v>
      </x:c>
      <x:c r="E1047" s="35" t="str">
        <x:v>Primary VLA</x:v>
      </x:c>
      <x:c r="F1047" s="35" t="str">
        <x:v>π0.5</x:v>
      </x:c>
      <x:c r="G1047" s="35" t="n">
        <x:v>2</x:v>
      </x:c>
      <x:c r="H1047" s="35" t="str">
        <x:v>Counting</x:v>
      </x:c>
      <x:c r="I1047" s="35" t="str">
        <x:v>Exact-scene paraphrase</x:v>
      </x:c>
      <x:c r="J1047" s="35" t="str">
        <x:v>PVLA-CT-PAR-08</x:v>
      </x:c>
      <x:c r="K1047" s="35" t="str"/>
      <x:c r="L1047" s="31" t="str">
        <x:v>Finish with two objects in the bowl.</x:v>
      </x:c>
      <x:c r="M1047" s="31" t="str">
        <x:v>Finish with two objects in the bowl.</x:v>
      </x:c>
      <x:c r="N1047" s="31" t="str">
        <x:v>C-N01: bowl=[blue pen] (1); table left→right=[yellow block, green pencil sharpener, airplane toy without propellers]; robot home.</x:v>
      </x:c>
      <x:c r="O1047" s="31" t="str"/>
      <x:c r="P1047" s="31" t="str"/>
      <x:c r="Q1047" s="31" t="str"/>
      <x:c r="R1047" s="31" t="str"/>
      <x:c r="S1047" s="31" t="str">
        <x:f>IF('Blind Scoring'!I1047="","",'Blind Scoring'!I1047)</x:f>
      </x:c>
      <x:c r="T1047" s="31" t="str">
        <x:f>'Blind Scoring'!J1047</x:f>
        <x:v>No</x:v>
      </x:c>
      <x:c r="U1047" s="31" t="str">
        <x:f>IF('Blind Scoring'!L1047="","",'Blind Scoring'!L1047)</x:f>
      </x:c>
    </x:row>
    <x:row r="1048" ht="44" customHeight="1">
      <x:c r="A1048" s="35" t="str">
        <x:v>Not Started</x:v>
      </x:c>
      <x:c r="B1048" s="35" t="n">
        <x:v>1046</x:v>
      </x:c>
      <x:c r="C1048" s="35" t="str">
        <x:v>P17</x:v>
      </x:c>
      <x:c r="D1048" s="35" t="n">
        <x:v>55</x:v>
      </x:c>
      <x:c r="E1048" s="35" t="str">
        <x:v>Primary VLA</x:v>
      </x:c>
      <x:c r="F1048" s="35" t="str">
        <x:v>π0.5</x:v>
      </x:c>
      <x:c r="G1048" s="35" t="n">
        <x:v>2</x:v>
      </x:c>
      <x:c r="H1048" s="35" t="str">
        <x:v>Counting</x:v>
      </x:c>
      <x:c r="I1048" s="35" t="str">
        <x:v>Main held-out transfer</x:v>
      </x:c>
      <x:c r="J1048" s="35" t="str">
        <x:v>PVLA-CT-TR-12</x:v>
      </x:c>
      <x:c r="K1048" s="35" t="str">
        <x:v>C-CF09-B</x:v>
      </x:c>
      <x:c r="L1048" s="31" t="str">
        <x:v>Leave exactly three objects in the bowl.</x:v>
      </x:c>
      <x:c r="M1048" s="31" t="str">
        <x:v>Leave exactly three objects in the bowl.</x:v>
      </x:c>
      <x:c r="N1048" s="31" t="str">
        <x:v>C-CF09B: bowl=[blue pen, yellow block] (2); table=[green pencil sharpener, airplane toy without propellers]; robot home; acceptable action=add either table object.</x:v>
      </x:c>
      <x:c r="O1048" s="31" t="str">
        <x:v>ADD one table object</x:v>
      </x:c>
      <x:c r="P1048" s="31" t="str"/>
      <x:c r="Q1048" s="31" t="str"/>
      <x:c r="R1048" s="31" t="str"/>
      <x:c r="S1048" s="31" t="str">
        <x:f>IF('Blind Scoring'!I1048="","",'Blind Scoring'!I1048)</x:f>
      </x:c>
      <x:c r="T1048" s="31" t="str">
        <x:f>'Blind Scoring'!J1048</x:f>
        <x:v>No</x:v>
      </x:c>
      <x:c r="U1048" s="31" t="str">
        <x:f>IF('Blind Scoring'!L1048="","",'Blind Scoring'!L1048)</x:f>
      </x:c>
    </x:row>
    <x:row r="1049" ht="44" customHeight="1">
      <x:c r="A1049" s="35" t="str">
        <x:v>Not Started</x:v>
      </x:c>
      <x:c r="B1049" s="35" t="n">
        <x:v>1047</x:v>
      </x:c>
      <x:c r="C1049" s="35" t="str">
        <x:v>P17</x:v>
      </x:c>
      <x:c r="D1049" s="35" t="n">
        <x:v>56</x:v>
      </x:c>
      <x:c r="E1049" s="35" t="str">
        <x:v>Primary VLA</x:v>
      </x:c>
      <x:c r="F1049" s="35" t="str">
        <x:v>π0.5</x:v>
      </x:c>
      <x:c r="G1049" s="35" t="n">
        <x:v>2</x:v>
      </x:c>
      <x:c r="H1049" s="35" t="str">
        <x:v>Counting</x:v>
      </x:c>
      <x:c r="I1049" s="35" t="str">
        <x:v>Main held-out transfer</x:v>
      </x:c>
      <x:c r="J1049" s="35" t="str">
        <x:v>PVLA-CT-TR-05</x:v>
      </x:c>
      <x:c r="K1049" s="35" t="str">
        <x:v>C-CF04-A</x:v>
      </x:c>
      <x:c r="L1049" s="31" t="str">
        <x:v>Leave exactly one object in the bowl.</x:v>
      </x:c>
      <x:c r="M1049" s="31" t="str">
        <x:v>Leave exactly one object in the bowl.</x:v>
      </x:c>
      <x:c r="N1049" s="31" t="str">
        <x:v>C-CF04A: bowl=[airplane toy without propellers, blue pen] (2); table=[yellow block, green pencil sharpener]; robot home; acceptable action=remove either bowl object.</x:v>
      </x:c>
      <x:c r="O1049" s="31" t="str">
        <x:v>REMOVE one bowl object</x:v>
      </x:c>
      <x:c r="P1049" s="31" t="str"/>
      <x:c r="Q1049" s="31" t="str"/>
      <x:c r="R1049" s="31" t="str"/>
      <x:c r="S1049" s="31" t="str">
        <x:f>IF('Blind Scoring'!I1049="","",'Blind Scoring'!I1049)</x:f>
      </x:c>
      <x:c r="T1049" s="31" t="str">
        <x:f>'Blind Scoring'!J1049</x:f>
        <x:v>No</x:v>
      </x:c>
      <x:c r="U1049" s="31" t="str">
        <x:f>IF('Blind Scoring'!L1049="","",'Blind Scoring'!L1049)</x:f>
      </x:c>
    </x:row>
    <x:row r="1050" ht="44" customHeight="1">
      <x:c r="A1050" s="35" t="str">
        <x:v>Not Started</x:v>
      </x:c>
      <x:c r="B1050" s="35" t="n">
        <x:v>1048</x:v>
      </x:c>
      <x:c r="C1050" s="35" t="str">
        <x:v>P17</x:v>
      </x:c>
      <x:c r="D1050" s="35" t="n">
        <x:v>57</x:v>
      </x:c>
      <x:c r="E1050" s="35" t="str">
        <x:v>Primary VLA</x:v>
      </x:c>
      <x:c r="F1050" s="35" t="str">
        <x:v>π0.5</x:v>
      </x:c>
      <x:c r="G1050" s="35" t="n">
        <x:v>2</x:v>
      </x:c>
      <x:c r="H1050" s="35" t="str">
        <x:v>Counting</x:v>
      </x:c>
      <x:c r="I1050" s="35" t="str">
        <x:v>Main matched control</x:v>
      </x:c>
      <x:c r="J1050" s="35" t="str">
        <x:v>PVLA-CT-CTL-06</x:v>
      </x:c>
      <x:c r="K1050" s="35" t="str">
        <x:v>C-CF04-B</x:v>
      </x:c>
      <x:c r="L1050" s="31" t="str">
        <x:v>Put the yellow block in the bowl.</x:v>
      </x:c>
      <x:c r="M1050" s="31" t="str">
        <x:v>Put the yellow block in the bowl.</x:v>
      </x:c>
      <x:c r="N1050" s="31" t="str">
        <x:v>C-CF04-CB: bowl=[airplane toy without propellers, blue pen] (2); table=[yellow block, green pencil sharpener]; robot home; acceptable action=add either table object.</x:v>
      </x:c>
      <x:c r="O1050" s="31" t="str">
        <x:v>ADD yellow block</x:v>
      </x:c>
      <x:c r="P1050" s="31" t="str"/>
      <x:c r="Q1050" s="31" t="str"/>
      <x:c r="R1050" s="31" t="str"/>
      <x:c r="S1050" s="31" t="str">
        <x:f>IF('Blind Scoring'!I1050="","",'Blind Scoring'!I1050)</x:f>
      </x:c>
      <x:c r="T1050" s="31" t="str">
        <x:f>'Blind Scoring'!J1050</x:f>
        <x:v>No</x:v>
      </x:c>
      <x:c r="U1050" s="31" t="str">
        <x:f>IF('Blind Scoring'!L1050="","",'Blind Scoring'!L1050)</x:f>
      </x:c>
    </x:row>
    <x:row r="1051" ht="44" customHeight="1">
      <x:c r="A1051" s="35" t="str">
        <x:v>Not Started</x:v>
      </x:c>
      <x:c r="B1051" s="35" t="n">
        <x:v>1049</x:v>
      </x:c>
      <x:c r="C1051" s="35" t="str">
        <x:v>P17</x:v>
      </x:c>
      <x:c r="D1051" s="35" t="n">
        <x:v>58</x:v>
      </x:c>
      <x:c r="E1051" s="35" t="str">
        <x:v>Primary VLA</x:v>
      </x:c>
      <x:c r="F1051" s="35" t="str">
        <x:v>π0.5</x:v>
      </x:c>
      <x:c r="G1051" s="35" t="n">
        <x:v>2</x:v>
      </x:c>
      <x:c r="H1051" s="35" t="str">
        <x:v>Counting</x:v>
      </x:c>
      <x:c r="I1051" s="35" t="str">
        <x:v>Main held-out transfer</x:v>
      </x:c>
      <x:c r="J1051" s="35" t="str">
        <x:v>PVLA-CT-TR-13</x:v>
      </x:c>
      <x:c r="K1051" s="35" t="str">
        <x:v>C-CF10-A</x:v>
      </x:c>
      <x:c r="L1051" s="31" t="str">
        <x:v>Leave exactly one object in the bowl.</x:v>
      </x:c>
      <x:c r="M1051" s="31" t="str">
        <x:v>Leave exactly one object in the bowl.</x:v>
      </x:c>
      <x:c r="N1051" s="31" t="str">
        <x:v>C-CF10A: bowl=[yellow block, green pencil sharpener] (2); table=[airplane toy without propellers, blue pen]; robot home; acceptable action=remove either bowl object.</x:v>
      </x:c>
      <x:c r="O1051" s="31" t="str">
        <x:v>REMOVE one bowl object</x:v>
      </x:c>
      <x:c r="P1051" s="31" t="str"/>
      <x:c r="Q1051" s="31" t="str"/>
      <x:c r="R1051" s="31" t="str"/>
      <x:c r="S1051" s="31" t="str">
        <x:f>IF('Blind Scoring'!I1051="","",'Blind Scoring'!I1051)</x:f>
      </x:c>
      <x:c r="T1051" s="31" t="str">
        <x:f>'Blind Scoring'!J1051</x:f>
        <x:v>No</x:v>
      </x:c>
      <x:c r="U1051" s="31" t="str">
        <x:f>IF('Blind Scoring'!L1051="","",'Blind Scoring'!L1051)</x:f>
      </x:c>
    </x:row>
    <x:row r="1052" ht="44" customHeight="1">
      <x:c r="A1052" s="35" t="str">
        <x:v>Not Started</x:v>
      </x:c>
      <x:c r="B1052" s="35" t="n">
        <x:v>1050</x:v>
      </x:c>
      <x:c r="C1052" s="35" t="str">
        <x:v>P17</x:v>
      </x:c>
      <x:c r="D1052" s="35" t="n">
        <x:v>59</x:v>
      </x:c>
      <x:c r="E1052" s="35" t="str">
        <x:v>Primary VLA</x:v>
      </x:c>
      <x:c r="F1052" s="35" t="str">
        <x:v>π0.5</x:v>
      </x:c>
      <x:c r="G1052" s="35" t="n">
        <x:v>2</x:v>
      </x:c>
      <x:c r="H1052" s="35" t="str">
        <x:v>Counting</x:v>
      </x:c>
      <x:c r="I1052" s="35" t="str">
        <x:v>Training reconstruction</x:v>
      </x:c>
      <x:c r="J1052" s="35" t="str">
        <x:v>PVLA-CT-REC-05</x:v>
      </x:c>
      <x:c r="K1052" s="35" t="str"/>
      <x:c r="L1052" s="31" t="str">
        <x:v>Remove the yellow block from the bowl.</x:v>
      </x:c>
      <x:c r="M1052" s="31" t="str">
        <x:v>Remove the yellow block from the bowl.</x:v>
      </x:c>
      <x:c r="N1052" s="31" t="str">
        <x:v>Reconstruct planned final training episode 896: yellow block, green pencil sharpener, airplane toy without propellers, blue pen; start=Post-Drop. Match camera, calibration, bowl pose, and object geometry exactly.</x:v>
      </x:c>
      <x:c r="O1052" s="31" t="str">
        <x:v>yellow block</x:v>
      </x:c>
      <x:c r="P1052" s="31" t="str"/>
      <x:c r="Q1052" s="31" t="str"/>
      <x:c r="R1052" s="31" t="str"/>
      <x:c r="S1052" s="31" t="str">
        <x:f>IF('Blind Scoring'!I1052="","",'Blind Scoring'!I1052)</x:f>
      </x:c>
      <x:c r="T1052" s="31" t="str">
        <x:f>'Blind Scoring'!J1052</x:f>
        <x:v>No</x:v>
      </x:c>
      <x:c r="U1052" s="31" t="str">
        <x:f>IF('Blind Scoring'!L1052="","",'Blind Scoring'!L1052)</x:f>
      </x:c>
    </x:row>
    <x:row r="1053" ht="44" customHeight="1">
      <x:c r="A1053" s="35" t="str">
        <x:v>Not Started</x:v>
      </x:c>
      <x:c r="B1053" s="35" t="n">
        <x:v>1051</x:v>
      </x:c>
      <x:c r="C1053" s="35" t="str">
        <x:v>P17</x:v>
      </x:c>
      <x:c r="D1053" s="35" t="n">
        <x:v>60</x:v>
      </x:c>
      <x:c r="E1053" s="35" t="str">
        <x:v>Primary VLA</x:v>
      </x:c>
      <x:c r="F1053" s="35" t="str">
        <x:v>π0.5</x:v>
      </x:c>
      <x:c r="G1053" s="35" t="n">
        <x:v>2</x:v>
      </x:c>
      <x:c r="H1053" s="35" t="str">
        <x:v>Counting</x:v>
      </x:c>
      <x:c r="I1053" s="35" t="str">
        <x:v>Novel layout + seen language</x:v>
      </x:c>
      <x:c r="J1053" s="35" t="str">
        <x:v>PVLA-CT-NOV-01</x:v>
      </x:c>
      <x:c r="K1053" s="35" t="str"/>
      <x:c r="L1053" s="31" t="str">
        <x:v>Make the bowl contain exactly two objects.</x:v>
      </x:c>
      <x:c r="M1053" s="31" t="str">
        <x:v>Make the bowl contain exactly two objects.</x:v>
      </x:c>
      <x:c r="N1053" s="31" t="str">
        <x:v>C-N01: bowl=[blue pen] (1); table left→right=[yellow block, green pencil sharpener, airplane toy without propellers]; robot home.</x:v>
      </x:c>
      <x:c r="O1053" s="31" t="str"/>
      <x:c r="P1053" s="31" t="str"/>
      <x:c r="Q1053" s="31" t="str"/>
      <x:c r="R1053" s="31" t="str"/>
      <x:c r="S1053" s="31" t="str">
        <x:f>IF('Blind Scoring'!I1053="","",'Blind Scoring'!I1053)</x:f>
      </x:c>
      <x:c r="T1053" s="31" t="str">
        <x:f>'Blind Scoring'!J1053</x:f>
        <x:v>No</x:v>
      </x:c>
      <x:c r="U1053" s="31" t="str">
        <x:f>IF('Blind Scoring'!L1053="","",'Blind Scoring'!L1053)</x:f>
      </x:c>
    </x:row>
    <x:row r="1054" ht="44" customHeight="1">
      <x:c r="A1054" s="35" t="str">
        <x:v>Not Started</x:v>
      </x:c>
      <x:c r="B1054" s="35" t="n">
        <x:v>1052</x:v>
      </x:c>
      <x:c r="C1054" s="35" t="str">
        <x:v>P17</x:v>
      </x:c>
      <x:c r="D1054" s="35" t="n">
        <x:v>61</x:v>
      </x:c>
      <x:c r="E1054" s="35" t="str">
        <x:v>Primary VLA</x:v>
      </x:c>
      <x:c r="F1054" s="35" t="str">
        <x:v>π0.5</x:v>
      </x:c>
      <x:c r="G1054" s="35" t="n">
        <x:v>2</x:v>
      </x:c>
      <x:c r="H1054" s="35" t="str">
        <x:v>Counting</x:v>
      </x:c>
      <x:c r="I1054" s="35" t="str">
        <x:v>Language ablation — blank</x:v>
      </x:c>
      <x:c r="J1054" s="35" t="str">
        <x:v>PVLA-CT-ABL-BLK-04</x:v>
      </x:c>
      <x:c r="K1054" s="35" t="str">
        <x:v>C-CF03-B</x:v>
      </x:c>
      <x:c r="L1054" s="31" t="str">
        <x:v>[EMPTY STRING — provide no instruction tokens]</x:v>
      </x:c>
      <x:c r="M1054" s="31" t="str">
        <x:v>Leave exactly three objects in the bowl.</x:v>
      </x:c>
      <x:c r="N1054" s="31" t="str">
        <x:v>C-CF03B: bowl=[green pencil sharpener, airplane toy without propellers] (2); table=[blue pen, yellow block]; robot home; acceptable action=add either table object.</x:v>
      </x:c>
      <x:c r="O1054" s="31" t="str">
        <x:v>No prespecified task success under blank language; record any action/selected target.</x:v>
      </x:c>
      <x:c r="P1054" s="31" t="str"/>
      <x:c r="Q1054" s="31" t="str"/>
      <x:c r="R1054" s="31" t="str"/>
      <x:c r="S1054" s="31" t="str">
        <x:f>IF('Blind Scoring'!I1054="","",'Blind Scoring'!I1054)</x:f>
      </x:c>
      <x:c r="T1054" s="31" t="str">
        <x:f>'Blind Scoring'!J1054</x:f>
        <x:v>No</x:v>
      </x:c>
      <x:c r="U1054" s="31" t="str">
        <x:f>IF('Blind Scoring'!L1054="","",'Blind Scoring'!L1054)</x:f>
      </x:c>
    </x:row>
    <x:row r="1055" ht="44" customHeight="1">
      <x:c r="A1055" s="35" t="str">
        <x:v>Not Started</x:v>
      </x:c>
      <x:c r="B1055" s="35" t="n">
        <x:v>1053</x:v>
      </x:c>
      <x:c r="C1055" s="35" t="str">
        <x:v>P17</x:v>
      </x:c>
      <x:c r="D1055" s="35" t="n">
        <x:v>62</x:v>
      </x:c>
      <x:c r="E1055" s="35" t="str">
        <x:v>Primary VLA</x:v>
      </x:c>
      <x:c r="F1055" s="35" t="str">
        <x:v>π0.5</x:v>
      </x:c>
      <x:c r="G1055" s="35" t="n">
        <x:v>2</x:v>
      </x:c>
      <x:c r="H1055" s="35" t="str">
        <x:v>Counting</x:v>
      </x:c>
      <x:c r="I1055" s="35" t="str">
        <x:v>Exact-scene paraphrase</x:v>
      </x:c>
      <x:c r="J1055" s="35" t="str">
        <x:v>PVLA-CT-PAR-07</x:v>
      </x:c>
      <x:c r="K1055" s="35" t="str"/>
      <x:c r="L1055" s="31" t="str">
        <x:v>Finish with two objects in the bowl.</x:v>
      </x:c>
      <x:c r="M1055" s="31" t="str">
        <x:v>Finish with two objects in the bowl.</x:v>
      </x:c>
      <x:c r="N1055" s="31" t="str">
        <x:v>C-N01: bowl=[blue pen] (1); table left→right=[yellow block, green pencil sharpener, airplane toy without propellers]; robot home.</x:v>
      </x:c>
      <x:c r="O1055" s="31" t="str"/>
      <x:c r="P1055" s="31" t="str"/>
      <x:c r="Q1055" s="31" t="str"/>
      <x:c r="R1055" s="31" t="str"/>
      <x:c r="S1055" s="31" t="str">
        <x:f>IF('Blind Scoring'!I1055="","",'Blind Scoring'!I1055)</x:f>
      </x:c>
      <x:c r="T1055" s="31" t="str">
        <x:f>'Blind Scoring'!J1055</x:f>
        <x:v>No</x:v>
      </x:c>
      <x:c r="U1055" s="31" t="str">
        <x:f>IF('Blind Scoring'!L1055="","",'Blind Scoring'!L1055)</x:f>
      </x:c>
    </x:row>
    <x:row r="1056" ht="44" customHeight="1">
      <x:c r="A1056" s="35" t="str">
        <x:v>Not Started</x:v>
      </x:c>
      <x:c r="B1056" s="35" t="n">
        <x:v>1054</x:v>
      </x:c>
      <x:c r="C1056" s="35" t="str">
        <x:v>P18</x:v>
      </x:c>
      <x:c r="D1056" s="35" t="n">
        <x:v>1</x:v>
      </x:c>
      <x:c r="E1056" s="35" t="str">
        <x:v>Primary VLA</x:v>
      </x:c>
      <x:c r="F1056" s="35" t="str">
        <x:v>π0.5</x:v>
      </x:c>
      <x:c r="G1056" s="35" t="n">
        <x:v>2</x:v>
      </x:c>
      <x:c r="H1056" s="35" t="str">
        <x:v>State Recognition</x:v>
      </x:c>
      <x:c r="I1056" s="35" t="str">
        <x:v>Main held-out transfer</x:v>
      </x:c>
      <x:c r="J1056" s="35" t="str">
        <x:v>PVLA-ST-TR-04</x:v>
      </x:c>
      <x:c r="K1056" s="35" t="str">
        <x:v>S-CF07</x:v>
      </x:c>
      <x:c r="L1056" s="31" t="str">
        <x:v>Place the closed yellow-white striped cup in the bowl.</x:v>
      </x:c>
      <x:c r="M1056" s="31" t="str">
        <x:v>Place the closed yellow-white striped cup in the bowl.</x:v>
      </x:c>
      <x:c r="N1056" s="31" t="str">
        <x:v>S-CF07-HELD: P1 brown cup A=C/UR; P2 glass spice container A=O/UR; P3 yellow-white striped cup A=C/UD [TARGET]; P4 yellow-white striped cup B=O/UD [COMPETITOR].</x:v>
      </x:c>
      <x:c r="O1056" s="31" t="str">
        <x:v>yellow-white striped cup A</x:v>
      </x:c>
      <x:c r="P1056" s="31" t="str"/>
      <x:c r="Q1056" s="31" t="str"/>
      <x:c r="R1056" s="31" t="str"/>
      <x:c r="S1056" s="31" t="str">
        <x:f>IF('Blind Scoring'!I1056="","",'Blind Scoring'!I1056)</x:f>
      </x:c>
      <x:c r="T1056" s="31" t="str">
        <x:f>'Blind Scoring'!J1056</x:f>
        <x:v>No</x:v>
      </x:c>
      <x:c r="U1056" s="31" t="str">
        <x:f>IF('Blind Scoring'!L1056="","",'Blind Scoring'!L1056)</x:f>
      </x:c>
    </x:row>
    <x:row r="1057" ht="44" customHeight="1">
      <x:c r="A1057" s="35" t="str">
        <x:v>Not Started</x:v>
      </x:c>
      <x:c r="B1057" s="35" t="n">
        <x:v>1055</x:v>
      </x:c>
      <x:c r="C1057" s="35" t="str">
        <x:v>P18</x:v>
      </x:c>
      <x:c r="D1057" s="35" t="n">
        <x:v>2</x:v>
      </x:c>
      <x:c r="E1057" s="35" t="str">
        <x:v>Primary VLA</x:v>
      </x:c>
      <x:c r="F1057" s="35" t="str">
        <x:v>π0.5</x:v>
      </x:c>
      <x:c r="G1057" s="35" t="n">
        <x:v>2</x:v>
      </x:c>
      <x:c r="H1057" s="35" t="str">
        <x:v>State Recognition</x:v>
      </x:c>
      <x:c r="I1057" s="35" t="str">
        <x:v>Main matched control</x:v>
      </x:c>
      <x:c r="J1057" s="35" t="str">
        <x:v>PVLA-ST-CTL-04</x:v>
      </x:c>
      <x:c r="K1057" s="35" t="str">
        <x:v>S-CF07</x:v>
      </x:c>
      <x:c r="L1057" s="31" t="str">
        <x:v>Place a yellow-white striped cup in the bowl.</x:v>
      </x:c>
      <x:c r="M1057" s="31" t="str">
        <x:v>Place a yellow-white striped cup in the bowl.</x:v>
      </x:c>
      <x:c r="N1057" s="31" t="str">
        <x:v>S-CF07-CTRL: P1 brown cup A=C/UR; P2 glass spice container A=O/UR; P3 yellow-white striped cup A=C/UD [TARGET].</x:v>
      </x:c>
      <x:c r="O1057" s="31" t="str">
        <x:v>yellow-white striped cup A</x:v>
      </x:c>
      <x:c r="P1057" s="31" t="str"/>
      <x:c r="Q1057" s="31" t="str"/>
      <x:c r="R1057" s="31" t="str"/>
      <x:c r="S1057" s="31" t="str">
        <x:f>IF('Blind Scoring'!I1057="","",'Blind Scoring'!I1057)</x:f>
      </x:c>
      <x:c r="T1057" s="31" t="str">
        <x:f>'Blind Scoring'!J1057</x:f>
        <x:v>No</x:v>
      </x:c>
      <x:c r="U1057" s="31" t="str">
        <x:f>IF('Blind Scoring'!L1057="","",'Blind Scoring'!L1057)</x:f>
      </x:c>
    </x:row>
    <x:row r="1058" ht="44" customHeight="1">
      <x:c r="A1058" s="35" t="str">
        <x:v>Not Started</x:v>
      </x:c>
      <x:c r="B1058" s="35" t="n">
        <x:v>1056</x:v>
      </x:c>
      <x:c r="C1058" s="35" t="str">
        <x:v>P18</x:v>
      </x:c>
      <x:c r="D1058" s="35" t="n">
        <x:v>3</x:v>
      </x:c>
      <x:c r="E1058" s="35" t="str">
        <x:v>Primary VLA</x:v>
      </x:c>
      <x:c r="F1058" s="35" t="str">
        <x:v>π0.5</x:v>
      </x:c>
      <x:c r="G1058" s="35" t="n">
        <x:v>2</x:v>
      </x:c>
      <x:c r="H1058" s="35" t="str">
        <x:v>State Recognition</x:v>
      </x:c>
      <x:c r="I1058" s="35" t="str">
        <x:v>Main held-out transfer</x:v>
      </x:c>
      <x:c r="J1058" s="35" t="str">
        <x:v>PVLA-ST-TR-09</x:v>
      </x:c>
      <x:c r="K1058" s="35" t="str">
        <x:v>S-CF16</x:v>
      </x:c>
      <x:c r="L1058" s="31" t="str">
        <x:v>Place the upright brown cup in the bowl.</x:v>
      </x:c>
      <x:c r="M1058" s="31" t="str">
        <x:v>Place the upright brown cup in the bowl.</x:v>
      </x:c>
      <x:c r="N1058" s="31" t="str">
        <x:v>S-CF16-HELD: P1 brown cup A=C/UD [COMPETITOR]; P2 glass spice container B=O/UR; P3 white cup A=O/UD; P4 brown cup B=C/UR [TARGET].</x:v>
      </x:c>
      <x:c r="O1058" s="31" t="str">
        <x:v>brown cup B</x:v>
      </x:c>
      <x:c r="P1058" s="31" t="str"/>
      <x:c r="Q1058" s="31" t="str"/>
      <x:c r="R1058" s="31" t="str"/>
      <x:c r="S1058" s="31" t="str">
        <x:f>IF('Blind Scoring'!I1058="","",'Blind Scoring'!I1058)</x:f>
      </x:c>
      <x:c r="T1058" s="31" t="str">
        <x:f>'Blind Scoring'!J1058</x:f>
        <x:v>No</x:v>
      </x:c>
      <x:c r="U1058" s="31" t="str">
        <x:f>IF('Blind Scoring'!L1058="","",'Blind Scoring'!L1058)</x:f>
      </x:c>
    </x:row>
    <x:row r="1059" ht="44" customHeight="1">
      <x:c r="A1059" s="35" t="str">
        <x:v>Not Started</x:v>
      </x:c>
      <x:c r="B1059" s="35" t="n">
        <x:v>1057</x:v>
      </x:c>
      <x:c r="C1059" s="35" t="str">
        <x:v>P18</x:v>
      </x:c>
      <x:c r="D1059" s="35" t="n">
        <x:v>4</x:v>
      </x:c>
      <x:c r="E1059" s="35" t="str">
        <x:v>Primary VLA</x:v>
      </x:c>
      <x:c r="F1059" s="35" t="str">
        <x:v>π0.5</x:v>
      </x:c>
      <x:c r="G1059" s="35" t="n">
        <x:v>2</x:v>
      </x:c>
      <x:c r="H1059" s="35" t="str">
        <x:v>State Recognition</x:v>
      </x:c>
      <x:c r="I1059" s="35" t="str">
        <x:v>Main matched control</x:v>
      </x:c>
      <x:c r="J1059" s="35" t="str">
        <x:v>PVLA-ST-CTL-01</x:v>
      </x:c>
      <x:c r="K1059" s="35" t="str">
        <x:v>S-CF01</x:v>
      </x:c>
      <x:c r="L1059" s="31" t="str">
        <x:v>Place a white cup in the bowl.</x:v>
      </x:c>
      <x:c r="M1059" s="31" t="str">
        <x:v>Place a white cup in the bowl.</x:v>
      </x:c>
      <x:c r="N1059" s="31" t="str">
        <x:v>S-CF01-CTRL: P1 white cup A=C/UR [TARGET]; P3 yellow-white striped cup A=C/UD; P4 brown cup B=O/UD.</x:v>
      </x:c>
      <x:c r="O1059" s="31" t="str">
        <x:v>white cup A</x:v>
      </x:c>
      <x:c r="P1059" s="31" t="str"/>
      <x:c r="Q1059" s="31" t="str"/>
      <x:c r="R1059" s="31" t="str"/>
      <x:c r="S1059" s="31" t="str">
        <x:f>IF('Blind Scoring'!I1059="","",'Blind Scoring'!I1059)</x:f>
      </x:c>
      <x:c r="T1059" s="31" t="str">
        <x:f>'Blind Scoring'!J1059</x:f>
        <x:v>No</x:v>
      </x:c>
      <x:c r="U1059" s="31" t="str">
        <x:f>IF('Blind Scoring'!L1059="","",'Blind Scoring'!L1059)</x:f>
      </x:c>
    </x:row>
    <x:row r="1060" ht="44" customHeight="1">
      <x:c r="A1060" s="35" t="str">
        <x:v>Not Started</x:v>
      </x:c>
      <x:c r="B1060" s="35" t="n">
        <x:v>1058</x:v>
      </x:c>
      <x:c r="C1060" s="35" t="str">
        <x:v>P18</x:v>
      </x:c>
      <x:c r="D1060" s="35" t="n">
        <x:v>5</x:v>
      </x:c>
      <x:c r="E1060" s="35" t="str">
        <x:v>Primary VLA</x:v>
      </x:c>
      <x:c r="F1060" s="35" t="str">
        <x:v>π0.5</x:v>
      </x:c>
      <x:c r="G1060" s="35" t="n">
        <x:v>2</x:v>
      </x:c>
      <x:c r="H1060" s="35" t="str">
        <x:v>State Recognition</x:v>
      </x:c>
      <x:c r="I1060" s="35" t="str">
        <x:v>Training reconstruction</x:v>
      </x:c>
      <x:c r="J1060" s="35" t="str">
        <x:v>PVLA-ST-REC-05</x:v>
      </x:c>
      <x:c r="K1060" s="35" t="str"/>
      <x:c r="L1060" s="31" t="str">
        <x:v>Put the open glass spice container in the bowl.</x:v>
      </x:c>
      <x:c r="M1060" s="31" t="str">
        <x:v>Put the open glass spice container in the bowl.</x:v>
      </x:c>
      <x:c r="N1060" s="31" t="str">
        <x:v>Reconstruct planned final training episode 160: glass spice container B, glass spice container A, yellow-white striped cup B; start=Home. Match camera, calibration, bowl pose, and object geometry exactly.</x:v>
      </x:c>
      <x:c r="O1060" s="31" t="str">
        <x:v>glass spice container B</x:v>
      </x:c>
      <x:c r="P1060" s="31" t="str"/>
      <x:c r="Q1060" s="31" t="str"/>
      <x:c r="R1060" s="31" t="str"/>
      <x:c r="S1060" s="31" t="str">
        <x:f>IF('Blind Scoring'!I1060="","",'Blind Scoring'!I1060)</x:f>
      </x:c>
      <x:c r="T1060" s="31" t="str">
        <x:f>'Blind Scoring'!J1060</x:f>
        <x:v>No</x:v>
      </x:c>
      <x:c r="U1060" s="31" t="str">
        <x:f>IF('Blind Scoring'!L1060="","",'Blind Scoring'!L1060)</x:f>
      </x:c>
    </x:row>
    <x:row r="1061" ht="44" customHeight="1">
      <x:c r="A1061" s="35" t="str">
        <x:v>Not Started</x:v>
      </x:c>
      <x:c r="B1061" s="35" t="n">
        <x:v>1059</x:v>
      </x:c>
      <x:c r="C1061" s="35" t="str">
        <x:v>P18</x:v>
      </x:c>
      <x:c r="D1061" s="35" t="n">
        <x:v>6</x:v>
      </x:c>
      <x:c r="E1061" s="35" t="str">
        <x:v>Primary VLA</x:v>
      </x:c>
      <x:c r="F1061" s="35" t="str">
        <x:v>π0.5</x:v>
      </x:c>
      <x:c r="G1061" s="35" t="n">
        <x:v>2</x:v>
      </x:c>
      <x:c r="H1061" s="35" t="str">
        <x:v>State Recognition</x:v>
      </x:c>
      <x:c r="I1061" s="35" t="str">
        <x:v>Main held-out transfer</x:v>
      </x:c>
      <x:c r="J1061" s="35" t="str">
        <x:v>PVLA-ST-TR-13</x:v>
      </x:c>
      <x:c r="K1061" s="35" t="str">
        <x:v>S-CF24</x:v>
      </x:c>
      <x:c r="L1061" s="31" t="str">
        <x:v>Place the upright brown cup in the bowl.</x:v>
      </x:c>
      <x:c r="M1061" s="31" t="str">
        <x:v>Place the upright brown cup in the bowl.</x:v>
      </x:c>
      <x:c r="N1061" s="31" t="str">
        <x:v>S-CF24-HELD: P1 brown cup A=C/UD [COMPETITOR]; P2 glass spice container B=O/UR; P3 white cup A=O/UD; P4 brown cup B=C/UR [TARGET].</x:v>
      </x:c>
      <x:c r="O1061" s="31" t="str">
        <x:v>brown cup B</x:v>
      </x:c>
      <x:c r="P1061" s="31" t="str"/>
      <x:c r="Q1061" s="31" t="str"/>
      <x:c r="R1061" s="31" t="str"/>
      <x:c r="S1061" s="31" t="str">
        <x:f>IF('Blind Scoring'!I1061="","",'Blind Scoring'!I1061)</x:f>
      </x:c>
      <x:c r="T1061" s="31" t="str">
        <x:f>'Blind Scoring'!J1061</x:f>
        <x:v>No</x:v>
      </x:c>
      <x:c r="U1061" s="31" t="str">
        <x:f>IF('Blind Scoring'!L1061="","",'Blind Scoring'!L1061)</x:f>
      </x:c>
    </x:row>
    <x:row r="1062" ht="44" customHeight="1">
      <x:c r="A1062" s="35" t="str">
        <x:v>Not Started</x:v>
      </x:c>
      <x:c r="B1062" s="35" t="n">
        <x:v>1060</x:v>
      </x:c>
      <x:c r="C1062" s="35" t="str">
        <x:v>P18</x:v>
      </x:c>
      <x:c r="D1062" s="35" t="n">
        <x:v>7</x:v>
      </x:c>
      <x:c r="E1062" s="35" t="str">
        <x:v>Primary VLA</x:v>
      </x:c>
      <x:c r="F1062" s="35" t="str">
        <x:v>π0.5</x:v>
      </x:c>
      <x:c r="G1062" s="35" t="n">
        <x:v>2</x:v>
      </x:c>
      <x:c r="H1062" s="35" t="str">
        <x:v>State Recognition</x:v>
      </x:c>
      <x:c r="I1062" s="35" t="str">
        <x:v>Training reconstruction</x:v>
      </x:c>
      <x:c r="J1062" s="35" t="str">
        <x:v>PVLA-ST-REC-02</x:v>
      </x:c>
      <x:c r="K1062" s="35" t="str"/>
      <x:c r="L1062" s="31" t="str">
        <x:v>Put a yellow-white striped cup in the bowl.</x:v>
      </x:c>
      <x:c r="M1062" s="31" t="str">
        <x:v>Put a yellow-white striped cup in the bowl.</x:v>
      </x:c>
      <x:c r="N1062" s="31" t="str">
        <x:v>Reconstruct planned final training episode 52: yellow-white striped cup A, white cup A, brown cup B; start=Home. Match camera, calibration, bowl pose, and object geometry exactly.</x:v>
      </x:c>
      <x:c r="O1062" s="31" t="str">
        <x:v>yellow-white striped cup A</x:v>
      </x:c>
      <x:c r="P1062" s="31" t="str"/>
      <x:c r="Q1062" s="31" t="str"/>
      <x:c r="R1062" s="31" t="str"/>
      <x:c r="S1062" s="31" t="str">
        <x:f>IF('Blind Scoring'!I1062="","",'Blind Scoring'!I1062)</x:f>
      </x:c>
      <x:c r="T1062" s="31" t="str">
        <x:f>'Blind Scoring'!J1062</x:f>
        <x:v>No</x:v>
      </x:c>
      <x:c r="U1062" s="31" t="str">
        <x:f>IF('Blind Scoring'!L1062="","",'Blind Scoring'!L1062)</x:f>
      </x:c>
    </x:row>
    <x:row r="1063" ht="44" customHeight="1">
      <x:c r="A1063" s="35" t="str">
        <x:v>Not Started</x:v>
      </x:c>
      <x:c r="B1063" s="35" t="n">
        <x:v>1061</x:v>
      </x:c>
      <x:c r="C1063" s="35" t="str">
        <x:v>P18</x:v>
      </x:c>
      <x:c r="D1063" s="35" t="n">
        <x:v>8</x:v>
      </x:c>
      <x:c r="E1063" s="35" t="str">
        <x:v>Primary VLA</x:v>
      </x:c>
      <x:c r="F1063" s="35" t="str">
        <x:v>π0.5</x:v>
      </x:c>
      <x:c r="G1063" s="35" t="n">
        <x:v>2</x:v>
      </x:c>
      <x:c r="H1063" s="35" t="str">
        <x:v>State Recognition</x:v>
      </x:c>
      <x:c r="I1063" s="35" t="str">
        <x:v>Main held-out transfer</x:v>
      </x:c>
      <x:c r="J1063" s="35" t="str">
        <x:v>PVLA-ST-TR-03</x:v>
      </x:c>
      <x:c r="K1063" s="35" t="str">
        <x:v>S-CF05</x:v>
      </x:c>
      <x:c r="L1063" s="31" t="str">
        <x:v>Place the closed brown cup in the bowl.</x:v>
      </x:c>
      <x:c r="M1063" s="31" t="str">
        <x:v>Place the closed brown cup in the bowl.</x:v>
      </x:c>
      <x:c r="N1063" s="31" t="str">
        <x:v>S-CF05-HELD: P1 brown cup A=C/UR [TARGET]; P2 brown cup B=O/UR [COMPETITOR]; P3 glass spice container A=C/UD; P4 white cup B=O/UD.</x:v>
      </x:c>
      <x:c r="O1063" s="31" t="str">
        <x:v>brown cup A</x:v>
      </x:c>
      <x:c r="P1063" s="31" t="str"/>
      <x:c r="Q1063" s="31" t="str"/>
      <x:c r="R1063" s="31" t="str"/>
      <x:c r="S1063" s="31" t="str">
        <x:f>IF('Blind Scoring'!I1063="","",'Blind Scoring'!I1063)</x:f>
      </x:c>
      <x:c r="T1063" s="31" t="str">
        <x:f>'Blind Scoring'!J1063</x:f>
        <x:v>No</x:v>
      </x:c>
      <x:c r="U1063" s="31" t="str">
        <x:f>IF('Blind Scoring'!L1063="","",'Blind Scoring'!L1063)</x:f>
      </x:c>
    </x:row>
    <x:row r="1064" ht="44" customHeight="1">
      <x:c r="A1064" s="35" t="str">
        <x:v>Not Started</x:v>
      </x:c>
      <x:c r="B1064" s="35" t="n">
        <x:v>1062</x:v>
      </x:c>
      <x:c r="C1064" s="35" t="str">
        <x:v>P18</x:v>
      </x:c>
      <x:c r="D1064" s="35" t="n">
        <x:v>9</x:v>
      </x:c>
      <x:c r="E1064" s="35" t="str">
        <x:v>Primary VLA</x:v>
      </x:c>
      <x:c r="F1064" s="35" t="str">
        <x:v>π0.5</x:v>
      </x:c>
      <x:c r="G1064" s="35" t="n">
        <x:v>2</x:v>
      </x:c>
      <x:c r="H1064" s="35" t="str">
        <x:v>State Recognition</x:v>
      </x:c>
      <x:c r="I1064" s="35" t="str">
        <x:v>Exact-scene paraphrase</x:v>
      </x:c>
      <x:c r="J1064" s="35" t="str">
        <x:v>PVLA-ST-PAR-03</x:v>
      </x:c>
      <x:c r="K1064" s="35" t="str">
        <x:v>S-CF06</x:v>
      </x:c>
      <x:c r="L1064" s="31" t="str">
        <x:v>Move the overturned glass spice container into the bowl.</x:v>
      </x:c>
      <x:c r="M1064" s="31" t="str">
        <x:v>Move the overturned glass spice container into the bowl.</x:v>
      </x:c>
      <x:c r="N1064" s="31" t="str">
        <x:v>S-CF06-PARA: P1 white cup B=C/UR; P2 glass spice container A=O/UR [TARGET]; P3 glass spice container B=O/UD [COMPETITOR]; P4 yellow-white striped cup B=C/UD.</x:v>
      </x:c>
      <x:c r="O1064" s="31" t="str">
        <x:v>glass spice container B</x:v>
      </x:c>
      <x:c r="P1064" s="31" t="str"/>
      <x:c r="Q1064" s="31" t="str"/>
      <x:c r="R1064" s="31" t="str"/>
      <x:c r="S1064" s="31" t="str">
        <x:f>IF('Blind Scoring'!I1064="","",'Blind Scoring'!I1064)</x:f>
      </x:c>
      <x:c r="T1064" s="31" t="str">
        <x:f>'Blind Scoring'!J1064</x:f>
        <x:v>No</x:v>
      </x:c>
      <x:c r="U1064" s="31" t="str">
        <x:f>IF('Blind Scoring'!L1064="","",'Blind Scoring'!L1064)</x:f>
      </x:c>
    </x:row>
    <x:row r="1065" ht="44" customHeight="1">
      <x:c r="A1065" s="35" t="str">
        <x:v>Not Started</x:v>
      </x:c>
      <x:c r="B1065" s="35" t="n">
        <x:v>1063</x:v>
      </x:c>
      <x:c r="C1065" s="35" t="str">
        <x:v>P18</x:v>
      </x:c>
      <x:c r="D1065" s="35" t="n">
        <x:v>10</x:v>
      </x:c>
      <x:c r="E1065" s="35" t="str">
        <x:v>Primary VLA</x:v>
      </x:c>
      <x:c r="F1065" s="35" t="str">
        <x:v>π0.5</x:v>
      </x:c>
      <x:c r="G1065" s="35" t="n">
        <x:v>2</x:v>
      </x:c>
      <x:c r="H1065" s="35" t="str">
        <x:v>State Recognition</x:v>
      </x:c>
      <x:c r="I1065" s="35" t="str">
        <x:v>Exact-scene paraphrase</x:v>
      </x:c>
      <x:c r="J1065" s="35" t="str">
        <x:v>PVLA-ST-PAR-07</x:v>
      </x:c>
      <x:c r="K1065" s="35" t="str">
        <x:v>S-CF17</x:v>
      </x:c>
      <x:c r="L1065" s="31" t="str">
        <x:v>Find the white cup with its opening uncovered and move it into the bowl.</x:v>
      </x:c>
      <x:c r="M1065" s="31" t="str">
        <x:v>Find the white cup with its opening uncovered and move it into the bowl.</x:v>
      </x:c>
      <x:c r="N1065" s="31" t="str">
        <x:v>S-CF17-PARA: P1 white cup A=C/UR [TARGET]; P2 white cup B=O/UR [COMPETITOR]; P3 yellow-white striped cup A=C/UD; P4 brown cup B=O/UD.</x:v>
      </x:c>
      <x:c r="O1065" s="31" t="str">
        <x:v>white cup B</x:v>
      </x:c>
      <x:c r="P1065" s="31" t="str"/>
      <x:c r="Q1065" s="31" t="str"/>
      <x:c r="R1065" s="31" t="str"/>
      <x:c r="S1065" s="31" t="str">
        <x:f>IF('Blind Scoring'!I1065="","",'Blind Scoring'!I1065)</x:f>
      </x:c>
      <x:c r="T1065" s="31" t="str">
        <x:f>'Blind Scoring'!J1065</x:f>
        <x:v>No</x:v>
      </x:c>
      <x:c r="U1065" s="31" t="str">
        <x:f>IF('Blind Scoring'!L1065="","",'Blind Scoring'!L1065)</x:f>
      </x:c>
    </x:row>
    <x:row r="1066" ht="44" customHeight="1">
      <x:c r="A1066" s="35" t="str">
        <x:v>Not Started</x:v>
      </x:c>
      <x:c r="B1066" s="35" t="n">
        <x:v>1064</x:v>
      </x:c>
      <x:c r="C1066" s="35" t="str">
        <x:v>P18</x:v>
      </x:c>
      <x:c r="D1066" s="35" t="n">
        <x:v>11</x:v>
      </x:c>
      <x:c r="E1066" s="35" t="str">
        <x:v>Primary VLA</x:v>
      </x:c>
      <x:c r="F1066" s="35" t="str">
        <x:v>π0.5</x:v>
      </x:c>
      <x:c r="G1066" s="35" t="n">
        <x:v>2</x:v>
      </x:c>
      <x:c r="H1066" s="35" t="str">
        <x:v>State Recognition</x:v>
      </x:c>
      <x:c r="I1066" s="35" t="str">
        <x:v>Main held-out transfer</x:v>
      </x:c>
      <x:c r="J1066" s="35" t="str">
        <x:v>PVLA-ST-TR-05</x:v>
      </x:c>
      <x:c r="K1066" s="35" t="str">
        <x:v>S-CF09</x:v>
      </x:c>
      <x:c r="L1066" s="31" t="str">
        <x:v>Place the closed white cup in the bowl.</x:v>
      </x:c>
      <x:c r="M1066" s="31" t="str">
        <x:v>Place the closed white cup in the bowl.</x:v>
      </x:c>
      <x:c r="N1066" s="31" t="str">
        <x:v>S-CF09-HELD: P1 white cup A=C/UR [TARGET]; P2 white cup B=O/UR [COMPETITOR]; P3 yellow-white striped cup A=C/UD; P4 brown cup B=O/UD.</x:v>
      </x:c>
      <x:c r="O1066" s="31" t="str">
        <x:v>white cup A</x:v>
      </x:c>
      <x:c r="P1066" s="31" t="str"/>
      <x:c r="Q1066" s="31" t="str"/>
      <x:c r="R1066" s="31" t="str"/>
      <x:c r="S1066" s="31" t="str">
        <x:f>IF('Blind Scoring'!I1066="","",'Blind Scoring'!I1066)</x:f>
      </x:c>
      <x:c r="T1066" s="31" t="str">
        <x:f>'Blind Scoring'!J1066</x:f>
        <x:v>No</x:v>
      </x:c>
      <x:c r="U1066" s="31" t="str">
        <x:f>IF('Blind Scoring'!L1066="","",'Blind Scoring'!L1066)</x:f>
      </x:c>
    </x:row>
    <x:row r="1067" ht="44" customHeight="1">
      <x:c r="A1067" s="35" t="str">
        <x:v>Not Started</x:v>
      </x:c>
      <x:c r="B1067" s="35" t="n">
        <x:v>1065</x:v>
      </x:c>
      <x:c r="C1067" s="35" t="str">
        <x:v>P18</x:v>
      </x:c>
      <x:c r="D1067" s="35" t="n">
        <x:v>12</x:v>
      </x:c>
      <x:c r="E1067" s="35" t="str">
        <x:v>Primary VLA</x:v>
      </x:c>
      <x:c r="F1067" s="35" t="str">
        <x:v>π0.5</x:v>
      </x:c>
      <x:c r="G1067" s="35" t="n">
        <x:v>2</x:v>
      </x:c>
      <x:c r="H1067" s="35" t="str">
        <x:v>State Recognition</x:v>
      </x:c>
      <x:c r="I1067" s="35" t="str">
        <x:v>Novel layout + seen language</x:v>
      </x:c>
      <x:c r="J1067" s="35" t="str">
        <x:v>PVLA-ST-NOV-04</x:v>
      </x:c>
      <x:c r="K1067" s="35" t="str">
        <x:v>S-CF09</x:v>
      </x:c>
      <x:c r="L1067" s="31" t="str">
        <x:v>Place the open white cup in the bowl.</x:v>
      </x:c>
      <x:c r="M1067" s="31" t="str">
        <x:v>Place the open white cup in the bowl.</x:v>
      </x:c>
      <x:c r="N1067" s="31" t="str">
        <x:v>S-CF09-SEEN: P1 white cup A=C/UR [TARGET]; P2 white cup B=O/UR [COMPETITOR]; P3 yellow-white striped cup A=C/UD; P4 brown cup B=O/UD.</x:v>
      </x:c>
      <x:c r="O1067" s="31" t="str">
        <x:v>white cup B</x:v>
      </x:c>
      <x:c r="P1067" s="31" t="str"/>
      <x:c r="Q1067" s="31" t="str"/>
      <x:c r="R1067" s="31" t="str"/>
      <x:c r="S1067" s="31" t="str">
        <x:f>IF('Blind Scoring'!I1067="","",'Blind Scoring'!I1067)</x:f>
      </x:c>
      <x:c r="T1067" s="31" t="str">
        <x:f>'Blind Scoring'!J1067</x:f>
        <x:v>No</x:v>
      </x:c>
      <x:c r="U1067" s="31" t="str">
        <x:f>IF('Blind Scoring'!L1067="","",'Blind Scoring'!L1067)</x:f>
      </x:c>
    </x:row>
    <x:row r="1068" ht="44" customHeight="1">
      <x:c r="A1068" s="35" t="str">
        <x:v>Not Started</x:v>
      </x:c>
      <x:c r="B1068" s="35" t="n">
        <x:v>1066</x:v>
      </x:c>
      <x:c r="C1068" s="35" t="str">
        <x:v>P18</x:v>
      </x:c>
      <x:c r="D1068" s="35" t="n">
        <x:v>13</x:v>
      </x:c>
      <x:c r="E1068" s="35" t="str">
        <x:v>Primary VLA</x:v>
      </x:c>
      <x:c r="F1068" s="35" t="str">
        <x:v>π0.5</x:v>
      </x:c>
      <x:c r="G1068" s="35" t="n">
        <x:v>2</x:v>
      </x:c>
      <x:c r="H1068" s="35" t="str">
        <x:v>State Recognition</x:v>
      </x:c>
      <x:c r="I1068" s="35" t="str">
        <x:v>Main matched control</x:v>
      </x:c>
      <x:c r="J1068" s="35" t="str">
        <x:v>PVLA-ST-CTL-13</x:v>
      </x:c>
      <x:c r="K1068" s="35" t="str">
        <x:v>S-CF24</x:v>
      </x:c>
      <x:c r="L1068" s="31" t="str">
        <x:v>Place a brown cup in the bowl.</x:v>
      </x:c>
      <x:c r="M1068" s="31" t="str">
        <x:v>Place a brown cup in the bowl.</x:v>
      </x:c>
      <x:c r="N1068" s="31" t="str">
        <x:v>S-CF24-CTRL: P2 glass spice container B=O/UR; P3 white cup A=O/UD; P4 brown cup B=C/UR [TARGET].</x:v>
      </x:c>
      <x:c r="O1068" s="31" t="str">
        <x:v>brown cup B</x:v>
      </x:c>
      <x:c r="P1068" s="31" t="str"/>
      <x:c r="Q1068" s="31" t="str"/>
      <x:c r="R1068" s="31" t="str"/>
      <x:c r="S1068" s="31" t="str">
        <x:f>IF('Blind Scoring'!I1068="","",'Blind Scoring'!I1068)</x:f>
      </x:c>
      <x:c r="T1068" s="31" t="str">
        <x:f>'Blind Scoring'!J1068</x:f>
        <x:v>No</x:v>
      </x:c>
      <x:c r="U1068" s="31" t="str">
        <x:f>IF('Blind Scoring'!L1068="","",'Blind Scoring'!L1068)</x:f>
      </x:c>
    </x:row>
    <x:row r="1069" ht="44" customHeight="1">
      <x:c r="A1069" s="35" t="str">
        <x:v>Not Started</x:v>
      </x:c>
      <x:c r="B1069" s="35" t="n">
        <x:v>1067</x:v>
      </x:c>
      <x:c r="C1069" s="35" t="str">
        <x:v>P18</x:v>
      </x:c>
      <x:c r="D1069" s="35" t="n">
        <x:v>14</x:v>
      </x:c>
      <x:c r="E1069" s="35" t="str">
        <x:v>Primary VLA</x:v>
      </x:c>
      <x:c r="F1069" s="35" t="str">
        <x:v>π0.5</x:v>
      </x:c>
      <x:c r="G1069" s="35" t="n">
        <x:v>2</x:v>
      </x:c>
      <x:c r="H1069" s="35" t="str">
        <x:v>State Recognition</x:v>
      </x:c>
      <x:c r="I1069" s="35" t="str">
        <x:v>Training reconstruction</x:v>
      </x:c>
      <x:c r="J1069" s="35" t="str">
        <x:v>PVLA-ST-REC-06</x:v>
      </x:c>
      <x:c r="K1069" s="35" t="str"/>
      <x:c r="L1069" s="31" t="str">
        <x:v>Move a glass spice container into the bowl.</x:v>
      </x:c>
      <x:c r="M1069" s="31" t="str">
        <x:v>Move a glass spice container into the bowl.</x:v>
      </x:c>
      <x:c r="N1069" s="31" t="str">
        <x:v>Reconstruct planned final training episode 191: glass spice container A, brown cup A, white cup B; start=Home. Match camera, calibration, bowl pose, and object geometry exactly.</x:v>
      </x:c>
      <x:c r="O1069" s="31" t="str">
        <x:v>glass spice container A</x:v>
      </x:c>
      <x:c r="P1069" s="31" t="str"/>
      <x:c r="Q1069" s="31" t="str"/>
      <x:c r="R1069" s="31" t="str"/>
      <x:c r="S1069" s="31" t="str">
        <x:f>IF('Blind Scoring'!I1069="","",'Blind Scoring'!I1069)</x:f>
      </x:c>
      <x:c r="T1069" s="31" t="str">
        <x:f>'Blind Scoring'!J1069</x:f>
        <x:v>No</x:v>
      </x:c>
      <x:c r="U1069" s="31" t="str">
        <x:f>IF('Blind Scoring'!L1069="","",'Blind Scoring'!L1069)</x:f>
      </x:c>
    </x:row>
    <x:row r="1070" ht="44" customHeight="1">
      <x:c r="A1070" s="35" t="str">
        <x:v>Not Started</x:v>
      </x:c>
      <x:c r="B1070" s="35" t="n">
        <x:v>1068</x:v>
      </x:c>
      <x:c r="C1070" s="35" t="str">
        <x:v>P18</x:v>
      </x:c>
      <x:c r="D1070" s="35" t="n">
        <x:v>15</x:v>
      </x:c>
      <x:c r="E1070" s="35" t="str">
        <x:v>Primary VLA</x:v>
      </x:c>
      <x:c r="F1070" s="35" t="str">
        <x:v>π0.5</x:v>
      </x:c>
      <x:c r="G1070" s="35" t="n">
        <x:v>2</x:v>
      </x:c>
      <x:c r="H1070" s="35" t="str">
        <x:v>State Recognition</x:v>
      </x:c>
      <x:c r="I1070" s="35" t="str">
        <x:v>Main held-out transfer</x:v>
      </x:c>
      <x:c r="J1070" s="35" t="str">
        <x:v>PVLA-ST-TR-02</x:v>
      </x:c>
      <x:c r="K1070" s="35" t="str">
        <x:v>S-CF03</x:v>
      </x:c>
      <x:c r="L1070" s="31" t="str">
        <x:v>Place the closed glass spice container in the bowl.</x:v>
      </x:c>
      <x:c r="M1070" s="31" t="str">
        <x:v>Place the closed glass spice container in the bowl.</x:v>
      </x:c>
      <x:c r="N1070" s="31" t="str">
        <x:v>S-CF03-HELD: P1 white cup A=C/UR; P2 yellow-white striped cup A=O/UR; P3 glass spice container B=C/UD [TARGET]; P4 glass spice container A=O/UD [COMPETITOR].</x:v>
      </x:c>
      <x:c r="O1070" s="31" t="str">
        <x:v>glass spice container B</x:v>
      </x:c>
      <x:c r="P1070" s="31" t="str"/>
      <x:c r="Q1070" s="31" t="str"/>
      <x:c r="R1070" s="31" t="str"/>
      <x:c r="S1070" s="31" t="str">
        <x:f>IF('Blind Scoring'!I1070="","",'Blind Scoring'!I1070)</x:f>
      </x:c>
      <x:c r="T1070" s="31" t="str">
        <x:f>'Blind Scoring'!J1070</x:f>
        <x:v>No</x:v>
      </x:c>
      <x:c r="U1070" s="31" t="str">
        <x:f>IF('Blind Scoring'!L1070="","",'Blind Scoring'!L1070)</x:f>
      </x:c>
    </x:row>
    <x:row r="1071" ht="44" customHeight="1">
      <x:c r="A1071" s="35" t="str">
        <x:v>Not Started</x:v>
      </x:c>
      <x:c r="B1071" s="35" t="n">
        <x:v>1069</x:v>
      </x:c>
      <x:c r="C1071" s="35" t="str">
        <x:v>P18</x:v>
      </x:c>
      <x:c r="D1071" s="35" t="n">
        <x:v>16</x:v>
      </x:c>
      <x:c r="E1071" s="35" t="str">
        <x:v>Primary VLA</x:v>
      </x:c>
      <x:c r="F1071" s="35" t="str">
        <x:v>π0.5</x:v>
      </x:c>
      <x:c r="G1071" s="35" t="n">
        <x:v>2</x:v>
      </x:c>
      <x:c r="H1071" s="35" t="str">
        <x:v>State Recognition</x:v>
      </x:c>
      <x:c r="I1071" s="35" t="str">
        <x:v>Main held-out transfer</x:v>
      </x:c>
      <x:c r="J1071" s="35" t="str">
        <x:v>PVLA-ST-TR-01</x:v>
      </x:c>
      <x:c r="K1071" s="35" t="str">
        <x:v>S-CF01</x:v>
      </x:c>
      <x:c r="L1071" s="31" t="str">
        <x:v>Place the closed white cup in the bowl.</x:v>
      </x:c>
      <x:c r="M1071" s="31" t="str">
        <x:v>Place the closed white cup in the bowl.</x:v>
      </x:c>
      <x:c r="N1071" s="31" t="str">
        <x:v>S-CF01-HELD: P1 white cup A=C/UR [TARGET]; P2 white cup B=O/UR [COMPETITOR]; P3 yellow-white striped cup A=C/UD; P4 brown cup B=O/UD.</x:v>
      </x:c>
      <x:c r="O1071" s="31" t="str">
        <x:v>white cup A</x:v>
      </x:c>
      <x:c r="P1071" s="31" t="str"/>
      <x:c r="Q1071" s="31" t="str"/>
      <x:c r="R1071" s="31" t="str"/>
      <x:c r="S1071" s="31" t="str">
        <x:f>IF('Blind Scoring'!I1071="","",'Blind Scoring'!I1071)</x:f>
      </x:c>
      <x:c r="T1071" s="31" t="str">
        <x:f>'Blind Scoring'!J1071</x:f>
        <x:v>No</x:v>
      </x:c>
      <x:c r="U1071" s="31" t="str">
        <x:f>IF('Blind Scoring'!L1071="","",'Blind Scoring'!L1071)</x:f>
      </x:c>
    </x:row>
    <x:row r="1072" ht="44" customHeight="1">
      <x:c r="A1072" s="35" t="str">
        <x:v>Not Started</x:v>
      </x:c>
      <x:c r="B1072" s="35" t="n">
        <x:v>1070</x:v>
      </x:c>
      <x:c r="C1072" s="35" t="str">
        <x:v>P18</x:v>
      </x:c>
      <x:c r="D1072" s="35" t="n">
        <x:v>17</x:v>
      </x:c>
      <x:c r="E1072" s="35" t="str">
        <x:v>Primary VLA</x:v>
      </x:c>
      <x:c r="F1072" s="35" t="str">
        <x:v>π0.5</x:v>
      </x:c>
      <x:c r="G1072" s="35" t="n">
        <x:v>2</x:v>
      </x:c>
      <x:c r="H1072" s="35" t="str">
        <x:v>State Recognition</x:v>
      </x:c>
      <x:c r="I1072" s="35" t="str">
        <x:v>Training reconstruction</x:v>
      </x:c>
      <x:c r="J1072" s="35" t="str">
        <x:v>PVLA-ST-REC-01</x:v>
      </x:c>
      <x:c r="K1072" s="35" t="str"/>
      <x:c r="L1072" s="31" t="str">
        <x:v>Move the open white cup into the bowl.</x:v>
      </x:c>
      <x:c r="M1072" s="31" t="str">
        <x:v>Move the open white cup into the bowl.</x:v>
      </x:c>
      <x:c r="N1072" s="31" t="str">
        <x:v>Reconstruct planned final training episode 2: white cup A, white cup B, glass spice container A, yellow-white striped cup B; start=Home. Match camera, calibration, bowl pose, and object geometry exactly.</x:v>
      </x:c>
      <x:c r="O1072" s="31" t="str">
        <x:v>white cup A</x:v>
      </x:c>
      <x:c r="P1072" s="31" t="str"/>
      <x:c r="Q1072" s="31" t="str"/>
      <x:c r="R1072" s="31" t="str"/>
      <x:c r="S1072" s="31" t="str">
        <x:f>IF('Blind Scoring'!I1072="","",'Blind Scoring'!I1072)</x:f>
      </x:c>
      <x:c r="T1072" s="31" t="str">
        <x:f>'Blind Scoring'!J1072</x:f>
        <x:v>No</x:v>
      </x:c>
      <x:c r="U1072" s="31" t="str">
        <x:f>IF('Blind Scoring'!L1072="","",'Blind Scoring'!L1072)</x:f>
      </x:c>
    </x:row>
    <x:row r="1073" ht="44" customHeight="1">
      <x:c r="A1073" s="35" t="str">
        <x:v>Not Started</x:v>
      </x:c>
      <x:c r="B1073" s="35" t="n">
        <x:v>1071</x:v>
      </x:c>
      <x:c r="C1073" s="35" t="str">
        <x:v>P18</x:v>
      </x:c>
      <x:c r="D1073" s="35" t="n">
        <x:v>18</x:v>
      </x:c>
      <x:c r="E1073" s="35" t="str">
        <x:v>Primary VLA</x:v>
      </x:c>
      <x:c r="F1073" s="35" t="str">
        <x:v>π0.5</x:v>
      </x:c>
      <x:c r="G1073" s="35" t="n">
        <x:v>2</x:v>
      </x:c>
      <x:c r="H1073" s="35" t="str">
        <x:v>State Recognition</x:v>
      </x:c>
      <x:c r="I1073" s="35" t="str">
        <x:v>Main held-out transfer</x:v>
      </x:c>
      <x:c r="J1073" s="35" t="str">
        <x:v>PVLA-ST-TR-12</x:v>
      </x:c>
      <x:c r="K1073" s="35" t="str">
        <x:v>S-CF22</x:v>
      </x:c>
      <x:c r="L1073" s="31" t="str">
        <x:v>Place the upright glass spice container in the bowl.</x:v>
      </x:c>
      <x:c r="M1073" s="31" t="str">
        <x:v>Place the upright glass spice container in the bowl.</x:v>
      </x:c>
      <x:c r="N1073" s="31" t="str">
        <x:v>S-CF22-HELD: P1 white cup B=C/UR; P2 glass spice container A=O/UR [TARGET]; P3 glass spice container B=O/UD [COMPETITOR]; P4 yellow-white striped cup B=C/UD.</x:v>
      </x:c>
      <x:c r="O1073" s="31" t="str">
        <x:v>glass spice container A</x:v>
      </x:c>
      <x:c r="P1073" s="31" t="str"/>
      <x:c r="Q1073" s="31" t="str"/>
      <x:c r="R1073" s="31" t="str"/>
      <x:c r="S1073" s="31" t="str">
        <x:f>IF('Blind Scoring'!I1073="","",'Blind Scoring'!I1073)</x:f>
      </x:c>
      <x:c r="T1073" s="31" t="str">
        <x:f>'Blind Scoring'!J1073</x:f>
        <x:v>No</x:v>
      </x:c>
      <x:c r="U1073" s="31" t="str">
        <x:f>IF('Blind Scoring'!L1073="","",'Blind Scoring'!L1073)</x:f>
      </x:c>
    </x:row>
    <x:row r="1074" ht="44" customHeight="1">
      <x:c r="A1074" s="35" t="str">
        <x:v>Not Started</x:v>
      </x:c>
      <x:c r="B1074" s="35" t="n">
        <x:v>1072</x:v>
      </x:c>
      <x:c r="C1074" s="35" t="str">
        <x:v>P18</x:v>
      </x:c>
      <x:c r="D1074" s="35" t="n">
        <x:v>19</x:v>
      </x:c>
      <x:c r="E1074" s="35" t="str">
        <x:v>Primary VLA</x:v>
      </x:c>
      <x:c r="F1074" s="35" t="str">
        <x:v>π0.5</x:v>
      </x:c>
      <x:c r="G1074" s="35" t="n">
        <x:v>2</x:v>
      </x:c>
      <x:c r="H1074" s="35" t="str">
        <x:v>State Recognition</x:v>
      </x:c>
      <x:c r="I1074" s="35" t="str">
        <x:v>Main matched control</x:v>
      </x:c>
      <x:c r="J1074" s="35" t="str">
        <x:v>PVLA-ST-CTL-09</x:v>
      </x:c>
      <x:c r="K1074" s="35" t="str">
        <x:v>S-CF16</x:v>
      </x:c>
      <x:c r="L1074" s="31" t="str">
        <x:v>Place a brown cup in the bowl.</x:v>
      </x:c>
      <x:c r="M1074" s="31" t="str">
        <x:v>Place a brown cup in the bowl.</x:v>
      </x:c>
      <x:c r="N1074" s="31" t="str">
        <x:v>S-CF16-CTRL: P2 glass spice container B=O/UR; P3 white cup A=O/UD; P4 brown cup B=C/UR [TARGET].</x:v>
      </x:c>
      <x:c r="O1074" s="31" t="str">
        <x:v>brown cup B</x:v>
      </x:c>
      <x:c r="P1074" s="31" t="str"/>
      <x:c r="Q1074" s="31" t="str"/>
      <x:c r="R1074" s="31" t="str"/>
      <x:c r="S1074" s="31" t="str">
        <x:f>IF('Blind Scoring'!I1074="","",'Blind Scoring'!I1074)</x:f>
      </x:c>
      <x:c r="T1074" s="31" t="str">
        <x:f>'Blind Scoring'!J1074</x:f>
        <x:v>No</x:v>
      </x:c>
      <x:c r="U1074" s="31" t="str">
        <x:f>IF('Blind Scoring'!L1074="","",'Blind Scoring'!L1074)</x:f>
      </x:c>
    </x:row>
    <x:row r="1075" ht="44" customHeight="1">
      <x:c r="A1075" s="35" t="str">
        <x:v>Not Started</x:v>
      </x:c>
      <x:c r="B1075" s="35" t="n">
        <x:v>1073</x:v>
      </x:c>
      <x:c r="C1075" s="35" t="str">
        <x:v>P18</x:v>
      </x:c>
      <x:c r="D1075" s="35" t="n">
        <x:v>20</x:v>
      </x:c>
      <x:c r="E1075" s="35" t="str">
        <x:v>Primary VLA</x:v>
      </x:c>
      <x:c r="F1075" s="35" t="str">
        <x:v>π0.5</x:v>
      </x:c>
      <x:c r="G1075" s="35" t="n">
        <x:v>2</x:v>
      </x:c>
      <x:c r="H1075" s="35" t="str">
        <x:v>State Recognition</x:v>
      </x:c>
      <x:c r="I1075" s="35" t="str">
        <x:v>Language ablation — blank</x:v>
      </x:c>
      <x:c r="J1075" s="35" t="str">
        <x:v>PVLA-ST-ABL-BLK-02</x:v>
      </x:c>
      <x:c r="K1075" s="35" t="str">
        <x:v>S-CF03</x:v>
      </x:c>
      <x:c r="L1075" s="31" t="str">
        <x:v>[EMPTY STRING — provide no instruction tokens]</x:v>
      </x:c>
      <x:c r="M1075" s="31" t="str">
        <x:v>Place the closed glass spice container in the bowl.</x:v>
      </x:c>
      <x:c r="N1075" s="31" t="str">
        <x:v>S-CF03-HELD: P1 white cup A=C/UR; P2 yellow-white striped cup A=O/UR; P3 glass spice container B=C/UD [TARGET]; P4 glass spice container A=O/UD [COMPETITOR].</x:v>
      </x:c>
      <x:c r="O1075" s="31" t="str">
        <x:v>No prespecified task success under blank language; record any action/selected target.</x:v>
      </x:c>
      <x:c r="P1075" s="31" t="str"/>
      <x:c r="Q1075" s="31" t="str"/>
      <x:c r="R1075" s="31" t="str"/>
      <x:c r="S1075" s="31" t="str">
        <x:f>IF('Blind Scoring'!I1075="","",'Blind Scoring'!I1075)</x:f>
      </x:c>
      <x:c r="T1075" s="31" t="str">
        <x:f>'Blind Scoring'!J1075</x:f>
        <x:v>No</x:v>
      </x:c>
      <x:c r="U1075" s="31" t="str">
        <x:f>IF('Blind Scoring'!L1075="","",'Blind Scoring'!L1075)</x:f>
      </x:c>
    </x:row>
    <x:row r="1076" ht="44" customHeight="1">
      <x:c r="A1076" s="35" t="str">
        <x:v>Not Started</x:v>
      </x:c>
      <x:c r="B1076" s="35" t="n">
        <x:v>1074</x:v>
      </x:c>
      <x:c r="C1076" s="35" t="str">
        <x:v>P18</x:v>
      </x:c>
      <x:c r="D1076" s="35" t="n">
        <x:v>21</x:v>
      </x:c>
      <x:c r="E1076" s="35" t="str">
        <x:v>Primary VLA</x:v>
      </x:c>
      <x:c r="F1076" s="35" t="str">
        <x:v>π0.5</x:v>
      </x:c>
      <x:c r="G1076" s="35" t="n">
        <x:v>2</x:v>
      </x:c>
      <x:c r="H1076" s="35" t="str">
        <x:v>State Recognition</x:v>
      </x:c>
      <x:c r="I1076" s="35" t="str">
        <x:v>Novel layout + seen language</x:v>
      </x:c>
      <x:c r="J1076" s="35" t="str">
        <x:v>PVLA-ST-NOV-06</x:v>
      </x:c>
      <x:c r="K1076" s="35" t="str">
        <x:v>S-CF15</x:v>
      </x:c>
      <x:c r="L1076" s="31" t="str">
        <x:v>Place the open yellow-white striped cup in the bowl.</x:v>
      </x:c>
      <x:c r="M1076" s="31" t="str">
        <x:v>Place the open yellow-white striped cup in the bowl.</x:v>
      </x:c>
      <x:c r="N1076" s="31" t="str">
        <x:v>S-CF15-SEEN: P1 brown cup A=C/UR; P2 glass spice container A=O/UR; P3 yellow-white striped cup A=C/UD [TARGET]; P4 yellow-white striped cup B=O/UD [COMPETITOR].</x:v>
      </x:c>
      <x:c r="O1076" s="31" t="str">
        <x:v>yellow-white striped cup B</x:v>
      </x:c>
      <x:c r="P1076" s="31" t="str"/>
      <x:c r="Q1076" s="31" t="str"/>
      <x:c r="R1076" s="31" t="str"/>
      <x:c r="S1076" s="31" t="str">
        <x:f>IF('Blind Scoring'!I1076="","",'Blind Scoring'!I1076)</x:f>
      </x:c>
      <x:c r="T1076" s="31" t="str">
        <x:f>'Blind Scoring'!J1076</x:f>
        <x:v>No</x:v>
      </x:c>
      <x:c r="U1076" s="31" t="str">
        <x:f>IF('Blind Scoring'!L1076="","",'Blind Scoring'!L1076)</x:f>
      </x:c>
    </x:row>
    <x:row r="1077" ht="44" customHeight="1">
      <x:c r="A1077" s="35" t="str">
        <x:v>Not Started</x:v>
      </x:c>
      <x:c r="B1077" s="35" t="n">
        <x:v>1075</x:v>
      </x:c>
      <x:c r="C1077" s="35" t="str">
        <x:v>P18</x:v>
      </x:c>
      <x:c r="D1077" s="35" t="n">
        <x:v>22</x:v>
      </x:c>
      <x:c r="E1077" s="35" t="str">
        <x:v>Primary VLA</x:v>
      </x:c>
      <x:c r="F1077" s="35" t="str">
        <x:v>π0.5</x:v>
      </x:c>
      <x:c r="G1077" s="35" t="n">
        <x:v>2</x:v>
      </x:c>
      <x:c r="H1077" s="35" t="str">
        <x:v>State Recognition</x:v>
      </x:c>
      <x:c r="I1077" s="35" t="str">
        <x:v>Novel layout + seen language</x:v>
      </x:c>
      <x:c r="J1077" s="35" t="str">
        <x:v>PVLA-ST-NOV-02</x:v>
      </x:c>
      <x:c r="K1077" s="35" t="str">
        <x:v>S-CF04</x:v>
      </x:c>
      <x:c r="L1077" s="31" t="str">
        <x:v>Place the upside-down white cup in the bowl.</x:v>
      </x:c>
      <x:c r="M1077" s="31" t="str">
        <x:v>Place the upside-down white cup in the bowl.</x:v>
      </x:c>
      <x:c r="N1077" s="31" t="str">
        <x:v>S-CF04-SEEN: P1 white cup A=C/UD [COMPETITOR]; P2 yellow-white striped cup B=O/UR; P3 brown cup A=O/UD; P4 white cup B=C/UR [TARGET].</x:v>
      </x:c>
      <x:c r="O1077" s="31" t="str">
        <x:v>white cup A</x:v>
      </x:c>
      <x:c r="P1077" s="31" t="str"/>
      <x:c r="Q1077" s="31" t="str"/>
      <x:c r="R1077" s="31" t="str"/>
      <x:c r="S1077" s="31" t="str">
        <x:f>IF('Blind Scoring'!I1077="","",'Blind Scoring'!I1077)</x:f>
      </x:c>
      <x:c r="T1077" s="31" t="str">
        <x:f>'Blind Scoring'!J1077</x:f>
        <x:v>No</x:v>
      </x:c>
      <x:c r="U1077" s="31" t="str">
        <x:f>IF('Blind Scoring'!L1077="","",'Blind Scoring'!L1077)</x:f>
      </x:c>
    </x:row>
    <x:row r="1078" ht="44" customHeight="1">
      <x:c r="A1078" s="35" t="str">
        <x:v>Not Started</x:v>
      </x:c>
      <x:c r="B1078" s="35" t="n">
        <x:v>1076</x:v>
      </x:c>
      <x:c r="C1078" s="35" t="str">
        <x:v>P18</x:v>
      </x:c>
      <x:c r="D1078" s="35" t="n">
        <x:v>23</x:v>
      </x:c>
      <x:c r="E1078" s="35" t="str">
        <x:v>Primary VLA</x:v>
      </x:c>
      <x:c r="F1078" s="35" t="str">
        <x:v>π0.5</x:v>
      </x:c>
      <x:c r="G1078" s="35" t="n">
        <x:v>2</x:v>
      </x:c>
      <x:c r="H1078" s="35" t="str">
        <x:v>State Recognition</x:v>
      </x:c>
      <x:c r="I1078" s="35" t="str">
        <x:v>Exact-scene paraphrase</x:v>
      </x:c>
      <x:c r="J1078" s="35" t="str">
        <x:v>PVLA-ST-PAR-02</x:v>
      </x:c>
      <x:c r="K1078" s="35" t="str">
        <x:v>S-CF04</x:v>
      </x:c>
      <x:c r="L1078" s="31" t="str">
        <x:v>Put the inverted white cup into the bowl.</x:v>
      </x:c>
      <x:c r="M1078" s="31" t="str">
        <x:v>Put the inverted white cup into the bowl.</x:v>
      </x:c>
      <x:c r="N1078" s="31" t="str">
        <x:v>S-CF04-PARA: P1 white cup A=C/UD [COMPETITOR]; P2 yellow-white striped cup B=O/UR; P3 brown cup A=O/UD; P4 white cup B=C/UR [TARGET].</x:v>
      </x:c>
      <x:c r="O1078" s="31" t="str">
        <x:v>white cup A</x:v>
      </x:c>
      <x:c r="P1078" s="31" t="str"/>
      <x:c r="Q1078" s="31" t="str"/>
      <x:c r="R1078" s="31" t="str"/>
      <x:c r="S1078" s="31" t="str">
        <x:f>IF('Blind Scoring'!I1078="","",'Blind Scoring'!I1078)</x:f>
      </x:c>
      <x:c r="T1078" s="31" t="str">
        <x:f>'Blind Scoring'!J1078</x:f>
        <x:v>No</x:v>
      </x:c>
      <x:c r="U1078" s="31" t="str">
        <x:f>IF('Blind Scoring'!L1078="","",'Blind Scoring'!L1078)</x:f>
      </x:c>
    </x:row>
    <x:row r="1079" ht="44" customHeight="1">
      <x:c r="A1079" s="35" t="str">
        <x:v>Not Started</x:v>
      </x:c>
      <x:c r="B1079" s="35" t="n">
        <x:v>1077</x:v>
      </x:c>
      <x:c r="C1079" s="35" t="str">
        <x:v>P18</x:v>
      </x:c>
      <x:c r="D1079" s="35" t="n">
        <x:v>24</x:v>
      </x:c>
      <x:c r="E1079" s="35" t="str">
        <x:v>Primary VLA</x:v>
      </x:c>
      <x:c r="F1079" s="35" t="str">
        <x:v>π0.5</x:v>
      </x:c>
      <x:c r="G1079" s="35" t="n">
        <x:v>2</x:v>
      </x:c>
      <x:c r="H1079" s="35" t="str">
        <x:v>State Recognition</x:v>
      </x:c>
      <x:c r="I1079" s="35" t="str">
        <x:v>Exact-scene paraphrase</x:v>
      </x:c>
      <x:c r="J1079" s="35" t="str">
        <x:v>PVLA-ST-PAR-06</x:v>
      </x:c>
      <x:c r="K1079" s="35" t="str">
        <x:v>S-CF15</x:v>
      </x:c>
      <x:c r="L1079" s="31" t="str">
        <x:v>Move the yellow-white striped cup that is open into the bowl.</x:v>
      </x:c>
      <x:c r="M1079" s="31" t="str">
        <x:v>Move the yellow-white striped cup that is open into the bowl.</x:v>
      </x:c>
      <x:c r="N1079" s="31" t="str">
        <x:v>S-CF15-PARA: P1 brown cup A=C/UR; P2 glass spice container A=O/UR; P3 yellow-white striped cup A=C/UD [TARGET]; P4 yellow-white striped cup B=O/UD [COMPETITOR].</x:v>
      </x:c>
      <x:c r="O1079" s="31" t="str">
        <x:v>yellow-white striped cup B</x:v>
      </x:c>
      <x:c r="P1079" s="31" t="str"/>
      <x:c r="Q1079" s="31" t="str"/>
      <x:c r="R1079" s="31" t="str"/>
      <x:c r="S1079" s="31" t="str">
        <x:f>IF('Blind Scoring'!I1079="","",'Blind Scoring'!I1079)</x:f>
      </x:c>
      <x:c r="T1079" s="31" t="str">
        <x:f>'Blind Scoring'!J1079</x:f>
        <x:v>No</x:v>
      </x:c>
      <x:c r="U1079" s="31" t="str">
        <x:f>IF('Blind Scoring'!L1079="","",'Blind Scoring'!L1079)</x:f>
      </x:c>
    </x:row>
    <x:row r="1080" ht="44" customHeight="1">
      <x:c r="A1080" s="35" t="str">
        <x:v>Not Started</x:v>
      </x:c>
      <x:c r="B1080" s="35" t="n">
        <x:v>1078</x:v>
      </x:c>
      <x:c r="C1080" s="35" t="str">
        <x:v>P18</x:v>
      </x:c>
      <x:c r="D1080" s="35" t="n">
        <x:v>25</x:v>
      </x:c>
      <x:c r="E1080" s="35" t="str">
        <x:v>Primary VLA</x:v>
      </x:c>
      <x:c r="F1080" s="35" t="str">
        <x:v>π0.5</x:v>
      </x:c>
      <x:c r="G1080" s="35" t="n">
        <x:v>2</x:v>
      </x:c>
      <x:c r="H1080" s="35" t="str">
        <x:v>State Recognition</x:v>
      </x:c>
      <x:c r="I1080" s="35" t="str">
        <x:v>Novel layout + seen language</x:v>
      </x:c>
      <x:c r="J1080" s="35" t="str">
        <x:v>PVLA-ST-NOV-08</x:v>
      </x:c>
      <x:c r="K1080" s="35" t="str">
        <x:v>S-CF20</x:v>
      </x:c>
      <x:c r="L1080" s="31" t="str">
        <x:v>Place the upside-down white cup in the bowl.</x:v>
      </x:c>
      <x:c r="M1080" s="31" t="str">
        <x:v>Place the upside-down white cup in the bowl.</x:v>
      </x:c>
      <x:c r="N1080" s="31" t="str">
        <x:v>S-CF20-SEEN: P1 white cup A=C/UD [COMPETITOR]; P2 yellow-white striped cup B=O/UR; P3 brown cup A=O/UD; P4 white cup B=C/UR [TARGET].</x:v>
      </x:c>
      <x:c r="O1080" s="31" t="str">
        <x:v>white cup A</x:v>
      </x:c>
      <x:c r="P1080" s="31" t="str"/>
      <x:c r="Q1080" s="31" t="str"/>
      <x:c r="R1080" s="31" t="str"/>
      <x:c r="S1080" s="31" t="str">
        <x:f>IF('Blind Scoring'!I1080="","",'Blind Scoring'!I1080)</x:f>
      </x:c>
      <x:c r="T1080" s="31" t="str">
        <x:f>'Blind Scoring'!J1080</x:f>
        <x:v>No</x:v>
      </x:c>
      <x:c r="U1080" s="31" t="str">
        <x:f>IF('Blind Scoring'!L1080="","",'Blind Scoring'!L1080)</x:f>
      </x:c>
    </x:row>
    <x:row r="1081" ht="44" customHeight="1">
      <x:c r="A1081" s="35" t="str">
        <x:v>Not Started</x:v>
      </x:c>
      <x:c r="B1081" s="35" t="n">
        <x:v>1079</x:v>
      </x:c>
      <x:c r="C1081" s="35" t="str">
        <x:v>P18</x:v>
      </x:c>
      <x:c r="D1081" s="35" t="n">
        <x:v>26</x:v>
      </x:c>
      <x:c r="E1081" s="35" t="str">
        <x:v>Primary VLA</x:v>
      </x:c>
      <x:c r="F1081" s="35" t="str">
        <x:v>π0.5</x:v>
      </x:c>
      <x:c r="G1081" s="35" t="n">
        <x:v>2</x:v>
      </x:c>
      <x:c r="H1081" s="35" t="str">
        <x:v>State Recognition</x:v>
      </x:c>
      <x:c r="I1081" s="35" t="str">
        <x:v>Main held-out transfer</x:v>
      </x:c>
      <x:c r="J1081" s="35" t="str">
        <x:v>PVLA-ST-TR-11</x:v>
      </x:c>
      <x:c r="K1081" s="35" t="str">
        <x:v>S-CF20</x:v>
      </x:c>
      <x:c r="L1081" s="31" t="str">
        <x:v>Place the upright white cup in the bowl.</x:v>
      </x:c>
      <x:c r="M1081" s="31" t="str">
        <x:v>Place the upright white cup in the bowl.</x:v>
      </x:c>
      <x:c r="N1081" s="31" t="str">
        <x:v>S-CF20-HELD: P1 white cup A=C/UD [COMPETITOR]; P2 yellow-white striped cup B=O/UR; P3 brown cup A=O/UD; P4 white cup B=C/UR [TARGET].</x:v>
      </x:c>
      <x:c r="O1081" s="31" t="str">
        <x:v>white cup B</x:v>
      </x:c>
      <x:c r="P1081" s="31" t="str"/>
      <x:c r="Q1081" s="31" t="str"/>
      <x:c r="R1081" s="31" t="str"/>
      <x:c r="S1081" s="31" t="str">
        <x:f>IF('Blind Scoring'!I1081="","",'Blind Scoring'!I1081)</x:f>
      </x:c>
      <x:c r="T1081" s="31" t="str">
        <x:f>'Blind Scoring'!J1081</x:f>
        <x:v>No</x:v>
      </x:c>
      <x:c r="U1081" s="31" t="str">
        <x:f>IF('Blind Scoring'!L1081="","",'Blind Scoring'!L1081)</x:f>
      </x:c>
    </x:row>
    <x:row r="1082" ht="44" customHeight="1">
      <x:c r="A1082" s="35" t="str">
        <x:v>Not Started</x:v>
      </x:c>
      <x:c r="B1082" s="35" t="n">
        <x:v>1080</x:v>
      </x:c>
      <x:c r="C1082" s="35" t="str">
        <x:v>P18</x:v>
      </x:c>
      <x:c r="D1082" s="35" t="n">
        <x:v>27</x:v>
      </x:c>
      <x:c r="E1082" s="35" t="str">
        <x:v>Primary VLA</x:v>
      </x:c>
      <x:c r="F1082" s="35" t="str">
        <x:v>π0.5</x:v>
      </x:c>
      <x:c r="G1082" s="35" t="n">
        <x:v>2</x:v>
      </x:c>
      <x:c r="H1082" s="35" t="str">
        <x:v>State Recognition</x:v>
      </x:c>
      <x:c r="I1082" s="35" t="str">
        <x:v>Novel layout + seen language</x:v>
      </x:c>
      <x:c r="J1082" s="35" t="str">
        <x:v>PVLA-ST-NOV-01</x:v>
      </x:c>
      <x:c r="K1082" s="35" t="str">
        <x:v>S-CF01</x:v>
      </x:c>
      <x:c r="L1082" s="31" t="str">
        <x:v>Place the open white cup in the bowl.</x:v>
      </x:c>
      <x:c r="M1082" s="31" t="str">
        <x:v>Place the open white cup in the bowl.</x:v>
      </x:c>
      <x:c r="N1082" s="31" t="str">
        <x:v>S-CF01-SEEN: P1 white cup A=C/UR [TARGET]; P2 white cup B=O/UR [COMPETITOR]; P3 yellow-white striped cup A=C/UD; P4 brown cup B=O/UD.</x:v>
      </x:c>
      <x:c r="O1082" s="31" t="str">
        <x:v>white cup B</x:v>
      </x:c>
      <x:c r="P1082" s="31" t="str"/>
      <x:c r="Q1082" s="31" t="str"/>
      <x:c r="R1082" s="31" t="str"/>
      <x:c r="S1082" s="31" t="str">
        <x:f>IF('Blind Scoring'!I1082="","",'Blind Scoring'!I1082)</x:f>
      </x:c>
      <x:c r="T1082" s="31" t="str">
        <x:f>'Blind Scoring'!J1082</x:f>
        <x:v>No</x:v>
      </x:c>
      <x:c r="U1082" s="31" t="str">
        <x:f>IF('Blind Scoring'!L1082="","",'Blind Scoring'!L1082)</x:f>
      </x:c>
    </x:row>
    <x:row r="1083" ht="44" customHeight="1">
      <x:c r="A1083" s="35" t="str">
        <x:v>Not Started</x:v>
      </x:c>
      <x:c r="B1083" s="35" t="n">
        <x:v>1081</x:v>
      </x:c>
      <x:c r="C1083" s="35" t="str">
        <x:v>P18</x:v>
      </x:c>
      <x:c r="D1083" s="35" t="n">
        <x:v>28</x:v>
      </x:c>
      <x:c r="E1083" s="35" t="str">
        <x:v>Primary VLA</x:v>
      </x:c>
      <x:c r="F1083" s="35" t="str">
        <x:v>π0.5</x:v>
      </x:c>
      <x:c r="G1083" s="35" t="n">
        <x:v>2</x:v>
      </x:c>
      <x:c r="H1083" s="35" t="str">
        <x:v>State Recognition</x:v>
      </x:c>
      <x:c r="I1083" s="35" t="str">
        <x:v>Main matched control</x:v>
      </x:c>
      <x:c r="J1083" s="35" t="str">
        <x:v>PVLA-ST-CTL-02</x:v>
      </x:c>
      <x:c r="K1083" s="35" t="str">
        <x:v>S-CF03</x:v>
      </x:c>
      <x:c r="L1083" s="31" t="str">
        <x:v>Place a glass spice container in the bowl.</x:v>
      </x:c>
      <x:c r="M1083" s="31" t="str">
        <x:v>Place a glass spice container in the bowl.</x:v>
      </x:c>
      <x:c r="N1083" s="31" t="str">
        <x:v>S-CF03-CTRL: P1 white cup A=C/UR; P2 yellow-white striped cup A=O/UR; P3 glass spice container B=C/UD [TARGET].</x:v>
      </x:c>
      <x:c r="O1083" s="31" t="str">
        <x:v>glass spice container B</x:v>
      </x:c>
      <x:c r="P1083" s="31" t="str"/>
      <x:c r="Q1083" s="31" t="str"/>
      <x:c r="R1083" s="31" t="str"/>
      <x:c r="S1083" s="31" t="str">
        <x:f>IF('Blind Scoring'!I1083="","",'Blind Scoring'!I1083)</x:f>
      </x:c>
      <x:c r="T1083" s="31" t="str">
        <x:f>'Blind Scoring'!J1083</x:f>
        <x:v>No</x:v>
      </x:c>
      <x:c r="U1083" s="31" t="str">
        <x:f>IF('Blind Scoring'!L1083="","",'Blind Scoring'!L1083)</x:f>
      </x:c>
    </x:row>
    <x:row r="1084" ht="44" customHeight="1">
      <x:c r="A1084" s="35" t="str">
        <x:v>Not Started</x:v>
      </x:c>
      <x:c r="B1084" s="35" t="n">
        <x:v>1082</x:v>
      </x:c>
      <x:c r="C1084" s="35" t="str">
        <x:v>P18</x:v>
      </x:c>
      <x:c r="D1084" s="35" t="n">
        <x:v>29</x:v>
      </x:c>
      <x:c r="E1084" s="35" t="str">
        <x:v>Primary VLA</x:v>
      </x:c>
      <x:c r="F1084" s="35" t="str">
        <x:v>π0.5</x:v>
      </x:c>
      <x:c r="G1084" s="35" t="n">
        <x:v>2</x:v>
      </x:c>
      <x:c r="H1084" s="35" t="str">
        <x:v>State Recognition</x:v>
      </x:c>
      <x:c r="I1084" s="35" t="str">
        <x:v>Language ablation — counterfactual</x:v>
      </x:c>
      <x:c r="J1084" s="35" t="str">
        <x:v>PVLA-ST-ABL-CF-04</x:v>
      </x:c>
      <x:c r="K1084" s="35" t="str">
        <x:v>S-CF15</x:v>
      </x:c>
      <x:c r="L1084" s="31" t="str">
        <x:v>Place the open yellow-white striped cup in the bowl.</x:v>
      </x:c>
      <x:c r="M1084" s="31" t="str">
        <x:v>Place the open yellow-white striped cup in the bowl.</x:v>
      </x:c>
      <x:c r="N1084" s="31" t="str">
        <x:v>S-CF15-HELD: P1 brown cup A=C/UR; P2 glass spice container A=O/UR; P3 yellow-white striped cup A=C/UD [TARGET]; P4 yellow-white striped cup B=O/UD [COMPETITOR].</x:v>
      </x:c>
      <x:c r="O1084" s="31" t="str">
        <x:v>yellow-white striped cup B</x:v>
      </x:c>
      <x:c r="P1084" s="31" t="str"/>
      <x:c r="Q1084" s="31" t="str"/>
      <x:c r="R1084" s="31" t="str"/>
      <x:c r="S1084" s="31" t="str">
        <x:f>IF('Blind Scoring'!I1084="","",'Blind Scoring'!I1084)</x:f>
      </x:c>
      <x:c r="T1084" s="31" t="str">
        <x:f>'Blind Scoring'!J1084</x:f>
        <x:v>No</x:v>
      </x:c>
      <x:c r="U1084" s="31" t="str">
        <x:f>IF('Blind Scoring'!L1084="","",'Blind Scoring'!L1084)</x:f>
      </x:c>
    </x:row>
    <x:row r="1085" ht="44" customHeight="1">
      <x:c r="A1085" s="35" t="str">
        <x:v>Not Started</x:v>
      </x:c>
      <x:c r="B1085" s="35" t="n">
        <x:v>1083</x:v>
      </x:c>
      <x:c r="C1085" s="35" t="str">
        <x:v>P18</x:v>
      </x:c>
      <x:c r="D1085" s="35" t="n">
        <x:v>30</x:v>
      </x:c>
      <x:c r="E1085" s="35" t="str">
        <x:v>Primary VLA</x:v>
      </x:c>
      <x:c r="F1085" s="35" t="str">
        <x:v>π0.5</x:v>
      </x:c>
      <x:c r="G1085" s="35" t="n">
        <x:v>2</x:v>
      </x:c>
      <x:c r="H1085" s="35" t="str">
        <x:v>State Recognition</x:v>
      </x:c>
      <x:c r="I1085" s="35" t="str">
        <x:v>Language ablation — counterfactual</x:v>
      </x:c>
      <x:c r="J1085" s="35" t="str">
        <x:v>PVLA-ST-ABL-CF-01</x:v>
      </x:c>
      <x:c r="K1085" s="35" t="str">
        <x:v>S-CF09</x:v>
      </x:c>
      <x:c r="L1085" s="31" t="str">
        <x:v>Place the open white cup in the bowl.</x:v>
      </x:c>
      <x:c r="M1085" s="31" t="str">
        <x:v>Place the open white cup in the bowl.</x:v>
      </x:c>
      <x:c r="N1085" s="31" t="str">
        <x:v>S-CF09-HELD: P1 white cup A=C/UR [TARGET]; P2 white cup B=O/UR [COMPETITOR]; P3 yellow-white striped cup A=C/UD; P4 brown cup B=O/UD.</x:v>
      </x:c>
      <x:c r="O1085" s="31" t="str">
        <x:v>white cup B</x:v>
      </x:c>
      <x:c r="P1085" s="31" t="str"/>
      <x:c r="Q1085" s="31" t="str"/>
      <x:c r="R1085" s="31" t="str"/>
      <x:c r="S1085" s="31" t="str">
        <x:f>IF('Blind Scoring'!I1085="","",'Blind Scoring'!I1085)</x:f>
      </x:c>
      <x:c r="T1085" s="31" t="str">
        <x:f>'Blind Scoring'!J1085</x:f>
        <x:v>No</x:v>
      </x:c>
      <x:c r="U1085" s="31" t="str">
        <x:f>IF('Blind Scoring'!L1085="","",'Blind Scoring'!L1085)</x:f>
      </x:c>
    </x:row>
    <x:row r="1086" ht="44" customHeight="1">
      <x:c r="A1086" s="35" t="str">
        <x:v>Not Started</x:v>
      </x:c>
      <x:c r="B1086" s="35" t="n">
        <x:v>1084</x:v>
      </x:c>
      <x:c r="C1086" s="35" t="str">
        <x:v>P18</x:v>
      </x:c>
      <x:c r="D1086" s="35" t="n">
        <x:v>31</x:v>
      </x:c>
      <x:c r="E1086" s="35" t="str">
        <x:v>Primary VLA</x:v>
      </x:c>
      <x:c r="F1086" s="35" t="str">
        <x:v>π0.5</x:v>
      </x:c>
      <x:c r="G1086" s="35" t="n">
        <x:v>2</x:v>
      </x:c>
      <x:c r="H1086" s="35" t="str">
        <x:v>State Recognition</x:v>
      </x:c>
      <x:c r="I1086" s="35" t="str">
        <x:v>Training reconstruction</x:v>
      </x:c>
      <x:c r="J1086" s="35" t="str">
        <x:v>PVLA-ST-REC-03</x:v>
      </x:c>
      <x:c r="K1086" s="35" t="str"/>
      <x:c r="L1086" s="31" t="str">
        <x:v>Put a brown cup in the bowl.</x:v>
      </x:c>
      <x:c r="M1086" s="31" t="str">
        <x:v>Put a brown cup in the bowl.</x:v>
      </x:c>
      <x:c r="N1086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1086" s="31" t="str">
        <x:v>brown cup B</x:v>
      </x:c>
      <x:c r="P1086" s="31" t="str"/>
      <x:c r="Q1086" s="31" t="str"/>
      <x:c r="R1086" s="31" t="str"/>
      <x:c r="S1086" s="31" t="str">
        <x:f>IF('Blind Scoring'!I1086="","",'Blind Scoring'!I1086)</x:f>
      </x:c>
      <x:c r="T1086" s="31" t="str">
        <x:f>'Blind Scoring'!J1086</x:f>
        <x:v>No</x:v>
      </x:c>
      <x:c r="U1086" s="31" t="str">
        <x:f>IF('Blind Scoring'!L1086="","",'Blind Scoring'!L1086)</x:f>
      </x:c>
    </x:row>
    <x:row r="1087" ht="44" customHeight="1">
      <x:c r="A1087" s="35" t="str">
        <x:v>Not Started</x:v>
      </x:c>
      <x:c r="B1087" s="35" t="n">
        <x:v>1085</x:v>
      </x:c>
      <x:c r="C1087" s="35" t="str">
        <x:v>P18</x:v>
      </x:c>
      <x:c r="D1087" s="35" t="n">
        <x:v>32</x:v>
      </x:c>
      <x:c r="E1087" s="35" t="str">
        <x:v>Primary VLA</x:v>
      </x:c>
      <x:c r="F1087" s="35" t="str">
        <x:v>π0.5</x:v>
      </x:c>
      <x:c r="G1087" s="35" t="n">
        <x:v>2</x:v>
      </x:c>
      <x:c r="H1087" s="35" t="str">
        <x:v>State Recognition</x:v>
      </x:c>
      <x:c r="I1087" s="35" t="str">
        <x:v>Main held-out transfer</x:v>
      </x:c>
      <x:c r="J1087" s="35" t="str">
        <x:v>PVLA-ST-TR-14</x:v>
      </x:c>
      <x:c r="K1087" s="35" t="str">
        <x:v>S-CF26</x:v>
      </x:c>
      <x:c r="L1087" s="31" t="str">
        <x:v>Place the upright yellow-white striped cup in the bowl.</x:v>
      </x:c>
      <x:c r="M1087" s="31" t="str">
        <x:v>Place the upright yellow-white striped cup in the bowl.</x:v>
      </x:c>
      <x:c r="N1087" s="31" t="str">
        <x:v>S-CF26-HELD: P1 brown cup B=C/UR; P2 yellow-white striped cup B=O/UR [TARGET]; P3 yellow-white striped cup A=O/UD [COMPETITOR]; P4 glass spice container B=C/UD.</x:v>
      </x:c>
      <x:c r="O1087" s="31" t="str">
        <x:v>yellow-white striped cup B</x:v>
      </x:c>
      <x:c r="P1087" s="31" t="str"/>
      <x:c r="Q1087" s="31" t="str"/>
      <x:c r="R1087" s="31" t="str"/>
      <x:c r="S1087" s="31" t="str">
        <x:f>IF('Blind Scoring'!I1087="","",'Blind Scoring'!I1087)</x:f>
      </x:c>
      <x:c r="T1087" s="31" t="str">
        <x:f>'Blind Scoring'!J1087</x:f>
        <x:v>No</x:v>
      </x:c>
      <x:c r="U1087" s="31" t="str">
        <x:f>IF('Blind Scoring'!L1087="","",'Blind Scoring'!L1087)</x:f>
      </x:c>
    </x:row>
    <x:row r="1088" ht="44" customHeight="1">
      <x:c r="A1088" s="35" t="str">
        <x:v>Not Started</x:v>
      </x:c>
      <x:c r="B1088" s="35" t="n">
        <x:v>1086</x:v>
      </x:c>
      <x:c r="C1088" s="35" t="str">
        <x:v>P18</x:v>
      </x:c>
      <x:c r="D1088" s="35" t="n">
        <x:v>33</x:v>
      </x:c>
      <x:c r="E1088" s="35" t="str">
        <x:v>Primary VLA</x:v>
      </x:c>
      <x:c r="F1088" s="35" t="str">
        <x:v>π0.5</x:v>
      </x:c>
      <x:c r="G1088" s="35" t="n">
        <x:v>2</x:v>
      </x:c>
      <x:c r="H1088" s="35" t="str">
        <x:v>State Recognition</x:v>
      </x:c>
      <x:c r="I1088" s="35" t="str">
        <x:v>Novel layout + seen language</x:v>
      </x:c>
      <x:c r="J1088" s="35" t="str">
        <x:v>PVLA-ST-NOV-07</x:v>
      </x:c>
      <x:c r="K1088" s="35" t="str">
        <x:v>S-CF17</x:v>
      </x:c>
      <x:c r="L1088" s="31" t="str">
        <x:v>Place the open white cup in the bowl.</x:v>
      </x:c>
      <x:c r="M1088" s="31" t="str">
        <x:v>Place the open white cup in the bowl.</x:v>
      </x:c>
      <x:c r="N1088" s="31" t="str">
        <x:v>S-CF17-SEEN: P1 white cup A=C/UR [TARGET]; P2 white cup B=O/UR [COMPETITOR]; P3 yellow-white striped cup A=C/UD; P4 brown cup B=O/UD.</x:v>
      </x:c>
      <x:c r="O1088" s="31" t="str">
        <x:v>white cup B</x:v>
      </x:c>
      <x:c r="P1088" s="31" t="str"/>
      <x:c r="Q1088" s="31" t="str"/>
      <x:c r="R1088" s="31" t="str"/>
      <x:c r="S1088" s="31" t="str">
        <x:f>IF('Blind Scoring'!I1088="","",'Blind Scoring'!I1088)</x:f>
      </x:c>
      <x:c r="T1088" s="31" t="str">
        <x:f>'Blind Scoring'!J1088</x:f>
        <x:v>No</x:v>
      </x:c>
      <x:c r="U1088" s="31" t="str">
        <x:f>IF('Blind Scoring'!L1088="","",'Blind Scoring'!L1088)</x:f>
      </x:c>
    </x:row>
    <x:row r="1089" ht="44" customHeight="1">
      <x:c r="A1089" s="35" t="str">
        <x:v>Not Started</x:v>
      </x:c>
      <x:c r="B1089" s="35" t="n">
        <x:v>1087</x:v>
      </x:c>
      <x:c r="C1089" s="35" t="str">
        <x:v>P18</x:v>
      </x:c>
      <x:c r="D1089" s="35" t="n">
        <x:v>34</x:v>
      </x:c>
      <x:c r="E1089" s="35" t="str">
        <x:v>Primary VLA</x:v>
      </x:c>
      <x:c r="F1089" s="35" t="str">
        <x:v>π0.5</x:v>
      </x:c>
      <x:c r="G1089" s="35" t="n">
        <x:v>2</x:v>
      </x:c>
      <x:c r="H1089" s="35" t="str">
        <x:v>State Recognition</x:v>
      </x:c>
      <x:c r="I1089" s="35" t="str">
        <x:v>Main held-out transfer</x:v>
      </x:c>
      <x:c r="J1089" s="35" t="str">
        <x:v>PVLA-ST-TR-06</x:v>
      </x:c>
      <x:c r="K1089" s="35" t="str">
        <x:v>S-CF11</x:v>
      </x:c>
      <x:c r="L1089" s="31" t="str">
        <x:v>Place the closed glass spice container in the bowl.</x:v>
      </x:c>
      <x:c r="M1089" s="31" t="str">
        <x:v>Place the closed glass spice container in the bowl.</x:v>
      </x:c>
      <x:c r="N1089" s="31" t="str">
        <x:v>S-CF11-HELD: P1 white cup A=C/UR; P2 yellow-white striped cup A=O/UR; P3 glass spice container B=C/UD [TARGET]; P4 glass spice container A=O/UD [COMPETITOR].</x:v>
      </x:c>
      <x:c r="O1089" s="31" t="str">
        <x:v>glass spice container B</x:v>
      </x:c>
      <x:c r="P1089" s="31" t="str"/>
      <x:c r="Q1089" s="31" t="str"/>
      <x:c r="R1089" s="31" t="str"/>
      <x:c r="S1089" s="31" t="str">
        <x:f>IF('Blind Scoring'!I1089="","",'Blind Scoring'!I1089)</x:f>
      </x:c>
      <x:c r="T1089" s="31" t="str">
        <x:f>'Blind Scoring'!J1089</x:f>
        <x:v>No</x:v>
      </x:c>
      <x:c r="U1089" s="31" t="str">
        <x:f>IF('Blind Scoring'!L1089="","",'Blind Scoring'!L1089)</x:f>
      </x:c>
    </x:row>
    <x:row r="1090" ht="44" customHeight="1">
      <x:c r="A1090" s="35" t="str">
        <x:v>Not Started</x:v>
      </x:c>
      <x:c r="B1090" s="35" t="n">
        <x:v>1088</x:v>
      </x:c>
      <x:c r="C1090" s="35" t="str">
        <x:v>P18</x:v>
      </x:c>
      <x:c r="D1090" s="35" t="n">
        <x:v>35</x:v>
      </x:c>
      <x:c r="E1090" s="35" t="str">
        <x:v>Primary VLA</x:v>
      </x:c>
      <x:c r="F1090" s="35" t="str">
        <x:v>π0.5</x:v>
      </x:c>
      <x:c r="G1090" s="35" t="n">
        <x:v>2</x:v>
      </x:c>
      <x:c r="H1090" s="35" t="str">
        <x:v>State Recognition</x:v>
      </x:c>
      <x:c r="I1090" s="35" t="str">
        <x:v>Main matched control</x:v>
      </x:c>
      <x:c r="J1090" s="35" t="str">
        <x:v>PVLA-ST-CTL-14</x:v>
      </x:c>
      <x:c r="K1090" s="35" t="str">
        <x:v>S-CF26</x:v>
      </x:c>
      <x:c r="L1090" s="31" t="str">
        <x:v>Place a yellow-white striped cup in the bowl.</x:v>
      </x:c>
      <x:c r="M1090" s="31" t="str">
        <x:v>Place a yellow-white striped cup in the bowl.</x:v>
      </x:c>
      <x:c r="N1090" s="31" t="str">
        <x:v>S-CF26-CTRL: P1 brown cup B=C/UR; P2 yellow-white striped cup B=O/UR [TARGET]; P4 glass spice container B=C/UD.</x:v>
      </x:c>
      <x:c r="O1090" s="31" t="str">
        <x:v>yellow-white striped cup B</x:v>
      </x:c>
      <x:c r="P1090" s="31" t="str"/>
      <x:c r="Q1090" s="31" t="str"/>
      <x:c r="R1090" s="31" t="str"/>
      <x:c r="S1090" s="31" t="str">
        <x:f>IF('Blind Scoring'!I1090="","",'Blind Scoring'!I1090)</x:f>
      </x:c>
      <x:c r="T1090" s="31" t="str">
        <x:f>'Blind Scoring'!J1090</x:f>
        <x:v>No</x:v>
      </x:c>
      <x:c r="U1090" s="31" t="str">
        <x:f>IF('Blind Scoring'!L1090="","",'Blind Scoring'!L1090)</x:f>
      </x:c>
    </x:row>
    <x:row r="1091" ht="44" customHeight="1">
      <x:c r="A1091" s="35" t="str">
        <x:v>Not Started</x:v>
      </x:c>
      <x:c r="B1091" s="35" t="n">
        <x:v>1089</x:v>
      </x:c>
      <x:c r="C1091" s="35" t="str">
        <x:v>P18</x:v>
      </x:c>
      <x:c r="D1091" s="35" t="n">
        <x:v>36</x:v>
      </x:c>
      <x:c r="E1091" s="35" t="str">
        <x:v>Primary VLA</x:v>
      </x:c>
      <x:c r="F1091" s="35" t="str">
        <x:v>π0.5</x:v>
      </x:c>
      <x:c r="G1091" s="35" t="n">
        <x:v>2</x:v>
      </x:c>
      <x:c r="H1091" s="35" t="str">
        <x:v>State Recognition</x:v>
      </x:c>
      <x:c r="I1091" s="35" t="str">
        <x:v>Language ablation — blank</x:v>
      </x:c>
      <x:c r="J1091" s="35" t="str">
        <x:v>PVLA-ST-ABL-BLK-03</x:v>
      </x:c>
      <x:c r="K1091" s="35" t="str">
        <x:v>S-CF05</x:v>
      </x:c>
      <x:c r="L1091" s="31" t="str">
        <x:v>[EMPTY STRING — provide no instruction tokens]</x:v>
      </x:c>
      <x:c r="M1091" s="31" t="str">
        <x:v>Place the closed brown cup in the bowl.</x:v>
      </x:c>
      <x:c r="N1091" s="31" t="str">
        <x:v>S-CF05-HELD: P1 brown cup A=C/UR [TARGET]; P2 brown cup B=O/UR [COMPETITOR]; P3 glass spice container A=C/UD; P4 white cup B=O/UD.</x:v>
      </x:c>
      <x:c r="O1091" s="31" t="str">
        <x:v>No prespecified task success under blank language; record any action/selected target.</x:v>
      </x:c>
      <x:c r="P1091" s="31" t="str"/>
      <x:c r="Q1091" s="31" t="str"/>
      <x:c r="R1091" s="31" t="str"/>
      <x:c r="S1091" s="31" t="str">
        <x:f>IF('Blind Scoring'!I1091="","",'Blind Scoring'!I1091)</x:f>
      </x:c>
      <x:c r="T1091" s="31" t="str">
        <x:f>'Blind Scoring'!J1091</x:f>
        <x:v>No</x:v>
      </x:c>
      <x:c r="U1091" s="31" t="str">
        <x:f>IF('Blind Scoring'!L1091="","",'Blind Scoring'!L1091)</x:f>
      </x:c>
    </x:row>
    <x:row r="1092" ht="44" customHeight="1">
      <x:c r="A1092" s="35" t="str">
        <x:v>Not Started</x:v>
      </x:c>
      <x:c r="B1092" s="35" t="n">
        <x:v>1090</x:v>
      </x:c>
      <x:c r="C1092" s="35" t="str">
        <x:v>P18</x:v>
      </x:c>
      <x:c r="D1092" s="35" t="n">
        <x:v>37</x:v>
      </x:c>
      <x:c r="E1092" s="35" t="str">
        <x:v>Primary VLA</x:v>
      </x:c>
      <x:c r="F1092" s="35" t="str">
        <x:v>π0.5</x:v>
      </x:c>
      <x:c r="G1092" s="35" t="n">
        <x:v>2</x:v>
      </x:c>
      <x:c r="H1092" s="35" t="str">
        <x:v>State Recognition</x:v>
      </x:c>
      <x:c r="I1092" s="35" t="str">
        <x:v>Exact-scene paraphrase</x:v>
      </x:c>
      <x:c r="J1092" s="35" t="str">
        <x:v>PVLA-ST-PAR-01</x:v>
      </x:c>
      <x:c r="K1092" s="35" t="str">
        <x:v>S-CF01</x:v>
      </x:c>
      <x:c r="L1092" s="31" t="str">
        <x:v>Put the open white cup in the bowl.</x:v>
      </x:c>
      <x:c r="M1092" s="31" t="str">
        <x:v>Put the open white cup in the bowl.</x:v>
      </x:c>
      <x:c r="N1092" s="31" t="str">
        <x:v>S-CF01-PARA: P1 white cup A=C/UR [TARGET]; P2 white cup B=O/UR [COMPETITOR]; P3 yellow-white striped cup A=C/UD; P4 brown cup B=O/UD.</x:v>
      </x:c>
      <x:c r="O1092" s="31" t="str">
        <x:v>white cup B</x:v>
      </x:c>
      <x:c r="P1092" s="31" t="str"/>
      <x:c r="Q1092" s="31" t="str"/>
      <x:c r="R1092" s="31" t="str"/>
      <x:c r="S1092" s="31" t="str">
        <x:f>IF('Blind Scoring'!I1092="","",'Blind Scoring'!I1092)</x:f>
      </x:c>
      <x:c r="T1092" s="31" t="str">
        <x:f>'Blind Scoring'!J1092</x:f>
        <x:v>No</x:v>
      </x:c>
      <x:c r="U1092" s="31" t="str">
        <x:f>IF('Blind Scoring'!L1092="","",'Blind Scoring'!L1092)</x:f>
      </x:c>
    </x:row>
    <x:row r="1093" ht="44" customHeight="1">
      <x:c r="A1093" s="35" t="str">
        <x:v>Not Started</x:v>
      </x:c>
      <x:c r="B1093" s="35" t="n">
        <x:v>1091</x:v>
      </x:c>
      <x:c r="C1093" s="35" t="str">
        <x:v>P18</x:v>
      </x:c>
      <x:c r="D1093" s="35" t="n">
        <x:v>38</x:v>
      </x:c>
      <x:c r="E1093" s="35" t="str">
        <x:v>Primary VLA</x:v>
      </x:c>
      <x:c r="F1093" s="35" t="str">
        <x:v>π0.5</x:v>
      </x:c>
      <x:c r="G1093" s="35" t="n">
        <x:v>2</x:v>
      </x:c>
      <x:c r="H1093" s="35" t="str">
        <x:v>State Recognition</x:v>
      </x:c>
      <x:c r="I1093" s="35" t="str">
        <x:v>Language ablation — counterfactual</x:v>
      </x:c>
      <x:c r="J1093" s="35" t="str">
        <x:v>PVLA-ST-ABL-CF-02</x:v>
      </x:c>
      <x:c r="K1093" s="35" t="str">
        <x:v>S-CF11</x:v>
      </x:c>
      <x:c r="L1093" s="31" t="str">
        <x:v>Place the open glass spice container in the bowl.</x:v>
      </x:c>
      <x:c r="M1093" s="31" t="str">
        <x:v>Place the open glass spice container in the bowl.</x:v>
      </x:c>
      <x:c r="N1093" s="31" t="str">
        <x:v>S-CF11-HELD: P1 white cup A=C/UR; P2 yellow-white striped cup A=O/UR; P3 glass spice container B=C/UD [TARGET]; P4 glass spice container A=O/UD [COMPETITOR].</x:v>
      </x:c>
      <x:c r="O1093" s="31" t="str">
        <x:v>glass spice container A</x:v>
      </x:c>
      <x:c r="P1093" s="31" t="str"/>
      <x:c r="Q1093" s="31" t="str"/>
      <x:c r="R1093" s="31" t="str"/>
      <x:c r="S1093" s="31" t="str">
        <x:f>IF('Blind Scoring'!I1093="","",'Blind Scoring'!I1093)</x:f>
      </x:c>
      <x:c r="T1093" s="31" t="str">
        <x:f>'Blind Scoring'!J1093</x:f>
        <x:v>No</x:v>
      </x:c>
      <x:c r="U1093" s="31" t="str">
        <x:f>IF('Blind Scoring'!L1093="","",'Blind Scoring'!L1093)</x:f>
      </x:c>
    </x:row>
    <x:row r="1094" ht="44" customHeight="1">
      <x:c r="A1094" s="35" t="str">
        <x:v>Not Started</x:v>
      </x:c>
      <x:c r="B1094" s="35" t="n">
        <x:v>1092</x:v>
      </x:c>
      <x:c r="C1094" s="35" t="str">
        <x:v>P18</x:v>
      </x:c>
      <x:c r="D1094" s="35" t="n">
        <x:v>39</x:v>
      </x:c>
      <x:c r="E1094" s="35" t="str">
        <x:v>Primary VLA</x:v>
      </x:c>
      <x:c r="F1094" s="35" t="str">
        <x:v>π0.5</x:v>
      </x:c>
      <x:c r="G1094" s="35" t="n">
        <x:v>2</x:v>
      </x:c>
      <x:c r="H1094" s="35" t="str">
        <x:v>State Recognition</x:v>
      </x:c>
      <x:c r="I1094" s="35" t="str">
        <x:v>Main matched control</x:v>
      </x:c>
      <x:c r="J1094" s="35" t="str">
        <x:v>PVLA-ST-CTL-05</x:v>
      </x:c>
      <x:c r="K1094" s="35" t="str">
        <x:v>S-CF09</x:v>
      </x:c>
      <x:c r="L1094" s="31" t="str">
        <x:v>Place a white cup in the bowl.</x:v>
      </x:c>
      <x:c r="M1094" s="31" t="str">
        <x:v>Place a white cup in the bowl.</x:v>
      </x:c>
      <x:c r="N1094" s="31" t="str">
        <x:v>S-CF09-CTRL: P1 white cup A=C/UR [TARGET]; P3 yellow-white striped cup A=C/UD; P4 brown cup B=O/UD.</x:v>
      </x:c>
      <x:c r="O1094" s="31" t="str">
        <x:v>white cup A</x:v>
      </x:c>
      <x:c r="P1094" s="31" t="str"/>
      <x:c r="Q1094" s="31" t="str"/>
      <x:c r="R1094" s="31" t="str"/>
      <x:c r="S1094" s="31" t="str">
        <x:f>IF('Blind Scoring'!I1094="","",'Blind Scoring'!I1094)</x:f>
      </x:c>
      <x:c r="T1094" s="31" t="str">
        <x:f>'Blind Scoring'!J1094</x:f>
        <x:v>No</x:v>
      </x:c>
      <x:c r="U1094" s="31" t="str">
        <x:f>IF('Blind Scoring'!L1094="","",'Blind Scoring'!L1094)</x:f>
      </x:c>
    </x:row>
    <x:row r="1095" ht="44" customHeight="1">
      <x:c r="A1095" s="35" t="str">
        <x:v>Not Started</x:v>
      </x:c>
      <x:c r="B1095" s="35" t="n">
        <x:v>1093</x:v>
      </x:c>
      <x:c r="C1095" s="35" t="str">
        <x:v>P18</x:v>
      </x:c>
      <x:c r="D1095" s="35" t="n">
        <x:v>40</x:v>
      </x:c>
      <x:c r="E1095" s="35" t="str">
        <x:v>Primary VLA</x:v>
      </x:c>
      <x:c r="F1095" s="35" t="str">
        <x:v>π0.5</x:v>
      </x:c>
      <x:c r="G1095" s="35" t="n">
        <x:v>2</x:v>
      </x:c>
      <x:c r="H1095" s="35" t="str">
        <x:v>State Recognition</x:v>
      </x:c>
      <x:c r="I1095" s="35" t="str">
        <x:v>Language ablation — blank</x:v>
      </x:c>
      <x:c r="J1095" s="35" t="str">
        <x:v>PVLA-ST-ABL-BLK-01</x:v>
      </x:c>
      <x:c r="K1095" s="35" t="str">
        <x:v>S-CF01</x:v>
      </x:c>
      <x:c r="L1095" s="31" t="str">
        <x:v>[EMPTY STRING — provide no instruction tokens]</x:v>
      </x:c>
      <x:c r="M1095" s="31" t="str">
        <x:v>Place the closed white cup in the bowl.</x:v>
      </x:c>
      <x:c r="N1095" s="31" t="str">
        <x:v>S-CF01-HELD: P1 white cup A=C/UR [TARGET]; P2 white cup B=O/UR [COMPETITOR]; P3 yellow-white striped cup A=C/UD; P4 brown cup B=O/UD.</x:v>
      </x:c>
      <x:c r="O1095" s="31" t="str">
        <x:v>No prespecified task success under blank language; record any action/selected target.</x:v>
      </x:c>
      <x:c r="P1095" s="31" t="str"/>
      <x:c r="Q1095" s="31" t="str"/>
      <x:c r="R1095" s="31" t="str"/>
      <x:c r="S1095" s="31" t="str">
        <x:f>IF('Blind Scoring'!I1095="","",'Blind Scoring'!I1095)</x:f>
      </x:c>
      <x:c r="T1095" s="31" t="str">
        <x:f>'Blind Scoring'!J1095</x:f>
        <x:v>No</x:v>
      </x:c>
      <x:c r="U1095" s="31" t="str">
        <x:f>IF('Blind Scoring'!L1095="","",'Blind Scoring'!L1095)</x:f>
      </x:c>
    </x:row>
    <x:row r="1096" ht="44" customHeight="1">
      <x:c r="A1096" s="35" t="str">
        <x:v>Not Started</x:v>
      </x:c>
      <x:c r="B1096" s="35" t="n">
        <x:v>1094</x:v>
      </x:c>
      <x:c r="C1096" s="35" t="str">
        <x:v>P18</x:v>
      </x:c>
      <x:c r="D1096" s="35" t="n">
        <x:v>41</x:v>
      </x:c>
      <x:c r="E1096" s="35" t="str">
        <x:v>Primary VLA</x:v>
      </x:c>
      <x:c r="F1096" s="35" t="str">
        <x:v>π0.5</x:v>
      </x:c>
      <x:c r="G1096" s="35" t="n">
        <x:v>2</x:v>
      </x:c>
      <x:c r="H1096" s="35" t="str">
        <x:v>State Recognition</x:v>
      </x:c>
      <x:c r="I1096" s="35" t="str">
        <x:v>Exact-scene paraphrase</x:v>
      </x:c>
      <x:c r="J1096" s="35" t="str">
        <x:v>PVLA-ST-PAR-08</x:v>
      </x:c>
      <x:c r="K1096" s="35" t="str">
        <x:v>S-CF20</x:v>
      </x:c>
      <x:c r="L1096" s="31" t="str">
        <x:v>Find the white cup that is turned upside down and move it into the bowl.</x:v>
      </x:c>
      <x:c r="M1096" s="31" t="str">
        <x:v>Find the white cup that is turned upside down and move it into the bowl.</x:v>
      </x:c>
      <x:c r="N1096" s="31" t="str">
        <x:v>S-CF20-PARA: P1 white cup A=C/UD [COMPETITOR]; P2 yellow-white striped cup B=O/UR; P3 brown cup A=O/UD; P4 white cup B=C/UR [TARGET].</x:v>
      </x:c>
      <x:c r="O1096" s="31" t="str">
        <x:v>white cup A</x:v>
      </x:c>
      <x:c r="P1096" s="31" t="str"/>
      <x:c r="Q1096" s="31" t="str"/>
      <x:c r="R1096" s="31" t="str"/>
      <x:c r="S1096" s="31" t="str">
        <x:f>IF('Blind Scoring'!I1096="","",'Blind Scoring'!I1096)</x:f>
      </x:c>
      <x:c r="T1096" s="31" t="str">
        <x:f>'Blind Scoring'!J1096</x:f>
        <x:v>No</x:v>
      </x:c>
      <x:c r="U1096" s="31" t="str">
        <x:f>IF('Blind Scoring'!L1096="","",'Blind Scoring'!L1096)</x:f>
      </x:c>
    </x:row>
    <x:row r="1097" ht="44" customHeight="1">
      <x:c r="A1097" s="35" t="str">
        <x:v>Not Started</x:v>
      </x:c>
      <x:c r="B1097" s="35" t="n">
        <x:v>1095</x:v>
      </x:c>
      <x:c r="C1097" s="35" t="str">
        <x:v>P18</x:v>
      </x:c>
      <x:c r="D1097" s="35" t="n">
        <x:v>42</x:v>
      </x:c>
      <x:c r="E1097" s="35" t="str">
        <x:v>Primary VLA</x:v>
      </x:c>
      <x:c r="F1097" s="35" t="str">
        <x:v>π0.5</x:v>
      </x:c>
      <x:c r="G1097" s="35" t="n">
        <x:v>2</x:v>
      </x:c>
      <x:c r="H1097" s="35" t="str">
        <x:v>State Recognition</x:v>
      </x:c>
      <x:c r="I1097" s="35" t="str">
        <x:v>Main matched control</x:v>
      </x:c>
      <x:c r="J1097" s="35" t="str">
        <x:v>PVLA-ST-CTL-06</x:v>
      </x:c>
      <x:c r="K1097" s="35" t="str">
        <x:v>S-CF11</x:v>
      </x:c>
      <x:c r="L1097" s="31" t="str">
        <x:v>Place a glass spice container in the bowl.</x:v>
      </x:c>
      <x:c r="M1097" s="31" t="str">
        <x:v>Place a glass spice container in the bowl.</x:v>
      </x:c>
      <x:c r="N1097" s="31" t="str">
        <x:v>S-CF11-CTRL: P1 white cup A=C/UR; P2 yellow-white striped cup A=O/UR; P3 glass spice container B=C/UD [TARGET].</x:v>
      </x:c>
      <x:c r="O1097" s="31" t="str">
        <x:v>glass spice container B</x:v>
      </x:c>
      <x:c r="P1097" s="31" t="str"/>
      <x:c r="Q1097" s="31" t="str"/>
      <x:c r="R1097" s="31" t="str"/>
      <x:c r="S1097" s="31" t="str">
        <x:f>IF('Blind Scoring'!I1097="","",'Blind Scoring'!I1097)</x:f>
      </x:c>
      <x:c r="T1097" s="31" t="str">
        <x:f>'Blind Scoring'!J1097</x:f>
        <x:v>No</x:v>
      </x:c>
      <x:c r="U1097" s="31" t="str">
        <x:f>IF('Blind Scoring'!L1097="","",'Blind Scoring'!L1097)</x:f>
      </x:c>
    </x:row>
    <x:row r="1098" ht="44" customHeight="1">
      <x:c r="A1098" s="35" t="str">
        <x:v>Not Started</x:v>
      </x:c>
      <x:c r="B1098" s="35" t="n">
        <x:v>1096</x:v>
      </x:c>
      <x:c r="C1098" s="35" t="str">
        <x:v>P18</x:v>
      </x:c>
      <x:c r="D1098" s="35" t="n">
        <x:v>43</x:v>
      </x:c>
      <x:c r="E1098" s="35" t="str">
        <x:v>Primary VLA</x:v>
      </x:c>
      <x:c r="F1098" s="35" t="str">
        <x:v>π0.5</x:v>
      </x:c>
      <x:c r="G1098" s="35" t="n">
        <x:v>2</x:v>
      </x:c>
      <x:c r="H1098" s="35" t="str">
        <x:v>State Recognition</x:v>
      </x:c>
      <x:c r="I1098" s="35" t="str">
        <x:v>Main matched control</x:v>
      </x:c>
      <x:c r="J1098" s="35" t="str">
        <x:v>PVLA-ST-CTL-07</x:v>
      </x:c>
      <x:c r="K1098" s="35" t="str">
        <x:v>S-CF13</x:v>
      </x:c>
      <x:c r="L1098" s="31" t="str">
        <x:v>Place a brown cup in the bowl.</x:v>
      </x:c>
      <x:c r="M1098" s="31" t="str">
        <x:v>Place a brown cup in the bowl.</x:v>
      </x:c>
      <x:c r="N1098" s="31" t="str">
        <x:v>S-CF13-CTRL: P1 brown cup A=C/UR [TARGET]; P3 glass spice container A=C/UD; P4 white cup B=O/UD.</x:v>
      </x:c>
      <x:c r="O1098" s="31" t="str">
        <x:v>brown cup A</x:v>
      </x:c>
      <x:c r="P1098" s="31" t="str"/>
      <x:c r="Q1098" s="31" t="str"/>
      <x:c r="R1098" s="31" t="str"/>
      <x:c r="S1098" s="31" t="str">
        <x:f>IF('Blind Scoring'!I1098="","",'Blind Scoring'!I1098)</x:f>
      </x:c>
      <x:c r="T1098" s="31" t="str">
        <x:f>'Blind Scoring'!J1098</x:f>
        <x:v>No</x:v>
      </x:c>
      <x:c r="U1098" s="31" t="str">
        <x:f>IF('Blind Scoring'!L1098="","",'Blind Scoring'!L1098)</x:f>
      </x:c>
    </x:row>
    <x:row r="1099" ht="44" customHeight="1">
      <x:c r="A1099" s="35" t="str">
        <x:v>Not Started</x:v>
      </x:c>
      <x:c r="B1099" s="35" t="n">
        <x:v>1097</x:v>
      </x:c>
      <x:c r="C1099" s="35" t="str">
        <x:v>P18</x:v>
      </x:c>
      <x:c r="D1099" s="35" t="n">
        <x:v>44</x:v>
      </x:c>
      <x:c r="E1099" s="35" t="str">
        <x:v>Primary VLA</x:v>
      </x:c>
      <x:c r="F1099" s="35" t="str">
        <x:v>π0.5</x:v>
      </x:c>
      <x:c r="G1099" s="35" t="n">
        <x:v>2</x:v>
      </x:c>
      <x:c r="H1099" s="35" t="str">
        <x:v>State Recognition</x:v>
      </x:c>
      <x:c r="I1099" s="35" t="str">
        <x:v>Main held-out transfer</x:v>
      </x:c>
      <x:c r="J1099" s="35" t="str">
        <x:v>PVLA-ST-TR-15</x:v>
      </x:c>
      <x:c r="K1099" s="35" t="str">
        <x:v>S-CF28</x:v>
      </x:c>
      <x:c r="L1099" s="31" t="str">
        <x:v>Place the upright white cup in the bowl.</x:v>
      </x:c>
      <x:c r="M1099" s="31" t="str">
        <x:v>Place the upright white cup in the bowl.</x:v>
      </x:c>
      <x:c r="N1099" s="31" t="str">
        <x:v>S-CF28-HELD: P1 white cup A=C/UD [COMPETITOR]; P2 yellow-white striped cup B=O/UR; P3 brown cup A=O/UD; P4 white cup B=C/UR [TARGET].</x:v>
      </x:c>
      <x:c r="O1099" s="31" t="str">
        <x:v>white cup B</x:v>
      </x:c>
      <x:c r="P1099" s="31" t="str"/>
      <x:c r="Q1099" s="31" t="str"/>
      <x:c r="R1099" s="31" t="str"/>
      <x:c r="S1099" s="31" t="str">
        <x:f>IF('Blind Scoring'!I1099="","",'Blind Scoring'!I1099)</x:f>
      </x:c>
      <x:c r="T1099" s="31" t="str">
        <x:f>'Blind Scoring'!J1099</x:f>
        <x:v>No</x:v>
      </x:c>
      <x:c r="U1099" s="31" t="str">
        <x:f>IF('Blind Scoring'!L1099="","",'Blind Scoring'!L1099)</x:f>
      </x:c>
    </x:row>
    <x:row r="1100" ht="44" customHeight="1">
      <x:c r="A1100" s="35" t="str">
        <x:v>Not Started</x:v>
      </x:c>
      <x:c r="B1100" s="35" t="n">
        <x:v>1098</x:v>
      </x:c>
      <x:c r="C1100" s="35" t="str">
        <x:v>P18</x:v>
      </x:c>
      <x:c r="D1100" s="35" t="n">
        <x:v>45</x:v>
      </x:c>
      <x:c r="E1100" s="35" t="str">
        <x:v>Primary VLA</x:v>
      </x:c>
      <x:c r="F1100" s="35" t="str">
        <x:v>π0.5</x:v>
      </x:c>
      <x:c r="G1100" s="35" t="n">
        <x:v>2</x:v>
      </x:c>
      <x:c r="H1100" s="35" t="str">
        <x:v>State Recognition</x:v>
      </x:c>
      <x:c r="I1100" s="35" t="str">
        <x:v>Exact-scene paraphrase</x:v>
      </x:c>
      <x:c r="J1100" s="35" t="str">
        <x:v>PVLA-ST-PAR-04</x:v>
      </x:c>
      <x:c r="K1100" s="35" t="str">
        <x:v>S-CF09</x:v>
      </x:c>
      <x:c r="L1100" s="31" t="str">
        <x:v>Move the white cup that is open into the bowl.</x:v>
      </x:c>
      <x:c r="M1100" s="31" t="str">
        <x:v>Move the white cup that is open into the bowl.</x:v>
      </x:c>
      <x:c r="N1100" s="31" t="str">
        <x:v>S-CF09-PARA: P1 white cup A=C/UR [TARGET]; P2 white cup B=O/UR [COMPETITOR]; P3 yellow-white striped cup A=C/UD; P4 brown cup B=O/UD.</x:v>
      </x:c>
      <x:c r="O1100" s="31" t="str">
        <x:v>white cup B</x:v>
      </x:c>
      <x:c r="P1100" s="31" t="str"/>
      <x:c r="Q1100" s="31" t="str"/>
      <x:c r="R1100" s="31" t="str"/>
      <x:c r="S1100" s="31" t="str">
        <x:f>IF('Blind Scoring'!I1100="","",'Blind Scoring'!I1100)</x:f>
      </x:c>
      <x:c r="T1100" s="31" t="str">
        <x:f>'Blind Scoring'!J1100</x:f>
        <x:v>No</x:v>
      </x:c>
      <x:c r="U1100" s="31" t="str">
        <x:f>IF('Blind Scoring'!L1100="","",'Blind Scoring'!L1100)</x:f>
      </x:c>
    </x:row>
    <x:row r="1101" ht="44" customHeight="1">
      <x:c r="A1101" s="35" t="str">
        <x:v>Not Started</x:v>
      </x:c>
      <x:c r="B1101" s="35" t="n">
        <x:v>1099</x:v>
      </x:c>
      <x:c r="C1101" s="35" t="str">
        <x:v>P18</x:v>
      </x:c>
      <x:c r="D1101" s="35" t="n">
        <x:v>46</x:v>
      </x:c>
      <x:c r="E1101" s="35" t="str">
        <x:v>Primary VLA</x:v>
      </x:c>
      <x:c r="F1101" s="35" t="str">
        <x:v>π0.5</x:v>
      </x:c>
      <x:c r="G1101" s="35" t="n">
        <x:v>2</x:v>
      </x:c>
      <x:c r="H1101" s="35" t="str">
        <x:v>State Recognition</x:v>
      </x:c>
      <x:c r="I1101" s="35" t="str">
        <x:v>Language ablation — counterfactual</x:v>
      </x:c>
      <x:c r="J1101" s="35" t="str">
        <x:v>PVLA-ST-ABL-CF-03</x:v>
      </x:c>
      <x:c r="K1101" s="35" t="str">
        <x:v>S-CF13</x:v>
      </x:c>
      <x:c r="L1101" s="31" t="str">
        <x:v>Place the open brown cup in the bowl.</x:v>
      </x:c>
      <x:c r="M1101" s="31" t="str">
        <x:v>Place the open brown cup in the bowl.</x:v>
      </x:c>
      <x:c r="N1101" s="31" t="str">
        <x:v>S-CF13-HELD: P1 brown cup A=C/UR [TARGET]; P2 brown cup B=O/UR [COMPETITOR]; P3 glass spice container A=C/UD; P4 white cup B=O/UD.</x:v>
      </x:c>
      <x:c r="O1101" s="31" t="str">
        <x:v>brown cup B</x:v>
      </x:c>
      <x:c r="P1101" s="31" t="str"/>
      <x:c r="Q1101" s="31" t="str"/>
      <x:c r="R1101" s="31" t="str"/>
      <x:c r="S1101" s="31" t="str">
        <x:f>IF('Blind Scoring'!I1101="","",'Blind Scoring'!I1101)</x:f>
      </x:c>
      <x:c r="T1101" s="31" t="str">
        <x:f>'Blind Scoring'!J1101</x:f>
        <x:v>No</x:v>
      </x:c>
      <x:c r="U1101" s="31" t="str">
        <x:f>IF('Blind Scoring'!L1101="","",'Blind Scoring'!L1101)</x:f>
      </x:c>
    </x:row>
    <x:row r="1102" ht="44" customHeight="1">
      <x:c r="A1102" s="35" t="str">
        <x:v>Not Started</x:v>
      </x:c>
      <x:c r="B1102" s="35" t="n">
        <x:v>1100</x:v>
      </x:c>
      <x:c r="C1102" s="35" t="str">
        <x:v>P18</x:v>
      </x:c>
      <x:c r="D1102" s="35" t="n">
        <x:v>47</x:v>
      </x:c>
      <x:c r="E1102" s="35" t="str">
        <x:v>Primary VLA</x:v>
      </x:c>
      <x:c r="F1102" s="35" t="str">
        <x:v>π0.5</x:v>
      </x:c>
      <x:c r="G1102" s="35" t="n">
        <x:v>2</x:v>
      </x:c>
      <x:c r="H1102" s="35" t="str">
        <x:v>State Recognition</x:v>
      </x:c>
      <x:c r="I1102" s="35" t="str">
        <x:v>Main matched control</x:v>
      </x:c>
      <x:c r="J1102" s="35" t="str">
        <x:v>PVLA-ST-CTL-11</x:v>
      </x:c>
      <x:c r="K1102" s="35" t="str">
        <x:v>S-CF20</x:v>
      </x:c>
      <x:c r="L1102" s="31" t="str">
        <x:v>Place a white cup in the bowl.</x:v>
      </x:c>
      <x:c r="M1102" s="31" t="str">
        <x:v>Place a white cup in the bowl.</x:v>
      </x:c>
      <x:c r="N1102" s="31" t="str">
        <x:v>S-CF20-CTRL: P2 yellow-white striped cup B=O/UR; P3 brown cup A=O/UD; P4 white cup B=C/UR [TARGET].</x:v>
      </x:c>
      <x:c r="O1102" s="31" t="str">
        <x:v>white cup B</x:v>
      </x:c>
      <x:c r="P1102" s="31" t="str"/>
      <x:c r="Q1102" s="31" t="str"/>
      <x:c r="R1102" s="31" t="str"/>
      <x:c r="S1102" s="31" t="str">
        <x:f>IF('Blind Scoring'!I1102="","",'Blind Scoring'!I1102)</x:f>
      </x:c>
      <x:c r="T1102" s="31" t="str">
        <x:f>'Blind Scoring'!J1102</x:f>
        <x:v>No</x:v>
      </x:c>
      <x:c r="U1102" s="31" t="str">
        <x:f>IF('Blind Scoring'!L1102="","",'Blind Scoring'!L1102)</x:f>
      </x:c>
    </x:row>
    <x:row r="1103" ht="44" customHeight="1">
      <x:c r="A1103" s="35" t="str">
        <x:v>Not Started</x:v>
      </x:c>
      <x:c r="B1103" s="35" t="n">
        <x:v>1101</x:v>
      </x:c>
      <x:c r="C1103" s="35" t="str">
        <x:v>P18</x:v>
      </x:c>
      <x:c r="D1103" s="35" t="n">
        <x:v>48</x:v>
      </x:c>
      <x:c r="E1103" s="35" t="str">
        <x:v>Primary VLA</x:v>
      </x:c>
      <x:c r="F1103" s="35" t="str">
        <x:v>π0.5</x:v>
      </x:c>
      <x:c r="G1103" s="35" t="n">
        <x:v>2</x:v>
      </x:c>
      <x:c r="H1103" s="35" t="str">
        <x:v>State Recognition</x:v>
      </x:c>
      <x:c r="I1103" s="35" t="str">
        <x:v>Main held-out transfer</x:v>
      </x:c>
      <x:c r="J1103" s="35" t="str">
        <x:v>PVLA-ST-TR-07</x:v>
      </x:c>
      <x:c r="K1103" s="35" t="str">
        <x:v>S-CF13</x:v>
      </x:c>
      <x:c r="L1103" s="31" t="str">
        <x:v>Place the closed brown cup in the bowl.</x:v>
      </x:c>
      <x:c r="M1103" s="31" t="str">
        <x:v>Place the closed brown cup in the bowl.</x:v>
      </x:c>
      <x:c r="N1103" s="31" t="str">
        <x:v>S-CF13-HELD: P1 brown cup A=C/UR [TARGET]; P2 brown cup B=O/UR [COMPETITOR]; P3 glass spice container A=C/UD; P4 white cup B=O/UD.</x:v>
      </x:c>
      <x:c r="O1103" s="31" t="str">
        <x:v>brown cup A</x:v>
      </x:c>
      <x:c r="P1103" s="31" t="str"/>
      <x:c r="Q1103" s="31" t="str"/>
      <x:c r="R1103" s="31" t="str"/>
      <x:c r="S1103" s="31" t="str">
        <x:f>IF('Blind Scoring'!I1103="","",'Blind Scoring'!I1103)</x:f>
      </x:c>
      <x:c r="T1103" s="31" t="str">
        <x:f>'Blind Scoring'!J1103</x:f>
        <x:v>No</x:v>
      </x:c>
      <x:c r="U1103" s="31" t="str">
        <x:f>IF('Blind Scoring'!L1103="","",'Blind Scoring'!L1103)</x:f>
      </x:c>
    </x:row>
    <x:row r="1104" ht="44" customHeight="1">
      <x:c r="A1104" s="35" t="str">
        <x:v>Not Started</x:v>
      </x:c>
      <x:c r="B1104" s="35" t="n">
        <x:v>1102</x:v>
      </x:c>
      <x:c r="C1104" s="35" t="str">
        <x:v>P18</x:v>
      </x:c>
      <x:c r="D1104" s="35" t="n">
        <x:v>49</x:v>
      </x:c>
      <x:c r="E1104" s="35" t="str">
        <x:v>Primary VLA</x:v>
      </x:c>
      <x:c r="F1104" s="35" t="str">
        <x:v>π0.5</x:v>
      </x:c>
      <x:c r="G1104" s="35" t="n">
        <x:v>2</x:v>
      </x:c>
      <x:c r="H1104" s="35" t="str">
        <x:v>State Recognition</x:v>
      </x:c>
      <x:c r="I1104" s="35" t="str">
        <x:v>Main matched control</x:v>
      </x:c>
      <x:c r="J1104" s="35" t="str">
        <x:v>PVLA-ST-CTL-16</x:v>
      </x:c>
      <x:c r="K1104" s="35" t="str">
        <x:v>S-CF30</x:v>
      </x:c>
      <x:c r="L1104" s="31" t="str">
        <x:v>Place a glass spice container in the bowl.</x:v>
      </x:c>
      <x:c r="M1104" s="31" t="str">
        <x:v>Place a glass spice container in the bowl.</x:v>
      </x:c>
      <x:c r="N1104" s="31" t="str">
        <x:v>S-CF30-CTRL: P1 white cup B=C/UR; P2 glass spice container A=O/UR [TARGET]; P4 yellow-white striped cup B=C/UD.</x:v>
      </x:c>
      <x:c r="O1104" s="31" t="str">
        <x:v>glass spice container A</x:v>
      </x:c>
      <x:c r="P1104" s="31" t="str"/>
      <x:c r="Q1104" s="31" t="str"/>
      <x:c r="R1104" s="31" t="str"/>
      <x:c r="S1104" s="31" t="str">
        <x:f>IF('Blind Scoring'!I1104="","",'Blind Scoring'!I1104)</x:f>
      </x:c>
      <x:c r="T1104" s="31" t="str">
        <x:f>'Blind Scoring'!J1104</x:f>
        <x:v>No</x:v>
      </x:c>
      <x:c r="U1104" s="31" t="str">
        <x:f>IF('Blind Scoring'!L1104="","",'Blind Scoring'!L1104)</x:f>
      </x:c>
    </x:row>
    <x:row r="1105" ht="44" customHeight="1">
      <x:c r="A1105" s="35" t="str">
        <x:v>Not Started</x:v>
      </x:c>
      <x:c r="B1105" s="35" t="n">
        <x:v>1103</x:v>
      </x:c>
      <x:c r="C1105" s="35" t="str">
        <x:v>P18</x:v>
      </x:c>
      <x:c r="D1105" s="35" t="n">
        <x:v>50</x:v>
      </x:c>
      <x:c r="E1105" s="35" t="str">
        <x:v>Primary VLA</x:v>
      </x:c>
      <x:c r="F1105" s="35" t="str">
        <x:v>π0.5</x:v>
      </x:c>
      <x:c r="G1105" s="35" t="n">
        <x:v>2</x:v>
      </x:c>
      <x:c r="H1105" s="35" t="str">
        <x:v>State Recognition</x:v>
      </x:c>
      <x:c r="I1105" s="35" t="str">
        <x:v>Main matched control</x:v>
      </x:c>
      <x:c r="J1105" s="35" t="str">
        <x:v>PVLA-ST-CTL-12</x:v>
      </x:c>
      <x:c r="K1105" s="35" t="str">
        <x:v>S-CF22</x:v>
      </x:c>
      <x:c r="L1105" s="31" t="str">
        <x:v>Place a glass spice container in the bowl.</x:v>
      </x:c>
      <x:c r="M1105" s="31" t="str">
        <x:v>Place a glass spice container in the bowl.</x:v>
      </x:c>
      <x:c r="N1105" s="31" t="str">
        <x:v>S-CF22-CTRL: P1 white cup B=C/UR; P2 glass spice container A=O/UR [TARGET]; P4 yellow-white striped cup B=C/UD.</x:v>
      </x:c>
      <x:c r="O1105" s="31" t="str">
        <x:v>glass spice container A</x:v>
      </x:c>
      <x:c r="P1105" s="31" t="str"/>
      <x:c r="Q1105" s="31" t="str"/>
      <x:c r="R1105" s="31" t="str"/>
      <x:c r="S1105" s="31" t="str">
        <x:f>IF('Blind Scoring'!I1105="","",'Blind Scoring'!I1105)</x:f>
      </x:c>
      <x:c r="T1105" s="31" t="str">
        <x:f>'Blind Scoring'!J1105</x:f>
        <x:v>No</x:v>
      </x:c>
      <x:c r="U1105" s="31" t="str">
        <x:f>IF('Blind Scoring'!L1105="","",'Blind Scoring'!L1105)</x:f>
      </x:c>
    </x:row>
    <x:row r="1106" ht="44" customHeight="1">
      <x:c r="A1106" s="35" t="str">
        <x:v>Not Started</x:v>
      </x:c>
      <x:c r="B1106" s="35" t="n">
        <x:v>1104</x:v>
      </x:c>
      <x:c r="C1106" s="35" t="str">
        <x:v>P18</x:v>
      </x:c>
      <x:c r="D1106" s="35" t="n">
        <x:v>51</x:v>
      </x:c>
      <x:c r="E1106" s="35" t="str">
        <x:v>Primary VLA</x:v>
      </x:c>
      <x:c r="F1106" s="35" t="str">
        <x:v>π0.5</x:v>
      </x:c>
      <x:c r="G1106" s="35" t="n">
        <x:v>2</x:v>
      </x:c>
      <x:c r="H1106" s="35" t="str">
        <x:v>State Recognition</x:v>
      </x:c>
      <x:c r="I1106" s="35" t="str">
        <x:v>Novel layout + seen language</x:v>
      </x:c>
      <x:c r="J1106" s="35" t="str">
        <x:v>PVLA-ST-NOV-03</x:v>
      </x:c>
      <x:c r="K1106" s="35" t="str">
        <x:v>S-CF06</x:v>
      </x:c>
      <x:c r="L1106" s="31" t="str">
        <x:v>Place the upside-down glass spice container in the bowl.</x:v>
      </x:c>
      <x:c r="M1106" s="31" t="str">
        <x:v>Place the upside-down glass spice container in the bowl.</x:v>
      </x:c>
      <x:c r="N1106" s="31" t="str">
        <x:v>S-CF06-SEEN: P1 white cup B=C/UR; P2 glass spice container A=O/UR [TARGET]; P3 glass spice container B=O/UD [COMPETITOR]; P4 yellow-white striped cup B=C/UD.</x:v>
      </x:c>
      <x:c r="O1106" s="31" t="str">
        <x:v>glass spice container B</x:v>
      </x:c>
      <x:c r="P1106" s="31" t="str"/>
      <x:c r="Q1106" s="31" t="str"/>
      <x:c r="R1106" s="31" t="str"/>
      <x:c r="S1106" s="31" t="str">
        <x:f>IF('Blind Scoring'!I1106="","",'Blind Scoring'!I1106)</x:f>
      </x:c>
      <x:c r="T1106" s="31" t="str">
        <x:f>'Blind Scoring'!J1106</x:f>
        <x:v>No</x:v>
      </x:c>
      <x:c r="U1106" s="31" t="str">
        <x:f>IF('Blind Scoring'!L1106="","",'Blind Scoring'!L1106)</x:f>
      </x:c>
    </x:row>
    <x:row r="1107" ht="44" customHeight="1">
      <x:c r="A1107" s="35" t="str">
        <x:v>Not Started</x:v>
      </x:c>
      <x:c r="B1107" s="35" t="n">
        <x:v>1105</x:v>
      </x:c>
      <x:c r="C1107" s="35" t="str">
        <x:v>P18</x:v>
      </x:c>
      <x:c r="D1107" s="35" t="n">
        <x:v>52</x:v>
      </x:c>
      <x:c r="E1107" s="35" t="str">
        <x:v>Primary VLA</x:v>
      </x:c>
      <x:c r="F1107" s="35" t="str">
        <x:v>π0.5</x:v>
      </x:c>
      <x:c r="G1107" s="35" t="n">
        <x:v>2</x:v>
      </x:c>
      <x:c r="H1107" s="35" t="str">
        <x:v>State Recognition</x:v>
      </x:c>
      <x:c r="I1107" s="35" t="str">
        <x:v>Main matched control</x:v>
      </x:c>
      <x:c r="J1107" s="35" t="str">
        <x:v>PVLA-ST-CTL-08</x:v>
      </x:c>
      <x:c r="K1107" s="35" t="str">
        <x:v>S-CF15</x:v>
      </x:c>
      <x:c r="L1107" s="31" t="str">
        <x:v>Place a yellow-white striped cup in the bowl.</x:v>
      </x:c>
      <x:c r="M1107" s="31" t="str">
        <x:v>Place a yellow-white striped cup in the bowl.</x:v>
      </x:c>
      <x:c r="N1107" s="31" t="str">
        <x:v>S-CF15-CTRL: P1 brown cup A=C/UR; P2 glass spice container A=O/UR; P3 yellow-white striped cup A=C/UD [TARGET].</x:v>
      </x:c>
      <x:c r="O1107" s="31" t="str">
        <x:v>yellow-white striped cup A</x:v>
      </x:c>
      <x:c r="P1107" s="31" t="str"/>
      <x:c r="Q1107" s="31" t="str"/>
      <x:c r="R1107" s="31" t="str"/>
      <x:c r="S1107" s="31" t="str">
        <x:f>IF('Blind Scoring'!I1107="","",'Blind Scoring'!I1107)</x:f>
      </x:c>
      <x:c r="T1107" s="31" t="str">
        <x:f>'Blind Scoring'!J1107</x:f>
        <x:v>No</x:v>
      </x:c>
      <x:c r="U1107" s="31" t="str">
        <x:f>IF('Blind Scoring'!L1107="","",'Blind Scoring'!L1107)</x:f>
      </x:c>
    </x:row>
    <x:row r="1108" ht="44" customHeight="1">
      <x:c r="A1108" s="35" t="str">
        <x:v>Not Started</x:v>
      </x:c>
      <x:c r="B1108" s="35" t="n">
        <x:v>1106</x:v>
      </x:c>
      <x:c r="C1108" s="35" t="str">
        <x:v>P18</x:v>
      </x:c>
      <x:c r="D1108" s="35" t="n">
        <x:v>53</x:v>
      </x:c>
      <x:c r="E1108" s="35" t="str">
        <x:v>Primary VLA</x:v>
      </x:c>
      <x:c r="F1108" s="35" t="str">
        <x:v>π0.5</x:v>
      </x:c>
      <x:c r="G1108" s="35" t="n">
        <x:v>2</x:v>
      </x:c>
      <x:c r="H1108" s="35" t="str">
        <x:v>State Recognition</x:v>
      </x:c>
      <x:c r="I1108" s="35" t="str">
        <x:v>Novel layout + seen language</x:v>
      </x:c>
      <x:c r="J1108" s="35" t="str">
        <x:v>PVLA-ST-NOV-05</x:v>
      </x:c>
      <x:c r="K1108" s="35" t="str">
        <x:v>S-CF12</x:v>
      </x:c>
      <x:c r="L1108" s="31" t="str">
        <x:v>Place the upside-down white cup in the bowl.</x:v>
      </x:c>
      <x:c r="M1108" s="31" t="str">
        <x:v>Place the upside-down white cup in the bowl.</x:v>
      </x:c>
      <x:c r="N1108" s="31" t="str">
        <x:v>S-CF12-SEEN: P1 white cup A=C/UD [COMPETITOR]; P2 yellow-white striped cup B=O/UR; P3 brown cup A=O/UD; P4 white cup B=C/UR [TARGET].</x:v>
      </x:c>
      <x:c r="O1108" s="31" t="str">
        <x:v>white cup A</x:v>
      </x:c>
      <x:c r="P1108" s="31" t="str"/>
      <x:c r="Q1108" s="31" t="str"/>
      <x:c r="R1108" s="31" t="str"/>
      <x:c r="S1108" s="31" t="str">
        <x:f>IF('Blind Scoring'!I1108="","",'Blind Scoring'!I1108)</x:f>
      </x:c>
      <x:c r="T1108" s="31" t="str">
        <x:f>'Blind Scoring'!J1108</x:f>
        <x:v>No</x:v>
      </x:c>
      <x:c r="U1108" s="31" t="str">
        <x:f>IF('Blind Scoring'!L1108="","",'Blind Scoring'!L1108)</x:f>
      </x:c>
    </x:row>
    <x:row r="1109" ht="44" customHeight="1">
      <x:c r="A1109" s="35" t="str">
        <x:v>Not Started</x:v>
      </x:c>
      <x:c r="B1109" s="35" t="n">
        <x:v>1107</x:v>
      </x:c>
      <x:c r="C1109" s="35" t="str">
        <x:v>P18</x:v>
      </x:c>
      <x:c r="D1109" s="35" t="n">
        <x:v>54</x:v>
      </x:c>
      <x:c r="E1109" s="35" t="str">
        <x:v>Primary VLA</x:v>
      </x:c>
      <x:c r="F1109" s="35" t="str">
        <x:v>π0.5</x:v>
      </x:c>
      <x:c r="G1109" s="35" t="n">
        <x:v>2</x:v>
      </x:c>
      <x:c r="H1109" s="35" t="str">
        <x:v>State Recognition</x:v>
      </x:c>
      <x:c r="I1109" s="35" t="str">
        <x:v>Training reconstruction</x:v>
      </x:c>
      <x:c r="J1109" s="35" t="str">
        <x:v>PVLA-ST-REC-04</x:v>
      </x:c>
      <x:c r="K1109" s="35" t="str"/>
      <x:c r="L1109" s="31" t="str">
        <x:v>Move the open brown cup into the bowl.</x:v>
      </x:c>
      <x:c r="M1109" s="31" t="str">
        <x:v>Move the open brown cup into the bowl.</x:v>
      </x:c>
      <x:c r="N1109" s="31" t="str">
        <x:v>Reconstruct planned final training episode 104: brown cup B, brown cup A, glass spice container A; start=Recovery. Match camera, calibration, bowl pose, and object geometry exactly.</x:v>
      </x:c>
      <x:c r="O1109" s="31" t="str">
        <x:v>brown cup B</x:v>
      </x:c>
      <x:c r="P1109" s="31" t="str"/>
      <x:c r="Q1109" s="31" t="str"/>
      <x:c r="R1109" s="31" t="str"/>
      <x:c r="S1109" s="31" t="str">
        <x:f>IF('Blind Scoring'!I1109="","",'Blind Scoring'!I1109)</x:f>
      </x:c>
      <x:c r="T1109" s="31" t="str">
        <x:f>'Blind Scoring'!J1109</x:f>
        <x:v>No</x:v>
      </x:c>
      <x:c r="U1109" s="31" t="str">
        <x:f>IF('Blind Scoring'!L1109="","",'Blind Scoring'!L1109)</x:f>
      </x:c>
    </x:row>
    <x:row r="1110" ht="44" customHeight="1">
      <x:c r="A1110" s="35" t="str">
        <x:v>Not Started</x:v>
      </x:c>
      <x:c r="B1110" s="35" t="n">
        <x:v>1108</x:v>
      </x:c>
      <x:c r="C1110" s="35" t="str">
        <x:v>P18</x:v>
      </x:c>
      <x:c r="D1110" s="35" t="n">
        <x:v>55</x:v>
      </x:c>
      <x:c r="E1110" s="35" t="str">
        <x:v>Primary VLA</x:v>
      </x:c>
      <x:c r="F1110" s="35" t="str">
        <x:v>π0.5</x:v>
      </x:c>
      <x:c r="G1110" s="35" t="n">
        <x:v>2</x:v>
      </x:c>
      <x:c r="H1110" s="35" t="str">
        <x:v>State Recognition</x:v>
      </x:c>
      <x:c r="I1110" s="35" t="str">
        <x:v>Language ablation — blank</x:v>
      </x:c>
      <x:c r="J1110" s="35" t="str">
        <x:v>PVLA-ST-ABL-BLK-04</x:v>
      </x:c>
      <x:c r="K1110" s="35" t="str">
        <x:v>S-CF07</x:v>
      </x:c>
      <x:c r="L1110" s="31" t="str">
        <x:v>[EMPTY STRING — provide no instruction tokens]</x:v>
      </x:c>
      <x:c r="M1110" s="31" t="str">
        <x:v>Place the closed yellow-white striped cup in the bowl.</x:v>
      </x:c>
      <x:c r="N1110" s="31" t="str">
        <x:v>S-CF07-HELD: P1 brown cup A=C/UR; P2 glass spice container A=O/UR; P3 yellow-white striped cup A=C/UD [TARGET]; P4 yellow-white striped cup B=O/UD [COMPETITOR].</x:v>
      </x:c>
      <x:c r="O1110" s="31" t="str">
        <x:v>No prespecified task success under blank language; record any action/selected target.</x:v>
      </x:c>
      <x:c r="P1110" s="31" t="str"/>
      <x:c r="Q1110" s="31" t="str"/>
      <x:c r="R1110" s="31" t="str"/>
      <x:c r="S1110" s="31" t="str">
        <x:f>IF('Blind Scoring'!I1110="","",'Blind Scoring'!I1110)</x:f>
      </x:c>
      <x:c r="T1110" s="31" t="str">
        <x:f>'Blind Scoring'!J1110</x:f>
        <x:v>No</x:v>
      </x:c>
      <x:c r="U1110" s="31" t="str">
        <x:f>IF('Blind Scoring'!L1110="","",'Blind Scoring'!L1110)</x:f>
      </x:c>
    </x:row>
    <x:row r="1111" ht="44" customHeight="1">
      <x:c r="A1111" s="35" t="str">
        <x:v>Not Started</x:v>
      </x:c>
      <x:c r="B1111" s="35" t="n">
        <x:v>1109</x:v>
      </x:c>
      <x:c r="C1111" s="35" t="str">
        <x:v>P18</x:v>
      </x:c>
      <x:c r="D1111" s="35" t="n">
        <x:v>56</x:v>
      </x:c>
      <x:c r="E1111" s="35" t="str">
        <x:v>Primary VLA</x:v>
      </x:c>
      <x:c r="F1111" s="35" t="str">
        <x:v>π0.5</x:v>
      </x:c>
      <x:c r="G1111" s="35" t="n">
        <x:v>2</x:v>
      </x:c>
      <x:c r="H1111" s="35" t="str">
        <x:v>State Recognition</x:v>
      </x:c>
      <x:c r="I1111" s="35" t="str">
        <x:v>Main held-out transfer</x:v>
      </x:c>
      <x:c r="J1111" s="35" t="str">
        <x:v>PVLA-ST-TR-16</x:v>
      </x:c>
      <x:c r="K1111" s="35" t="str">
        <x:v>S-CF30</x:v>
      </x:c>
      <x:c r="L1111" s="31" t="str">
        <x:v>Place the upright glass spice container in the bowl.</x:v>
      </x:c>
      <x:c r="M1111" s="31" t="str">
        <x:v>Place the upright glass spice container in the bowl.</x:v>
      </x:c>
      <x:c r="N1111" s="31" t="str">
        <x:v>S-CF30-HELD: P1 white cup B=C/UR; P2 glass spice container A=O/UR [TARGET]; P3 glass spice container B=O/UD [COMPETITOR]; P4 yellow-white striped cup B=C/UD.</x:v>
      </x:c>
      <x:c r="O1111" s="31" t="str">
        <x:v>glass spice container A</x:v>
      </x:c>
      <x:c r="P1111" s="31" t="str"/>
      <x:c r="Q1111" s="31" t="str"/>
      <x:c r="R1111" s="31" t="str"/>
      <x:c r="S1111" s="31" t="str">
        <x:f>IF('Blind Scoring'!I1111="","",'Blind Scoring'!I1111)</x:f>
      </x:c>
      <x:c r="T1111" s="31" t="str">
        <x:f>'Blind Scoring'!J1111</x:f>
        <x:v>No</x:v>
      </x:c>
      <x:c r="U1111" s="31" t="str">
        <x:f>IF('Blind Scoring'!L1111="","",'Blind Scoring'!L1111)</x:f>
      </x:c>
    </x:row>
    <x:row r="1112" ht="44" customHeight="1">
      <x:c r="A1112" s="35" t="str">
        <x:v>Not Started</x:v>
      </x:c>
      <x:c r="B1112" s="35" t="n">
        <x:v>1110</x:v>
      </x:c>
      <x:c r="C1112" s="35" t="str">
        <x:v>P18</x:v>
      </x:c>
      <x:c r="D1112" s="35" t="n">
        <x:v>57</x:v>
      </x:c>
      <x:c r="E1112" s="35" t="str">
        <x:v>Primary VLA</x:v>
      </x:c>
      <x:c r="F1112" s="35" t="str">
        <x:v>π0.5</x:v>
      </x:c>
      <x:c r="G1112" s="35" t="n">
        <x:v>2</x:v>
      </x:c>
      <x:c r="H1112" s="35" t="str">
        <x:v>State Recognition</x:v>
      </x:c>
      <x:c r="I1112" s="35" t="str">
        <x:v>Main matched control</x:v>
      </x:c>
      <x:c r="J1112" s="35" t="str">
        <x:v>PVLA-ST-CTL-15</x:v>
      </x:c>
      <x:c r="K1112" s="35" t="str">
        <x:v>S-CF28</x:v>
      </x:c>
      <x:c r="L1112" s="31" t="str">
        <x:v>Place a white cup in the bowl.</x:v>
      </x:c>
      <x:c r="M1112" s="31" t="str">
        <x:v>Place a white cup in the bowl.</x:v>
      </x:c>
      <x:c r="N1112" s="31" t="str">
        <x:v>S-CF28-CTRL: P2 yellow-white striped cup B=O/UR; P3 brown cup A=O/UD; P4 white cup B=C/UR [TARGET].</x:v>
      </x:c>
      <x:c r="O1112" s="31" t="str">
        <x:v>white cup B</x:v>
      </x:c>
      <x:c r="P1112" s="31" t="str"/>
      <x:c r="Q1112" s="31" t="str"/>
      <x:c r="R1112" s="31" t="str"/>
      <x:c r="S1112" s="31" t="str">
        <x:f>IF('Blind Scoring'!I1112="","",'Blind Scoring'!I1112)</x:f>
      </x:c>
      <x:c r="T1112" s="31" t="str">
        <x:f>'Blind Scoring'!J1112</x:f>
        <x:v>No</x:v>
      </x:c>
      <x:c r="U1112" s="31" t="str">
        <x:f>IF('Blind Scoring'!L1112="","",'Blind Scoring'!L1112)</x:f>
      </x:c>
    </x:row>
    <x:row r="1113" ht="44" customHeight="1">
      <x:c r="A1113" s="35" t="str">
        <x:v>Not Started</x:v>
      </x:c>
      <x:c r="B1113" s="35" t="n">
        <x:v>1111</x:v>
      </x:c>
      <x:c r="C1113" s="35" t="str">
        <x:v>P18</x:v>
      </x:c>
      <x:c r="D1113" s="35" t="n">
        <x:v>58</x:v>
      </x:c>
      <x:c r="E1113" s="35" t="str">
        <x:v>Primary VLA</x:v>
      </x:c>
      <x:c r="F1113" s="35" t="str">
        <x:v>π0.5</x:v>
      </x:c>
      <x:c r="G1113" s="35" t="n">
        <x:v>2</x:v>
      </x:c>
      <x:c r="H1113" s="35" t="str">
        <x:v>State Recognition</x:v>
      </x:c>
      <x:c r="I1113" s="35" t="str">
        <x:v>Exact-scene paraphrase</x:v>
      </x:c>
      <x:c r="J1113" s="35" t="str">
        <x:v>PVLA-ST-PAR-05</x:v>
      </x:c>
      <x:c r="K1113" s="35" t="str">
        <x:v>S-CF12</x:v>
      </x:c>
      <x:c r="L1113" s="31" t="str">
        <x:v>Move the overturned white cup into the bowl.</x:v>
      </x:c>
      <x:c r="M1113" s="31" t="str">
        <x:v>Move the overturned white cup into the bowl.</x:v>
      </x:c>
      <x:c r="N1113" s="31" t="str">
        <x:v>S-CF12-PARA: P1 white cup A=C/UD [COMPETITOR]; P2 yellow-white striped cup B=O/UR; P3 brown cup A=O/UD; P4 white cup B=C/UR [TARGET].</x:v>
      </x:c>
      <x:c r="O1113" s="31" t="str">
        <x:v>white cup A</x:v>
      </x:c>
      <x:c r="P1113" s="31" t="str"/>
      <x:c r="Q1113" s="31" t="str"/>
      <x:c r="R1113" s="31" t="str"/>
      <x:c r="S1113" s="31" t="str">
        <x:f>IF('Blind Scoring'!I1113="","",'Blind Scoring'!I1113)</x:f>
      </x:c>
      <x:c r="T1113" s="31" t="str">
        <x:f>'Blind Scoring'!J1113</x:f>
        <x:v>No</x:v>
      </x:c>
      <x:c r="U1113" s="31" t="str">
        <x:f>IF('Blind Scoring'!L1113="","",'Blind Scoring'!L1113)</x:f>
      </x:c>
    </x:row>
    <x:row r="1114" ht="44" customHeight="1">
      <x:c r="A1114" s="35" t="str">
        <x:v>Not Started</x:v>
      </x:c>
      <x:c r="B1114" s="35" t="n">
        <x:v>1112</x:v>
      </x:c>
      <x:c r="C1114" s="35" t="str">
        <x:v>P18</x:v>
      </x:c>
      <x:c r="D1114" s="35" t="n">
        <x:v>59</x:v>
      </x:c>
      <x:c r="E1114" s="35" t="str">
        <x:v>Primary VLA</x:v>
      </x:c>
      <x:c r="F1114" s="35" t="str">
        <x:v>π0.5</x:v>
      </x:c>
      <x:c r="G1114" s="35" t="n">
        <x:v>2</x:v>
      </x:c>
      <x:c r="H1114" s="35" t="str">
        <x:v>State Recognition</x:v>
      </x:c>
      <x:c r="I1114" s="35" t="str">
        <x:v>Main matched control</x:v>
      </x:c>
      <x:c r="J1114" s="35" t="str">
        <x:v>PVLA-ST-CTL-10</x:v>
      </x:c>
      <x:c r="K1114" s="35" t="str">
        <x:v>S-CF18</x:v>
      </x:c>
      <x:c r="L1114" s="31" t="str">
        <x:v>Place a yellow-white striped cup in the bowl.</x:v>
      </x:c>
      <x:c r="M1114" s="31" t="str">
        <x:v>Place a yellow-white striped cup in the bowl.</x:v>
      </x:c>
      <x:c r="N1114" s="31" t="str">
        <x:v>S-CF18-CTRL: P1 brown cup B=C/UR; P2 yellow-white striped cup B=O/UR [TARGET]; P4 glass spice container B=C/UD.</x:v>
      </x:c>
      <x:c r="O1114" s="31" t="str">
        <x:v>yellow-white striped cup B</x:v>
      </x:c>
      <x:c r="P1114" s="31" t="str"/>
      <x:c r="Q1114" s="31" t="str"/>
      <x:c r="R1114" s="31" t="str"/>
      <x:c r="S1114" s="31" t="str">
        <x:f>IF('Blind Scoring'!I1114="","",'Blind Scoring'!I1114)</x:f>
      </x:c>
      <x:c r="T1114" s="31" t="str">
        <x:f>'Blind Scoring'!J1114</x:f>
        <x:v>No</x:v>
      </x:c>
      <x:c r="U1114" s="31" t="str">
        <x:f>IF('Blind Scoring'!L1114="","",'Blind Scoring'!L1114)</x:f>
      </x:c>
    </x:row>
    <x:row r="1115" ht="44" customHeight="1">
      <x:c r="A1115" s="35" t="str">
        <x:v>Not Started</x:v>
      </x:c>
      <x:c r="B1115" s="35" t="n">
        <x:v>1113</x:v>
      </x:c>
      <x:c r="C1115" s="35" t="str">
        <x:v>P18</x:v>
      </x:c>
      <x:c r="D1115" s="35" t="n">
        <x:v>60</x:v>
      </x:c>
      <x:c r="E1115" s="35" t="str">
        <x:v>Primary VLA</x:v>
      </x:c>
      <x:c r="F1115" s="35" t="str">
        <x:v>π0.5</x:v>
      </x:c>
      <x:c r="G1115" s="35" t="n">
        <x:v>2</x:v>
      </x:c>
      <x:c r="H1115" s="35" t="str">
        <x:v>State Recognition</x:v>
      </x:c>
      <x:c r="I1115" s="35" t="str">
        <x:v>Main matched control</x:v>
      </x:c>
      <x:c r="J1115" s="35" t="str">
        <x:v>PVLA-ST-CTL-03</x:v>
      </x:c>
      <x:c r="K1115" s="35" t="str">
        <x:v>S-CF05</x:v>
      </x:c>
      <x:c r="L1115" s="31" t="str">
        <x:v>Place a brown cup in the bowl.</x:v>
      </x:c>
      <x:c r="M1115" s="31" t="str">
        <x:v>Place a brown cup in the bowl.</x:v>
      </x:c>
      <x:c r="N1115" s="31" t="str">
        <x:v>S-CF05-CTRL: P1 brown cup A=C/UR [TARGET]; P3 glass spice container A=C/UD; P4 white cup B=O/UD.</x:v>
      </x:c>
      <x:c r="O1115" s="31" t="str">
        <x:v>brown cup A</x:v>
      </x:c>
      <x:c r="P1115" s="31" t="str"/>
      <x:c r="Q1115" s="31" t="str"/>
      <x:c r="R1115" s="31" t="str"/>
      <x:c r="S1115" s="31" t="str">
        <x:f>IF('Blind Scoring'!I1115="","",'Blind Scoring'!I1115)</x:f>
      </x:c>
      <x:c r="T1115" s="31" t="str">
        <x:f>'Blind Scoring'!J1115</x:f>
        <x:v>No</x:v>
      </x:c>
      <x:c r="U1115" s="31" t="str">
        <x:f>IF('Blind Scoring'!L1115="","",'Blind Scoring'!L1115)</x:f>
      </x:c>
    </x:row>
    <x:row r="1116" ht="44" customHeight="1">
      <x:c r="A1116" s="35" t="str">
        <x:v>Not Started</x:v>
      </x:c>
      <x:c r="B1116" s="35" t="n">
        <x:v>1114</x:v>
      </x:c>
      <x:c r="C1116" s="35" t="str">
        <x:v>P18</x:v>
      </x:c>
      <x:c r="D1116" s="35" t="n">
        <x:v>61</x:v>
      </x:c>
      <x:c r="E1116" s="35" t="str">
        <x:v>Primary VLA</x:v>
      </x:c>
      <x:c r="F1116" s="35" t="str">
        <x:v>π0.5</x:v>
      </x:c>
      <x:c r="G1116" s="35" t="n">
        <x:v>2</x:v>
      </x:c>
      <x:c r="H1116" s="35" t="str">
        <x:v>State Recognition</x:v>
      </x:c>
      <x:c r="I1116" s="35" t="str">
        <x:v>Main held-out transfer</x:v>
      </x:c>
      <x:c r="J1116" s="35" t="str">
        <x:v>PVLA-ST-TR-10</x:v>
      </x:c>
      <x:c r="K1116" s="35" t="str">
        <x:v>S-CF18</x:v>
      </x:c>
      <x:c r="L1116" s="31" t="str">
        <x:v>Place the upright yellow-white striped cup in the bowl.</x:v>
      </x:c>
      <x:c r="M1116" s="31" t="str">
        <x:v>Place the upright yellow-white striped cup in the bowl.</x:v>
      </x:c>
      <x:c r="N1116" s="31" t="str">
        <x:v>S-CF18-HELD: P1 brown cup B=C/UR; P2 yellow-white striped cup B=O/UR [TARGET]; P3 yellow-white striped cup A=O/UD [COMPETITOR]; P4 glass spice container B=C/UD.</x:v>
      </x:c>
      <x:c r="O1116" s="31" t="str">
        <x:v>yellow-white striped cup B</x:v>
      </x:c>
      <x:c r="P1116" s="31" t="str"/>
      <x:c r="Q1116" s="31" t="str"/>
      <x:c r="R1116" s="31" t="str"/>
      <x:c r="S1116" s="31" t="str">
        <x:f>IF('Blind Scoring'!I1116="","",'Blind Scoring'!I1116)</x:f>
      </x:c>
      <x:c r="T1116" s="31" t="str">
        <x:f>'Blind Scoring'!J1116</x:f>
        <x:v>No</x:v>
      </x:c>
      <x:c r="U1116" s="31" t="str">
        <x:f>IF('Blind Scoring'!L1116="","",'Blind Scoring'!L1116)</x:f>
      </x:c>
    </x:row>
    <x:row r="1117" ht="44" customHeight="1">
      <x:c r="A1117" s="35" t="str">
        <x:v>Not Started</x:v>
      </x:c>
      <x:c r="B1117" s="35" t="n">
        <x:v>1115</x:v>
      </x:c>
      <x:c r="C1117" s="35" t="str">
        <x:v>P18</x:v>
      </x:c>
      <x:c r="D1117" s="35" t="n">
        <x:v>62</x:v>
      </x:c>
      <x:c r="E1117" s="35" t="str">
        <x:v>Primary VLA</x:v>
      </x:c>
      <x:c r="F1117" s="35" t="str">
        <x:v>π0.5</x:v>
      </x:c>
      <x:c r="G1117" s="35" t="n">
        <x:v>2</x:v>
      </x:c>
      <x:c r="H1117" s="35" t="str">
        <x:v>State Recognition</x:v>
      </x:c>
      <x:c r="I1117" s="35" t="str">
        <x:v>Main held-out transfer</x:v>
      </x:c>
      <x:c r="J1117" s="35" t="str">
        <x:v>PVLA-ST-TR-08</x:v>
      </x:c>
      <x:c r="K1117" s="35" t="str">
        <x:v>S-CF15</x:v>
      </x:c>
      <x:c r="L1117" s="31" t="str">
        <x:v>Place the closed yellow-white striped cup in the bowl.</x:v>
      </x:c>
      <x:c r="M1117" s="31" t="str">
        <x:v>Place the closed yellow-white striped cup in the bowl.</x:v>
      </x:c>
      <x:c r="N1117" s="31" t="str">
        <x:v>S-CF15-HELD: P1 brown cup A=C/UR; P2 glass spice container A=O/UR; P3 yellow-white striped cup A=C/UD [TARGET]; P4 yellow-white striped cup B=O/UD [COMPETITOR].</x:v>
      </x:c>
      <x:c r="O1117" s="31" t="str">
        <x:v>yellow-white striped cup A</x:v>
      </x:c>
      <x:c r="P1117" s="31" t="str"/>
      <x:c r="Q1117" s="31" t="str"/>
      <x:c r="R1117" s="31" t="str"/>
      <x:c r="S1117" s="31" t="str">
        <x:f>IF('Blind Scoring'!I1117="","",'Blind Scoring'!I1117)</x:f>
      </x:c>
      <x:c r="T1117" s="31" t="str">
        <x:f>'Blind Scoring'!J1117</x:f>
        <x:v>No</x:v>
      </x:c>
      <x:c r="U1117" s="31" t="str">
        <x:f>IF('Blind Scoring'!L1117="","",'Blind Scoring'!L1117)</x:f>
      </x:c>
    </x:row>
    <x:row r="1118" ht="44" customHeight="1">
      <x:c r="A1118" s="35" t="str">
        <x:v>Not Started</x:v>
      </x:c>
      <x:c r="B1118" s="35" t="n">
        <x:v>1116</x:v>
      </x:c>
      <x:c r="C1118" s="35" t="str">
        <x:v>P19</x:v>
      </x:c>
      <x:c r="D1118" s="35" t="n">
        <x:v>1</x:v>
      </x:c>
      <x:c r="E1118" s="35" t="str">
        <x:v>Primary VLA</x:v>
      </x:c>
      <x:c r="F1118" s="35" t="str">
        <x:v>MolmoAct2</x:v>
      </x:c>
      <x:c r="G1118" s="35" t="n">
        <x:v>3</x:v>
      </x:c>
      <x:c r="H1118" s="35" t="str">
        <x:v>Relational Placement</x:v>
      </x:c>
      <x:c r="I1118" s="35" t="str">
        <x:v>Language ablation — blank</x:v>
      </x:c>
      <x:c r="J1118" s="35" t="str">
        <x:v>PVLA-RP-ABL-BLK-02</x:v>
      </x:c>
      <x:c r="K1118" s="35" t="str">
        <x:v>R-CF03</x:v>
      </x:c>
      <x:c r="L1118" s="31" t="str">
        <x:v>[EMPTY STRING — provide no instruction tokens]</x:v>
      </x:c>
      <x:c r="M1118" s="31" t="str">
        <x:v>Place the green pen to the right of the red block.</x:v>
      </x:c>
      <x:c r="N1118" s="31" t="str">
        <x:v>R-CF03-HELD: red block at back-right [REFERENCE]; green pen starts 24 cm to the left of the reference [TARGET START]; pink marker and blue block are distractors outside the commanded goal sector.</x:v>
      </x:c>
      <x:c r="O1118" s="31" t="str">
        <x:v>No prespecified task success under blank language; record any action/selected target.</x:v>
      </x:c>
      <x:c r="P1118" s="31" t="str"/>
      <x:c r="Q1118" s="31" t="str"/>
      <x:c r="R1118" s="31" t="str"/>
      <x:c r="S1118" s="31" t="str">
        <x:f>IF('Blind Scoring'!I1118="","",'Blind Scoring'!I1118)</x:f>
      </x:c>
      <x:c r="T1118" s="31" t="str">
        <x:f>'Blind Scoring'!J1118</x:f>
        <x:v>No</x:v>
      </x:c>
      <x:c r="U1118" s="31" t="str">
        <x:f>IF('Blind Scoring'!L1118="","",'Blind Scoring'!L1118)</x:f>
      </x:c>
    </x:row>
    <x:row r="1119" ht="44" customHeight="1">
      <x:c r="A1119" s="35" t="str">
        <x:v>Not Started</x:v>
      </x:c>
      <x:c r="B1119" s="35" t="n">
        <x:v>1117</x:v>
      </x:c>
      <x:c r="C1119" s="35" t="str">
        <x:v>P19</x:v>
      </x:c>
      <x:c r="D1119" s="35" t="n">
        <x:v>2</x:v>
      </x:c>
      <x:c r="E1119" s="35" t="str">
        <x:v>Primary VLA</x:v>
      </x:c>
      <x:c r="F1119" s="35" t="str">
        <x:v>MolmoAct2</x:v>
      </x:c>
      <x:c r="G1119" s="35" t="n">
        <x:v>3</x:v>
      </x:c>
      <x:c r="H1119" s="35" t="str">
        <x:v>Relational Placement</x:v>
      </x:c>
      <x:c r="I1119" s="35" t="str">
        <x:v>Novel layout + seen language</x:v>
      </x:c>
      <x:c r="J1119" s="35" t="str">
        <x:v>PVLA-RP-NOV-03</x:v>
      </x:c>
      <x:c r="K1119" s="35" t="str"/>
      <x:c r="L1119" s="31" t="str">
        <x:v>Place the blue block behind the green pen.</x:v>
      </x:c>
      <x:c r="M1119" s="31" t="str">
        <x:v>Place the blue block behind the green pen.</x:v>
      </x:c>
      <x:c r="N1119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1119" s="31" t="str">
        <x:v>blue block</x:v>
      </x:c>
      <x:c r="P1119" s="31" t="str"/>
      <x:c r="Q1119" s="31" t="str"/>
      <x:c r="R1119" s="31" t="str"/>
      <x:c r="S1119" s="31" t="str">
        <x:f>IF('Blind Scoring'!I1119="","",'Blind Scoring'!I1119)</x:f>
      </x:c>
      <x:c r="T1119" s="31" t="str">
        <x:f>'Blind Scoring'!J1119</x:f>
        <x:v>No</x:v>
      </x:c>
      <x:c r="U1119" s="31" t="str">
        <x:f>IF('Blind Scoring'!L1119="","",'Blind Scoring'!L1119)</x:f>
      </x:c>
    </x:row>
    <x:row r="1120" ht="44" customHeight="1">
      <x:c r="A1120" s="35" t="str">
        <x:v>Not Started</x:v>
      </x:c>
      <x:c r="B1120" s="35" t="n">
        <x:v>1118</x:v>
      </x:c>
      <x:c r="C1120" s="35" t="str">
        <x:v>P19</x:v>
      </x:c>
      <x:c r="D1120" s="35" t="n">
        <x:v>3</x:v>
      </x:c>
      <x:c r="E1120" s="35" t="str">
        <x:v>Primary VLA</x:v>
      </x:c>
      <x:c r="F1120" s="35" t="str">
        <x:v>MolmoAct2</x:v>
      </x:c>
      <x:c r="G1120" s="35" t="n">
        <x:v>3</x:v>
      </x:c>
      <x:c r="H1120" s="35" t="str">
        <x:v>Relational Placement</x:v>
      </x:c>
      <x:c r="I1120" s="35" t="str">
        <x:v>Main matched control</x:v>
      </x:c>
      <x:c r="J1120" s="35" t="str">
        <x:v>PVLA-RP-CTL-13</x:v>
      </x:c>
      <x:c r="K1120" s="35" t="str">
        <x:v>R-CF24</x:v>
      </x:c>
      <x:c r="L1120" s="31" t="str">
        <x:v>Place the red block beside the green pen.</x:v>
      </x:c>
      <x:c r="M1120" s="31" t="str">
        <x:v>Place the red block beside the green pen.</x:v>
      </x:c>
      <x:c r="N1120" s="31" t="str">
        <x:v>R-CF24-CTRL: green pen at front-left [REFERENCE]; red block starts 24 cm to the right of the reference [TARGET START]; blue block and pink marker are distractors outside the commanded goal sector.</x:v>
      </x:c>
      <x:c r="O1120" s="31" t="str">
        <x:v>red block near green pen</x:v>
      </x:c>
      <x:c r="P1120" s="31" t="str"/>
      <x:c r="Q1120" s="31" t="str"/>
      <x:c r="R1120" s="31" t="str"/>
      <x:c r="S1120" s="31" t="str">
        <x:f>IF('Blind Scoring'!I1120="","",'Blind Scoring'!I1120)</x:f>
      </x:c>
      <x:c r="T1120" s="31" t="str">
        <x:f>'Blind Scoring'!J1120</x:f>
        <x:v>No</x:v>
      </x:c>
      <x:c r="U1120" s="31" t="str">
        <x:f>IF('Blind Scoring'!L1120="","",'Blind Scoring'!L1120)</x:f>
      </x:c>
    </x:row>
    <x:row r="1121" ht="44" customHeight="1">
      <x:c r="A1121" s="35" t="str">
        <x:v>Not Started</x:v>
      </x:c>
      <x:c r="B1121" s="35" t="n">
        <x:v>1119</x:v>
      </x:c>
      <x:c r="C1121" s="35" t="str">
        <x:v>P19</x:v>
      </x:c>
      <x:c r="D1121" s="35" t="n">
        <x:v>4</x:v>
      </x:c>
      <x:c r="E1121" s="35" t="str">
        <x:v>Primary VLA</x:v>
      </x:c>
      <x:c r="F1121" s="35" t="str">
        <x:v>MolmoAct2</x:v>
      </x:c>
      <x:c r="G1121" s="35" t="n">
        <x:v>3</x:v>
      </x:c>
      <x:c r="H1121" s="35" t="str">
        <x:v>Relational Placement</x:v>
      </x:c>
      <x:c r="I1121" s="35" t="str">
        <x:v>Main held-out transfer</x:v>
      </x:c>
      <x:c r="J1121" s="35" t="str">
        <x:v>PVLA-RP-TR-04</x:v>
      </x:c>
      <x:c r="K1121" s="35" t="str">
        <x:v>R-CF07</x:v>
      </x:c>
      <x:c r="L1121" s="31" t="str">
        <x:v>Place the green pen behind the red block.</x:v>
      </x:c>
      <x:c r="M1121" s="31" t="str">
        <x:v>Place the green pen behind the red block.</x:v>
      </x:c>
      <x:c r="N1121" s="31" t="str">
        <x:v>R-CF07-HELD: red block at back-left [REFERENCE]; green pen starts 18 cm in front of the reference [TARGET START]; pink marker and blue block are distractors outside the commanded goal sector.</x:v>
      </x:c>
      <x:c r="O1121" s="31" t="str">
        <x:v>green pen → behind red block</x:v>
      </x:c>
      <x:c r="P1121" s="31" t="str"/>
      <x:c r="Q1121" s="31" t="str"/>
      <x:c r="R1121" s="31" t="str"/>
      <x:c r="S1121" s="31" t="str">
        <x:f>IF('Blind Scoring'!I1121="","",'Blind Scoring'!I1121)</x:f>
      </x:c>
      <x:c r="T1121" s="31" t="str">
        <x:f>'Blind Scoring'!J1121</x:f>
        <x:v>No</x:v>
      </x:c>
      <x:c r="U1121" s="31" t="str">
        <x:f>IF('Blind Scoring'!L1121="","",'Blind Scoring'!L1121)</x:f>
      </x:c>
    </x:row>
    <x:row r="1122" ht="44" customHeight="1">
      <x:c r="A1122" s="35" t="str">
        <x:v>Not Started</x:v>
      </x:c>
      <x:c r="B1122" s="35" t="n">
        <x:v>1120</x:v>
      </x:c>
      <x:c r="C1122" s="35" t="str">
        <x:v>P19</x:v>
      </x:c>
      <x:c r="D1122" s="35" t="n">
        <x:v>5</x:v>
      </x:c>
      <x:c r="E1122" s="35" t="str">
        <x:v>Primary VLA</x:v>
      </x:c>
      <x:c r="F1122" s="35" t="str">
        <x:v>MolmoAct2</x:v>
      </x:c>
      <x:c r="G1122" s="35" t="n">
        <x:v>3</x:v>
      </x:c>
      <x:c r="H1122" s="35" t="str">
        <x:v>Relational Placement</x:v>
      </x:c>
      <x:c r="I1122" s="35" t="str">
        <x:v>Main held-out transfer</x:v>
      </x:c>
      <x:c r="J1122" s="35" t="str">
        <x:v>PVLA-RP-TR-14</x:v>
      </x:c>
      <x:c r="K1122" s="35" t="str">
        <x:v>R-CF26</x:v>
      </x:c>
      <x:c r="L1122" s="31" t="str">
        <x:v>Place the red block behind the green pen.</x:v>
      </x:c>
      <x:c r="M1122" s="31" t="str">
        <x:v>Place the red block behind the green pen.</x:v>
      </x:c>
      <x:c r="N1122" s="31" t="str">
        <x:v>R-CF26-HELD: green pen at center [REFERENCE]; red block starts 21 cm in front of the reference [TARGET START]; blue block and pink marker are distractors outside the commanded goal sector.</x:v>
      </x:c>
      <x:c r="O1122" s="31" t="str">
        <x:v>red block → behind green pen</x:v>
      </x:c>
      <x:c r="P1122" s="31" t="str"/>
      <x:c r="Q1122" s="31" t="str"/>
      <x:c r="R1122" s="31" t="str"/>
      <x:c r="S1122" s="31" t="str">
        <x:f>IF('Blind Scoring'!I1122="","",'Blind Scoring'!I1122)</x:f>
      </x:c>
      <x:c r="T1122" s="31" t="str">
        <x:f>'Blind Scoring'!J1122</x:f>
        <x:v>No</x:v>
      </x:c>
      <x:c r="U1122" s="31" t="str">
        <x:f>IF('Blind Scoring'!L1122="","",'Blind Scoring'!L1122)</x:f>
      </x:c>
    </x:row>
    <x:row r="1123" ht="44" customHeight="1">
      <x:c r="A1123" s="35" t="str">
        <x:v>Not Started</x:v>
      </x:c>
      <x:c r="B1123" s="35" t="n">
        <x:v>1121</x:v>
      </x:c>
      <x:c r="C1123" s="35" t="str">
        <x:v>P19</x:v>
      </x:c>
      <x:c r="D1123" s="35" t="n">
        <x:v>6</x:v>
      </x:c>
      <x:c r="E1123" s="35" t="str">
        <x:v>Primary VLA</x:v>
      </x:c>
      <x:c r="F1123" s="35" t="str">
        <x:v>MolmoAct2</x:v>
      </x:c>
      <x:c r="G1123" s="35" t="n">
        <x:v>3</x:v>
      </x:c>
      <x:c r="H1123" s="35" t="str">
        <x:v>Relational Placement</x:v>
      </x:c>
      <x:c r="I1123" s="35" t="str">
        <x:v>Main matched control</x:v>
      </x:c>
      <x:c r="J1123" s="35" t="str">
        <x:v>PVLA-RP-CTL-08</x:v>
      </x:c>
      <x:c r="K1123" s="35" t="str">
        <x:v>R-CF15</x:v>
      </x:c>
      <x:c r="L1123" s="31" t="str">
        <x:v>Place the green pen beside the red block.</x:v>
      </x:c>
      <x:c r="M1123" s="31" t="str">
        <x:v>Place the green pen beside the red block.</x:v>
      </x:c>
      <x:c r="N1123" s="31" t="str">
        <x:v>R-CF15-CTRL: red block at front-right [REFERENCE]; green pen starts 24 cm in front of the reference [TARGET START]; pink marker and blue block are distractors outside the commanded goal sector.</x:v>
      </x:c>
      <x:c r="O1123" s="31" t="str">
        <x:v>green pen near red block</x:v>
      </x:c>
      <x:c r="P1123" s="31" t="str"/>
      <x:c r="Q1123" s="31" t="str"/>
      <x:c r="R1123" s="31" t="str"/>
      <x:c r="S1123" s="31" t="str">
        <x:f>IF('Blind Scoring'!I1123="","",'Blind Scoring'!I1123)</x:f>
      </x:c>
      <x:c r="T1123" s="31" t="str">
        <x:f>'Blind Scoring'!J1123</x:f>
        <x:v>No</x:v>
      </x:c>
      <x:c r="U1123" s="31" t="str">
        <x:f>IF('Blind Scoring'!L1123="","",'Blind Scoring'!L1123)</x:f>
      </x:c>
    </x:row>
    <x:row r="1124" ht="44" customHeight="1">
      <x:c r="A1124" s="35" t="str">
        <x:v>Not Started</x:v>
      </x:c>
      <x:c r="B1124" s="35" t="n">
        <x:v>1122</x:v>
      </x:c>
      <x:c r="C1124" s="35" t="str">
        <x:v>P19</x:v>
      </x:c>
      <x:c r="D1124" s="35" t="n">
        <x:v>7</x:v>
      </x:c>
      <x:c r="E1124" s="35" t="str">
        <x:v>Primary VLA</x:v>
      </x:c>
      <x:c r="F1124" s="35" t="str">
        <x:v>MolmoAct2</x:v>
      </x:c>
      <x:c r="G1124" s="35" t="n">
        <x:v>3</x:v>
      </x:c>
      <x:c r="H1124" s="35" t="str">
        <x:v>Relational Placement</x:v>
      </x:c>
      <x:c r="I1124" s="35" t="str">
        <x:v>Training reconstruction</x:v>
      </x:c>
      <x:c r="J1124" s="35" t="str">
        <x:v>PVLA-RP-REC-02</x:v>
      </x:c>
      <x:c r="K1124" s="35" t="str"/>
      <x:c r="L1124" s="31" t="str">
        <x:v>Put the green pen on the table in front of the pink marker.</x:v>
      </x:c>
      <x:c r="M1124" s="31" t="str">
        <x:v>Put the green pen on the table in front of the pink marker.</x:v>
      </x:c>
      <x:c r="N1124" s="31" t="str">
        <x:v>Reconstruct planned final training episode 206: green pen, red block, pink marker, blue block; start=Home. Match camera, calibration, bowl pose, and object geometry exactly.</x:v>
      </x:c>
      <x:c r="O1124" s="31" t="str">
        <x:v>green pen</x:v>
      </x:c>
      <x:c r="P1124" s="31" t="str"/>
      <x:c r="Q1124" s="31" t="str"/>
      <x:c r="R1124" s="31" t="str"/>
      <x:c r="S1124" s="31" t="str">
        <x:f>IF('Blind Scoring'!I1124="","",'Blind Scoring'!I1124)</x:f>
      </x:c>
      <x:c r="T1124" s="31" t="str">
        <x:f>'Blind Scoring'!J1124</x:f>
        <x:v>No</x:v>
      </x:c>
      <x:c r="U1124" s="31" t="str">
        <x:f>IF('Blind Scoring'!L1124="","",'Blind Scoring'!L1124)</x:f>
      </x:c>
    </x:row>
    <x:row r="1125" ht="44" customHeight="1">
      <x:c r="A1125" s="35" t="str">
        <x:v>Not Started</x:v>
      </x:c>
      <x:c r="B1125" s="35" t="n">
        <x:v>1123</x:v>
      </x:c>
      <x:c r="C1125" s="35" t="str">
        <x:v>P19</x:v>
      </x:c>
      <x:c r="D1125" s="35" t="n">
        <x:v>8</x:v>
      </x:c>
      <x:c r="E1125" s="35" t="str">
        <x:v>Primary VLA</x:v>
      </x:c>
      <x:c r="F1125" s="35" t="str">
        <x:v>MolmoAct2</x:v>
      </x:c>
      <x:c r="G1125" s="35" t="n">
        <x:v>3</x:v>
      </x:c>
      <x:c r="H1125" s="35" t="str">
        <x:v>Relational Placement</x:v>
      </x:c>
      <x:c r="I1125" s="35" t="str">
        <x:v>Main matched control</x:v>
      </x:c>
      <x:c r="J1125" s="35" t="str">
        <x:v>PVLA-RP-CTL-01</x:v>
      </x:c>
      <x:c r="K1125" s="35" t="str">
        <x:v>R-CF01</x:v>
      </x:c>
      <x:c r="L1125" s="31" t="str">
        <x:v>Place the green pen near the red block.</x:v>
      </x:c>
      <x:c r="M1125" s="31" t="str">
        <x:v>Place the green pen near the red block.</x:v>
      </x:c>
      <x:c r="N1125" s="31" t="str">
        <x:v>R-CF01-CTRL: red block at center [REFERENCE]; green pen starts 18 cm behind the reference [TARGET START]; pink marker and blue block are distractors outside the commanded goal sector.</x:v>
      </x:c>
      <x:c r="O1125" s="31" t="str">
        <x:v>green pen near red block</x:v>
      </x:c>
      <x:c r="P1125" s="31" t="str"/>
      <x:c r="Q1125" s="31" t="str"/>
      <x:c r="R1125" s="31" t="str"/>
      <x:c r="S1125" s="31" t="str">
        <x:f>IF('Blind Scoring'!I1125="","",'Blind Scoring'!I1125)</x:f>
      </x:c>
      <x:c r="T1125" s="31" t="str">
        <x:f>'Blind Scoring'!J1125</x:f>
        <x:v>No</x:v>
      </x:c>
      <x:c r="U1125" s="31" t="str">
        <x:f>IF('Blind Scoring'!L1125="","",'Blind Scoring'!L1125)</x:f>
      </x:c>
    </x:row>
    <x:row r="1126" ht="44" customHeight="1">
      <x:c r="A1126" s="35" t="str">
        <x:v>Not Started</x:v>
      </x:c>
      <x:c r="B1126" s="35" t="n">
        <x:v>1124</x:v>
      </x:c>
      <x:c r="C1126" s="35" t="str">
        <x:v>P19</x:v>
      </x:c>
      <x:c r="D1126" s="35" t="n">
        <x:v>9</x:v>
      </x:c>
      <x:c r="E1126" s="35" t="str">
        <x:v>Primary VLA</x:v>
      </x:c>
      <x:c r="F1126" s="35" t="str">
        <x:v>MolmoAct2</x:v>
      </x:c>
      <x:c r="G1126" s="35" t="n">
        <x:v>3</x:v>
      </x:c>
      <x:c r="H1126" s="35" t="str">
        <x:v>Relational Placement</x:v>
      </x:c>
      <x:c r="I1126" s="35" t="str">
        <x:v>Exact-scene paraphrase</x:v>
      </x:c>
      <x:c r="J1126" s="35" t="str">
        <x:v>PVLA-RP-PAR-06</x:v>
      </x:c>
      <x:c r="K1126" s="35" t="str"/>
      <x:c r="L1126" s="31" t="str">
        <x:v>Move the red block to the side of the pink marker facing the robot.</x:v>
      </x:c>
      <x:c r="M1126" s="31" t="str">
        <x:v>Move the red block to the side of the pink marker facing the robot.</x:v>
      </x:c>
      <x:c r="N1126" s="31" t="str">
        <x:v>R-P01: pink marker at center [REFERENCE]; red block starts 21 cm behind the reference [TARGET START]; remaining objects are distractors with ≥12 cm clearance from the target path and commanded goal sector.</x:v>
      </x:c>
      <x:c r="O1126" s="31" t="str">
        <x:v>red block</x:v>
      </x:c>
      <x:c r="P1126" s="31" t="str"/>
      <x:c r="Q1126" s="31" t="str"/>
      <x:c r="R1126" s="31" t="str"/>
      <x:c r="S1126" s="31" t="str">
        <x:f>IF('Blind Scoring'!I1126="","",'Blind Scoring'!I1126)</x:f>
      </x:c>
      <x:c r="T1126" s="31" t="str">
        <x:f>'Blind Scoring'!J1126</x:f>
        <x:v>No</x:v>
      </x:c>
      <x:c r="U1126" s="31" t="str">
        <x:f>IF('Blind Scoring'!L1126="","",'Blind Scoring'!L1126)</x:f>
      </x:c>
    </x:row>
    <x:row r="1127" ht="44" customHeight="1">
      <x:c r="A1127" s="35" t="str">
        <x:v>Not Started</x:v>
      </x:c>
      <x:c r="B1127" s="35" t="n">
        <x:v>1125</x:v>
      </x:c>
      <x:c r="C1127" s="35" t="str">
        <x:v>P19</x:v>
      </x:c>
      <x:c r="D1127" s="35" t="n">
        <x:v>10</x:v>
      </x:c>
      <x:c r="E1127" s="35" t="str">
        <x:v>Primary VLA</x:v>
      </x:c>
      <x:c r="F1127" s="35" t="str">
        <x:v>MolmoAct2</x:v>
      </x:c>
      <x:c r="G1127" s="35" t="n">
        <x:v>3</x:v>
      </x:c>
      <x:c r="H1127" s="35" t="str">
        <x:v>Relational Placement</x:v>
      </x:c>
      <x:c r="I1127" s="35" t="str">
        <x:v>Novel layout + seen language</x:v>
      </x:c>
      <x:c r="J1127" s="35" t="str">
        <x:v>PVLA-RP-NOV-08</x:v>
      </x:c>
      <x:c r="K1127" s="35" t="str"/>
      <x:c r="L1127" s="31" t="str">
        <x:v>Place the red block to the right of the blue block.</x:v>
      </x:c>
      <x:c r="M1127" s="31" t="str">
        <x:v>Place the red block to the right of the blue block.</x:v>
      </x:c>
      <x:c r="N1127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1127" s="31" t="str">
        <x:v>red block</x:v>
      </x:c>
      <x:c r="P1127" s="31" t="str"/>
      <x:c r="Q1127" s="31" t="str"/>
      <x:c r="R1127" s="31" t="str"/>
      <x:c r="S1127" s="31" t="str">
        <x:f>IF('Blind Scoring'!I1127="","",'Blind Scoring'!I1127)</x:f>
      </x:c>
      <x:c r="T1127" s="31" t="str">
        <x:f>'Blind Scoring'!J1127</x:f>
        <x:v>No</x:v>
      </x:c>
      <x:c r="U1127" s="31" t="str">
        <x:f>IF('Blind Scoring'!L1127="","",'Blind Scoring'!L1127)</x:f>
      </x:c>
    </x:row>
    <x:row r="1128" ht="44" customHeight="1">
      <x:c r="A1128" s="35" t="str">
        <x:v>Not Started</x:v>
      </x:c>
      <x:c r="B1128" s="35" t="n">
        <x:v>1126</x:v>
      </x:c>
      <x:c r="C1128" s="35" t="str">
        <x:v>P19</x:v>
      </x:c>
      <x:c r="D1128" s="35" t="n">
        <x:v>11</x:v>
      </x:c>
      <x:c r="E1128" s="35" t="str">
        <x:v>Primary VLA</x:v>
      </x:c>
      <x:c r="F1128" s="35" t="str">
        <x:v>MolmoAct2</x:v>
      </x:c>
      <x:c r="G1128" s="35" t="n">
        <x:v>3</x:v>
      </x:c>
      <x:c r="H1128" s="35" t="str">
        <x:v>Relational Placement</x:v>
      </x:c>
      <x:c r="I1128" s="35" t="str">
        <x:v>Main held-out transfer</x:v>
      </x:c>
      <x:c r="J1128" s="35" t="str">
        <x:v>PVLA-RP-TR-15</x:v>
      </x:c>
      <x:c r="K1128" s="35" t="str">
        <x:v>R-CF28</x:v>
      </x:c>
      <x:c r="L1128" s="31" t="str">
        <x:v>Place the red block in front of the green pen.</x:v>
      </x:c>
      <x:c r="M1128" s="31" t="str">
        <x:v>Place the red block in front of the green pen.</x:v>
      </x:c>
      <x:c r="N1128" s="31" t="str">
        <x:v>R-CF28-HELD: green pen at back-right [REFERENCE]; red block starts 18 cm behind the reference [TARGET START]; blue block and pink marker are distractors outside the commanded goal sector.</x:v>
      </x:c>
      <x:c r="O1128" s="31" t="str">
        <x:v>red block → in front of green pen</x:v>
      </x:c>
      <x:c r="P1128" s="31" t="str"/>
      <x:c r="Q1128" s="31" t="str"/>
      <x:c r="R1128" s="31" t="str"/>
      <x:c r="S1128" s="31" t="str">
        <x:f>IF('Blind Scoring'!I1128="","",'Blind Scoring'!I1128)</x:f>
      </x:c>
      <x:c r="T1128" s="31" t="str">
        <x:f>'Blind Scoring'!J1128</x:f>
        <x:v>No</x:v>
      </x:c>
      <x:c r="U1128" s="31" t="str">
        <x:f>IF('Blind Scoring'!L1128="","",'Blind Scoring'!L1128)</x:f>
      </x:c>
    </x:row>
    <x:row r="1129" ht="44" customHeight="1">
      <x:c r="A1129" s="35" t="str">
        <x:v>Not Started</x:v>
      </x:c>
      <x:c r="B1129" s="35" t="n">
        <x:v>1127</x:v>
      </x:c>
      <x:c r="C1129" s="35" t="str">
        <x:v>P19</x:v>
      </x:c>
      <x:c r="D1129" s="35" t="n">
        <x:v>12</x:v>
      </x:c>
      <x:c r="E1129" s="35" t="str">
        <x:v>Primary VLA</x:v>
      </x:c>
      <x:c r="F1129" s="35" t="str">
        <x:v>MolmoAct2</x:v>
      </x:c>
      <x:c r="G1129" s="35" t="n">
        <x:v>3</x:v>
      </x:c>
      <x:c r="H1129" s="35" t="str">
        <x:v>Relational Placement</x:v>
      </x:c>
      <x:c r="I1129" s="35" t="str">
        <x:v>Main held-out transfer</x:v>
      </x:c>
      <x:c r="J1129" s="35" t="str">
        <x:v>PVLA-RP-TR-03</x:v>
      </x:c>
      <x:c r="K1129" s="35" t="str">
        <x:v>R-CF05</x:v>
      </x:c>
      <x:c r="L1129" s="31" t="str">
        <x:v>Place the green pen to the left of the red block.</x:v>
      </x:c>
      <x:c r="M1129" s="31" t="str">
        <x:v>Place the green pen to the left of the red block.</x:v>
      </x:c>
      <x:c r="N1129" s="31" t="str">
        <x:v>R-CF05-HELD: red block at front-right [REFERENCE]; green pen starts 21 cm to the right of the reference [TARGET START]; pink marker and blue block are distractors outside the commanded goal sector.</x:v>
      </x:c>
      <x:c r="O1129" s="31" t="str">
        <x:v>green pen → to the left of red block</x:v>
      </x:c>
      <x:c r="P1129" s="31" t="str"/>
      <x:c r="Q1129" s="31" t="str"/>
      <x:c r="R1129" s="31" t="str"/>
      <x:c r="S1129" s="31" t="str">
        <x:f>IF('Blind Scoring'!I1129="","",'Blind Scoring'!I1129)</x:f>
      </x:c>
      <x:c r="T1129" s="31" t="str">
        <x:f>'Blind Scoring'!J1129</x:f>
        <x:v>No</x:v>
      </x:c>
      <x:c r="U1129" s="31" t="str">
        <x:f>IF('Blind Scoring'!L1129="","",'Blind Scoring'!L1129)</x:f>
      </x:c>
    </x:row>
    <x:row r="1130" ht="44" customHeight="1">
      <x:c r="A1130" s="35" t="str">
        <x:v>Not Started</x:v>
      </x:c>
      <x:c r="B1130" s="35" t="n">
        <x:v>1128</x:v>
      </x:c>
      <x:c r="C1130" s="35" t="str">
        <x:v>P19</x:v>
      </x:c>
      <x:c r="D1130" s="35" t="n">
        <x:v>13</x:v>
      </x:c>
      <x:c r="E1130" s="35" t="str">
        <x:v>Primary VLA</x:v>
      </x:c>
      <x:c r="F1130" s="35" t="str">
        <x:v>MolmoAct2</x:v>
      </x:c>
      <x:c r="G1130" s="35" t="n">
        <x:v>3</x:v>
      </x:c>
      <x:c r="H1130" s="35" t="str">
        <x:v>Relational Placement</x:v>
      </x:c>
      <x:c r="I1130" s="35" t="str">
        <x:v>Main held-out transfer</x:v>
      </x:c>
      <x:c r="J1130" s="35" t="str">
        <x:v>PVLA-RP-TR-13</x:v>
      </x:c>
      <x:c r="K1130" s="35" t="str">
        <x:v>R-CF24</x:v>
      </x:c>
      <x:c r="L1130" s="31" t="str">
        <x:v>Place the red block to the left of the green pen.</x:v>
      </x:c>
      <x:c r="M1130" s="31" t="str">
        <x:v>Place the red block to the left of the green pen.</x:v>
      </x:c>
      <x:c r="N1130" s="31" t="str">
        <x:v>R-CF24-HELD: green pen at front-left [REFERENCE]; red block starts 24 cm to the right of the reference [TARGET START]; blue block and pink marker are distractors outside the commanded goal sector.</x:v>
      </x:c>
      <x:c r="O1130" s="31" t="str">
        <x:v>red block → to the left of green pen</x:v>
      </x:c>
      <x:c r="P1130" s="31" t="str"/>
      <x:c r="Q1130" s="31" t="str"/>
      <x:c r="R1130" s="31" t="str"/>
      <x:c r="S1130" s="31" t="str">
        <x:f>IF('Blind Scoring'!I1130="","",'Blind Scoring'!I1130)</x:f>
      </x:c>
      <x:c r="T1130" s="31" t="str">
        <x:f>'Blind Scoring'!J1130</x:f>
        <x:v>No</x:v>
      </x:c>
      <x:c r="U1130" s="31" t="str">
        <x:f>IF('Blind Scoring'!L1130="","",'Blind Scoring'!L1130)</x:f>
      </x:c>
    </x:row>
    <x:row r="1131" ht="44" customHeight="1">
      <x:c r="A1131" s="35" t="str">
        <x:v>Not Started</x:v>
      </x:c>
      <x:c r="B1131" s="35" t="n">
        <x:v>1129</x:v>
      </x:c>
      <x:c r="C1131" s="35" t="str">
        <x:v>P19</x:v>
      </x:c>
      <x:c r="D1131" s="35" t="n">
        <x:v>14</x:v>
      </x:c>
      <x:c r="E1131" s="35" t="str">
        <x:v>Primary VLA</x:v>
      </x:c>
      <x:c r="F1131" s="35" t="str">
        <x:v>MolmoAct2</x:v>
      </x:c>
      <x:c r="G1131" s="35" t="n">
        <x:v>3</x:v>
      </x:c>
      <x:c r="H1131" s="35" t="str">
        <x:v>Relational Placement</x:v>
      </x:c>
      <x:c r="I1131" s="35" t="str">
        <x:v>Main held-out transfer</x:v>
      </x:c>
      <x:c r="J1131" s="35" t="str">
        <x:v>PVLA-RP-TR-07</x:v>
      </x:c>
      <x:c r="K1131" s="35" t="str">
        <x:v>R-CF13</x:v>
      </x:c>
      <x:c r="L1131" s="31" t="str">
        <x:v>Place the green pen to the left of the red block.</x:v>
      </x:c>
      <x:c r="M1131" s="31" t="str">
        <x:v>Place the green pen to the left of the red block.</x:v>
      </x:c>
      <x:c r="N1131" s="31" t="str">
        <x:v>R-CF13-HELD: red block at back-right [REFERENCE]; green pen starts 18 cm to the right of the reference [TARGET START]; pink marker and blue block are distractors outside the commanded goal sector.</x:v>
      </x:c>
      <x:c r="O1131" s="31" t="str">
        <x:v>green pen → to the left of red block</x:v>
      </x:c>
      <x:c r="P1131" s="31" t="str"/>
      <x:c r="Q1131" s="31" t="str"/>
      <x:c r="R1131" s="31" t="str"/>
      <x:c r="S1131" s="31" t="str">
        <x:f>IF('Blind Scoring'!I1131="","",'Blind Scoring'!I1131)</x:f>
      </x:c>
      <x:c r="T1131" s="31" t="str">
        <x:f>'Blind Scoring'!J1131</x:f>
        <x:v>No</x:v>
      </x:c>
      <x:c r="U1131" s="31" t="str">
        <x:f>IF('Blind Scoring'!L1131="","",'Blind Scoring'!L1131)</x:f>
      </x:c>
    </x:row>
    <x:row r="1132" ht="44" customHeight="1">
      <x:c r="A1132" s="35" t="str">
        <x:v>Not Started</x:v>
      </x:c>
      <x:c r="B1132" s="35" t="n">
        <x:v>1130</x:v>
      </x:c>
      <x:c r="C1132" s="35" t="str">
        <x:v>P19</x:v>
      </x:c>
      <x:c r="D1132" s="35" t="n">
        <x:v>15</x:v>
      </x:c>
      <x:c r="E1132" s="35" t="str">
        <x:v>Primary VLA</x:v>
      </x:c>
      <x:c r="F1132" s="35" t="str">
        <x:v>MolmoAct2</x:v>
      </x:c>
      <x:c r="G1132" s="35" t="n">
        <x:v>3</x:v>
      </x:c>
      <x:c r="H1132" s="35" t="str">
        <x:v>Relational Placement</x:v>
      </x:c>
      <x:c r="I1132" s="35" t="str">
        <x:v>Training reconstruction</x:v>
      </x:c>
      <x:c r="J1132" s="35" t="str">
        <x:v>PVLA-RP-REC-04</x:v>
      </x:c>
      <x:c r="K1132" s="35" t="str"/>
      <x:c r="L1132" s="31" t="str">
        <x:v>Place the green pen behind the pink marker.</x:v>
      </x:c>
      <x:c r="M1132" s="31" t="str">
        <x:v>Place the green pen behind the pink marker.</x:v>
      </x:c>
      <x:c r="N1132" s="31" t="str">
        <x:v>Reconstruct planned final training episode 219: green pen, red block, pink marker, blue block; start=Home. Match camera, calibration, bowl pose, and object geometry exactly.</x:v>
      </x:c>
      <x:c r="O1132" s="31" t="str">
        <x:v>green pen</x:v>
      </x:c>
      <x:c r="P1132" s="31" t="str"/>
      <x:c r="Q1132" s="31" t="str"/>
      <x:c r="R1132" s="31" t="str"/>
      <x:c r="S1132" s="31" t="str">
        <x:f>IF('Blind Scoring'!I1132="","",'Blind Scoring'!I1132)</x:f>
      </x:c>
      <x:c r="T1132" s="31" t="str">
        <x:f>'Blind Scoring'!J1132</x:f>
        <x:v>No</x:v>
      </x:c>
      <x:c r="U1132" s="31" t="str">
        <x:f>IF('Blind Scoring'!L1132="","",'Blind Scoring'!L1132)</x:f>
      </x:c>
    </x:row>
    <x:row r="1133" ht="44" customHeight="1">
      <x:c r="A1133" s="35" t="str">
        <x:v>Not Started</x:v>
      </x:c>
      <x:c r="B1133" s="35" t="n">
        <x:v>1131</x:v>
      </x:c>
      <x:c r="C1133" s="35" t="str">
        <x:v>P19</x:v>
      </x:c>
      <x:c r="D1133" s="35" t="n">
        <x:v>16</x:v>
      </x:c>
      <x:c r="E1133" s="35" t="str">
        <x:v>Primary VLA</x:v>
      </x:c>
      <x:c r="F1133" s="35" t="str">
        <x:v>MolmoAct2</x:v>
      </x:c>
      <x:c r="G1133" s="35" t="n">
        <x:v>3</x:v>
      </x:c>
      <x:c r="H1133" s="35" t="str">
        <x:v>Relational Placement</x:v>
      </x:c>
      <x:c r="I1133" s="35" t="str">
        <x:v>Main matched control</x:v>
      </x:c>
      <x:c r="J1133" s="35" t="str">
        <x:v>PVLA-RP-CTL-04</x:v>
      </x:c>
      <x:c r="K1133" s="35" t="str">
        <x:v>R-CF07</x:v>
      </x:c>
      <x:c r="L1133" s="31" t="str">
        <x:v>Place the green pen near the red block.</x:v>
      </x:c>
      <x:c r="M1133" s="31" t="str">
        <x:v>Place the green pen near the red block.</x:v>
      </x:c>
      <x:c r="N1133" s="31" t="str">
        <x:v>R-CF07-CTRL: red block at back-left [REFERENCE]; green pen starts 18 cm in front of the reference [TARGET START]; pink marker and blue block are distractors outside the commanded goal sector.</x:v>
      </x:c>
      <x:c r="O1133" s="31" t="str">
        <x:v>green pen near red block</x:v>
      </x:c>
      <x:c r="P1133" s="31" t="str"/>
      <x:c r="Q1133" s="31" t="str"/>
      <x:c r="R1133" s="31" t="str"/>
      <x:c r="S1133" s="31" t="str">
        <x:f>IF('Blind Scoring'!I1133="","",'Blind Scoring'!I1133)</x:f>
      </x:c>
      <x:c r="T1133" s="31" t="str">
        <x:f>'Blind Scoring'!J1133</x:f>
        <x:v>No</x:v>
      </x:c>
      <x:c r="U1133" s="31" t="str">
        <x:f>IF('Blind Scoring'!L1133="","",'Blind Scoring'!L1133)</x:f>
      </x:c>
    </x:row>
    <x:row r="1134" ht="44" customHeight="1">
      <x:c r="A1134" s="35" t="str">
        <x:v>Not Started</x:v>
      </x:c>
      <x:c r="B1134" s="35" t="n">
        <x:v>1132</x:v>
      </x:c>
      <x:c r="C1134" s="35" t="str">
        <x:v>P19</x:v>
      </x:c>
      <x:c r="D1134" s="35" t="n">
        <x:v>17</x:v>
      </x:c>
      <x:c r="E1134" s="35" t="str">
        <x:v>Primary VLA</x:v>
      </x:c>
      <x:c r="F1134" s="35" t="str">
        <x:v>MolmoAct2</x:v>
      </x:c>
      <x:c r="G1134" s="35" t="n">
        <x:v>3</x:v>
      </x:c>
      <x:c r="H1134" s="35" t="str">
        <x:v>Relational Placement</x:v>
      </x:c>
      <x:c r="I1134" s="35" t="str">
        <x:v>Novel layout + seen language</x:v>
      </x:c>
      <x:c r="J1134" s="35" t="str">
        <x:v>PVLA-RP-NOV-01</x:v>
      </x:c>
      <x:c r="K1134" s="35" t="str"/>
      <x:c r="L1134" s="31" t="str">
        <x:v>Place the blue block in front of the green pen.</x:v>
      </x:c>
      <x:c r="M1134" s="31" t="str">
        <x:v>Place the blue block in front of the green pen.</x:v>
      </x:c>
      <x:c r="N1134" s="31" t="str">
        <x:v>R-S01: green pen at center [REFERENCE]; blue block starts 24 cm behind the reference [TARGET START]; remaining objects are distractors with ≥12 cm clearance from the target path and commanded goal sector.</x:v>
      </x:c>
      <x:c r="O1134" s="31" t="str">
        <x:v>blue block</x:v>
      </x:c>
      <x:c r="P1134" s="31" t="str"/>
      <x:c r="Q1134" s="31" t="str"/>
      <x:c r="R1134" s="31" t="str"/>
      <x:c r="S1134" s="31" t="str">
        <x:f>IF('Blind Scoring'!I1134="","",'Blind Scoring'!I1134)</x:f>
      </x:c>
      <x:c r="T1134" s="31" t="str">
        <x:f>'Blind Scoring'!J1134</x:f>
        <x:v>No</x:v>
      </x:c>
      <x:c r="U1134" s="31" t="str">
        <x:f>IF('Blind Scoring'!L1134="","",'Blind Scoring'!L1134)</x:f>
      </x:c>
    </x:row>
    <x:row r="1135" ht="44" customHeight="1">
      <x:c r="A1135" s="35" t="str">
        <x:v>Not Started</x:v>
      </x:c>
      <x:c r="B1135" s="35" t="n">
        <x:v>1133</x:v>
      </x:c>
      <x:c r="C1135" s="35" t="str">
        <x:v>P19</x:v>
      </x:c>
      <x:c r="D1135" s="35" t="n">
        <x:v>18</x:v>
      </x:c>
      <x:c r="E1135" s="35" t="str">
        <x:v>Primary VLA</x:v>
      </x:c>
      <x:c r="F1135" s="35" t="str">
        <x:v>MolmoAct2</x:v>
      </x:c>
      <x:c r="G1135" s="35" t="n">
        <x:v>3</x:v>
      </x:c>
      <x:c r="H1135" s="35" t="str">
        <x:v>Relational Placement</x:v>
      </x:c>
      <x:c r="I1135" s="35" t="str">
        <x:v>Language ablation — counterfactual</x:v>
      </x:c>
      <x:c r="J1135" s="35" t="str">
        <x:v>PVLA-RP-ABL-CF-01</x:v>
      </x:c>
      <x:c r="K1135" s="35" t="str">
        <x:v>R-CF09</x:v>
      </x:c>
      <x:c r="L1135" s="31" t="str">
        <x:v>Place the green pen behind the red block.</x:v>
      </x:c>
      <x:c r="M1135" s="31" t="str">
        <x:v>Place the green pen behind the red block.</x:v>
      </x:c>
      <x:c r="N1135" s="31" t="str">
        <x:v>R-CF09-HELD: red block at front-left [REFERENCE]; green pen starts 24 cm behind the reference [TARGET START]; pink marker and blue block are distractors outside the commanded goal sector.</x:v>
      </x:c>
      <x:c r="O1135" s="31" t="str">
        <x:v>green pen → behind red block</x:v>
      </x:c>
      <x:c r="P1135" s="31" t="str"/>
      <x:c r="Q1135" s="31" t="str"/>
      <x:c r="R1135" s="31" t="str"/>
      <x:c r="S1135" s="31" t="str">
        <x:f>IF('Blind Scoring'!I1135="","",'Blind Scoring'!I1135)</x:f>
      </x:c>
      <x:c r="T1135" s="31" t="str">
        <x:f>'Blind Scoring'!J1135</x:f>
        <x:v>No</x:v>
      </x:c>
      <x:c r="U1135" s="31" t="str">
        <x:f>IF('Blind Scoring'!L1135="","",'Blind Scoring'!L1135)</x:f>
      </x:c>
    </x:row>
    <x:row r="1136" ht="44" customHeight="1">
      <x:c r="A1136" s="35" t="str">
        <x:v>Not Started</x:v>
      </x:c>
      <x:c r="B1136" s="35" t="n">
        <x:v>1134</x:v>
      </x:c>
      <x:c r="C1136" s="35" t="str">
        <x:v>P19</x:v>
      </x:c>
      <x:c r="D1136" s="35" t="n">
        <x:v>19</x:v>
      </x:c>
      <x:c r="E1136" s="35" t="str">
        <x:v>Primary VLA</x:v>
      </x:c>
      <x:c r="F1136" s="35" t="str">
        <x:v>MolmoAct2</x:v>
      </x:c>
      <x:c r="G1136" s="35" t="n">
        <x:v>3</x:v>
      </x:c>
      <x:c r="H1136" s="35" t="str">
        <x:v>Relational Placement</x:v>
      </x:c>
      <x:c r="I1136" s="35" t="str">
        <x:v>Exact-scene paraphrase</x:v>
      </x:c>
      <x:c r="J1136" s="35" t="str">
        <x:v>PVLA-RP-PAR-01</x:v>
      </x:c>
      <x:c r="K1136" s="35" t="str"/>
      <x:c r="L1136" s="31" t="str">
        <x:v>Move the red block to the side of the pink marker facing the robot.</x:v>
      </x:c>
      <x:c r="M1136" s="31" t="str">
        <x:v>Move the red block to the side of the pink marker facing the robot.</x:v>
      </x:c>
      <x:c r="N1136" s="31" t="str">
        <x:v>R-P01: pink marker at center [REFERENCE]; red block starts 21 cm behind the reference [TARGET START]; remaining objects are distractors with ≥12 cm clearance from the target path and commanded goal sector.</x:v>
      </x:c>
      <x:c r="O1136" s="31" t="str">
        <x:v>red block</x:v>
      </x:c>
      <x:c r="P1136" s="31" t="str"/>
      <x:c r="Q1136" s="31" t="str"/>
      <x:c r="R1136" s="31" t="str"/>
      <x:c r="S1136" s="31" t="str">
        <x:f>IF('Blind Scoring'!I1136="","",'Blind Scoring'!I1136)</x:f>
      </x:c>
      <x:c r="T1136" s="31" t="str">
        <x:f>'Blind Scoring'!J1136</x:f>
        <x:v>No</x:v>
      </x:c>
      <x:c r="U1136" s="31" t="str">
        <x:f>IF('Blind Scoring'!L1136="","",'Blind Scoring'!L1136)</x:f>
      </x:c>
    </x:row>
    <x:row r="1137" ht="44" customHeight="1">
      <x:c r="A1137" s="35" t="str">
        <x:v>Not Started</x:v>
      </x:c>
      <x:c r="B1137" s="35" t="n">
        <x:v>1135</x:v>
      </x:c>
      <x:c r="C1137" s="35" t="str">
        <x:v>P19</x:v>
      </x:c>
      <x:c r="D1137" s="35" t="n">
        <x:v>20</x:v>
      </x:c>
      <x:c r="E1137" s="35" t="str">
        <x:v>Primary VLA</x:v>
      </x:c>
      <x:c r="F1137" s="35" t="str">
        <x:v>MolmoAct2</x:v>
      </x:c>
      <x:c r="G1137" s="35" t="n">
        <x:v>3</x:v>
      </x:c>
      <x:c r="H1137" s="35" t="str">
        <x:v>Relational Placement</x:v>
      </x:c>
      <x:c r="I1137" s="35" t="str">
        <x:v>Language ablation — blank</x:v>
      </x:c>
      <x:c r="J1137" s="35" t="str">
        <x:v>PVLA-RP-ABL-BLK-04</x:v>
      </x:c>
      <x:c r="K1137" s="35" t="str">
        <x:v>R-CF07</x:v>
      </x:c>
      <x:c r="L1137" s="31" t="str">
        <x:v>[EMPTY STRING — provide no instruction tokens]</x:v>
      </x:c>
      <x:c r="M1137" s="31" t="str">
        <x:v>Place the green pen behind the red block.</x:v>
      </x:c>
      <x:c r="N1137" s="31" t="str">
        <x:v>R-CF07-HELD: red block at back-left [REFERENCE]; green pen starts 18 cm in front of the reference [TARGET START]; pink marker and blue block are distractors outside the commanded goal sector.</x:v>
      </x:c>
      <x:c r="O1137" s="31" t="str">
        <x:v>No prespecified task success under blank language; record any action/selected target.</x:v>
      </x:c>
      <x:c r="P1137" s="31" t="str"/>
      <x:c r="Q1137" s="31" t="str"/>
      <x:c r="R1137" s="31" t="str"/>
      <x:c r="S1137" s="31" t="str">
        <x:f>IF('Blind Scoring'!I1137="","",'Blind Scoring'!I1137)</x:f>
      </x:c>
      <x:c r="T1137" s="31" t="str">
        <x:f>'Blind Scoring'!J1137</x:f>
        <x:v>No</x:v>
      </x:c>
      <x:c r="U1137" s="31" t="str">
        <x:f>IF('Blind Scoring'!L1137="","",'Blind Scoring'!L1137)</x:f>
      </x:c>
    </x:row>
    <x:row r="1138" ht="44" customHeight="1">
      <x:c r="A1138" s="35" t="str">
        <x:v>Not Started</x:v>
      </x:c>
      <x:c r="B1138" s="35" t="n">
        <x:v>1136</x:v>
      </x:c>
      <x:c r="C1138" s="35" t="str">
        <x:v>P19</x:v>
      </x:c>
      <x:c r="D1138" s="35" t="n">
        <x:v>21</x:v>
      </x:c>
      <x:c r="E1138" s="35" t="str">
        <x:v>Primary VLA</x:v>
      </x:c>
      <x:c r="F1138" s="35" t="str">
        <x:v>MolmoAct2</x:v>
      </x:c>
      <x:c r="G1138" s="35" t="n">
        <x:v>3</x:v>
      </x:c>
      <x:c r="H1138" s="35" t="str">
        <x:v>Relational Placement</x:v>
      </x:c>
      <x:c r="I1138" s="35" t="str">
        <x:v>Main held-out transfer</x:v>
      </x:c>
      <x:c r="J1138" s="35" t="str">
        <x:v>PVLA-RP-TR-10</x:v>
      </x:c>
      <x:c r="K1138" s="35" t="str">
        <x:v>R-CF18</x:v>
      </x:c>
      <x:c r="L1138" s="31" t="str">
        <x:v>Place the red block behind the green pen.</x:v>
      </x:c>
      <x:c r="M1138" s="31" t="str">
        <x:v>Place the red block behind the green pen.</x:v>
      </x:c>
      <x:c r="N1138" s="31" t="str">
        <x:v>R-CF18-HELD: green pen at back-right [REFERENCE]; red block starts 24 cm in front of the reference [TARGET START]; blue block and pink marker are distractors outside the commanded goal sector.</x:v>
      </x:c>
      <x:c r="O1138" s="31" t="str">
        <x:v>red block → behind green pen</x:v>
      </x:c>
      <x:c r="P1138" s="31" t="str"/>
      <x:c r="Q1138" s="31" t="str"/>
      <x:c r="R1138" s="31" t="str"/>
      <x:c r="S1138" s="31" t="str">
        <x:f>IF('Blind Scoring'!I1138="","",'Blind Scoring'!I1138)</x:f>
      </x:c>
      <x:c r="T1138" s="31" t="str">
        <x:f>'Blind Scoring'!J1138</x:f>
        <x:v>No</x:v>
      </x:c>
      <x:c r="U1138" s="31" t="str">
        <x:f>IF('Blind Scoring'!L1138="","",'Blind Scoring'!L1138)</x:f>
      </x:c>
    </x:row>
    <x:row r="1139" ht="44" customHeight="1">
      <x:c r="A1139" s="35" t="str">
        <x:v>Not Started</x:v>
      </x:c>
      <x:c r="B1139" s="35" t="n">
        <x:v>1137</x:v>
      </x:c>
      <x:c r="C1139" s="35" t="str">
        <x:v>P19</x:v>
      </x:c>
      <x:c r="D1139" s="35" t="n">
        <x:v>22</x:v>
      </x:c>
      <x:c r="E1139" s="35" t="str">
        <x:v>Primary VLA</x:v>
      </x:c>
      <x:c r="F1139" s="35" t="str">
        <x:v>MolmoAct2</x:v>
      </x:c>
      <x:c r="G1139" s="35" t="n">
        <x:v>3</x:v>
      </x:c>
      <x:c r="H1139" s="35" t="str">
        <x:v>Relational Placement</x:v>
      </x:c>
      <x:c r="I1139" s="35" t="str">
        <x:v>Novel layout + seen language</x:v>
      </x:c>
      <x:c r="J1139" s="35" t="str">
        <x:v>PVLA-RP-NOV-07</x:v>
      </x:c>
      <x:c r="K1139" s="35" t="str"/>
      <x:c r="L1139" s="31" t="str">
        <x:v>Place the pink marker in front of the blue block.</x:v>
      </x:c>
      <x:c r="M1139" s="31" t="str">
        <x:v>Place the pink marker in front of the blue block.</x:v>
      </x:c>
      <x:c r="N1139" s="31" t="str">
        <x:v>R-S17: blue block at center [REFERENCE]; pink marker starts 18 cm behind the reference [TARGET START]; remaining objects are distractors with ≥12 cm clearance from the target path and commanded goal sector.</x:v>
      </x:c>
      <x:c r="O1139" s="31" t="str">
        <x:v>pink marker</x:v>
      </x:c>
      <x:c r="P1139" s="31" t="str"/>
      <x:c r="Q1139" s="31" t="str"/>
      <x:c r="R1139" s="31" t="str"/>
      <x:c r="S1139" s="31" t="str">
        <x:f>IF('Blind Scoring'!I1139="","",'Blind Scoring'!I1139)</x:f>
      </x:c>
      <x:c r="T1139" s="31" t="str">
        <x:f>'Blind Scoring'!J1139</x:f>
        <x:v>No</x:v>
      </x:c>
      <x:c r="U1139" s="31" t="str">
        <x:f>IF('Blind Scoring'!L1139="","",'Blind Scoring'!L1139)</x:f>
      </x:c>
    </x:row>
    <x:row r="1140" ht="44" customHeight="1">
      <x:c r="A1140" s="35" t="str">
        <x:v>Not Started</x:v>
      </x:c>
      <x:c r="B1140" s="35" t="n">
        <x:v>1138</x:v>
      </x:c>
      <x:c r="C1140" s="35" t="str">
        <x:v>P19</x:v>
      </x:c>
      <x:c r="D1140" s="35" t="n">
        <x:v>23</x:v>
      </x:c>
      <x:c r="E1140" s="35" t="str">
        <x:v>Primary VLA</x:v>
      </x:c>
      <x:c r="F1140" s="35" t="str">
        <x:v>MolmoAct2</x:v>
      </x:c>
      <x:c r="G1140" s="35" t="n">
        <x:v>3</x:v>
      </x:c>
      <x:c r="H1140" s="35" t="str">
        <x:v>Relational Placement</x:v>
      </x:c>
      <x:c r="I1140" s="35" t="str">
        <x:v>Main held-out transfer</x:v>
      </x:c>
      <x:c r="J1140" s="35" t="str">
        <x:v>PVLA-RP-TR-11</x:v>
      </x:c>
      <x:c r="K1140" s="35" t="str">
        <x:v>R-CF20</x:v>
      </x:c>
      <x:c r="L1140" s="31" t="str">
        <x:v>Place the red block in front of the green pen.</x:v>
      </x:c>
      <x:c r="M1140" s="31" t="str">
        <x:v>Place the red block in front of the green pen.</x:v>
      </x:c>
      <x:c r="N1140" s="31" t="str">
        <x:v>R-CF20-HELD: green pen at front-right [REFERENCE]; red block starts 21 cm behind the reference [TARGET START]; blue block and pink marker are distractors outside the commanded goal sector.</x:v>
      </x:c>
      <x:c r="O1140" s="31" t="str">
        <x:v>red block → in front of green pen</x:v>
      </x:c>
      <x:c r="P1140" s="31" t="str"/>
      <x:c r="Q1140" s="31" t="str"/>
      <x:c r="R1140" s="31" t="str"/>
      <x:c r="S1140" s="31" t="str">
        <x:f>IF('Blind Scoring'!I1140="","",'Blind Scoring'!I1140)</x:f>
      </x:c>
      <x:c r="T1140" s="31" t="str">
        <x:f>'Blind Scoring'!J1140</x:f>
        <x:v>No</x:v>
      </x:c>
      <x:c r="U1140" s="31" t="str">
        <x:f>IF('Blind Scoring'!L1140="","",'Blind Scoring'!L1140)</x:f>
      </x:c>
    </x:row>
    <x:row r="1141" ht="44" customHeight="1">
      <x:c r="A1141" s="35" t="str">
        <x:v>Not Started</x:v>
      </x:c>
      <x:c r="B1141" s="35" t="n">
        <x:v>1139</x:v>
      </x:c>
      <x:c r="C1141" s="35" t="str">
        <x:v>P19</x:v>
      </x:c>
      <x:c r="D1141" s="35" t="n">
        <x:v>24</x:v>
      </x:c>
      <x:c r="E1141" s="35" t="str">
        <x:v>Primary VLA</x:v>
      </x:c>
      <x:c r="F1141" s="35" t="str">
        <x:v>MolmoAct2</x:v>
      </x:c>
      <x:c r="G1141" s="35" t="n">
        <x:v>3</x:v>
      </x:c>
      <x:c r="H1141" s="35" t="str">
        <x:v>Relational Placement</x:v>
      </x:c>
      <x:c r="I1141" s="35" t="str">
        <x:v>Training reconstruction</x:v>
      </x:c>
      <x:c r="J1141" s="35" t="str">
        <x:v>PVLA-RP-REC-01</x:v>
      </x:c>
      <x:c r="K1141" s="35" t="str"/>
      <x:c r="L1141" s="31" t="str">
        <x:v>Move the green pen to the front of the pink marker.</x:v>
      </x:c>
      <x:c r="M1141" s="31" t="str">
        <x:v>Move the green pen to the front of the pink marker.</x:v>
      </x:c>
      <x:c r="N1141" s="31" t="str">
        <x:v>Reconstruct planned final training episode 204: green pen, pink marker; start=Home. Match camera, calibration, bowl pose, and object geometry exactly.</x:v>
      </x:c>
      <x:c r="O1141" s="31" t="str">
        <x:v>green pen</x:v>
      </x:c>
      <x:c r="P1141" s="31" t="str"/>
      <x:c r="Q1141" s="31" t="str"/>
      <x:c r="R1141" s="31" t="str"/>
      <x:c r="S1141" s="31" t="str">
        <x:f>IF('Blind Scoring'!I1141="","",'Blind Scoring'!I1141)</x:f>
      </x:c>
      <x:c r="T1141" s="31" t="str">
        <x:f>'Blind Scoring'!J1141</x:f>
        <x:v>No</x:v>
      </x:c>
      <x:c r="U1141" s="31" t="str">
        <x:f>IF('Blind Scoring'!L1141="","",'Blind Scoring'!L1141)</x:f>
      </x:c>
    </x:row>
    <x:row r="1142" ht="44" customHeight="1">
      <x:c r="A1142" s="35" t="str">
        <x:v>Not Started</x:v>
      </x:c>
      <x:c r="B1142" s="35" t="n">
        <x:v>1140</x:v>
      </x:c>
      <x:c r="C1142" s="35" t="str">
        <x:v>P19</x:v>
      </x:c>
      <x:c r="D1142" s="35" t="n">
        <x:v>25</x:v>
      </x:c>
      <x:c r="E1142" s="35" t="str">
        <x:v>Primary VLA</x:v>
      </x:c>
      <x:c r="F1142" s="35" t="str">
        <x:v>MolmoAct2</x:v>
      </x:c>
      <x:c r="G1142" s="35" t="n">
        <x:v>3</x:v>
      </x:c>
      <x:c r="H1142" s="35" t="str">
        <x:v>Relational Placement</x:v>
      </x:c>
      <x:c r="I1142" s="35" t="str">
        <x:v>Main matched control</x:v>
      </x:c>
      <x:c r="J1142" s="35" t="str">
        <x:v>PVLA-RP-CTL-16</x:v>
      </x:c>
      <x:c r="K1142" s="35" t="str">
        <x:v>R-CF30</x:v>
      </x:c>
      <x:c r="L1142" s="31" t="str">
        <x:v>Place the red block beside the green pen.</x:v>
      </x:c>
      <x:c r="M1142" s="31" t="str">
        <x:v>Place the red block beside the green pen.</x:v>
      </x:c>
      <x:c r="N1142" s="31" t="str">
        <x:v>R-CF30-CTRL: green pen at front-right [REFERENCE]; red block starts 24 cm to the left of the reference [TARGET START]; blue block and pink marker are distractors outside the commanded goal sector.</x:v>
      </x:c>
      <x:c r="O1142" s="31" t="str">
        <x:v>red block near green pen</x:v>
      </x:c>
      <x:c r="P1142" s="31" t="str"/>
      <x:c r="Q1142" s="31" t="str"/>
      <x:c r="R1142" s="31" t="str"/>
      <x:c r="S1142" s="31" t="str">
        <x:f>IF('Blind Scoring'!I1142="","",'Blind Scoring'!I1142)</x:f>
      </x:c>
      <x:c r="T1142" s="31" t="str">
        <x:f>'Blind Scoring'!J1142</x:f>
        <x:v>No</x:v>
      </x:c>
      <x:c r="U1142" s="31" t="str">
        <x:f>IF('Blind Scoring'!L1142="","",'Blind Scoring'!L1142)</x:f>
      </x:c>
    </x:row>
    <x:row r="1143" ht="44" customHeight="1">
      <x:c r="A1143" s="35" t="str">
        <x:v>Not Started</x:v>
      </x:c>
      <x:c r="B1143" s="35" t="n">
        <x:v>1141</x:v>
      </x:c>
      <x:c r="C1143" s="35" t="str">
        <x:v>P19</x:v>
      </x:c>
      <x:c r="D1143" s="35" t="n">
        <x:v>26</x:v>
      </x:c>
      <x:c r="E1143" s="35" t="str">
        <x:v>Primary VLA</x:v>
      </x:c>
      <x:c r="F1143" s="35" t="str">
        <x:v>MolmoAct2</x:v>
      </x:c>
      <x:c r="G1143" s="35" t="n">
        <x:v>3</x:v>
      </x:c>
      <x:c r="H1143" s="35" t="str">
        <x:v>Relational Placement</x:v>
      </x:c>
      <x:c r="I1143" s="35" t="str">
        <x:v>Main matched control</x:v>
      </x:c>
      <x:c r="J1143" s="35" t="str">
        <x:v>PVLA-RP-CTL-03</x:v>
      </x:c>
      <x:c r="K1143" s="35" t="str">
        <x:v>R-CF05</x:v>
      </x:c>
      <x:c r="L1143" s="31" t="str">
        <x:v>Place the green pen next to the red block.</x:v>
      </x:c>
      <x:c r="M1143" s="31" t="str">
        <x:v>Place the green pen next to the red block.</x:v>
      </x:c>
      <x:c r="N1143" s="31" t="str">
        <x:v>R-CF05-CTRL: red block at front-right [REFERENCE]; green pen starts 21 cm to the right of the reference [TARGET START]; pink marker and blue block are distractors outside the commanded goal sector.</x:v>
      </x:c>
      <x:c r="O1143" s="31" t="str">
        <x:v>green pen near red block</x:v>
      </x:c>
      <x:c r="P1143" s="31" t="str"/>
      <x:c r="Q1143" s="31" t="str"/>
      <x:c r="R1143" s="31" t="str"/>
      <x:c r="S1143" s="31" t="str">
        <x:f>IF('Blind Scoring'!I1143="","",'Blind Scoring'!I1143)</x:f>
      </x:c>
      <x:c r="T1143" s="31" t="str">
        <x:f>'Blind Scoring'!J1143</x:f>
        <x:v>No</x:v>
      </x:c>
      <x:c r="U1143" s="31" t="str">
        <x:f>IF('Blind Scoring'!L1143="","",'Blind Scoring'!L1143)</x:f>
      </x:c>
    </x:row>
    <x:row r="1144" ht="44" customHeight="1">
      <x:c r="A1144" s="35" t="str">
        <x:v>Not Started</x:v>
      </x:c>
      <x:c r="B1144" s="35" t="n">
        <x:v>1142</x:v>
      </x:c>
      <x:c r="C1144" s="35" t="str">
        <x:v>P19</x:v>
      </x:c>
      <x:c r="D1144" s="35" t="n">
        <x:v>27</x:v>
      </x:c>
      <x:c r="E1144" s="35" t="str">
        <x:v>Primary VLA</x:v>
      </x:c>
      <x:c r="F1144" s="35" t="str">
        <x:v>MolmoAct2</x:v>
      </x:c>
      <x:c r="G1144" s="35" t="n">
        <x:v>3</x:v>
      </x:c>
      <x:c r="H1144" s="35" t="str">
        <x:v>Relational Placement</x:v>
      </x:c>
      <x:c r="I1144" s="35" t="str">
        <x:v>Main held-out transfer</x:v>
      </x:c>
      <x:c r="J1144" s="35" t="str">
        <x:v>PVLA-RP-TR-01</x:v>
      </x:c>
      <x:c r="K1144" s="35" t="str">
        <x:v>R-CF01</x:v>
      </x:c>
      <x:c r="L1144" s="31" t="str">
        <x:v>Place the green pen in front of the red block.</x:v>
      </x:c>
      <x:c r="M1144" s="31" t="str">
        <x:v>Place the green pen in front of the red block.</x:v>
      </x:c>
      <x:c r="N1144" s="31" t="str">
        <x:v>R-CF01-HELD: red block at center [REFERENCE]; green pen starts 18 cm behind the reference [TARGET START]; pink marker and blue block are distractors outside the commanded goal sector.</x:v>
      </x:c>
      <x:c r="O1144" s="31" t="str">
        <x:v>green pen → in front of red block</x:v>
      </x:c>
      <x:c r="P1144" s="31" t="str"/>
      <x:c r="Q1144" s="31" t="str"/>
      <x:c r="R1144" s="31" t="str"/>
      <x:c r="S1144" s="31" t="str">
        <x:f>IF('Blind Scoring'!I1144="","",'Blind Scoring'!I1144)</x:f>
      </x:c>
      <x:c r="T1144" s="31" t="str">
        <x:f>'Blind Scoring'!J1144</x:f>
        <x:v>No</x:v>
      </x:c>
      <x:c r="U1144" s="31" t="str">
        <x:f>IF('Blind Scoring'!L1144="","",'Blind Scoring'!L1144)</x:f>
      </x:c>
    </x:row>
    <x:row r="1145" ht="44" customHeight="1">
      <x:c r="A1145" s="35" t="str">
        <x:v>Not Started</x:v>
      </x:c>
      <x:c r="B1145" s="35" t="n">
        <x:v>1143</x:v>
      </x:c>
      <x:c r="C1145" s="35" t="str">
        <x:v>P19</x:v>
      </x:c>
      <x:c r="D1145" s="35" t="n">
        <x:v>28</x:v>
      </x:c>
      <x:c r="E1145" s="35" t="str">
        <x:v>Primary VLA</x:v>
      </x:c>
      <x:c r="F1145" s="35" t="str">
        <x:v>MolmoAct2</x:v>
      </x:c>
      <x:c r="G1145" s="35" t="n">
        <x:v>3</x:v>
      </x:c>
      <x:c r="H1145" s="35" t="str">
        <x:v>Relational Placement</x:v>
      </x:c>
      <x:c r="I1145" s="35" t="str">
        <x:v>Language ablation — blank</x:v>
      </x:c>
      <x:c r="J1145" s="35" t="str">
        <x:v>PVLA-RP-ABL-BLK-01</x:v>
      </x:c>
      <x:c r="K1145" s="35" t="str">
        <x:v>R-CF01</x:v>
      </x:c>
      <x:c r="L1145" s="31" t="str">
        <x:v>[EMPTY STRING — provide no instruction tokens]</x:v>
      </x:c>
      <x:c r="M1145" s="31" t="str">
        <x:v>Place the green pen in front of the red block.</x:v>
      </x:c>
      <x:c r="N1145" s="31" t="str">
        <x:v>R-CF01-HELD: red block at center [REFERENCE]; green pen starts 18 cm behind the reference [TARGET START]; pink marker and blue block are distractors outside the commanded goal sector.</x:v>
      </x:c>
      <x:c r="O1145" s="31" t="str">
        <x:v>No prespecified task success under blank language; record any action/selected target.</x:v>
      </x:c>
      <x:c r="P1145" s="31" t="str"/>
      <x:c r="Q1145" s="31" t="str"/>
      <x:c r="R1145" s="31" t="str"/>
      <x:c r="S1145" s="31" t="str">
        <x:f>IF('Blind Scoring'!I1145="","",'Blind Scoring'!I1145)</x:f>
      </x:c>
      <x:c r="T1145" s="31" t="str">
        <x:f>'Blind Scoring'!J1145</x:f>
        <x:v>No</x:v>
      </x:c>
      <x:c r="U1145" s="31" t="str">
        <x:f>IF('Blind Scoring'!L1145="","",'Blind Scoring'!L1145)</x:f>
      </x:c>
    </x:row>
    <x:row r="1146" ht="44" customHeight="1">
      <x:c r="A1146" s="35" t="str">
        <x:v>Not Started</x:v>
      </x:c>
      <x:c r="B1146" s="35" t="n">
        <x:v>1144</x:v>
      </x:c>
      <x:c r="C1146" s="35" t="str">
        <x:v>P19</x:v>
      </x:c>
      <x:c r="D1146" s="35" t="n">
        <x:v>29</x:v>
      </x:c>
      <x:c r="E1146" s="35" t="str">
        <x:v>Primary VLA</x:v>
      </x:c>
      <x:c r="F1146" s="35" t="str">
        <x:v>MolmoAct2</x:v>
      </x:c>
      <x:c r="G1146" s="35" t="n">
        <x:v>3</x:v>
      </x:c>
      <x:c r="H1146" s="35" t="str">
        <x:v>Relational Placement</x:v>
      </x:c>
      <x:c r="I1146" s="35" t="str">
        <x:v>Exact-scene paraphrase</x:v>
      </x:c>
      <x:c r="J1146" s="35" t="str">
        <x:v>PVLA-RP-PAR-04</x:v>
      </x:c>
      <x:c r="K1146" s="35" t="str"/>
      <x:c r="L1146" s="31" t="str">
        <x:v>Move the red block to the side of the pink marker facing the robot.</x:v>
      </x:c>
      <x:c r="M1146" s="31" t="str">
        <x:v>Move the red block to the side of the pink marker facing the robot.</x:v>
      </x:c>
      <x:c r="N1146" s="31" t="str">
        <x:v>R-P01: pink marker at center [REFERENCE]; red block starts 21 cm behind the reference [TARGET START]; remaining objects are distractors with ≥12 cm clearance from the target path and commanded goal sector.</x:v>
      </x:c>
      <x:c r="O1146" s="31" t="str">
        <x:v>red block</x:v>
      </x:c>
      <x:c r="P1146" s="31" t="str"/>
      <x:c r="Q1146" s="31" t="str"/>
      <x:c r="R1146" s="31" t="str"/>
      <x:c r="S1146" s="31" t="str">
        <x:f>IF('Blind Scoring'!I1146="","",'Blind Scoring'!I1146)</x:f>
      </x:c>
      <x:c r="T1146" s="31" t="str">
        <x:f>'Blind Scoring'!J1146</x:f>
        <x:v>No</x:v>
      </x:c>
      <x:c r="U1146" s="31" t="str">
        <x:f>IF('Blind Scoring'!L1146="","",'Blind Scoring'!L1146)</x:f>
      </x:c>
    </x:row>
    <x:row r="1147" ht="44" customHeight="1">
      <x:c r="A1147" s="35" t="str">
        <x:v>Not Started</x:v>
      </x:c>
      <x:c r="B1147" s="35" t="n">
        <x:v>1145</x:v>
      </x:c>
      <x:c r="C1147" s="35" t="str">
        <x:v>P19</x:v>
      </x:c>
      <x:c r="D1147" s="35" t="n">
        <x:v>30</x:v>
      </x:c>
      <x:c r="E1147" s="35" t="str">
        <x:v>Primary VLA</x:v>
      </x:c>
      <x:c r="F1147" s="35" t="str">
        <x:v>MolmoAct2</x:v>
      </x:c>
      <x:c r="G1147" s="35" t="n">
        <x:v>3</x:v>
      </x:c>
      <x:c r="H1147" s="35" t="str">
        <x:v>Relational Placement</x:v>
      </x:c>
      <x:c r="I1147" s="35" t="str">
        <x:v>Main matched control</x:v>
      </x:c>
      <x:c r="J1147" s="35" t="str">
        <x:v>PVLA-RP-CTL-07</x:v>
      </x:c>
      <x:c r="K1147" s="35" t="str">
        <x:v>R-CF13</x:v>
      </x:c>
      <x:c r="L1147" s="31" t="str">
        <x:v>Place the green pen near the red block.</x:v>
      </x:c>
      <x:c r="M1147" s="31" t="str">
        <x:v>Place the green pen near the red block.</x:v>
      </x:c>
      <x:c r="N1147" s="31" t="str">
        <x:v>R-CF13-CTRL: red block at back-right [REFERENCE]; green pen starts 18 cm to the right of the reference [TARGET START]; pink marker and blue block are distractors outside the commanded goal sector.</x:v>
      </x:c>
      <x:c r="O1147" s="31" t="str">
        <x:v>green pen near red block</x:v>
      </x:c>
      <x:c r="P1147" s="31" t="str"/>
      <x:c r="Q1147" s="31" t="str"/>
      <x:c r="R1147" s="31" t="str"/>
      <x:c r="S1147" s="31" t="str">
        <x:f>IF('Blind Scoring'!I1147="","",'Blind Scoring'!I1147)</x:f>
      </x:c>
      <x:c r="T1147" s="31" t="str">
        <x:f>'Blind Scoring'!J1147</x:f>
        <x:v>No</x:v>
      </x:c>
      <x:c r="U1147" s="31" t="str">
        <x:f>IF('Blind Scoring'!L1147="","",'Blind Scoring'!L1147)</x:f>
      </x:c>
    </x:row>
    <x:row r="1148" ht="44" customHeight="1">
      <x:c r="A1148" s="35" t="str">
        <x:v>Not Started</x:v>
      </x:c>
      <x:c r="B1148" s="35" t="n">
        <x:v>1146</x:v>
      </x:c>
      <x:c r="C1148" s="35" t="str">
        <x:v>P19</x:v>
      </x:c>
      <x:c r="D1148" s="35" t="n">
        <x:v>31</x:v>
      </x:c>
      <x:c r="E1148" s="35" t="str">
        <x:v>Primary VLA</x:v>
      </x:c>
      <x:c r="F1148" s="35" t="str">
        <x:v>MolmoAct2</x:v>
      </x:c>
      <x:c r="G1148" s="35" t="n">
        <x:v>3</x:v>
      </x:c>
      <x:c r="H1148" s="35" t="str">
        <x:v>Relational Placement</x:v>
      </x:c>
      <x:c r="I1148" s="35" t="str">
        <x:v>Main matched control</x:v>
      </x:c>
      <x:c r="J1148" s="35" t="str">
        <x:v>PVLA-RP-CTL-06</x:v>
      </x:c>
      <x:c r="K1148" s="35" t="str">
        <x:v>R-CF11</x:v>
      </x:c>
      <x:c r="L1148" s="31" t="str">
        <x:v>Place the green pen next to the red block.</x:v>
      </x:c>
      <x:c r="M1148" s="31" t="str">
        <x:v>Place the green pen next to the red block.</x:v>
      </x:c>
      <x:c r="N1148" s="31" t="str">
        <x:v>R-CF11-CTRL: red block at center [REFERENCE]; green pen starts 21 cm to the left of the reference [TARGET START]; pink marker and blue block are distractors outside the commanded goal sector.</x:v>
      </x:c>
      <x:c r="O1148" s="31" t="str">
        <x:v>green pen near red block</x:v>
      </x:c>
      <x:c r="P1148" s="31" t="str"/>
      <x:c r="Q1148" s="31" t="str"/>
      <x:c r="R1148" s="31" t="str"/>
      <x:c r="S1148" s="31" t="str">
        <x:f>IF('Blind Scoring'!I1148="","",'Blind Scoring'!I1148)</x:f>
      </x:c>
      <x:c r="T1148" s="31" t="str">
        <x:f>'Blind Scoring'!J1148</x:f>
        <x:v>No</x:v>
      </x:c>
      <x:c r="U1148" s="31" t="str">
        <x:f>IF('Blind Scoring'!L1148="","",'Blind Scoring'!L1148)</x:f>
      </x:c>
    </x:row>
    <x:row r="1149" ht="44" customHeight="1">
      <x:c r="A1149" s="35" t="str">
        <x:v>Not Started</x:v>
      </x:c>
      <x:c r="B1149" s="35" t="n">
        <x:v>1147</x:v>
      </x:c>
      <x:c r="C1149" s="35" t="str">
        <x:v>P19</x:v>
      </x:c>
      <x:c r="D1149" s="35" t="n">
        <x:v>32</x:v>
      </x:c>
      <x:c r="E1149" s="35" t="str">
        <x:v>Primary VLA</x:v>
      </x:c>
      <x:c r="F1149" s="35" t="str">
        <x:v>MolmoAct2</x:v>
      </x:c>
      <x:c r="G1149" s="35" t="n">
        <x:v>3</x:v>
      </x:c>
      <x:c r="H1149" s="35" t="str">
        <x:v>Relational Placement</x:v>
      </x:c>
      <x:c r="I1149" s="35" t="str">
        <x:v>Main matched control</x:v>
      </x:c>
      <x:c r="J1149" s="35" t="str">
        <x:v>PVLA-RP-CTL-15</x:v>
      </x:c>
      <x:c r="K1149" s="35" t="str">
        <x:v>R-CF28</x:v>
      </x:c>
      <x:c r="L1149" s="31" t="str">
        <x:v>Place the red block near the green pen.</x:v>
      </x:c>
      <x:c r="M1149" s="31" t="str">
        <x:v>Place the red block near the green pen.</x:v>
      </x:c>
      <x:c r="N1149" s="31" t="str">
        <x:v>R-CF28-CTRL: green pen at back-right [REFERENCE]; red block starts 18 cm behind the reference [TARGET START]; blue block and pink marker are distractors outside the commanded goal sector.</x:v>
      </x:c>
      <x:c r="O1149" s="31" t="str">
        <x:v>red block near green pen</x:v>
      </x:c>
      <x:c r="P1149" s="31" t="str"/>
      <x:c r="Q1149" s="31" t="str"/>
      <x:c r="R1149" s="31" t="str"/>
      <x:c r="S1149" s="31" t="str">
        <x:f>IF('Blind Scoring'!I1149="","",'Blind Scoring'!I1149)</x:f>
      </x:c>
      <x:c r="T1149" s="31" t="str">
        <x:f>'Blind Scoring'!J1149</x:f>
        <x:v>No</x:v>
      </x:c>
      <x:c r="U1149" s="31" t="str">
        <x:f>IF('Blind Scoring'!L1149="","",'Blind Scoring'!L1149)</x:f>
      </x:c>
    </x:row>
    <x:row r="1150" ht="44" customHeight="1">
      <x:c r="A1150" s="35" t="str">
        <x:v>Not Started</x:v>
      </x:c>
      <x:c r="B1150" s="35" t="n">
        <x:v>1148</x:v>
      </x:c>
      <x:c r="C1150" s="35" t="str">
        <x:v>P19</x:v>
      </x:c>
      <x:c r="D1150" s="35" t="n">
        <x:v>33</x:v>
      </x:c>
      <x:c r="E1150" s="35" t="str">
        <x:v>Primary VLA</x:v>
      </x:c>
      <x:c r="F1150" s="35" t="str">
        <x:v>MolmoAct2</x:v>
      </x:c>
      <x:c r="G1150" s="35" t="n">
        <x:v>3</x:v>
      </x:c>
      <x:c r="H1150" s="35" t="str">
        <x:v>Relational Placement</x:v>
      </x:c>
      <x:c r="I1150" s="35" t="str">
        <x:v>Main matched control</x:v>
      </x:c>
      <x:c r="J1150" s="35" t="str">
        <x:v>PVLA-RP-CTL-02</x:v>
      </x:c>
      <x:c r="K1150" s="35" t="str">
        <x:v>R-CF03</x:v>
      </x:c>
      <x:c r="L1150" s="31" t="str">
        <x:v>Place the green pen beside the red block.</x:v>
      </x:c>
      <x:c r="M1150" s="31" t="str">
        <x:v>Place the green pen beside the red block.</x:v>
      </x:c>
      <x:c r="N1150" s="31" t="str">
        <x:v>R-CF03-CTRL: red block at back-right [REFERENCE]; green pen starts 24 cm to the left of the reference [TARGET START]; pink marker and blue block are distractors outside the commanded goal sector.</x:v>
      </x:c>
      <x:c r="O1150" s="31" t="str">
        <x:v>green pen near red block</x:v>
      </x:c>
      <x:c r="P1150" s="31" t="str"/>
      <x:c r="Q1150" s="31" t="str"/>
      <x:c r="R1150" s="31" t="str"/>
      <x:c r="S1150" s="31" t="str">
        <x:f>IF('Blind Scoring'!I1150="","",'Blind Scoring'!I1150)</x:f>
      </x:c>
      <x:c r="T1150" s="31" t="str">
        <x:f>'Blind Scoring'!J1150</x:f>
        <x:v>No</x:v>
      </x:c>
      <x:c r="U1150" s="31" t="str">
        <x:f>IF('Blind Scoring'!L1150="","",'Blind Scoring'!L1150)</x:f>
      </x:c>
    </x:row>
    <x:row r="1151" ht="44" customHeight="1">
      <x:c r="A1151" s="35" t="str">
        <x:v>Not Started</x:v>
      </x:c>
      <x:c r="B1151" s="35" t="n">
        <x:v>1149</x:v>
      </x:c>
      <x:c r="C1151" s="35" t="str">
        <x:v>P19</x:v>
      </x:c>
      <x:c r="D1151" s="35" t="n">
        <x:v>34</x:v>
      </x:c>
      <x:c r="E1151" s="35" t="str">
        <x:v>Primary VLA</x:v>
      </x:c>
      <x:c r="F1151" s="35" t="str">
        <x:v>MolmoAct2</x:v>
      </x:c>
      <x:c r="G1151" s="35" t="n">
        <x:v>3</x:v>
      </x:c>
      <x:c r="H1151" s="35" t="str">
        <x:v>Relational Placement</x:v>
      </x:c>
      <x:c r="I1151" s="35" t="str">
        <x:v>Main held-out transfer</x:v>
      </x:c>
      <x:c r="J1151" s="35" t="str">
        <x:v>PVLA-RP-TR-06</x:v>
      </x:c>
      <x:c r="K1151" s="35" t="str">
        <x:v>R-CF11</x:v>
      </x:c>
      <x:c r="L1151" s="31" t="str">
        <x:v>Place the green pen to the right of the red block.</x:v>
      </x:c>
      <x:c r="M1151" s="31" t="str">
        <x:v>Place the green pen to the right of the red block.</x:v>
      </x:c>
      <x:c r="N1151" s="31" t="str">
        <x:v>R-CF11-HELD: red block at center [REFERENCE]; green pen starts 21 cm to the left of the reference [TARGET START]; pink marker and blue block are distractors outside the commanded goal sector.</x:v>
      </x:c>
      <x:c r="O1151" s="31" t="str">
        <x:v>green pen → to the right of red block</x:v>
      </x:c>
      <x:c r="P1151" s="31" t="str"/>
      <x:c r="Q1151" s="31" t="str"/>
      <x:c r="R1151" s="31" t="str"/>
      <x:c r="S1151" s="31" t="str">
        <x:f>IF('Blind Scoring'!I1151="","",'Blind Scoring'!I1151)</x:f>
      </x:c>
      <x:c r="T1151" s="31" t="str">
        <x:f>'Blind Scoring'!J1151</x:f>
        <x:v>No</x:v>
      </x:c>
      <x:c r="U1151" s="31" t="str">
        <x:f>IF('Blind Scoring'!L1151="","",'Blind Scoring'!L1151)</x:f>
      </x:c>
    </x:row>
    <x:row r="1152" ht="44" customHeight="1">
      <x:c r="A1152" s="35" t="str">
        <x:v>Not Started</x:v>
      </x:c>
      <x:c r="B1152" s="35" t="n">
        <x:v>1150</x:v>
      </x:c>
      <x:c r="C1152" s="35" t="str">
        <x:v>P19</x:v>
      </x:c>
      <x:c r="D1152" s="35" t="n">
        <x:v>35</x:v>
      </x:c>
      <x:c r="E1152" s="35" t="str">
        <x:v>Primary VLA</x:v>
      </x:c>
      <x:c r="F1152" s="35" t="str">
        <x:v>MolmoAct2</x:v>
      </x:c>
      <x:c r="G1152" s="35" t="n">
        <x:v>3</x:v>
      </x:c>
      <x:c r="H1152" s="35" t="str">
        <x:v>Relational Placement</x:v>
      </x:c>
      <x:c r="I1152" s="35" t="str">
        <x:v>Language ablation — counterfactual</x:v>
      </x:c>
      <x:c r="J1152" s="35" t="str">
        <x:v>PVLA-RP-ABL-CF-02</x:v>
      </x:c>
      <x:c r="K1152" s="35" t="str">
        <x:v>R-CF11</x:v>
      </x:c>
      <x:c r="L1152" s="31" t="str">
        <x:v>Place the green pen to the left of the red block.</x:v>
      </x:c>
      <x:c r="M1152" s="31" t="str">
        <x:v>Place the green pen to the left of the red block.</x:v>
      </x:c>
      <x:c r="N1152" s="31" t="str">
        <x:v>R-CF11-HELD: red block at center [REFERENCE]; green pen starts 21 cm to the left of the reference [TARGET START]; pink marker and blue block are distractors outside the commanded goal sector.</x:v>
      </x:c>
      <x:c r="O1152" s="31" t="str">
        <x:v>green pen → to the left of red block</x:v>
      </x:c>
      <x:c r="P1152" s="31" t="str"/>
      <x:c r="Q1152" s="31" t="str"/>
      <x:c r="R1152" s="31" t="str"/>
      <x:c r="S1152" s="31" t="str">
        <x:f>IF('Blind Scoring'!I1152="","",'Blind Scoring'!I1152)</x:f>
      </x:c>
      <x:c r="T1152" s="31" t="str">
        <x:f>'Blind Scoring'!J1152</x:f>
        <x:v>No</x:v>
      </x:c>
      <x:c r="U1152" s="31" t="str">
        <x:f>IF('Blind Scoring'!L1152="","",'Blind Scoring'!L1152)</x:f>
      </x:c>
    </x:row>
    <x:row r="1153" ht="44" customHeight="1">
      <x:c r="A1153" s="35" t="str">
        <x:v>Not Started</x:v>
      </x:c>
      <x:c r="B1153" s="35" t="n">
        <x:v>1151</x:v>
      </x:c>
      <x:c r="C1153" s="35" t="str">
        <x:v>P19</x:v>
      </x:c>
      <x:c r="D1153" s="35" t="n">
        <x:v>36</x:v>
      </x:c>
      <x:c r="E1153" s="35" t="str">
        <x:v>Primary VLA</x:v>
      </x:c>
      <x:c r="F1153" s="35" t="str">
        <x:v>MolmoAct2</x:v>
      </x:c>
      <x:c r="G1153" s="35" t="n">
        <x:v>3</x:v>
      </x:c>
      <x:c r="H1153" s="35" t="str">
        <x:v>Relational Placement</x:v>
      </x:c>
      <x:c r="I1153" s="35" t="str">
        <x:v>Main held-out transfer</x:v>
      </x:c>
      <x:c r="J1153" s="35" t="str">
        <x:v>PVLA-RP-TR-16</x:v>
      </x:c>
      <x:c r="K1153" s="35" t="str">
        <x:v>R-CF30</x:v>
      </x:c>
      <x:c r="L1153" s="31" t="str">
        <x:v>Place the red block to the right of the green pen.</x:v>
      </x:c>
      <x:c r="M1153" s="31" t="str">
        <x:v>Place the red block to the right of the green pen.</x:v>
      </x:c>
      <x:c r="N1153" s="31" t="str">
        <x:v>R-CF30-HELD: green pen at front-right [REFERENCE]; red block starts 24 cm to the left of the reference [TARGET START]; blue block and pink marker are distractors outside the commanded goal sector.</x:v>
      </x:c>
      <x:c r="O1153" s="31" t="str">
        <x:v>red block → to the right of green pen</x:v>
      </x:c>
      <x:c r="P1153" s="31" t="str"/>
      <x:c r="Q1153" s="31" t="str"/>
      <x:c r="R1153" s="31" t="str"/>
      <x:c r="S1153" s="31" t="str">
        <x:f>IF('Blind Scoring'!I1153="","",'Blind Scoring'!I1153)</x:f>
      </x:c>
      <x:c r="T1153" s="31" t="str">
        <x:f>'Blind Scoring'!J1153</x:f>
        <x:v>No</x:v>
      </x:c>
      <x:c r="U1153" s="31" t="str">
        <x:f>IF('Blind Scoring'!L1153="","",'Blind Scoring'!L1153)</x:f>
      </x:c>
    </x:row>
    <x:row r="1154" ht="44" customHeight="1">
      <x:c r="A1154" s="35" t="str">
        <x:v>Not Started</x:v>
      </x:c>
      <x:c r="B1154" s="35" t="n">
        <x:v>1152</x:v>
      </x:c>
      <x:c r="C1154" s="35" t="str">
        <x:v>P19</x:v>
      </x:c>
      <x:c r="D1154" s="35" t="n">
        <x:v>37</x:v>
      </x:c>
      <x:c r="E1154" s="35" t="str">
        <x:v>Primary VLA</x:v>
      </x:c>
      <x:c r="F1154" s="35" t="str">
        <x:v>MolmoAct2</x:v>
      </x:c>
      <x:c r="G1154" s="35" t="n">
        <x:v>3</x:v>
      </x:c>
      <x:c r="H1154" s="35" t="str">
        <x:v>Relational Placement</x:v>
      </x:c>
      <x:c r="I1154" s="35" t="str">
        <x:v>Main held-out transfer</x:v>
      </x:c>
      <x:c r="J1154" s="35" t="str">
        <x:v>PVLA-RP-TR-08</x:v>
      </x:c>
      <x:c r="K1154" s="35" t="str">
        <x:v>R-CF15</x:v>
      </x:c>
      <x:c r="L1154" s="31" t="str">
        <x:v>Place the green pen behind the red block.</x:v>
      </x:c>
      <x:c r="M1154" s="31" t="str">
        <x:v>Place the green pen behind the red block.</x:v>
      </x:c>
      <x:c r="N1154" s="31" t="str">
        <x:v>R-CF15-HELD: red block at front-right [REFERENCE]; green pen starts 24 cm in front of the reference [TARGET START]; pink marker and blue block are distractors outside the commanded goal sector.</x:v>
      </x:c>
      <x:c r="O1154" s="31" t="str">
        <x:v>green pen → behind red block</x:v>
      </x:c>
      <x:c r="P1154" s="31" t="str"/>
      <x:c r="Q1154" s="31" t="str"/>
      <x:c r="R1154" s="31" t="str"/>
      <x:c r="S1154" s="31" t="str">
        <x:f>IF('Blind Scoring'!I1154="","",'Blind Scoring'!I1154)</x:f>
      </x:c>
      <x:c r="T1154" s="31" t="str">
        <x:f>'Blind Scoring'!J1154</x:f>
        <x:v>No</x:v>
      </x:c>
      <x:c r="U1154" s="31" t="str">
        <x:f>IF('Blind Scoring'!L1154="","",'Blind Scoring'!L1154)</x:f>
      </x:c>
    </x:row>
    <x:row r="1155" ht="44" customHeight="1">
      <x:c r="A1155" s="35" t="str">
        <x:v>Not Started</x:v>
      </x:c>
      <x:c r="B1155" s="35" t="n">
        <x:v>1153</x:v>
      </x:c>
      <x:c r="C1155" s="35" t="str">
        <x:v>P19</x:v>
      </x:c>
      <x:c r="D1155" s="35" t="n">
        <x:v>38</x:v>
      </x:c>
      <x:c r="E1155" s="35" t="str">
        <x:v>Primary VLA</x:v>
      </x:c>
      <x:c r="F1155" s="35" t="str">
        <x:v>MolmoAct2</x:v>
      </x:c>
      <x:c r="G1155" s="35" t="n">
        <x:v>3</x:v>
      </x:c>
      <x:c r="H1155" s="35" t="str">
        <x:v>Relational Placement</x:v>
      </x:c>
      <x:c r="I1155" s="35" t="str">
        <x:v>Language ablation — counterfactual</x:v>
      </x:c>
      <x:c r="J1155" s="35" t="str">
        <x:v>PVLA-RP-ABL-CF-04</x:v>
      </x:c>
      <x:c r="K1155" s="35" t="str">
        <x:v>R-CF15</x:v>
      </x:c>
      <x:c r="L1155" s="31" t="str">
        <x:v>Place the green pen in front of the red block.</x:v>
      </x:c>
      <x:c r="M1155" s="31" t="str">
        <x:v>Place the green pen in front of the red block.</x:v>
      </x:c>
      <x:c r="N1155" s="31" t="str">
        <x:v>R-CF15-HELD: red block at front-right [REFERENCE]; green pen starts 24 cm in front of the reference [TARGET START]; pink marker and blue block are distractors outside the commanded goal sector.</x:v>
      </x:c>
      <x:c r="O1155" s="31" t="str">
        <x:v>green pen → in front of red block</x:v>
      </x:c>
      <x:c r="P1155" s="31" t="str"/>
      <x:c r="Q1155" s="31" t="str"/>
      <x:c r="R1155" s="31" t="str"/>
      <x:c r="S1155" s="31" t="str">
        <x:f>IF('Blind Scoring'!I1155="","",'Blind Scoring'!I1155)</x:f>
      </x:c>
      <x:c r="T1155" s="31" t="str">
        <x:f>'Blind Scoring'!J1155</x:f>
        <x:v>No</x:v>
      </x:c>
      <x:c r="U1155" s="31" t="str">
        <x:f>IF('Blind Scoring'!L1155="","",'Blind Scoring'!L1155)</x:f>
      </x:c>
    </x:row>
    <x:row r="1156" ht="44" customHeight="1">
      <x:c r="A1156" s="35" t="str">
        <x:v>Not Started</x:v>
      </x:c>
      <x:c r="B1156" s="35" t="n">
        <x:v>1154</x:v>
      </x:c>
      <x:c r="C1156" s="35" t="str">
        <x:v>P19</x:v>
      </x:c>
      <x:c r="D1156" s="35" t="n">
        <x:v>39</x:v>
      </x:c>
      <x:c r="E1156" s="35" t="str">
        <x:v>Primary VLA</x:v>
      </x:c>
      <x:c r="F1156" s="35" t="str">
        <x:v>MolmoAct2</x:v>
      </x:c>
      <x:c r="G1156" s="35" t="n">
        <x:v>3</x:v>
      </x:c>
      <x:c r="H1156" s="35" t="str">
        <x:v>Relational Placement</x:v>
      </x:c>
      <x:c r="I1156" s="35" t="str">
        <x:v>Novel layout + seen language</x:v>
      </x:c>
      <x:c r="J1156" s="35" t="str">
        <x:v>PVLA-RP-NOV-05</x:v>
      </x:c>
      <x:c r="K1156" s="35" t="str"/>
      <x:c r="L1156" s="31" t="str">
        <x:v>Place the pink marker to the right of the blue block.</x:v>
      </x:c>
      <x:c r="M1156" s="31" t="str">
        <x:v>Place the pink marker to the right of the blue block.</x:v>
      </x:c>
      <x:c r="N1156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1156" s="31" t="str">
        <x:v>pink marker</x:v>
      </x:c>
      <x:c r="P1156" s="31" t="str"/>
      <x:c r="Q1156" s="31" t="str"/>
      <x:c r="R1156" s="31" t="str"/>
      <x:c r="S1156" s="31" t="str">
        <x:f>IF('Blind Scoring'!I1156="","",'Blind Scoring'!I1156)</x:f>
      </x:c>
      <x:c r="T1156" s="31" t="str">
        <x:f>'Blind Scoring'!J1156</x:f>
        <x:v>No</x:v>
      </x:c>
      <x:c r="U1156" s="31" t="str">
        <x:f>IF('Blind Scoring'!L1156="","",'Blind Scoring'!L1156)</x:f>
      </x:c>
    </x:row>
    <x:row r="1157" ht="44" customHeight="1">
      <x:c r="A1157" s="35" t="str">
        <x:v>Not Started</x:v>
      </x:c>
      <x:c r="B1157" s="35" t="n">
        <x:v>1155</x:v>
      </x:c>
      <x:c r="C1157" s="35" t="str">
        <x:v>P19</x:v>
      </x:c>
      <x:c r="D1157" s="35" t="n">
        <x:v>40</x:v>
      </x:c>
      <x:c r="E1157" s="35" t="str">
        <x:v>Primary VLA</x:v>
      </x:c>
      <x:c r="F1157" s="35" t="str">
        <x:v>MolmoAct2</x:v>
      </x:c>
      <x:c r="G1157" s="35" t="n">
        <x:v>3</x:v>
      </x:c>
      <x:c r="H1157" s="35" t="str">
        <x:v>Relational Placement</x:v>
      </x:c>
      <x:c r="I1157" s="35" t="str">
        <x:v>Exact-scene paraphrase</x:v>
      </x:c>
      <x:c r="J1157" s="35" t="str">
        <x:v>PVLA-RP-PAR-05</x:v>
      </x:c>
      <x:c r="K1157" s="35" t="str"/>
      <x:c r="L1157" s="31" t="str">
        <x:v>Move the red block to the side of the pink marker facing the robot.</x:v>
      </x:c>
      <x:c r="M1157" s="31" t="str">
        <x:v>Move the red block to the side of the pink marker facing the robot.</x:v>
      </x:c>
      <x:c r="N1157" s="31" t="str">
        <x:v>R-P01: pink marker at center [REFERENCE]; red block starts 21 cm behind the reference [TARGET START]; remaining objects are distractors with ≥12 cm clearance from the target path and commanded goal sector.</x:v>
      </x:c>
      <x:c r="O1157" s="31" t="str">
        <x:v>red block</x:v>
      </x:c>
      <x:c r="P1157" s="31" t="str"/>
      <x:c r="Q1157" s="31" t="str"/>
      <x:c r="R1157" s="31" t="str"/>
      <x:c r="S1157" s="31" t="str">
        <x:f>IF('Blind Scoring'!I1157="","",'Blind Scoring'!I1157)</x:f>
      </x:c>
      <x:c r="T1157" s="31" t="str">
        <x:f>'Blind Scoring'!J1157</x:f>
        <x:v>No</x:v>
      </x:c>
      <x:c r="U1157" s="31" t="str">
        <x:f>IF('Blind Scoring'!L1157="","",'Blind Scoring'!L1157)</x:f>
      </x:c>
    </x:row>
    <x:row r="1158" ht="44" customHeight="1">
      <x:c r="A1158" s="35" t="str">
        <x:v>Not Started</x:v>
      </x:c>
      <x:c r="B1158" s="35" t="n">
        <x:v>1156</x:v>
      </x:c>
      <x:c r="C1158" s="35" t="str">
        <x:v>P19</x:v>
      </x:c>
      <x:c r="D1158" s="35" t="n">
        <x:v>41</x:v>
      </x:c>
      <x:c r="E1158" s="35" t="str">
        <x:v>Primary VLA</x:v>
      </x:c>
      <x:c r="F1158" s="35" t="str">
        <x:v>MolmoAct2</x:v>
      </x:c>
      <x:c r="G1158" s="35" t="n">
        <x:v>3</x:v>
      </x:c>
      <x:c r="H1158" s="35" t="str">
        <x:v>Relational Placement</x:v>
      </x:c>
      <x:c r="I1158" s="35" t="str">
        <x:v>Main held-out transfer</x:v>
      </x:c>
      <x:c r="J1158" s="35" t="str">
        <x:v>PVLA-RP-TR-12</x:v>
      </x:c>
      <x:c r="K1158" s="35" t="str">
        <x:v>R-CF22</x:v>
      </x:c>
      <x:c r="L1158" s="31" t="str">
        <x:v>Place the red block to the right of the green pen.</x:v>
      </x:c>
      <x:c r="M1158" s="31" t="str">
        <x:v>Place the red block to the right of the green pen.</x:v>
      </x:c>
      <x:c r="N1158" s="31" t="str">
        <x:v>R-CF22-HELD: green pen at back-left [REFERENCE]; red block starts 18 cm to the left of the reference [TARGET START]; blue block and pink marker are distractors outside the commanded goal sector.</x:v>
      </x:c>
      <x:c r="O1158" s="31" t="str">
        <x:v>red block → to the right of green pen</x:v>
      </x:c>
      <x:c r="P1158" s="31" t="str"/>
      <x:c r="Q1158" s="31" t="str"/>
      <x:c r="R1158" s="31" t="str"/>
      <x:c r="S1158" s="31" t="str">
        <x:f>IF('Blind Scoring'!I1158="","",'Blind Scoring'!I1158)</x:f>
      </x:c>
      <x:c r="T1158" s="31" t="str">
        <x:f>'Blind Scoring'!J1158</x:f>
        <x:v>No</x:v>
      </x:c>
      <x:c r="U1158" s="31" t="str">
        <x:f>IF('Blind Scoring'!L1158="","",'Blind Scoring'!L1158)</x:f>
      </x:c>
    </x:row>
    <x:row r="1159" ht="44" customHeight="1">
      <x:c r="A1159" s="35" t="str">
        <x:v>Not Started</x:v>
      </x:c>
      <x:c r="B1159" s="35" t="n">
        <x:v>1157</x:v>
      </x:c>
      <x:c r="C1159" s="35" t="str">
        <x:v>P19</x:v>
      </x:c>
      <x:c r="D1159" s="35" t="n">
        <x:v>42</x:v>
      </x:c>
      <x:c r="E1159" s="35" t="str">
        <x:v>Primary VLA</x:v>
      </x:c>
      <x:c r="F1159" s="35" t="str">
        <x:v>MolmoAct2</x:v>
      </x:c>
      <x:c r="G1159" s="35" t="n">
        <x:v>3</x:v>
      </x:c>
      <x:c r="H1159" s="35" t="str">
        <x:v>Relational Placement</x:v>
      </x:c>
      <x:c r="I1159" s="35" t="str">
        <x:v>Novel layout + seen language</x:v>
      </x:c>
      <x:c r="J1159" s="35" t="str">
        <x:v>PVLA-RP-NOV-06</x:v>
      </x:c>
      <x:c r="K1159" s="35" t="str"/>
      <x:c r="L1159" s="31" t="str">
        <x:v>Place the red block to the left of the blue block.</x:v>
      </x:c>
      <x:c r="M1159" s="31" t="str">
        <x:v>Place the red block to the left of the blue block.</x:v>
      </x:c>
      <x:c r="N1159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1159" s="31" t="str">
        <x:v>red block</x:v>
      </x:c>
      <x:c r="P1159" s="31" t="str"/>
      <x:c r="Q1159" s="31" t="str"/>
      <x:c r="R1159" s="31" t="str"/>
      <x:c r="S1159" s="31" t="str">
        <x:f>IF('Blind Scoring'!I1159="","",'Blind Scoring'!I1159)</x:f>
      </x:c>
      <x:c r="T1159" s="31" t="str">
        <x:f>'Blind Scoring'!J1159</x:f>
        <x:v>No</x:v>
      </x:c>
      <x:c r="U1159" s="31" t="str">
        <x:f>IF('Blind Scoring'!L1159="","",'Blind Scoring'!L1159)</x:f>
      </x:c>
    </x:row>
    <x:row r="1160" ht="44" customHeight="1">
      <x:c r="A1160" s="35" t="str">
        <x:v>Not Started</x:v>
      </x:c>
      <x:c r="B1160" s="35" t="n">
        <x:v>1158</x:v>
      </x:c>
      <x:c r="C1160" s="35" t="str">
        <x:v>P19</x:v>
      </x:c>
      <x:c r="D1160" s="35" t="n">
        <x:v>43</x:v>
      </x:c>
      <x:c r="E1160" s="35" t="str">
        <x:v>Primary VLA</x:v>
      </x:c>
      <x:c r="F1160" s="35" t="str">
        <x:v>MolmoAct2</x:v>
      </x:c>
      <x:c r="G1160" s="35" t="n">
        <x:v>3</x:v>
      </x:c>
      <x:c r="H1160" s="35" t="str">
        <x:v>Relational Placement</x:v>
      </x:c>
      <x:c r="I1160" s="35" t="str">
        <x:v>Main held-out transfer</x:v>
      </x:c>
      <x:c r="J1160" s="35" t="str">
        <x:v>PVLA-RP-TR-05</x:v>
      </x:c>
      <x:c r="K1160" s="35" t="str">
        <x:v>R-CF09</x:v>
      </x:c>
      <x:c r="L1160" s="31" t="str">
        <x:v>Place the green pen in front of the red block.</x:v>
      </x:c>
      <x:c r="M1160" s="31" t="str">
        <x:v>Place the green pen in front of the red block.</x:v>
      </x:c>
      <x:c r="N1160" s="31" t="str">
        <x:v>R-CF09-HELD: red block at front-left [REFERENCE]; green pen starts 24 cm behind the reference [TARGET START]; pink marker and blue block are distractors outside the commanded goal sector.</x:v>
      </x:c>
      <x:c r="O1160" s="31" t="str">
        <x:v>green pen → in front of red block</x:v>
      </x:c>
      <x:c r="P1160" s="31" t="str"/>
      <x:c r="Q1160" s="31" t="str"/>
      <x:c r="R1160" s="31" t="str"/>
      <x:c r="S1160" s="31" t="str">
        <x:f>IF('Blind Scoring'!I1160="","",'Blind Scoring'!I1160)</x:f>
      </x:c>
      <x:c r="T1160" s="31" t="str">
        <x:f>'Blind Scoring'!J1160</x:f>
        <x:v>No</x:v>
      </x:c>
      <x:c r="U1160" s="31" t="str">
        <x:f>IF('Blind Scoring'!L1160="","",'Blind Scoring'!L1160)</x:f>
      </x:c>
    </x:row>
    <x:row r="1161" ht="44" customHeight="1">
      <x:c r="A1161" s="35" t="str">
        <x:v>Not Started</x:v>
      </x:c>
      <x:c r="B1161" s="35" t="n">
        <x:v>1159</x:v>
      </x:c>
      <x:c r="C1161" s="35" t="str">
        <x:v>P19</x:v>
      </x:c>
      <x:c r="D1161" s="35" t="n">
        <x:v>44</x:v>
      </x:c>
      <x:c r="E1161" s="35" t="str">
        <x:v>Primary VLA</x:v>
      </x:c>
      <x:c r="F1161" s="35" t="str">
        <x:v>MolmoAct2</x:v>
      </x:c>
      <x:c r="G1161" s="35" t="n">
        <x:v>3</x:v>
      </x:c>
      <x:c r="H1161" s="35" t="str">
        <x:v>Relational Placement</x:v>
      </x:c>
      <x:c r="I1161" s="35" t="str">
        <x:v>Main matched control</x:v>
      </x:c>
      <x:c r="J1161" s="35" t="str">
        <x:v>PVLA-RP-CTL-11</x:v>
      </x:c>
      <x:c r="K1161" s="35" t="str">
        <x:v>R-CF20</x:v>
      </x:c>
      <x:c r="L1161" s="31" t="str">
        <x:v>Place the red block next to the green pen.</x:v>
      </x:c>
      <x:c r="M1161" s="31" t="str">
        <x:v>Place the red block next to the green pen.</x:v>
      </x:c>
      <x:c r="N1161" s="31" t="str">
        <x:v>R-CF20-CTRL: green pen at front-right [REFERENCE]; red block starts 21 cm behind the reference [TARGET START]; blue block and pink marker are distractors outside the commanded goal sector.</x:v>
      </x:c>
      <x:c r="O1161" s="31" t="str">
        <x:v>red block near green pen</x:v>
      </x:c>
      <x:c r="P1161" s="31" t="str"/>
      <x:c r="Q1161" s="31" t="str"/>
      <x:c r="R1161" s="31" t="str"/>
      <x:c r="S1161" s="31" t="str">
        <x:f>IF('Blind Scoring'!I1161="","",'Blind Scoring'!I1161)</x:f>
      </x:c>
      <x:c r="T1161" s="31" t="str">
        <x:f>'Blind Scoring'!J1161</x:f>
        <x:v>No</x:v>
      </x:c>
      <x:c r="U1161" s="31" t="str">
        <x:f>IF('Blind Scoring'!L1161="","",'Blind Scoring'!L1161)</x:f>
      </x:c>
    </x:row>
    <x:row r="1162" ht="44" customHeight="1">
      <x:c r="A1162" s="35" t="str">
        <x:v>Not Started</x:v>
      </x:c>
      <x:c r="B1162" s="35" t="n">
        <x:v>1160</x:v>
      </x:c>
      <x:c r="C1162" s="35" t="str">
        <x:v>P19</x:v>
      </x:c>
      <x:c r="D1162" s="35" t="n">
        <x:v>45</x:v>
      </x:c>
      <x:c r="E1162" s="35" t="str">
        <x:v>Primary VLA</x:v>
      </x:c>
      <x:c r="F1162" s="35" t="str">
        <x:v>MolmoAct2</x:v>
      </x:c>
      <x:c r="G1162" s="35" t="n">
        <x:v>3</x:v>
      </x:c>
      <x:c r="H1162" s="35" t="str">
        <x:v>Relational Placement</x:v>
      </x:c>
      <x:c r="I1162" s="35" t="str">
        <x:v>Exact-scene paraphrase</x:v>
      </x:c>
      <x:c r="J1162" s="35" t="str">
        <x:v>PVLA-RP-PAR-03</x:v>
      </x:c>
      <x:c r="K1162" s="35" t="str"/>
      <x:c r="L1162" s="31" t="str">
        <x:v>Move the red block to the side of the pink marker facing the robot.</x:v>
      </x:c>
      <x:c r="M1162" s="31" t="str">
        <x:v>Move the red block to the side of the pink marker facing the robot.</x:v>
      </x:c>
      <x:c r="N1162" s="31" t="str">
        <x:v>R-P01: pink marker at center [REFERENCE]; red block starts 21 cm behind the reference [TARGET START]; remaining objects are distractors with ≥12 cm clearance from the target path and commanded goal sector.</x:v>
      </x:c>
      <x:c r="O1162" s="31" t="str">
        <x:v>red block</x:v>
      </x:c>
      <x:c r="P1162" s="31" t="str"/>
      <x:c r="Q1162" s="31" t="str"/>
      <x:c r="R1162" s="31" t="str"/>
      <x:c r="S1162" s="31" t="str">
        <x:f>IF('Blind Scoring'!I1162="","",'Blind Scoring'!I1162)</x:f>
      </x:c>
      <x:c r="T1162" s="31" t="str">
        <x:f>'Blind Scoring'!J1162</x:f>
        <x:v>No</x:v>
      </x:c>
      <x:c r="U1162" s="31" t="str">
        <x:f>IF('Blind Scoring'!L1162="","",'Blind Scoring'!L1162)</x:f>
      </x:c>
    </x:row>
    <x:row r="1163" ht="44" customHeight="1">
      <x:c r="A1163" s="35" t="str">
        <x:v>Not Started</x:v>
      </x:c>
      <x:c r="B1163" s="35" t="n">
        <x:v>1161</x:v>
      </x:c>
      <x:c r="C1163" s="35" t="str">
        <x:v>P19</x:v>
      </x:c>
      <x:c r="D1163" s="35" t="n">
        <x:v>46</x:v>
      </x:c>
      <x:c r="E1163" s="35" t="str">
        <x:v>Primary VLA</x:v>
      </x:c>
      <x:c r="F1163" s="35" t="str">
        <x:v>MolmoAct2</x:v>
      </x:c>
      <x:c r="G1163" s="35" t="n">
        <x:v>3</x:v>
      </x:c>
      <x:c r="H1163" s="35" t="str">
        <x:v>Relational Placement</x:v>
      </x:c>
      <x:c r="I1163" s="35" t="str">
        <x:v>Main matched control</x:v>
      </x:c>
      <x:c r="J1163" s="35" t="str">
        <x:v>PVLA-RP-CTL-09</x:v>
      </x:c>
      <x:c r="K1163" s="35" t="str">
        <x:v>R-CF16</x:v>
      </x:c>
      <x:c r="L1163" s="31" t="str">
        <x:v>Place the red block near the green pen.</x:v>
      </x:c>
      <x:c r="M1163" s="31" t="str">
        <x:v>Place the red block near the green pen.</x:v>
      </x:c>
      <x:c r="N1163" s="31" t="str">
        <x:v>R-CF16-CTRL: green pen at center [REFERENCE]; red block starts 18 cm to the right of the reference [TARGET START]; blue block and pink marker are distractors outside the commanded goal sector.</x:v>
      </x:c>
      <x:c r="O1163" s="31" t="str">
        <x:v>red block near green pen</x:v>
      </x:c>
      <x:c r="P1163" s="31" t="str"/>
      <x:c r="Q1163" s="31" t="str"/>
      <x:c r="R1163" s="31" t="str"/>
      <x:c r="S1163" s="31" t="str">
        <x:f>IF('Blind Scoring'!I1163="","",'Blind Scoring'!I1163)</x:f>
      </x:c>
      <x:c r="T1163" s="31" t="str">
        <x:f>'Blind Scoring'!J1163</x:f>
        <x:v>No</x:v>
      </x:c>
      <x:c r="U1163" s="31" t="str">
        <x:f>IF('Blind Scoring'!L1163="","",'Blind Scoring'!L1163)</x:f>
      </x:c>
    </x:row>
    <x:row r="1164" ht="44" customHeight="1">
      <x:c r="A1164" s="35" t="str">
        <x:v>Not Started</x:v>
      </x:c>
      <x:c r="B1164" s="35" t="n">
        <x:v>1162</x:v>
      </x:c>
      <x:c r="C1164" s="35" t="str">
        <x:v>P19</x:v>
      </x:c>
      <x:c r="D1164" s="35" t="n">
        <x:v>47</x:v>
      </x:c>
      <x:c r="E1164" s="35" t="str">
        <x:v>Primary VLA</x:v>
      </x:c>
      <x:c r="F1164" s="35" t="str">
        <x:v>MolmoAct2</x:v>
      </x:c>
      <x:c r="G1164" s="35" t="n">
        <x:v>3</x:v>
      </x:c>
      <x:c r="H1164" s="35" t="str">
        <x:v>Relational Placement</x:v>
      </x:c>
      <x:c r="I1164" s="35" t="str">
        <x:v>Main matched control</x:v>
      </x:c>
      <x:c r="J1164" s="35" t="str">
        <x:v>PVLA-RP-CTL-05</x:v>
      </x:c>
      <x:c r="K1164" s="35" t="str">
        <x:v>R-CF09</x:v>
      </x:c>
      <x:c r="L1164" s="31" t="str">
        <x:v>Place the green pen beside the red block.</x:v>
      </x:c>
      <x:c r="M1164" s="31" t="str">
        <x:v>Place the green pen beside the red block.</x:v>
      </x:c>
      <x:c r="N1164" s="31" t="str">
        <x:v>R-CF09-CTRL: red block at front-left [REFERENCE]; green pen starts 24 cm behind the reference [TARGET START]; pink marker and blue block are distractors outside the commanded goal sector.</x:v>
      </x:c>
      <x:c r="O1164" s="31" t="str">
        <x:v>green pen near red block</x:v>
      </x:c>
      <x:c r="P1164" s="31" t="str"/>
      <x:c r="Q1164" s="31" t="str"/>
      <x:c r="R1164" s="31" t="str"/>
      <x:c r="S1164" s="31" t="str">
        <x:f>IF('Blind Scoring'!I1164="","",'Blind Scoring'!I1164)</x:f>
      </x:c>
      <x:c r="T1164" s="31" t="str">
        <x:f>'Blind Scoring'!J1164</x:f>
        <x:v>No</x:v>
      </x:c>
      <x:c r="U1164" s="31" t="str">
        <x:f>IF('Blind Scoring'!L1164="","",'Blind Scoring'!L1164)</x:f>
      </x:c>
    </x:row>
    <x:row r="1165" ht="44" customHeight="1">
      <x:c r="A1165" s="35" t="str">
        <x:v>Not Started</x:v>
      </x:c>
      <x:c r="B1165" s="35" t="n">
        <x:v>1163</x:v>
      </x:c>
      <x:c r="C1165" s="35" t="str">
        <x:v>P19</x:v>
      </x:c>
      <x:c r="D1165" s="35" t="n">
        <x:v>48</x:v>
      </x:c>
      <x:c r="E1165" s="35" t="str">
        <x:v>Primary VLA</x:v>
      </x:c>
      <x:c r="F1165" s="35" t="str">
        <x:v>MolmoAct2</x:v>
      </x:c>
      <x:c r="G1165" s="35" t="n">
        <x:v>3</x:v>
      </x:c>
      <x:c r="H1165" s="35" t="str">
        <x:v>Relational Placement</x:v>
      </x:c>
      <x:c r="I1165" s="35" t="str">
        <x:v>Training reconstruction</x:v>
      </x:c>
      <x:c r="J1165" s="35" t="str">
        <x:v>PVLA-RP-REC-05</x:v>
      </x:c>
      <x:c r="K1165" s="35" t="str"/>
      <x:c r="L1165" s="31" t="str">
        <x:v>Place the green pen to the left of the pink marker.</x:v>
      </x:c>
      <x:c r="M1165" s="31" t="str">
        <x:v>Place the green pen to the left of the pink marker.</x:v>
      </x:c>
      <x:c r="N1165" s="31" t="str">
        <x:v>Reconstruct planned final training episode 230: green pen, pink marker, red block; start=Home. Match camera, calibration, bowl pose, and object geometry exactly.</x:v>
      </x:c>
      <x:c r="O1165" s="31" t="str">
        <x:v>green pen</x:v>
      </x:c>
      <x:c r="P1165" s="31" t="str"/>
      <x:c r="Q1165" s="31" t="str"/>
      <x:c r="R1165" s="31" t="str"/>
      <x:c r="S1165" s="31" t="str">
        <x:f>IF('Blind Scoring'!I1165="","",'Blind Scoring'!I1165)</x:f>
      </x:c>
      <x:c r="T1165" s="31" t="str">
        <x:f>'Blind Scoring'!J1165</x:f>
        <x:v>No</x:v>
      </x:c>
      <x:c r="U1165" s="31" t="str">
        <x:f>IF('Blind Scoring'!L1165="","",'Blind Scoring'!L1165)</x:f>
      </x:c>
    </x:row>
    <x:row r="1166" ht="44" customHeight="1">
      <x:c r="A1166" s="35" t="str">
        <x:v>Not Started</x:v>
      </x:c>
      <x:c r="B1166" s="35" t="n">
        <x:v>1164</x:v>
      </x:c>
      <x:c r="C1166" s="35" t="str">
        <x:v>P19</x:v>
      </x:c>
      <x:c r="D1166" s="35" t="n">
        <x:v>49</x:v>
      </x:c>
      <x:c r="E1166" s="35" t="str">
        <x:v>Primary VLA</x:v>
      </x:c>
      <x:c r="F1166" s="35" t="str">
        <x:v>MolmoAct2</x:v>
      </x:c>
      <x:c r="G1166" s="35" t="n">
        <x:v>3</x:v>
      </x:c>
      <x:c r="H1166" s="35" t="str">
        <x:v>Relational Placement</x:v>
      </x:c>
      <x:c r="I1166" s="35" t="str">
        <x:v>Main matched control</x:v>
      </x:c>
      <x:c r="J1166" s="35" t="str">
        <x:v>PVLA-RP-CTL-10</x:v>
      </x:c>
      <x:c r="K1166" s="35" t="str">
        <x:v>R-CF18</x:v>
      </x:c>
      <x:c r="L1166" s="31" t="str">
        <x:v>Place the red block beside the green pen.</x:v>
      </x:c>
      <x:c r="M1166" s="31" t="str">
        <x:v>Place the red block beside the green pen.</x:v>
      </x:c>
      <x:c r="N1166" s="31" t="str">
        <x:v>R-CF18-CTRL: green pen at back-right [REFERENCE]; red block starts 24 cm in front of the reference [TARGET START]; blue block and pink marker are distractors outside the commanded goal sector.</x:v>
      </x:c>
      <x:c r="O1166" s="31" t="str">
        <x:v>red block near green pen</x:v>
      </x:c>
      <x:c r="P1166" s="31" t="str"/>
      <x:c r="Q1166" s="31" t="str"/>
      <x:c r="R1166" s="31" t="str"/>
      <x:c r="S1166" s="31" t="str">
        <x:f>IF('Blind Scoring'!I1166="","",'Blind Scoring'!I1166)</x:f>
      </x:c>
      <x:c r="T1166" s="31" t="str">
        <x:f>'Blind Scoring'!J1166</x:f>
        <x:v>No</x:v>
      </x:c>
      <x:c r="U1166" s="31" t="str">
        <x:f>IF('Blind Scoring'!L1166="","",'Blind Scoring'!L1166)</x:f>
      </x:c>
    </x:row>
    <x:row r="1167" ht="44" customHeight="1">
      <x:c r="A1167" s="35" t="str">
        <x:v>Not Started</x:v>
      </x:c>
      <x:c r="B1167" s="35" t="n">
        <x:v>1165</x:v>
      </x:c>
      <x:c r="C1167" s="35" t="str">
        <x:v>P19</x:v>
      </x:c>
      <x:c r="D1167" s="35" t="n">
        <x:v>50</x:v>
      </x:c>
      <x:c r="E1167" s="35" t="str">
        <x:v>Primary VLA</x:v>
      </x:c>
      <x:c r="F1167" s="35" t="str">
        <x:v>MolmoAct2</x:v>
      </x:c>
      <x:c r="G1167" s="35" t="n">
        <x:v>3</x:v>
      </x:c>
      <x:c r="H1167" s="35" t="str">
        <x:v>Relational Placement</x:v>
      </x:c>
      <x:c r="I1167" s="35" t="str">
        <x:v>Exact-scene paraphrase</x:v>
      </x:c>
      <x:c r="J1167" s="35" t="str">
        <x:v>PVLA-RP-PAR-02</x:v>
      </x:c>
      <x:c r="K1167" s="35" t="str"/>
      <x:c r="L1167" s="31" t="str">
        <x:v>Move the red block to the side of the pink marker facing the robot.</x:v>
      </x:c>
      <x:c r="M1167" s="31" t="str">
        <x:v>Move the red block to the side of the pink marker facing the robot.</x:v>
      </x:c>
      <x:c r="N1167" s="31" t="str">
        <x:v>R-P01: pink marker at center [REFERENCE]; red block starts 21 cm behind the reference [TARGET START]; remaining objects are distractors with ≥12 cm clearance from the target path and commanded goal sector.</x:v>
      </x:c>
      <x:c r="O1167" s="31" t="str">
        <x:v>red block</x:v>
      </x:c>
      <x:c r="P1167" s="31" t="str"/>
      <x:c r="Q1167" s="31" t="str"/>
      <x:c r="R1167" s="31" t="str"/>
      <x:c r="S1167" s="31" t="str">
        <x:f>IF('Blind Scoring'!I1167="","",'Blind Scoring'!I1167)</x:f>
      </x:c>
      <x:c r="T1167" s="31" t="str">
        <x:f>'Blind Scoring'!J1167</x:f>
        <x:v>No</x:v>
      </x:c>
      <x:c r="U1167" s="31" t="str">
        <x:f>IF('Blind Scoring'!L1167="","",'Blind Scoring'!L1167)</x:f>
      </x:c>
    </x:row>
    <x:row r="1168" ht="44" customHeight="1">
      <x:c r="A1168" s="35" t="str">
        <x:v>Not Started</x:v>
      </x:c>
      <x:c r="B1168" s="35" t="n">
        <x:v>1166</x:v>
      </x:c>
      <x:c r="C1168" s="35" t="str">
        <x:v>P19</x:v>
      </x:c>
      <x:c r="D1168" s="35" t="n">
        <x:v>51</x:v>
      </x:c>
      <x:c r="E1168" s="35" t="str">
        <x:v>Primary VLA</x:v>
      </x:c>
      <x:c r="F1168" s="35" t="str">
        <x:v>MolmoAct2</x:v>
      </x:c>
      <x:c r="G1168" s="35" t="n">
        <x:v>3</x:v>
      </x:c>
      <x:c r="H1168" s="35" t="str">
        <x:v>Relational Placement</x:v>
      </x:c>
      <x:c r="I1168" s="35" t="str">
        <x:v>Novel layout + seen language</x:v>
      </x:c>
      <x:c r="J1168" s="35" t="str">
        <x:v>PVLA-RP-NOV-04</x:v>
      </x:c>
      <x:c r="K1168" s="35" t="str"/>
      <x:c r="L1168" s="31" t="str">
        <x:v>Place the green pen in front of the pink marker.</x:v>
      </x:c>
      <x:c r="M1168" s="31" t="str">
        <x:v>Place the green pen in front of the pink marker.</x:v>
      </x:c>
      <x:c r="N1168" s="31" t="str">
        <x:v>R-S09: pink marker at center [REFERENCE]; green pen starts 21 cm behind the reference [TARGET START]; remaining objects are distractors with ≥12 cm clearance from the target path and commanded goal sector.</x:v>
      </x:c>
      <x:c r="O1168" s="31" t="str">
        <x:v>green pen</x:v>
      </x:c>
      <x:c r="P1168" s="31" t="str"/>
      <x:c r="Q1168" s="31" t="str"/>
      <x:c r="R1168" s="31" t="str"/>
      <x:c r="S1168" s="31" t="str">
        <x:f>IF('Blind Scoring'!I1168="","",'Blind Scoring'!I1168)</x:f>
      </x:c>
      <x:c r="T1168" s="31" t="str">
        <x:f>'Blind Scoring'!J1168</x:f>
        <x:v>No</x:v>
      </x:c>
      <x:c r="U1168" s="31" t="str">
        <x:f>IF('Blind Scoring'!L1168="","",'Blind Scoring'!L1168)</x:f>
      </x:c>
    </x:row>
    <x:row r="1169" ht="44" customHeight="1">
      <x:c r="A1169" s="35" t="str">
        <x:v>Not Started</x:v>
      </x:c>
      <x:c r="B1169" s="35" t="n">
        <x:v>1167</x:v>
      </x:c>
      <x:c r="C1169" s="35" t="str">
        <x:v>P19</x:v>
      </x:c>
      <x:c r="D1169" s="35" t="n">
        <x:v>52</x:v>
      </x:c>
      <x:c r="E1169" s="35" t="str">
        <x:v>Primary VLA</x:v>
      </x:c>
      <x:c r="F1169" s="35" t="str">
        <x:v>MolmoAct2</x:v>
      </x:c>
      <x:c r="G1169" s="35" t="n">
        <x:v>3</x:v>
      </x:c>
      <x:c r="H1169" s="35" t="str">
        <x:v>Relational Placement</x:v>
      </x:c>
      <x:c r="I1169" s="35" t="str">
        <x:v>Training reconstruction</x:v>
      </x:c>
      <x:c r="J1169" s="35" t="str">
        <x:v>PVLA-RP-REC-06</x:v>
      </x:c>
      <x:c r="K1169" s="35" t="str"/>
      <x:c r="L1169" s="31" t="str">
        <x:v>Place the green pen to the right of the pink marker.</x:v>
      </x:c>
      <x:c r="M1169" s="31" t="str">
        <x:v>Place the green pen to the right of the pink marker.</x:v>
      </x:c>
      <x:c r="N1169" s="31" t="str">
        <x:v>Reconstruct planned final training episode 243: green pen, pink marker, red block; start=Home. Match camera, calibration, bowl pose, and object geometry exactly.</x:v>
      </x:c>
      <x:c r="O1169" s="31" t="str">
        <x:v>green pen</x:v>
      </x:c>
      <x:c r="P1169" s="31" t="str"/>
      <x:c r="Q1169" s="31" t="str"/>
      <x:c r="R1169" s="31" t="str"/>
      <x:c r="S1169" s="31" t="str">
        <x:f>IF('Blind Scoring'!I1169="","",'Blind Scoring'!I1169)</x:f>
      </x:c>
      <x:c r="T1169" s="31" t="str">
        <x:f>'Blind Scoring'!J1169</x:f>
        <x:v>No</x:v>
      </x:c>
      <x:c r="U1169" s="31" t="str">
        <x:f>IF('Blind Scoring'!L1169="","",'Blind Scoring'!L1169)</x:f>
      </x:c>
    </x:row>
    <x:row r="1170" ht="44" customHeight="1">
      <x:c r="A1170" s="35" t="str">
        <x:v>Not Started</x:v>
      </x:c>
      <x:c r="B1170" s="35" t="n">
        <x:v>1168</x:v>
      </x:c>
      <x:c r="C1170" s="35" t="str">
        <x:v>P19</x:v>
      </x:c>
      <x:c r="D1170" s="35" t="n">
        <x:v>53</x:v>
      </x:c>
      <x:c r="E1170" s="35" t="str">
        <x:v>Primary VLA</x:v>
      </x:c>
      <x:c r="F1170" s="35" t="str">
        <x:v>MolmoAct2</x:v>
      </x:c>
      <x:c r="G1170" s="35" t="n">
        <x:v>3</x:v>
      </x:c>
      <x:c r="H1170" s="35" t="str">
        <x:v>Relational Placement</x:v>
      </x:c>
      <x:c r="I1170" s="35" t="str">
        <x:v>Novel layout + seen language</x:v>
      </x:c>
      <x:c r="J1170" s="35" t="str">
        <x:v>PVLA-RP-NOV-02</x:v>
      </x:c>
      <x:c r="K1170" s="35" t="str"/>
      <x:c r="L1170" s="31" t="str">
        <x:v>Place the green pen to the right of the pink marker.</x:v>
      </x:c>
      <x:c r="M1170" s="31" t="str">
        <x:v>Place the green pen to the right of the pink marker.</x:v>
      </x:c>
      <x:c r="N1170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1170" s="31" t="str">
        <x:v>green pen</x:v>
      </x:c>
      <x:c r="P1170" s="31" t="str"/>
      <x:c r="Q1170" s="31" t="str"/>
      <x:c r="R1170" s="31" t="str"/>
      <x:c r="S1170" s="31" t="str">
        <x:f>IF('Blind Scoring'!I1170="","",'Blind Scoring'!I1170)</x:f>
      </x:c>
      <x:c r="T1170" s="31" t="str">
        <x:f>'Blind Scoring'!J1170</x:f>
        <x:v>No</x:v>
      </x:c>
      <x:c r="U1170" s="31" t="str">
        <x:f>IF('Blind Scoring'!L1170="","",'Blind Scoring'!L1170)</x:f>
      </x:c>
    </x:row>
    <x:row r="1171" ht="44" customHeight="1">
      <x:c r="A1171" s="35" t="str">
        <x:v>Not Started</x:v>
      </x:c>
      <x:c r="B1171" s="35" t="n">
        <x:v>1169</x:v>
      </x:c>
      <x:c r="C1171" s="35" t="str">
        <x:v>P19</x:v>
      </x:c>
      <x:c r="D1171" s="35" t="n">
        <x:v>54</x:v>
      </x:c>
      <x:c r="E1171" s="35" t="str">
        <x:v>Primary VLA</x:v>
      </x:c>
      <x:c r="F1171" s="35" t="str">
        <x:v>MolmoAct2</x:v>
      </x:c>
      <x:c r="G1171" s="35" t="n">
        <x:v>3</x:v>
      </x:c>
      <x:c r="H1171" s="35" t="str">
        <x:v>Relational Placement</x:v>
      </x:c>
      <x:c r="I1171" s="35" t="str">
        <x:v>Training reconstruction</x:v>
      </x:c>
      <x:c r="J1171" s="35" t="str">
        <x:v>PVLA-RP-REC-03</x:v>
      </x:c>
      <x:c r="K1171" s="35" t="str"/>
      <x:c r="L1171" s="31" t="str">
        <x:v>Place the green pen behind the pink marker.</x:v>
      </x:c>
      <x:c r="M1171" s="31" t="str">
        <x:v>Place the green pen behind the pink marker.</x:v>
      </x:c>
      <x:c r="N1171" s="31" t="str">
        <x:v>Reconstruct planned final training episode 218: green pen, pink marker, red block; start=Home. Match camera, calibration, bowl pose, and object geometry exactly.</x:v>
      </x:c>
      <x:c r="O1171" s="31" t="str">
        <x:v>green pen</x:v>
      </x:c>
      <x:c r="P1171" s="31" t="str"/>
      <x:c r="Q1171" s="31" t="str"/>
      <x:c r="R1171" s="31" t="str"/>
      <x:c r="S1171" s="31" t="str">
        <x:f>IF('Blind Scoring'!I1171="","",'Blind Scoring'!I1171)</x:f>
      </x:c>
      <x:c r="T1171" s="31" t="str">
        <x:f>'Blind Scoring'!J1171</x:f>
        <x:v>No</x:v>
      </x:c>
      <x:c r="U1171" s="31" t="str">
        <x:f>IF('Blind Scoring'!L1171="","",'Blind Scoring'!L1171)</x:f>
      </x:c>
    </x:row>
    <x:row r="1172" ht="44" customHeight="1">
      <x:c r="A1172" s="35" t="str">
        <x:v>Not Started</x:v>
      </x:c>
      <x:c r="B1172" s="35" t="n">
        <x:v>1170</x:v>
      </x:c>
      <x:c r="C1172" s="35" t="str">
        <x:v>P19</x:v>
      </x:c>
      <x:c r="D1172" s="35" t="n">
        <x:v>55</x:v>
      </x:c>
      <x:c r="E1172" s="35" t="str">
        <x:v>Primary VLA</x:v>
      </x:c>
      <x:c r="F1172" s="35" t="str">
        <x:v>MolmoAct2</x:v>
      </x:c>
      <x:c r="G1172" s="35" t="n">
        <x:v>3</x:v>
      </x:c>
      <x:c r="H1172" s="35" t="str">
        <x:v>Relational Placement</x:v>
      </x:c>
      <x:c r="I1172" s="35" t="str">
        <x:v>Language ablation — blank</x:v>
      </x:c>
      <x:c r="J1172" s="35" t="str">
        <x:v>PVLA-RP-ABL-BLK-03</x:v>
      </x:c>
      <x:c r="K1172" s="35" t="str">
        <x:v>R-CF05</x:v>
      </x:c>
      <x:c r="L1172" s="31" t="str">
        <x:v>[EMPTY STRING — provide no instruction tokens]</x:v>
      </x:c>
      <x:c r="M1172" s="31" t="str">
        <x:v>Place the green pen to the left of the red block.</x:v>
      </x:c>
      <x:c r="N1172" s="31" t="str">
        <x:v>R-CF05-HELD: red block at front-right [REFERENCE]; green pen starts 21 cm to the right of the reference [TARGET START]; pink marker and blue block are distractors outside the commanded goal sector.</x:v>
      </x:c>
      <x:c r="O1172" s="31" t="str">
        <x:v>No prespecified task success under blank language; record any action/selected target.</x:v>
      </x:c>
      <x:c r="P1172" s="31" t="str"/>
      <x:c r="Q1172" s="31" t="str"/>
      <x:c r="R1172" s="31" t="str"/>
      <x:c r="S1172" s="31" t="str">
        <x:f>IF('Blind Scoring'!I1172="","",'Blind Scoring'!I1172)</x:f>
      </x:c>
      <x:c r="T1172" s="31" t="str">
        <x:f>'Blind Scoring'!J1172</x:f>
        <x:v>No</x:v>
      </x:c>
      <x:c r="U1172" s="31" t="str">
        <x:f>IF('Blind Scoring'!L1172="","",'Blind Scoring'!L1172)</x:f>
      </x:c>
    </x:row>
    <x:row r="1173" ht="44" customHeight="1">
      <x:c r="A1173" s="35" t="str">
        <x:v>Not Started</x:v>
      </x:c>
      <x:c r="B1173" s="35" t="n">
        <x:v>1171</x:v>
      </x:c>
      <x:c r="C1173" s="35" t="str">
        <x:v>P19</x:v>
      </x:c>
      <x:c r="D1173" s="35" t="n">
        <x:v>56</x:v>
      </x:c>
      <x:c r="E1173" s="35" t="str">
        <x:v>Primary VLA</x:v>
      </x:c>
      <x:c r="F1173" s="35" t="str">
        <x:v>MolmoAct2</x:v>
      </x:c>
      <x:c r="G1173" s="35" t="n">
        <x:v>3</x:v>
      </x:c>
      <x:c r="H1173" s="35" t="str">
        <x:v>Relational Placement</x:v>
      </x:c>
      <x:c r="I1173" s="35" t="str">
        <x:v>Main matched control</x:v>
      </x:c>
      <x:c r="J1173" s="35" t="str">
        <x:v>PVLA-RP-CTL-14</x:v>
      </x:c>
      <x:c r="K1173" s="35" t="str">
        <x:v>R-CF26</x:v>
      </x:c>
      <x:c r="L1173" s="31" t="str">
        <x:v>Place the red block next to the green pen.</x:v>
      </x:c>
      <x:c r="M1173" s="31" t="str">
        <x:v>Place the red block next to the green pen.</x:v>
      </x:c>
      <x:c r="N1173" s="31" t="str">
        <x:v>R-CF26-CTRL: green pen at center [REFERENCE]; red block starts 21 cm in front of the reference [TARGET START]; blue block and pink marker are distractors outside the commanded goal sector.</x:v>
      </x:c>
      <x:c r="O1173" s="31" t="str">
        <x:v>red block near green pen</x:v>
      </x:c>
      <x:c r="P1173" s="31" t="str"/>
      <x:c r="Q1173" s="31" t="str"/>
      <x:c r="R1173" s="31" t="str"/>
      <x:c r="S1173" s="31" t="str">
        <x:f>IF('Blind Scoring'!I1173="","",'Blind Scoring'!I1173)</x:f>
      </x:c>
      <x:c r="T1173" s="31" t="str">
        <x:f>'Blind Scoring'!J1173</x:f>
        <x:v>No</x:v>
      </x:c>
      <x:c r="U1173" s="31" t="str">
        <x:f>IF('Blind Scoring'!L1173="","",'Blind Scoring'!L1173)</x:f>
      </x:c>
    </x:row>
    <x:row r="1174" ht="44" customHeight="1">
      <x:c r="A1174" s="35" t="str">
        <x:v>Not Started</x:v>
      </x:c>
      <x:c r="B1174" s="35" t="n">
        <x:v>1172</x:v>
      </x:c>
      <x:c r="C1174" s="35" t="str">
        <x:v>P19</x:v>
      </x:c>
      <x:c r="D1174" s="35" t="n">
        <x:v>57</x:v>
      </x:c>
      <x:c r="E1174" s="35" t="str">
        <x:v>Primary VLA</x:v>
      </x:c>
      <x:c r="F1174" s="35" t="str">
        <x:v>MolmoAct2</x:v>
      </x:c>
      <x:c r="G1174" s="35" t="n">
        <x:v>3</x:v>
      </x:c>
      <x:c r="H1174" s="35" t="str">
        <x:v>Relational Placement</x:v>
      </x:c>
      <x:c r="I1174" s="35" t="str">
        <x:v>Exact-scene paraphrase</x:v>
      </x:c>
      <x:c r="J1174" s="35" t="str">
        <x:v>PVLA-RP-PAR-07</x:v>
      </x:c>
      <x:c r="K1174" s="35" t="str"/>
      <x:c r="L1174" s="31" t="str">
        <x:v>Move the red block to the side of the pink marker facing the robot.</x:v>
      </x:c>
      <x:c r="M1174" s="31" t="str">
        <x:v>Move the red block to the side of the pink marker facing the robot.</x:v>
      </x:c>
      <x:c r="N1174" s="31" t="str">
        <x:v>R-P01: pink marker at center [REFERENCE]; red block starts 21 cm behind the reference [TARGET START]; remaining objects are distractors with ≥12 cm clearance from the target path and commanded goal sector.</x:v>
      </x:c>
      <x:c r="O1174" s="31" t="str">
        <x:v>red block</x:v>
      </x:c>
      <x:c r="P1174" s="31" t="str"/>
      <x:c r="Q1174" s="31" t="str"/>
      <x:c r="R1174" s="31" t="str"/>
      <x:c r="S1174" s="31" t="str">
        <x:f>IF('Blind Scoring'!I1174="","",'Blind Scoring'!I1174)</x:f>
      </x:c>
      <x:c r="T1174" s="31" t="str">
        <x:f>'Blind Scoring'!J1174</x:f>
        <x:v>No</x:v>
      </x:c>
      <x:c r="U1174" s="31" t="str">
        <x:f>IF('Blind Scoring'!L1174="","",'Blind Scoring'!L1174)</x:f>
      </x:c>
    </x:row>
    <x:row r="1175" ht="44" customHeight="1">
      <x:c r="A1175" s="35" t="str">
        <x:v>Not Started</x:v>
      </x:c>
      <x:c r="B1175" s="35" t="n">
        <x:v>1173</x:v>
      </x:c>
      <x:c r="C1175" s="35" t="str">
        <x:v>P19</x:v>
      </x:c>
      <x:c r="D1175" s="35" t="n">
        <x:v>58</x:v>
      </x:c>
      <x:c r="E1175" s="35" t="str">
        <x:v>Primary VLA</x:v>
      </x:c>
      <x:c r="F1175" s="35" t="str">
        <x:v>MolmoAct2</x:v>
      </x:c>
      <x:c r="G1175" s="35" t="n">
        <x:v>3</x:v>
      </x:c>
      <x:c r="H1175" s="35" t="str">
        <x:v>Relational Placement</x:v>
      </x:c>
      <x:c r="I1175" s="35" t="str">
        <x:v>Language ablation — counterfactual</x:v>
      </x:c>
      <x:c r="J1175" s="35" t="str">
        <x:v>PVLA-RP-ABL-CF-03</x:v>
      </x:c>
      <x:c r="K1175" s="35" t="str">
        <x:v>R-CF13</x:v>
      </x:c>
      <x:c r="L1175" s="31" t="str">
        <x:v>Place the green pen to the right of the red block.</x:v>
      </x:c>
      <x:c r="M1175" s="31" t="str">
        <x:v>Place the green pen to the right of the red block.</x:v>
      </x:c>
      <x:c r="N1175" s="31" t="str">
        <x:v>R-CF13-HELD: red block at back-right [REFERENCE]; green pen starts 18 cm to the right of the reference [TARGET START]; pink marker and blue block are distractors outside the commanded goal sector.</x:v>
      </x:c>
      <x:c r="O1175" s="31" t="str">
        <x:v>green pen → to the right of red block</x:v>
      </x:c>
      <x:c r="P1175" s="31" t="str"/>
      <x:c r="Q1175" s="31" t="str"/>
      <x:c r="R1175" s="31" t="str"/>
      <x:c r="S1175" s="31" t="str">
        <x:f>IF('Blind Scoring'!I1175="","",'Blind Scoring'!I1175)</x:f>
      </x:c>
      <x:c r="T1175" s="31" t="str">
        <x:f>'Blind Scoring'!J1175</x:f>
        <x:v>No</x:v>
      </x:c>
      <x:c r="U1175" s="31" t="str">
        <x:f>IF('Blind Scoring'!L1175="","",'Blind Scoring'!L1175)</x:f>
      </x:c>
    </x:row>
    <x:row r="1176" ht="44" customHeight="1">
      <x:c r="A1176" s="35" t="str">
        <x:v>Not Started</x:v>
      </x:c>
      <x:c r="B1176" s="35" t="n">
        <x:v>1174</x:v>
      </x:c>
      <x:c r="C1176" s="35" t="str">
        <x:v>P19</x:v>
      </x:c>
      <x:c r="D1176" s="35" t="n">
        <x:v>59</x:v>
      </x:c>
      <x:c r="E1176" s="35" t="str">
        <x:v>Primary VLA</x:v>
      </x:c>
      <x:c r="F1176" s="35" t="str">
        <x:v>MolmoAct2</x:v>
      </x:c>
      <x:c r="G1176" s="35" t="n">
        <x:v>3</x:v>
      </x:c>
      <x:c r="H1176" s="35" t="str">
        <x:v>Relational Placement</x:v>
      </x:c>
      <x:c r="I1176" s="35" t="str">
        <x:v>Main matched control</x:v>
      </x:c>
      <x:c r="J1176" s="35" t="str">
        <x:v>PVLA-RP-CTL-12</x:v>
      </x:c>
      <x:c r="K1176" s="35" t="str">
        <x:v>R-CF22</x:v>
      </x:c>
      <x:c r="L1176" s="31" t="str">
        <x:v>Place the red block near the green pen.</x:v>
      </x:c>
      <x:c r="M1176" s="31" t="str">
        <x:v>Place the red block near the green pen.</x:v>
      </x:c>
      <x:c r="N1176" s="31" t="str">
        <x:v>R-CF22-CTRL: green pen at back-left [REFERENCE]; red block starts 18 cm to the left of the reference [TARGET START]; blue block and pink marker are distractors outside the commanded goal sector.</x:v>
      </x:c>
      <x:c r="O1176" s="31" t="str">
        <x:v>red block near green pen</x:v>
      </x:c>
      <x:c r="P1176" s="31" t="str"/>
      <x:c r="Q1176" s="31" t="str"/>
      <x:c r="R1176" s="31" t="str"/>
      <x:c r="S1176" s="31" t="str">
        <x:f>IF('Blind Scoring'!I1176="","",'Blind Scoring'!I1176)</x:f>
      </x:c>
      <x:c r="T1176" s="31" t="str">
        <x:f>'Blind Scoring'!J1176</x:f>
        <x:v>No</x:v>
      </x:c>
      <x:c r="U1176" s="31" t="str">
        <x:f>IF('Blind Scoring'!L1176="","",'Blind Scoring'!L1176)</x:f>
      </x:c>
    </x:row>
    <x:row r="1177" ht="44" customHeight="1">
      <x:c r="A1177" s="35" t="str">
        <x:v>Not Started</x:v>
      </x:c>
      <x:c r="B1177" s="35" t="n">
        <x:v>1175</x:v>
      </x:c>
      <x:c r="C1177" s="35" t="str">
        <x:v>P19</x:v>
      </x:c>
      <x:c r="D1177" s="35" t="n">
        <x:v>60</x:v>
      </x:c>
      <x:c r="E1177" s="35" t="str">
        <x:v>Primary VLA</x:v>
      </x:c>
      <x:c r="F1177" s="35" t="str">
        <x:v>MolmoAct2</x:v>
      </x:c>
      <x:c r="G1177" s="35" t="n">
        <x:v>3</x:v>
      </x:c>
      <x:c r="H1177" s="35" t="str">
        <x:v>Relational Placement</x:v>
      </x:c>
      <x:c r="I1177" s="35" t="str">
        <x:v>Main held-out transfer</x:v>
      </x:c>
      <x:c r="J1177" s="35" t="str">
        <x:v>PVLA-RP-TR-02</x:v>
      </x:c>
      <x:c r="K1177" s="35" t="str">
        <x:v>R-CF03</x:v>
      </x:c>
      <x:c r="L1177" s="31" t="str">
        <x:v>Place the green pen to the right of the red block.</x:v>
      </x:c>
      <x:c r="M1177" s="31" t="str">
        <x:v>Place the green pen to the right of the red block.</x:v>
      </x:c>
      <x:c r="N1177" s="31" t="str">
        <x:v>R-CF03-HELD: red block at back-right [REFERENCE]; green pen starts 24 cm to the left of the reference [TARGET START]; pink marker and blue block are distractors outside the commanded goal sector.</x:v>
      </x:c>
      <x:c r="O1177" s="31" t="str">
        <x:v>green pen → to the right of red block</x:v>
      </x:c>
      <x:c r="P1177" s="31" t="str"/>
      <x:c r="Q1177" s="31" t="str"/>
      <x:c r="R1177" s="31" t="str"/>
      <x:c r="S1177" s="31" t="str">
        <x:f>IF('Blind Scoring'!I1177="","",'Blind Scoring'!I1177)</x:f>
      </x:c>
      <x:c r="T1177" s="31" t="str">
        <x:f>'Blind Scoring'!J1177</x:f>
        <x:v>No</x:v>
      </x:c>
      <x:c r="U1177" s="31" t="str">
        <x:f>IF('Blind Scoring'!L1177="","",'Blind Scoring'!L1177)</x:f>
      </x:c>
    </x:row>
    <x:row r="1178" ht="44" customHeight="1">
      <x:c r="A1178" s="35" t="str">
        <x:v>Not Started</x:v>
      </x:c>
      <x:c r="B1178" s="35" t="n">
        <x:v>1176</x:v>
      </x:c>
      <x:c r="C1178" s="35" t="str">
        <x:v>P19</x:v>
      </x:c>
      <x:c r="D1178" s="35" t="n">
        <x:v>61</x:v>
      </x:c>
      <x:c r="E1178" s="35" t="str">
        <x:v>Primary VLA</x:v>
      </x:c>
      <x:c r="F1178" s="35" t="str">
        <x:v>MolmoAct2</x:v>
      </x:c>
      <x:c r="G1178" s="35" t="n">
        <x:v>3</x:v>
      </x:c>
      <x:c r="H1178" s="35" t="str">
        <x:v>Relational Placement</x:v>
      </x:c>
      <x:c r="I1178" s="35" t="str">
        <x:v>Main held-out transfer</x:v>
      </x:c>
      <x:c r="J1178" s="35" t="str">
        <x:v>PVLA-RP-TR-09</x:v>
      </x:c>
      <x:c r="K1178" s="35" t="str">
        <x:v>R-CF16</x:v>
      </x:c>
      <x:c r="L1178" s="31" t="str">
        <x:v>Place the red block to the left of the green pen.</x:v>
      </x:c>
      <x:c r="M1178" s="31" t="str">
        <x:v>Place the red block to the left of the green pen.</x:v>
      </x:c>
      <x:c r="N1178" s="31" t="str">
        <x:v>R-CF16-HELD: green pen at center [REFERENCE]; red block starts 18 cm to the right of the reference [TARGET START]; blue block and pink marker are distractors outside the commanded goal sector.</x:v>
      </x:c>
      <x:c r="O1178" s="31" t="str">
        <x:v>red block → to the left of green pen</x:v>
      </x:c>
      <x:c r="P1178" s="31" t="str"/>
      <x:c r="Q1178" s="31" t="str"/>
      <x:c r="R1178" s="31" t="str"/>
      <x:c r="S1178" s="31" t="str">
        <x:f>IF('Blind Scoring'!I1178="","",'Blind Scoring'!I1178)</x:f>
      </x:c>
      <x:c r="T1178" s="31" t="str">
        <x:f>'Blind Scoring'!J1178</x:f>
        <x:v>No</x:v>
      </x:c>
      <x:c r="U1178" s="31" t="str">
        <x:f>IF('Blind Scoring'!L1178="","",'Blind Scoring'!L1178)</x:f>
      </x:c>
    </x:row>
    <x:row r="1179" ht="44" customHeight="1">
      <x:c r="A1179" s="35" t="str">
        <x:v>Not Started</x:v>
      </x:c>
      <x:c r="B1179" s="35" t="n">
        <x:v>1177</x:v>
      </x:c>
      <x:c r="C1179" s="35" t="str">
        <x:v>P19</x:v>
      </x:c>
      <x:c r="D1179" s="35" t="n">
        <x:v>62</x:v>
      </x:c>
      <x:c r="E1179" s="35" t="str">
        <x:v>Primary VLA</x:v>
      </x:c>
      <x:c r="F1179" s="35" t="str">
        <x:v>MolmoAct2</x:v>
      </x:c>
      <x:c r="G1179" s="35" t="n">
        <x:v>3</x:v>
      </x:c>
      <x:c r="H1179" s="35" t="str">
        <x:v>Relational Placement</x:v>
      </x:c>
      <x:c r="I1179" s="35" t="str">
        <x:v>Exact-scene paraphrase</x:v>
      </x:c>
      <x:c r="J1179" s="35" t="str">
        <x:v>PVLA-RP-PAR-08</x:v>
      </x:c>
      <x:c r="K1179" s="35" t="str"/>
      <x:c r="L1179" s="31" t="str">
        <x:v>Move the red block to the side of the pink marker facing the robot.</x:v>
      </x:c>
      <x:c r="M1179" s="31" t="str">
        <x:v>Move the red block to the side of the pink marker facing the robot.</x:v>
      </x:c>
      <x:c r="N1179" s="31" t="str">
        <x:v>R-P01: pink marker at center [REFERENCE]; red block starts 21 cm behind the reference [TARGET START]; remaining objects are distractors with ≥12 cm clearance from the target path and commanded goal sector.</x:v>
      </x:c>
      <x:c r="O1179" s="31" t="str">
        <x:v>red block</x:v>
      </x:c>
      <x:c r="P1179" s="31" t="str"/>
      <x:c r="Q1179" s="31" t="str"/>
      <x:c r="R1179" s="31" t="str"/>
      <x:c r="S1179" s="31" t="str">
        <x:f>IF('Blind Scoring'!I1179="","",'Blind Scoring'!I1179)</x:f>
      </x:c>
      <x:c r="T1179" s="31" t="str">
        <x:f>'Blind Scoring'!J1179</x:f>
        <x:v>No</x:v>
      </x:c>
      <x:c r="U1179" s="31" t="str">
        <x:f>IF('Blind Scoring'!L1179="","",'Blind Scoring'!L1179)</x:f>
      </x:c>
    </x:row>
    <x:row r="1180" ht="44" customHeight="1">
      <x:c r="A1180" s="35" t="str">
        <x:v>Not Started</x:v>
      </x:c>
      <x:c r="B1180" s="35" t="n">
        <x:v>1178</x:v>
      </x:c>
      <x:c r="C1180" s="35" t="str">
        <x:v>P20</x:v>
      </x:c>
      <x:c r="D1180" s="35" t="n">
        <x:v>1</x:v>
      </x:c>
      <x:c r="E1180" s="35" t="str">
        <x:v>Primary VLA</x:v>
      </x:c>
      <x:c r="F1180" s="35" t="str">
        <x:v>MolmoAct2</x:v>
      </x:c>
      <x:c r="G1180" s="35" t="n">
        <x:v>3</x:v>
      </x:c>
      <x:c r="H1180" s="35" t="str">
        <x:v>Counting</x:v>
      </x:c>
      <x:c r="I1180" s="35" t="str">
        <x:v>Main held-out transfer</x:v>
      </x:c>
      <x:c r="J1180" s="35" t="str">
        <x:v>PVLA-CT-TR-03</x:v>
      </x:c>
      <x:c r="K1180" s="35" t="str">
        <x:v>C-CF03-A</x:v>
      </x:c>
      <x:c r="L1180" s="31" t="str">
        <x:v>Leave exactly one object in the bowl.</x:v>
      </x:c>
      <x:c r="M1180" s="31" t="str">
        <x:v>Leave exactly one object in the bowl.</x:v>
      </x:c>
      <x:c r="N1180" s="31" t="str">
        <x:v>C-CF03A: bowl=[green pencil sharpener, airplane toy without propellers] (2); table=[blue pen, yellow block]; robot home; acceptable action=remove either bowl object.</x:v>
      </x:c>
      <x:c r="O1180" s="31" t="str">
        <x:v>REMOVE one bowl object</x:v>
      </x:c>
      <x:c r="P1180" s="31" t="str"/>
      <x:c r="Q1180" s="31" t="str"/>
      <x:c r="R1180" s="31" t="str"/>
      <x:c r="S1180" s="31" t="str">
        <x:f>IF('Blind Scoring'!I1180="","",'Blind Scoring'!I1180)</x:f>
      </x:c>
      <x:c r="T1180" s="31" t="str">
        <x:f>'Blind Scoring'!J1180</x:f>
        <x:v>No</x:v>
      </x:c>
      <x:c r="U1180" s="31" t="str">
        <x:f>IF('Blind Scoring'!L1180="","",'Blind Scoring'!L1180)</x:f>
      </x:c>
    </x:row>
    <x:row r="1181" ht="44" customHeight="1">
      <x:c r="A1181" s="35" t="str">
        <x:v>Not Started</x:v>
      </x:c>
      <x:c r="B1181" s="35" t="n">
        <x:v>1179</x:v>
      </x:c>
      <x:c r="C1181" s="35" t="str">
        <x:v>P20</x:v>
      </x:c>
      <x:c r="D1181" s="35" t="n">
        <x:v>2</x:v>
      </x:c>
      <x:c r="E1181" s="35" t="str">
        <x:v>Primary VLA</x:v>
      </x:c>
      <x:c r="F1181" s="35" t="str">
        <x:v>MolmoAct2</x:v>
      </x:c>
      <x:c r="G1181" s="35" t="n">
        <x:v>3</x:v>
      </x:c>
      <x:c r="H1181" s="35" t="str">
        <x:v>Counting</x:v>
      </x:c>
      <x:c r="I1181" s="35" t="str">
        <x:v>Language ablation — blank</x:v>
      </x:c>
      <x:c r="J1181" s="35" t="str">
        <x:v>PVLA-CT-ABL-BLK-03</x:v>
      </x:c>
      <x:c r="K1181" s="35" t="str">
        <x:v>C-CF03-A</x:v>
      </x:c>
      <x:c r="L1181" s="31" t="str">
        <x:v>[EMPTY STRING — provide no instruction tokens]</x:v>
      </x:c>
      <x:c r="M1181" s="31" t="str">
        <x:v>Leave exactly one object in the bowl.</x:v>
      </x:c>
      <x:c r="N1181" s="31" t="str">
        <x:v>C-CF03A: bowl=[green pencil sharpener, airplane toy without propellers] (2); table=[blue pen, yellow block]; robot home; acceptable action=remove either bowl object.</x:v>
      </x:c>
      <x:c r="O1181" s="31" t="str">
        <x:v>No prespecified task success under blank language; record any action/selected target.</x:v>
      </x:c>
      <x:c r="P1181" s="31" t="str"/>
      <x:c r="Q1181" s="31" t="str"/>
      <x:c r="R1181" s="31" t="str"/>
      <x:c r="S1181" s="31" t="str">
        <x:f>IF('Blind Scoring'!I1181="","",'Blind Scoring'!I1181)</x:f>
      </x:c>
      <x:c r="T1181" s="31" t="str">
        <x:f>'Blind Scoring'!J1181</x:f>
        <x:v>No</x:v>
      </x:c>
      <x:c r="U1181" s="31" t="str">
        <x:f>IF('Blind Scoring'!L1181="","",'Blind Scoring'!L1181)</x:f>
      </x:c>
    </x:row>
    <x:row r="1182" ht="44" customHeight="1">
      <x:c r="A1182" s="35" t="str">
        <x:v>Not Started</x:v>
      </x:c>
      <x:c r="B1182" s="35" t="n">
        <x:v>1180</x:v>
      </x:c>
      <x:c r="C1182" s="35" t="str">
        <x:v>P20</x:v>
      </x:c>
      <x:c r="D1182" s="35" t="n">
        <x:v>3</x:v>
      </x:c>
      <x:c r="E1182" s="35" t="str">
        <x:v>Primary VLA</x:v>
      </x:c>
      <x:c r="F1182" s="35" t="str">
        <x:v>MolmoAct2</x:v>
      </x:c>
      <x:c r="G1182" s="35" t="n">
        <x:v>3</x:v>
      </x:c>
      <x:c r="H1182" s="35" t="str">
        <x:v>Counting</x:v>
      </x:c>
      <x:c r="I1182" s="35" t="str">
        <x:v>Main matched control</x:v>
      </x:c>
      <x:c r="J1182" s="35" t="str">
        <x:v>PVLA-CT-CTL-03</x:v>
      </x:c>
      <x:c r="K1182" s="35" t="str">
        <x:v>C-CF03-A</x:v>
      </x:c>
      <x:c r="L1182" s="31" t="str">
        <x:v>Remove the green pencil sharpener from the bowl.</x:v>
      </x:c>
      <x:c r="M1182" s="31" t="str">
        <x:v>Remove the green pencil sharpener from the bowl.</x:v>
      </x:c>
      <x:c r="N1182" s="31" t="str">
        <x:v>C-CF03-CA: bowl=[green pencil sharpener, airplane toy without propellers] (2); table=[blue pen, yellow block]; robot home; acceptable action=remove either bowl object.</x:v>
      </x:c>
      <x:c r="O1182" s="31" t="str">
        <x:v>REMOVE green pencil sharpener</x:v>
      </x:c>
      <x:c r="P1182" s="31" t="str"/>
      <x:c r="Q1182" s="31" t="str"/>
      <x:c r="R1182" s="31" t="str"/>
      <x:c r="S1182" s="31" t="str">
        <x:f>IF('Blind Scoring'!I1182="","",'Blind Scoring'!I1182)</x:f>
      </x:c>
      <x:c r="T1182" s="31" t="str">
        <x:f>'Blind Scoring'!J1182</x:f>
        <x:v>No</x:v>
      </x:c>
      <x:c r="U1182" s="31" t="str">
        <x:f>IF('Blind Scoring'!L1182="","",'Blind Scoring'!L1182)</x:f>
      </x:c>
    </x:row>
    <x:row r="1183" ht="44" customHeight="1">
      <x:c r="A1183" s="35" t="str">
        <x:v>Not Started</x:v>
      </x:c>
      <x:c r="B1183" s="35" t="n">
        <x:v>1181</x:v>
      </x:c>
      <x:c r="C1183" s="35" t="str">
        <x:v>P20</x:v>
      </x:c>
      <x:c r="D1183" s="35" t="n">
        <x:v>4</x:v>
      </x:c>
      <x:c r="E1183" s="35" t="str">
        <x:v>Primary VLA</x:v>
      </x:c>
      <x:c r="F1183" s="35" t="str">
        <x:v>MolmoAct2</x:v>
      </x:c>
      <x:c r="G1183" s="35" t="n">
        <x:v>3</x:v>
      </x:c>
      <x:c r="H1183" s="35" t="str">
        <x:v>Counting</x:v>
      </x:c>
      <x:c r="I1183" s="35" t="str">
        <x:v>Exact-scene paraphrase</x:v>
      </x:c>
      <x:c r="J1183" s="35" t="str">
        <x:v>PVLA-CT-PAR-07</x:v>
      </x:c>
      <x:c r="K1183" s="35" t="str"/>
      <x:c r="L1183" s="31" t="str">
        <x:v>Finish with two objects in the bowl.</x:v>
      </x:c>
      <x:c r="M1183" s="31" t="str">
        <x:v>Finish with two objects in the bowl.</x:v>
      </x:c>
      <x:c r="N1183" s="31" t="str">
        <x:v>C-N01: bowl=[blue pen] (1); table left→right=[yellow block, green pencil sharpener, airplane toy without propellers]; robot home.</x:v>
      </x:c>
      <x:c r="O1183" s="31" t="str"/>
      <x:c r="P1183" s="31" t="str"/>
      <x:c r="Q1183" s="31" t="str"/>
      <x:c r="R1183" s="31" t="str"/>
      <x:c r="S1183" s="31" t="str">
        <x:f>IF('Blind Scoring'!I1183="","",'Blind Scoring'!I1183)</x:f>
      </x:c>
      <x:c r="T1183" s="31" t="str">
        <x:f>'Blind Scoring'!J1183</x:f>
        <x:v>No</x:v>
      </x:c>
      <x:c r="U1183" s="31" t="str">
        <x:f>IF('Blind Scoring'!L1183="","",'Blind Scoring'!L1183)</x:f>
      </x:c>
    </x:row>
    <x:row r="1184" ht="44" customHeight="1">
      <x:c r="A1184" s="35" t="str">
        <x:v>Not Started</x:v>
      </x:c>
      <x:c r="B1184" s="35" t="n">
        <x:v>1182</x:v>
      </x:c>
      <x:c r="C1184" s="35" t="str">
        <x:v>P20</x:v>
      </x:c>
      <x:c r="D1184" s="35" t="n">
        <x:v>5</x:v>
      </x:c>
      <x:c r="E1184" s="35" t="str">
        <x:v>Primary VLA</x:v>
      </x:c>
      <x:c r="F1184" s="35" t="str">
        <x:v>MolmoAct2</x:v>
      </x:c>
      <x:c r="G1184" s="35" t="n">
        <x:v>3</x:v>
      </x:c>
      <x:c r="H1184" s="35" t="str">
        <x:v>Counting</x:v>
      </x:c>
      <x:c r="I1184" s="35" t="str">
        <x:v>Main held-out transfer</x:v>
      </x:c>
      <x:c r="J1184" s="35" t="str">
        <x:v>PVLA-CT-TR-09</x:v>
      </x:c>
      <x:c r="K1184" s="35" t="str">
        <x:v>C-CF07-A</x:v>
      </x:c>
      <x:c r="L1184" s="31" t="str">
        <x:v>Leave exactly one object in the bowl.</x:v>
      </x:c>
      <x:c r="M1184" s="31" t="str">
        <x:v>Leave exactly one object in the bowl.</x:v>
      </x:c>
      <x:c r="N1184" s="31" t="str">
        <x:v>C-CF07A: bowl=[green pencil sharpener, airplane toy without propellers] (2); table=[blue pen, yellow block]; robot home; acceptable action=remove either bowl object.</x:v>
      </x:c>
      <x:c r="O1184" s="31" t="str">
        <x:v>REMOVE one bowl object</x:v>
      </x:c>
      <x:c r="P1184" s="31" t="str"/>
      <x:c r="Q1184" s="31" t="str"/>
      <x:c r="R1184" s="31" t="str"/>
      <x:c r="S1184" s="31" t="str">
        <x:f>IF('Blind Scoring'!I1184="","",'Blind Scoring'!I1184)</x:f>
      </x:c>
      <x:c r="T1184" s="31" t="str">
        <x:f>'Blind Scoring'!J1184</x:f>
        <x:v>No</x:v>
      </x:c>
      <x:c r="U1184" s="31" t="str">
        <x:f>IF('Blind Scoring'!L1184="","",'Blind Scoring'!L1184)</x:f>
      </x:c>
    </x:row>
    <x:row r="1185" ht="44" customHeight="1">
      <x:c r="A1185" s="35" t="str">
        <x:v>Not Started</x:v>
      </x:c>
      <x:c r="B1185" s="35" t="n">
        <x:v>1183</x:v>
      </x:c>
      <x:c r="C1185" s="35" t="str">
        <x:v>P20</x:v>
      </x:c>
      <x:c r="D1185" s="35" t="n">
        <x:v>6</x:v>
      </x:c>
      <x:c r="E1185" s="35" t="str">
        <x:v>Primary VLA</x:v>
      </x:c>
      <x:c r="F1185" s="35" t="str">
        <x:v>MolmoAct2</x:v>
      </x:c>
      <x:c r="G1185" s="35" t="n">
        <x:v>3</x:v>
      </x:c>
      <x:c r="H1185" s="35" t="str">
        <x:v>Counting</x:v>
      </x:c>
      <x:c r="I1185" s="35" t="str">
        <x:v>Main held-out transfer</x:v>
      </x:c>
      <x:c r="J1185" s="35" t="str">
        <x:v>PVLA-CT-TR-04</x:v>
      </x:c>
      <x:c r="K1185" s="35" t="str">
        <x:v>C-CF03-B</x:v>
      </x:c>
      <x:c r="L1185" s="31" t="str">
        <x:v>Leave exactly three objects in the bowl.</x:v>
      </x:c>
      <x:c r="M1185" s="31" t="str">
        <x:v>Leave exactly three objects in the bowl.</x:v>
      </x:c>
      <x:c r="N1185" s="31" t="str">
        <x:v>C-CF03B: bowl=[green pencil sharpener, airplane toy without propellers] (2); table=[blue pen, yellow block]; robot home; acceptable action=add either table object.</x:v>
      </x:c>
      <x:c r="O1185" s="31" t="str">
        <x:v>ADD one table object</x:v>
      </x:c>
      <x:c r="P1185" s="31" t="str"/>
      <x:c r="Q1185" s="31" t="str"/>
      <x:c r="R1185" s="31" t="str"/>
      <x:c r="S1185" s="31" t="str">
        <x:f>IF('Blind Scoring'!I1185="","",'Blind Scoring'!I1185)</x:f>
      </x:c>
      <x:c r="T1185" s="31" t="str">
        <x:f>'Blind Scoring'!J1185</x:f>
        <x:v>No</x:v>
      </x:c>
      <x:c r="U1185" s="31" t="str">
        <x:f>IF('Blind Scoring'!L1185="","",'Blind Scoring'!L1185)</x:f>
      </x:c>
    </x:row>
    <x:row r="1186" ht="44" customHeight="1">
      <x:c r="A1186" s="35" t="str">
        <x:v>Not Started</x:v>
      </x:c>
      <x:c r="B1186" s="35" t="n">
        <x:v>1184</x:v>
      </x:c>
      <x:c r="C1186" s="35" t="str">
        <x:v>P20</x:v>
      </x:c>
      <x:c r="D1186" s="35" t="n">
        <x:v>7</x:v>
      </x:c>
      <x:c r="E1186" s="35" t="str">
        <x:v>Primary VLA</x:v>
      </x:c>
      <x:c r="F1186" s="35" t="str">
        <x:v>MolmoAct2</x:v>
      </x:c>
      <x:c r="G1186" s="35" t="n">
        <x:v>3</x:v>
      </x:c>
      <x:c r="H1186" s="35" t="str">
        <x:v>Counting</x:v>
      </x:c>
      <x:c r="I1186" s="35" t="str">
        <x:v>Main held-out transfer</x:v>
      </x:c>
      <x:c r="J1186" s="35" t="str">
        <x:v>PVLA-CT-TR-13</x:v>
      </x:c>
      <x:c r="K1186" s="35" t="str">
        <x:v>C-CF10-A</x:v>
      </x:c>
      <x:c r="L1186" s="31" t="str">
        <x:v>Leave exactly one object in the bowl.</x:v>
      </x:c>
      <x:c r="M1186" s="31" t="str">
        <x:v>Leave exactly one object in the bowl.</x:v>
      </x:c>
      <x:c r="N1186" s="31" t="str">
        <x:v>C-CF10A: bowl=[yellow block, green pencil sharpener] (2); table=[airplane toy without propellers, blue pen]; robot home; acceptable action=remove either bowl object.</x:v>
      </x:c>
      <x:c r="O1186" s="31" t="str">
        <x:v>REMOVE one bowl object</x:v>
      </x:c>
      <x:c r="P1186" s="31" t="str"/>
      <x:c r="Q1186" s="31" t="str"/>
      <x:c r="R1186" s="31" t="str"/>
      <x:c r="S1186" s="31" t="str">
        <x:f>IF('Blind Scoring'!I1186="","",'Blind Scoring'!I1186)</x:f>
      </x:c>
      <x:c r="T1186" s="31" t="str">
        <x:f>'Blind Scoring'!J1186</x:f>
        <x:v>No</x:v>
      </x:c>
      <x:c r="U1186" s="31" t="str">
        <x:f>IF('Blind Scoring'!L1186="","",'Blind Scoring'!L1186)</x:f>
      </x:c>
    </x:row>
    <x:row r="1187" ht="44" customHeight="1">
      <x:c r="A1187" s="35" t="str">
        <x:v>Not Started</x:v>
      </x:c>
      <x:c r="B1187" s="35" t="n">
        <x:v>1185</x:v>
      </x:c>
      <x:c r="C1187" s="35" t="str">
        <x:v>P20</x:v>
      </x:c>
      <x:c r="D1187" s="35" t="n">
        <x:v>8</x:v>
      </x:c>
      <x:c r="E1187" s="35" t="str">
        <x:v>Primary VLA</x:v>
      </x:c>
      <x:c r="F1187" s="35" t="str">
        <x:v>MolmoAct2</x:v>
      </x:c>
      <x:c r="G1187" s="35" t="n">
        <x:v>3</x:v>
      </x:c>
      <x:c r="H1187" s="35" t="str">
        <x:v>Counting</x:v>
      </x:c>
      <x:c r="I1187" s="35" t="str">
        <x:v>Main held-out transfer</x:v>
      </x:c>
      <x:c r="J1187" s="35" t="str">
        <x:v>PVLA-CT-TR-15</x:v>
      </x:c>
      <x:c r="K1187" s="35" t="str">
        <x:v>C-CF12-A</x:v>
      </x:c>
      <x:c r="L1187" s="31" t="str">
        <x:v>Leave exactly one object in the bowl.</x:v>
      </x:c>
      <x:c r="M1187" s="31" t="str">
        <x:v>Leave exactly one object in the bowl.</x:v>
      </x:c>
      <x:c r="N1187" s="31" t="str">
        <x:v>C-CF12A: bowl=[airplane toy without propellers, blue pen] (2); table=[yellow block, green pencil sharpener]; robot home; acceptable action=remove either bowl object.</x:v>
      </x:c>
      <x:c r="O1187" s="31" t="str">
        <x:v>REMOVE one bowl object</x:v>
      </x:c>
      <x:c r="P1187" s="31" t="str"/>
      <x:c r="Q1187" s="31" t="str"/>
      <x:c r="R1187" s="31" t="str"/>
      <x:c r="S1187" s="31" t="str">
        <x:f>IF('Blind Scoring'!I1187="","",'Blind Scoring'!I1187)</x:f>
      </x:c>
      <x:c r="T1187" s="31" t="str">
        <x:f>'Blind Scoring'!J1187</x:f>
        <x:v>No</x:v>
      </x:c>
      <x:c r="U1187" s="31" t="str">
        <x:f>IF('Blind Scoring'!L1187="","",'Blind Scoring'!L1187)</x:f>
      </x:c>
    </x:row>
    <x:row r="1188" ht="44" customHeight="1">
      <x:c r="A1188" s="35" t="str">
        <x:v>Not Started</x:v>
      </x:c>
      <x:c r="B1188" s="35" t="n">
        <x:v>1186</x:v>
      </x:c>
      <x:c r="C1188" s="35" t="str">
        <x:v>P20</x:v>
      </x:c>
      <x:c r="D1188" s="35" t="n">
        <x:v>9</x:v>
      </x:c>
      <x:c r="E1188" s="35" t="str">
        <x:v>Primary VLA</x:v>
      </x:c>
      <x:c r="F1188" s="35" t="str">
        <x:v>MolmoAct2</x:v>
      </x:c>
      <x:c r="G1188" s="35" t="n">
        <x:v>3</x:v>
      </x:c>
      <x:c r="H1188" s="35" t="str">
        <x:v>Counting</x:v>
      </x:c>
      <x:c r="I1188" s="35" t="str">
        <x:v>Main held-out transfer</x:v>
      </x:c>
      <x:c r="J1188" s="35" t="str">
        <x:v>PVLA-CT-TR-11</x:v>
      </x:c>
      <x:c r="K1188" s="35" t="str">
        <x:v>C-CF09-A</x:v>
      </x:c>
      <x:c r="L1188" s="31" t="str">
        <x:v>Leave exactly one object in the bowl.</x:v>
      </x:c>
      <x:c r="M1188" s="31" t="str">
        <x:v>Leave exactly one object in the bowl.</x:v>
      </x:c>
      <x:c r="N1188" s="31" t="str">
        <x:v>C-CF09A: bowl=[blue pen, yellow block] (2); table=[green pencil sharpener, airplane toy without propellers]; robot home; acceptable action=remove either bowl object.</x:v>
      </x:c>
      <x:c r="O1188" s="31" t="str">
        <x:v>REMOVE one bowl object</x:v>
      </x:c>
      <x:c r="P1188" s="31" t="str"/>
      <x:c r="Q1188" s="31" t="str"/>
      <x:c r="R1188" s="31" t="str"/>
      <x:c r="S1188" s="31" t="str">
        <x:f>IF('Blind Scoring'!I1188="","",'Blind Scoring'!I1188)</x:f>
      </x:c>
      <x:c r="T1188" s="31" t="str">
        <x:f>'Blind Scoring'!J1188</x:f>
        <x:v>No</x:v>
      </x:c>
      <x:c r="U1188" s="31" t="str">
        <x:f>IF('Blind Scoring'!L1188="","",'Blind Scoring'!L1188)</x:f>
      </x:c>
    </x:row>
    <x:row r="1189" ht="44" customHeight="1">
      <x:c r="A1189" s="35" t="str">
        <x:v>Not Started</x:v>
      </x:c>
      <x:c r="B1189" s="35" t="n">
        <x:v>1187</x:v>
      </x:c>
      <x:c r="C1189" s="35" t="str">
        <x:v>P20</x:v>
      </x:c>
      <x:c r="D1189" s="35" t="n">
        <x:v>10</x:v>
      </x:c>
      <x:c r="E1189" s="35" t="str">
        <x:v>Primary VLA</x:v>
      </x:c>
      <x:c r="F1189" s="35" t="str">
        <x:v>MolmoAct2</x:v>
      </x:c>
      <x:c r="G1189" s="35" t="n">
        <x:v>3</x:v>
      </x:c>
      <x:c r="H1189" s="35" t="str">
        <x:v>Counting</x:v>
      </x:c>
      <x:c r="I1189" s="35" t="str">
        <x:v>Exact-scene paraphrase</x:v>
      </x:c>
      <x:c r="J1189" s="35" t="str">
        <x:v>PVLA-CT-PAR-06</x:v>
      </x:c>
      <x:c r="K1189" s="35" t="str"/>
      <x:c r="L1189" s="31" t="str">
        <x:v>Finish with two objects in the bowl.</x:v>
      </x:c>
      <x:c r="M1189" s="31" t="str">
        <x:v>Finish with two objects in the bowl.</x:v>
      </x:c>
      <x:c r="N1189" s="31" t="str">
        <x:v>C-N01: bowl=[blue pen] (1); table left→right=[yellow block, green pencil sharpener, airplane toy without propellers]; robot home.</x:v>
      </x:c>
      <x:c r="O1189" s="31" t="str"/>
      <x:c r="P1189" s="31" t="str"/>
      <x:c r="Q1189" s="31" t="str"/>
      <x:c r="R1189" s="31" t="str"/>
      <x:c r="S1189" s="31" t="str">
        <x:f>IF('Blind Scoring'!I1189="","",'Blind Scoring'!I1189)</x:f>
      </x:c>
      <x:c r="T1189" s="31" t="str">
        <x:f>'Blind Scoring'!J1189</x:f>
        <x:v>No</x:v>
      </x:c>
      <x:c r="U1189" s="31" t="str">
        <x:f>IF('Blind Scoring'!L1189="","",'Blind Scoring'!L1189)</x:f>
      </x:c>
    </x:row>
    <x:row r="1190" ht="44" customHeight="1">
      <x:c r="A1190" s="35" t="str">
        <x:v>Not Started</x:v>
      </x:c>
      <x:c r="B1190" s="35" t="n">
        <x:v>1188</x:v>
      </x:c>
      <x:c r="C1190" s="35" t="str">
        <x:v>P20</x:v>
      </x:c>
      <x:c r="D1190" s="35" t="n">
        <x:v>11</x:v>
      </x:c>
      <x:c r="E1190" s="35" t="str">
        <x:v>Primary VLA</x:v>
      </x:c>
      <x:c r="F1190" s="35" t="str">
        <x:v>MolmoAct2</x:v>
      </x:c>
      <x:c r="G1190" s="35" t="n">
        <x:v>3</x:v>
      </x:c>
      <x:c r="H1190" s="35" t="str">
        <x:v>Counting</x:v>
      </x:c>
      <x:c r="I1190" s="35" t="str">
        <x:v>Novel layout + seen language</x:v>
      </x:c>
      <x:c r="J1190" s="35" t="str">
        <x:v>PVLA-CT-NOV-08</x:v>
      </x:c>
      <x:c r="K1190" s="35" t="str"/>
      <x:c r="L1190" s="31" t="str">
        <x:v>Make the bowl contain exactly zero objects.</x:v>
      </x:c>
      <x:c r="M1190" s="31" t="str">
        <x:v>Make the bowl contain exactly zero objects.</x:v>
      </x:c>
      <x:c r="N1190" s="31" t="str">
        <x:v>C-N20: bowl=[yellow block] (1); table left→right=[green pencil sharpener, airplane toy without propellers, blue pen]; robot home.</x:v>
      </x:c>
      <x:c r="O1190" s="31" t="str"/>
      <x:c r="P1190" s="31" t="str"/>
      <x:c r="Q1190" s="31" t="str"/>
      <x:c r="R1190" s="31" t="str"/>
      <x:c r="S1190" s="31" t="str">
        <x:f>IF('Blind Scoring'!I1190="","",'Blind Scoring'!I1190)</x:f>
      </x:c>
      <x:c r="T1190" s="31" t="str">
        <x:f>'Blind Scoring'!J1190</x:f>
        <x:v>No</x:v>
      </x:c>
      <x:c r="U1190" s="31" t="str">
        <x:f>IF('Blind Scoring'!L1190="","",'Blind Scoring'!L1190)</x:f>
      </x:c>
    </x:row>
    <x:row r="1191" ht="44" customHeight="1">
      <x:c r="A1191" s="35" t="str">
        <x:v>Not Started</x:v>
      </x:c>
      <x:c r="B1191" s="35" t="n">
        <x:v>1189</x:v>
      </x:c>
      <x:c r="C1191" s="35" t="str">
        <x:v>P20</x:v>
      </x:c>
      <x:c r="D1191" s="35" t="n">
        <x:v>12</x:v>
      </x:c>
      <x:c r="E1191" s="35" t="str">
        <x:v>Primary VLA</x:v>
      </x:c>
      <x:c r="F1191" s="35" t="str">
        <x:v>MolmoAct2</x:v>
      </x:c>
      <x:c r="G1191" s="35" t="n">
        <x:v>3</x:v>
      </x:c>
      <x:c r="H1191" s="35" t="str">
        <x:v>Counting</x:v>
      </x:c>
      <x:c r="I1191" s="35" t="str">
        <x:v>Main matched control</x:v>
      </x:c>
      <x:c r="J1191" s="35" t="str">
        <x:v>PVLA-CT-CTL-15</x:v>
      </x:c>
      <x:c r="K1191" s="35" t="str">
        <x:v>C-CF12-A</x:v>
      </x:c>
      <x:c r="L1191" s="31" t="str">
        <x:v>Remove the airplane toy without propellers from the bowl.</x:v>
      </x:c>
      <x:c r="M1191" s="31" t="str">
        <x:v>Remove the airplane toy without propellers from the bowl.</x:v>
      </x:c>
      <x:c r="N1191" s="31" t="str">
        <x:v>C-CF12-CA: bowl=[airplane toy without propellers, blue pen] (2); table=[yellow block, green pencil sharpener]; robot home; acceptable action=remove either bowl object.</x:v>
      </x:c>
      <x:c r="O1191" s="31" t="str">
        <x:v>REMOVE airplane toy without propellers</x:v>
      </x:c>
      <x:c r="P1191" s="31" t="str"/>
      <x:c r="Q1191" s="31" t="str"/>
      <x:c r="R1191" s="31" t="str"/>
      <x:c r="S1191" s="31" t="str">
        <x:f>IF('Blind Scoring'!I1191="","",'Blind Scoring'!I1191)</x:f>
      </x:c>
      <x:c r="T1191" s="31" t="str">
        <x:f>'Blind Scoring'!J1191</x:f>
        <x:v>No</x:v>
      </x:c>
      <x:c r="U1191" s="31" t="str">
        <x:f>IF('Blind Scoring'!L1191="","",'Blind Scoring'!L1191)</x:f>
      </x:c>
    </x:row>
    <x:row r="1192" ht="44" customHeight="1">
      <x:c r="A1192" s="35" t="str">
        <x:v>Not Started</x:v>
      </x:c>
      <x:c r="B1192" s="35" t="n">
        <x:v>1190</x:v>
      </x:c>
      <x:c r="C1192" s="35" t="str">
        <x:v>P20</x:v>
      </x:c>
      <x:c r="D1192" s="35" t="n">
        <x:v>13</x:v>
      </x:c>
      <x:c r="E1192" s="35" t="str">
        <x:v>Primary VLA</x:v>
      </x:c>
      <x:c r="F1192" s="35" t="str">
        <x:v>MolmoAct2</x:v>
      </x:c>
      <x:c r="G1192" s="35" t="n">
        <x:v>3</x:v>
      </x:c>
      <x:c r="H1192" s="35" t="str">
        <x:v>Counting</x:v>
      </x:c>
      <x:c r="I1192" s="35" t="str">
        <x:v>Novel layout + seen language</x:v>
      </x:c>
      <x:c r="J1192" s="35" t="str">
        <x:v>PVLA-CT-NOV-01</x:v>
      </x:c>
      <x:c r="K1192" s="35" t="str"/>
      <x:c r="L1192" s="31" t="str">
        <x:v>Make the bowl contain exactly two objects.</x:v>
      </x:c>
      <x:c r="M1192" s="31" t="str">
        <x:v>Make the bowl contain exactly two objects.</x:v>
      </x:c>
      <x:c r="N1192" s="31" t="str">
        <x:v>C-N01: bowl=[blue pen] (1); table left→right=[yellow block, green pencil sharpener, airplane toy without propellers]; robot home.</x:v>
      </x:c>
      <x:c r="O1192" s="31" t="str"/>
      <x:c r="P1192" s="31" t="str"/>
      <x:c r="Q1192" s="31" t="str"/>
      <x:c r="R1192" s="31" t="str"/>
      <x:c r="S1192" s="31" t="str">
        <x:f>IF('Blind Scoring'!I1192="","",'Blind Scoring'!I1192)</x:f>
      </x:c>
      <x:c r="T1192" s="31" t="str">
        <x:f>'Blind Scoring'!J1192</x:f>
        <x:v>No</x:v>
      </x:c>
      <x:c r="U1192" s="31" t="str">
        <x:f>IF('Blind Scoring'!L1192="","",'Blind Scoring'!L1192)</x:f>
      </x:c>
    </x:row>
    <x:row r="1193" ht="44" customHeight="1">
      <x:c r="A1193" s="35" t="str">
        <x:v>Not Started</x:v>
      </x:c>
      <x:c r="B1193" s="35" t="n">
        <x:v>1191</x:v>
      </x:c>
      <x:c r="C1193" s="35" t="str">
        <x:v>P20</x:v>
      </x:c>
      <x:c r="D1193" s="35" t="n">
        <x:v>14</x:v>
      </x:c>
      <x:c r="E1193" s="35" t="str">
        <x:v>Primary VLA</x:v>
      </x:c>
      <x:c r="F1193" s="35" t="str">
        <x:v>MolmoAct2</x:v>
      </x:c>
      <x:c r="G1193" s="35" t="n">
        <x:v>3</x:v>
      </x:c>
      <x:c r="H1193" s="35" t="str">
        <x:v>Counting</x:v>
      </x:c>
      <x:c r="I1193" s="35" t="str">
        <x:v>Exact-scene paraphrase</x:v>
      </x:c>
      <x:c r="J1193" s="35" t="str">
        <x:v>PVLA-CT-PAR-04</x:v>
      </x:c>
      <x:c r="K1193" s="35" t="str"/>
      <x:c r="L1193" s="31" t="str">
        <x:v>Finish with two objects in the bowl.</x:v>
      </x:c>
      <x:c r="M1193" s="31" t="str">
        <x:v>Finish with two objects in the bowl.</x:v>
      </x:c>
      <x:c r="N1193" s="31" t="str">
        <x:v>C-N01: bowl=[blue pen] (1); table left→right=[yellow block, green pencil sharpener, airplane toy without propellers]; robot home.</x:v>
      </x:c>
      <x:c r="O1193" s="31" t="str"/>
      <x:c r="P1193" s="31" t="str"/>
      <x:c r="Q1193" s="31" t="str"/>
      <x:c r="R1193" s="31" t="str"/>
      <x:c r="S1193" s="31" t="str">
        <x:f>IF('Blind Scoring'!I1193="","",'Blind Scoring'!I1193)</x:f>
      </x:c>
      <x:c r="T1193" s="31" t="str">
        <x:f>'Blind Scoring'!J1193</x:f>
        <x:v>No</x:v>
      </x:c>
      <x:c r="U1193" s="31" t="str">
        <x:f>IF('Blind Scoring'!L1193="","",'Blind Scoring'!L1193)</x:f>
      </x:c>
    </x:row>
    <x:row r="1194" ht="44" customHeight="1">
      <x:c r="A1194" s="35" t="str">
        <x:v>Not Started</x:v>
      </x:c>
      <x:c r="B1194" s="35" t="n">
        <x:v>1192</x:v>
      </x:c>
      <x:c r="C1194" s="35" t="str">
        <x:v>P20</x:v>
      </x:c>
      <x:c r="D1194" s="35" t="n">
        <x:v>15</x:v>
      </x:c>
      <x:c r="E1194" s="35" t="str">
        <x:v>Primary VLA</x:v>
      </x:c>
      <x:c r="F1194" s="35" t="str">
        <x:v>MolmoAct2</x:v>
      </x:c>
      <x:c r="G1194" s="35" t="n">
        <x:v>3</x:v>
      </x:c>
      <x:c r="H1194" s="35" t="str">
        <x:v>Counting</x:v>
      </x:c>
      <x:c r="I1194" s="35" t="str">
        <x:v>Exact-scene paraphrase</x:v>
      </x:c>
      <x:c r="J1194" s="35" t="str">
        <x:v>PVLA-CT-PAR-03</x:v>
      </x:c>
      <x:c r="K1194" s="35" t="str"/>
      <x:c r="L1194" s="31" t="str">
        <x:v>Finish with two objects in the bowl.</x:v>
      </x:c>
      <x:c r="M1194" s="31" t="str">
        <x:v>Finish with two objects in the bowl.</x:v>
      </x:c>
      <x:c r="N1194" s="31" t="str">
        <x:v>C-N01: bowl=[blue pen] (1); table left→right=[yellow block, green pencil sharpener, airplane toy without propellers]; robot home.</x:v>
      </x:c>
      <x:c r="O1194" s="31" t="str"/>
      <x:c r="P1194" s="31" t="str"/>
      <x:c r="Q1194" s="31" t="str"/>
      <x:c r="R1194" s="31" t="str"/>
      <x:c r="S1194" s="31" t="str">
        <x:f>IF('Blind Scoring'!I1194="","",'Blind Scoring'!I1194)</x:f>
      </x:c>
      <x:c r="T1194" s="31" t="str">
        <x:f>'Blind Scoring'!J1194</x:f>
        <x:v>No</x:v>
      </x:c>
      <x:c r="U1194" s="31" t="str">
        <x:f>IF('Blind Scoring'!L1194="","",'Blind Scoring'!L1194)</x:f>
      </x:c>
    </x:row>
    <x:row r="1195" ht="44" customHeight="1">
      <x:c r="A1195" s="35" t="str">
        <x:v>Not Started</x:v>
      </x:c>
      <x:c r="B1195" s="35" t="n">
        <x:v>1193</x:v>
      </x:c>
      <x:c r="C1195" s="35" t="str">
        <x:v>P20</x:v>
      </x:c>
      <x:c r="D1195" s="35" t="n">
        <x:v>16</x:v>
      </x:c>
      <x:c r="E1195" s="35" t="str">
        <x:v>Primary VLA</x:v>
      </x:c>
      <x:c r="F1195" s="35" t="str">
        <x:v>MolmoAct2</x:v>
      </x:c>
      <x:c r="G1195" s="35" t="n">
        <x:v>3</x:v>
      </x:c>
      <x:c r="H1195" s="35" t="str">
        <x:v>Counting</x:v>
      </x:c>
      <x:c r="I1195" s="35" t="str">
        <x:v>Training reconstruction</x:v>
      </x:c>
      <x:c r="J1195" s="35" t="str">
        <x:v>PVLA-CT-REC-01</x:v>
      </x:c>
      <x:c r="K1195" s="35" t="str"/>
      <x:c r="L1195" s="31" t="str">
        <x:v>Move the blue pen into the bowl.</x:v>
      </x:c>
      <x:c r="M1195" s="31" t="str">
        <x:v>Move the blue pen into the bowl.</x:v>
      </x:c>
      <x:c r="N1195" s="31" t="str">
        <x:v>Reconstruct planned final training episode 800: blue pen, yellow block, green pencil sharpener, airplane toy without propellers; start=Home. Match camera, calibration, bowl pose, and object geometry exactly.</x:v>
      </x:c>
      <x:c r="O1195" s="31" t="str">
        <x:v>blue pen</x:v>
      </x:c>
      <x:c r="P1195" s="31" t="str"/>
      <x:c r="Q1195" s="31" t="str"/>
      <x:c r="R1195" s="31" t="str"/>
      <x:c r="S1195" s="31" t="str">
        <x:f>IF('Blind Scoring'!I1195="","",'Blind Scoring'!I1195)</x:f>
      </x:c>
      <x:c r="T1195" s="31" t="str">
        <x:f>'Blind Scoring'!J1195</x:f>
        <x:v>No</x:v>
      </x:c>
      <x:c r="U1195" s="31" t="str">
        <x:f>IF('Blind Scoring'!L1195="","",'Blind Scoring'!L1195)</x:f>
      </x:c>
    </x:row>
    <x:row r="1196" ht="44" customHeight="1">
      <x:c r="A1196" s="35" t="str">
        <x:v>Not Started</x:v>
      </x:c>
      <x:c r="B1196" s="35" t="n">
        <x:v>1194</x:v>
      </x:c>
      <x:c r="C1196" s="35" t="str">
        <x:v>P20</x:v>
      </x:c>
      <x:c r="D1196" s="35" t="n">
        <x:v>17</x:v>
      </x:c>
      <x:c r="E1196" s="35" t="str">
        <x:v>Primary VLA</x:v>
      </x:c>
      <x:c r="F1196" s="35" t="str">
        <x:v>MolmoAct2</x:v>
      </x:c>
      <x:c r="G1196" s="35" t="n">
        <x:v>3</x:v>
      </x:c>
      <x:c r="H1196" s="35" t="str">
        <x:v>Counting</x:v>
      </x:c>
      <x:c r="I1196" s="35" t="str">
        <x:v>Training reconstruction</x:v>
      </x:c>
      <x:c r="J1196" s="35" t="str">
        <x:v>PVLA-CT-REC-04</x:v>
      </x:c>
      <x:c r="K1196" s="35" t="str"/>
      <x:c r="L1196" s="31" t="str">
        <x:v>Leave exactly two objects in the bowl.</x:v>
      </x:c>
      <x:c r="M1196" s="31" t="str">
        <x:v>Leave exactly two objects in the bowl.</x:v>
      </x:c>
      <x:c r="N1196" s="31" t="str">
        <x:v>Reconstruct planned final training episode 861: green pencil sharpener, yellow block, airplane toy without propellers, blue pen; start=Post-Drop. Match camera, calibration, bowl pose, and object geometry exactly.</x:v>
      </x:c>
      <x:c r="O1196" s="31" t="str">
        <x:v>yellow block</x:v>
      </x:c>
      <x:c r="P1196" s="31" t="str"/>
      <x:c r="Q1196" s="31" t="str"/>
      <x:c r="R1196" s="31" t="str"/>
      <x:c r="S1196" s="31" t="str">
        <x:f>IF('Blind Scoring'!I1196="","",'Blind Scoring'!I1196)</x:f>
      </x:c>
      <x:c r="T1196" s="31" t="str">
        <x:f>'Blind Scoring'!J1196</x:f>
        <x:v>No</x:v>
      </x:c>
      <x:c r="U1196" s="31" t="str">
        <x:f>IF('Blind Scoring'!L1196="","",'Blind Scoring'!L1196)</x:f>
      </x:c>
    </x:row>
    <x:row r="1197" ht="44" customHeight="1">
      <x:c r="A1197" s="35" t="str">
        <x:v>Not Started</x:v>
      </x:c>
      <x:c r="B1197" s="35" t="n">
        <x:v>1195</x:v>
      </x:c>
      <x:c r="C1197" s="35" t="str">
        <x:v>P20</x:v>
      </x:c>
      <x:c r="D1197" s="35" t="n">
        <x:v>18</x:v>
      </x:c>
      <x:c r="E1197" s="35" t="str">
        <x:v>Primary VLA</x:v>
      </x:c>
      <x:c r="F1197" s="35" t="str">
        <x:v>MolmoAct2</x:v>
      </x:c>
      <x:c r="G1197" s="35" t="n">
        <x:v>3</x:v>
      </x:c>
      <x:c r="H1197" s="35" t="str">
        <x:v>Counting</x:v>
      </x:c>
      <x:c r="I1197" s="35" t="str">
        <x:v>Main held-out transfer</x:v>
      </x:c>
      <x:c r="J1197" s="35" t="str">
        <x:v>PVLA-CT-TR-14</x:v>
      </x:c>
      <x:c r="K1197" s="35" t="str">
        <x:v>C-CF10-B</x:v>
      </x:c>
      <x:c r="L1197" s="31" t="str">
        <x:v>Leave exactly three objects in the bowl.</x:v>
      </x:c>
      <x:c r="M1197" s="31" t="str">
        <x:v>Leave exactly three objects in the bowl.</x:v>
      </x:c>
      <x:c r="N1197" s="31" t="str">
        <x:v>C-CF10B: bowl=[yellow block, green pencil sharpener] (2); table=[airplane toy without propellers, blue pen]; robot home; acceptable action=add either table object.</x:v>
      </x:c>
      <x:c r="O1197" s="31" t="str">
        <x:v>ADD one table object</x:v>
      </x:c>
      <x:c r="P1197" s="31" t="str"/>
      <x:c r="Q1197" s="31" t="str"/>
      <x:c r="R1197" s="31" t="str"/>
      <x:c r="S1197" s="31" t="str">
        <x:f>IF('Blind Scoring'!I1197="","",'Blind Scoring'!I1197)</x:f>
      </x:c>
      <x:c r="T1197" s="31" t="str">
        <x:f>'Blind Scoring'!J1197</x:f>
        <x:v>No</x:v>
      </x:c>
      <x:c r="U1197" s="31" t="str">
        <x:f>IF('Blind Scoring'!L1197="","",'Blind Scoring'!L1197)</x:f>
      </x:c>
    </x:row>
    <x:row r="1198" ht="44" customHeight="1">
      <x:c r="A1198" s="35" t="str">
        <x:v>Not Started</x:v>
      </x:c>
      <x:c r="B1198" s="35" t="n">
        <x:v>1196</x:v>
      </x:c>
      <x:c r="C1198" s="35" t="str">
        <x:v>P20</x:v>
      </x:c>
      <x:c r="D1198" s="35" t="n">
        <x:v>19</x:v>
      </x:c>
      <x:c r="E1198" s="35" t="str">
        <x:v>Primary VLA</x:v>
      </x:c>
      <x:c r="F1198" s="35" t="str">
        <x:v>MolmoAct2</x:v>
      </x:c>
      <x:c r="G1198" s="35" t="n">
        <x:v>3</x:v>
      </x:c>
      <x:c r="H1198" s="35" t="str">
        <x:v>Counting</x:v>
      </x:c>
      <x:c r="I1198" s="35" t="str">
        <x:v>Main held-out transfer</x:v>
      </x:c>
      <x:c r="J1198" s="35" t="str">
        <x:v>PVLA-CT-TR-16</x:v>
      </x:c>
      <x:c r="K1198" s="35" t="str">
        <x:v>C-CF12-B</x:v>
      </x:c>
      <x:c r="L1198" s="31" t="str">
        <x:v>Leave exactly three objects in the bowl.</x:v>
      </x:c>
      <x:c r="M1198" s="31" t="str">
        <x:v>Leave exactly three objects in the bowl.</x:v>
      </x:c>
      <x:c r="N1198" s="31" t="str">
        <x:v>C-CF12B: bowl=[airplane toy without propellers, blue pen] (2); table=[yellow block, green pencil sharpener]; robot home; acceptable action=add either table object.</x:v>
      </x:c>
      <x:c r="O1198" s="31" t="str">
        <x:v>ADD one table object</x:v>
      </x:c>
      <x:c r="P1198" s="31" t="str"/>
      <x:c r="Q1198" s="31" t="str"/>
      <x:c r="R1198" s="31" t="str"/>
      <x:c r="S1198" s="31" t="str">
        <x:f>IF('Blind Scoring'!I1198="","",'Blind Scoring'!I1198)</x:f>
      </x:c>
      <x:c r="T1198" s="31" t="str">
        <x:f>'Blind Scoring'!J1198</x:f>
        <x:v>No</x:v>
      </x:c>
      <x:c r="U1198" s="31" t="str">
        <x:f>IF('Blind Scoring'!L1198="","",'Blind Scoring'!L1198)</x:f>
      </x:c>
    </x:row>
    <x:row r="1199" ht="44" customHeight="1">
      <x:c r="A1199" s="35" t="str">
        <x:v>Not Started</x:v>
      </x:c>
      <x:c r="B1199" s="35" t="n">
        <x:v>1197</x:v>
      </x:c>
      <x:c r="C1199" s="35" t="str">
        <x:v>P20</x:v>
      </x:c>
      <x:c r="D1199" s="35" t="n">
        <x:v>20</x:v>
      </x:c>
      <x:c r="E1199" s="35" t="str">
        <x:v>Primary VLA</x:v>
      </x:c>
      <x:c r="F1199" s="35" t="str">
        <x:v>MolmoAct2</x:v>
      </x:c>
      <x:c r="G1199" s="35" t="n">
        <x:v>3</x:v>
      </x:c>
      <x:c r="H1199" s="35" t="str">
        <x:v>Counting</x:v>
      </x:c>
      <x:c r="I1199" s="35" t="str">
        <x:v>Main matched control</x:v>
      </x:c>
      <x:c r="J1199" s="35" t="str">
        <x:v>PVLA-CT-CTL-04</x:v>
      </x:c>
      <x:c r="K1199" s="35" t="str">
        <x:v>C-CF03-B</x:v>
      </x:c>
      <x:c r="L1199" s="31" t="str">
        <x:v>Put the blue pen in the bowl.</x:v>
      </x:c>
      <x:c r="M1199" s="31" t="str">
        <x:v>Put the blue pen in the bowl.</x:v>
      </x:c>
      <x:c r="N1199" s="31" t="str">
        <x:v>C-CF03-CB: bowl=[green pencil sharpener, airplane toy without propellers] (2); table=[blue pen, yellow block]; robot home; acceptable action=add either table object.</x:v>
      </x:c>
      <x:c r="O1199" s="31" t="str">
        <x:v>ADD blue pen</x:v>
      </x:c>
      <x:c r="P1199" s="31" t="str"/>
      <x:c r="Q1199" s="31" t="str"/>
      <x:c r="R1199" s="31" t="str"/>
      <x:c r="S1199" s="31" t="str">
        <x:f>IF('Blind Scoring'!I1199="","",'Blind Scoring'!I1199)</x:f>
      </x:c>
      <x:c r="T1199" s="31" t="str">
        <x:f>'Blind Scoring'!J1199</x:f>
        <x:v>No</x:v>
      </x:c>
      <x:c r="U1199" s="31" t="str">
        <x:f>IF('Blind Scoring'!L1199="","",'Blind Scoring'!L1199)</x:f>
      </x:c>
    </x:row>
    <x:row r="1200" ht="44" customHeight="1">
      <x:c r="A1200" s="35" t="str">
        <x:v>Not Started</x:v>
      </x:c>
      <x:c r="B1200" s="35" t="n">
        <x:v>1198</x:v>
      </x:c>
      <x:c r="C1200" s="35" t="str">
        <x:v>P20</x:v>
      </x:c>
      <x:c r="D1200" s="35" t="n">
        <x:v>21</x:v>
      </x:c>
      <x:c r="E1200" s="35" t="str">
        <x:v>Primary VLA</x:v>
      </x:c>
      <x:c r="F1200" s="35" t="str">
        <x:v>MolmoAct2</x:v>
      </x:c>
      <x:c r="G1200" s="35" t="n">
        <x:v>3</x:v>
      </x:c>
      <x:c r="H1200" s="35" t="str">
        <x:v>Counting</x:v>
      </x:c>
      <x:c r="I1200" s="35" t="str">
        <x:v>Training reconstruction</x:v>
      </x:c>
      <x:c r="J1200" s="35" t="str">
        <x:v>PVLA-CT-REC-02</x:v>
      </x:c>
      <x:c r="K1200" s="35" t="str"/>
      <x:c r="L1200" s="31" t="str">
        <x:v>Leave no objects in the bowl.</x:v>
      </x:c>
      <x:c r="M1200" s="31" t="str">
        <x:v>Leave no objects in the bowl.</x:v>
      </x:c>
      <x:c r="N1200" s="31" t="str">
        <x:v>Reconstruct planned final training episode 829: blue pen, yellow block, airplane toy without propellers; start=Recovery. Match camera, calibration, bowl pose, and object geometry exactly.</x:v>
      </x:c>
      <x:c r="O1200" s="31" t="str">
        <x:v>blue pen</x:v>
      </x:c>
      <x:c r="P1200" s="31" t="str"/>
      <x:c r="Q1200" s="31" t="str"/>
      <x:c r="R1200" s="31" t="str"/>
      <x:c r="S1200" s="31" t="str">
        <x:f>IF('Blind Scoring'!I1200="","",'Blind Scoring'!I1200)</x:f>
      </x:c>
      <x:c r="T1200" s="31" t="str">
        <x:f>'Blind Scoring'!J1200</x:f>
        <x:v>No</x:v>
      </x:c>
      <x:c r="U1200" s="31" t="str">
        <x:f>IF('Blind Scoring'!L1200="","",'Blind Scoring'!L1200)</x:f>
      </x:c>
    </x:row>
    <x:row r="1201" ht="44" customHeight="1">
      <x:c r="A1201" s="35" t="str">
        <x:v>Not Started</x:v>
      </x:c>
      <x:c r="B1201" s="35" t="n">
        <x:v>1199</x:v>
      </x:c>
      <x:c r="C1201" s="35" t="str">
        <x:v>P20</x:v>
      </x:c>
      <x:c r="D1201" s="35" t="n">
        <x:v>22</x:v>
      </x:c>
      <x:c r="E1201" s="35" t="str">
        <x:v>Primary VLA</x:v>
      </x:c>
      <x:c r="F1201" s="35" t="str">
        <x:v>MolmoAct2</x:v>
      </x:c>
      <x:c r="G1201" s="35" t="n">
        <x:v>3</x:v>
      </x:c>
      <x:c r="H1201" s="35" t="str">
        <x:v>Counting</x:v>
      </x:c>
      <x:c r="I1201" s="35" t="str">
        <x:v>Main matched control</x:v>
      </x:c>
      <x:c r="J1201" s="35" t="str">
        <x:v>PVLA-CT-CTL-11</x:v>
      </x:c>
      <x:c r="K1201" s="35" t="str">
        <x:v>C-CF09-A</x:v>
      </x:c>
      <x:c r="L1201" s="31" t="str">
        <x:v>Remove the blue pen from the bowl.</x:v>
      </x:c>
      <x:c r="M1201" s="31" t="str">
        <x:v>Remove the blue pen from the bowl.</x:v>
      </x:c>
      <x:c r="N1201" s="31" t="str">
        <x:v>C-CF09-CA: bowl=[blue pen, yellow block] (2); table=[green pencil sharpener, airplane toy without propellers]; robot home; acceptable action=remove either bowl object.</x:v>
      </x:c>
      <x:c r="O1201" s="31" t="str">
        <x:v>REMOVE blue pen</x:v>
      </x:c>
      <x:c r="P1201" s="31" t="str"/>
      <x:c r="Q1201" s="31" t="str"/>
      <x:c r="R1201" s="31" t="str"/>
      <x:c r="S1201" s="31" t="str">
        <x:f>IF('Blind Scoring'!I1201="","",'Blind Scoring'!I1201)</x:f>
      </x:c>
      <x:c r="T1201" s="31" t="str">
        <x:f>'Blind Scoring'!J1201</x:f>
        <x:v>No</x:v>
      </x:c>
      <x:c r="U1201" s="31" t="str">
        <x:f>IF('Blind Scoring'!L1201="","",'Blind Scoring'!L1201)</x:f>
      </x:c>
    </x:row>
    <x:row r="1202" ht="44" customHeight="1">
      <x:c r="A1202" s="35" t="str">
        <x:v>Not Started</x:v>
      </x:c>
      <x:c r="B1202" s="35" t="n">
        <x:v>1200</x:v>
      </x:c>
      <x:c r="C1202" s="35" t="str">
        <x:v>P20</x:v>
      </x:c>
      <x:c r="D1202" s="35" t="n">
        <x:v>23</x:v>
      </x:c>
      <x:c r="E1202" s="35" t="str">
        <x:v>Primary VLA</x:v>
      </x:c>
      <x:c r="F1202" s="35" t="str">
        <x:v>MolmoAct2</x:v>
      </x:c>
      <x:c r="G1202" s="35" t="n">
        <x:v>3</x:v>
      </x:c>
      <x:c r="H1202" s="35" t="str">
        <x:v>Counting</x:v>
      </x:c>
      <x:c r="I1202" s="35" t="str">
        <x:v>Exact-scene paraphrase</x:v>
      </x:c>
      <x:c r="J1202" s="35" t="str">
        <x:v>PVLA-CT-PAR-05</x:v>
      </x:c>
      <x:c r="K1202" s="35" t="str"/>
      <x:c r="L1202" s="31" t="str">
        <x:v>Finish with two objects in the bowl.</x:v>
      </x:c>
      <x:c r="M1202" s="31" t="str">
        <x:v>Finish with two objects in the bowl.</x:v>
      </x:c>
      <x:c r="N1202" s="31" t="str">
        <x:v>C-N01: bowl=[blue pen] (1); table left→right=[yellow block, green pencil sharpener, airplane toy without propellers]; robot home.</x:v>
      </x:c>
      <x:c r="O1202" s="31" t="str"/>
      <x:c r="P1202" s="31" t="str"/>
      <x:c r="Q1202" s="31" t="str"/>
      <x:c r="R1202" s="31" t="str"/>
      <x:c r="S1202" s="31" t="str">
        <x:f>IF('Blind Scoring'!I1202="","",'Blind Scoring'!I1202)</x:f>
      </x:c>
      <x:c r="T1202" s="31" t="str">
        <x:f>'Blind Scoring'!J1202</x:f>
        <x:v>No</x:v>
      </x:c>
      <x:c r="U1202" s="31" t="str">
        <x:f>IF('Blind Scoring'!L1202="","",'Blind Scoring'!L1202)</x:f>
      </x:c>
    </x:row>
    <x:row r="1203" ht="44" customHeight="1">
      <x:c r="A1203" s="35" t="str">
        <x:v>Not Started</x:v>
      </x:c>
      <x:c r="B1203" s="35" t="n">
        <x:v>1201</x:v>
      </x:c>
      <x:c r="C1203" s="35" t="str">
        <x:v>P20</x:v>
      </x:c>
      <x:c r="D1203" s="35" t="n">
        <x:v>24</x:v>
      </x:c>
      <x:c r="E1203" s="35" t="str">
        <x:v>Primary VLA</x:v>
      </x:c>
      <x:c r="F1203" s="35" t="str">
        <x:v>MolmoAct2</x:v>
      </x:c>
      <x:c r="G1203" s="35" t="n">
        <x:v>3</x:v>
      </x:c>
      <x:c r="H1203" s="35" t="str">
        <x:v>Counting</x:v>
      </x:c>
      <x:c r="I1203" s="35" t="str">
        <x:v>Novel layout + seen language</x:v>
      </x:c>
      <x:c r="J1203" s="35" t="str">
        <x:v>PVLA-CT-NOV-05</x:v>
      </x:c>
      <x:c r="K1203" s="35" t="str"/>
      <x:c r="L1203" s="31" t="str">
        <x:v>Adjust the bowl so that it contains zero objects.</x:v>
      </x:c>
      <x:c r="M1203" s="31" t="str">
        <x:v>Adjust the bowl so that it contains zero objects.</x:v>
      </x:c>
      <x:c r="N1203" s="31" t="str">
        <x:v>C-N12: bowl=[yellow block] (1); table left→right=[green pencil sharpener, airplane toy without propellers, blue pen]; robot home.</x:v>
      </x:c>
      <x:c r="O1203" s="31" t="str"/>
      <x:c r="P1203" s="31" t="str"/>
      <x:c r="Q1203" s="31" t="str"/>
      <x:c r="R1203" s="31" t="str"/>
      <x:c r="S1203" s="31" t="str">
        <x:f>IF('Blind Scoring'!I1203="","",'Blind Scoring'!I1203)</x:f>
      </x:c>
      <x:c r="T1203" s="31" t="str">
        <x:f>'Blind Scoring'!J1203</x:f>
        <x:v>No</x:v>
      </x:c>
      <x:c r="U1203" s="31" t="str">
        <x:f>IF('Blind Scoring'!L1203="","",'Blind Scoring'!L1203)</x:f>
      </x:c>
    </x:row>
    <x:row r="1204" ht="44" customHeight="1">
      <x:c r="A1204" s="35" t="str">
        <x:v>Not Started</x:v>
      </x:c>
      <x:c r="B1204" s="35" t="n">
        <x:v>1202</x:v>
      </x:c>
      <x:c r="C1204" s="35" t="str">
        <x:v>P20</x:v>
      </x:c>
      <x:c r="D1204" s="35" t="n">
        <x:v>25</x:v>
      </x:c>
      <x:c r="E1204" s="35" t="str">
        <x:v>Primary VLA</x:v>
      </x:c>
      <x:c r="F1204" s="35" t="str">
        <x:v>MolmoAct2</x:v>
      </x:c>
      <x:c r="G1204" s="35" t="n">
        <x:v>3</x:v>
      </x:c>
      <x:c r="H1204" s="35" t="str">
        <x:v>Counting</x:v>
      </x:c>
      <x:c r="I1204" s="35" t="str">
        <x:v>Training reconstruction</x:v>
      </x:c>
      <x:c r="J1204" s="35" t="str">
        <x:v>PVLA-CT-REC-05</x:v>
      </x:c>
      <x:c r="K1204" s="35" t="str"/>
      <x:c r="L1204" s="31" t="str">
        <x:v>Remove the yellow block from the bowl.</x:v>
      </x:c>
      <x:c r="M1204" s="31" t="str">
        <x:v>Remove the yellow block from the bowl.</x:v>
      </x:c>
      <x:c r="N1204" s="31" t="str">
        <x:v>Reconstruct planned final training episode 896: yellow block, green pencil sharpener, airplane toy without propellers, blue pen; start=Post-Drop. Match camera, calibration, bowl pose, and object geometry exactly.</x:v>
      </x:c>
      <x:c r="O1204" s="31" t="str">
        <x:v>yellow block</x:v>
      </x:c>
      <x:c r="P1204" s="31" t="str"/>
      <x:c r="Q1204" s="31" t="str"/>
      <x:c r="R1204" s="31" t="str"/>
      <x:c r="S1204" s="31" t="str">
        <x:f>IF('Blind Scoring'!I1204="","",'Blind Scoring'!I1204)</x:f>
      </x:c>
      <x:c r="T1204" s="31" t="str">
        <x:f>'Blind Scoring'!J1204</x:f>
        <x:v>No</x:v>
      </x:c>
      <x:c r="U1204" s="31" t="str">
        <x:f>IF('Blind Scoring'!L1204="","",'Blind Scoring'!L1204)</x:f>
      </x:c>
    </x:row>
    <x:row r="1205" ht="44" customHeight="1">
      <x:c r="A1205" s="35" t="str">
        <x:v>Not Started</x:v>
      </x:c>
      <x:c r="B1205" s="35" t="n">
        <x:v>1203</x:v>
      </x:c>
      <x:c r="C1205" s="35" t="str">
        <x:v>P20</x:v>
      </x:c>
      <x:c r="D1205" s="35" t="n">
        <x:v>26</x:v>
      </x:c>
      <x:c r="E1205" s="35" t="str">
        <x:v>Primary VLA</x:v>
      </x:c>
      <x:c r="F1205" s="35" t="str">
        <x:v>MolmoAct2</x:v>
      </x:c>
      <x:c r="G1205" s="35" t="n">
        <x:v>3</x:v>
      </x:c>
      <x:c r="H1205" s="35" t="str">
        <x:v>Counting</x:v>
      </x:c>
      <x:c r="I1205" s="35" t="str">
        <x:v>Main matched control</x:v>
      </x:c>
      <x:c r="J1205" s="35" t="str">
        <x:v>PVLA-CT-CTL-14</x:v>
      </x:c>
      <x:c r="K1205" s="35" t="str">
        <x:v>C-CF10-B</x:v>
      </x:c>
      <x:c r="L1205" s="31" t="str">
        <x:v>Put the airplane toy without propellers in the bowl.</x:v>
      </x:c>
      <x:c r="M1205" s="31" t="str">
        <x:v>Put the airplane toy without propellers in the bowl.</x:v>
      </x:c>
      <x:c r="N1205" s="31" t="str">
        <x:v>C-CF10-CB: bowl=[yellow block, green pencil sharpener] (2); table=[airplane toy without propellers, blue pen]; robot home; acceptable action=add either table object.</x:v>
      </x:c>
      <x:c r="O1205" s="31" t="str">
        <x:v>ADD airplane toy without propellers</x:v>
      </x:c>
      <x:c r="P1205" s="31" t="str"/>
      <x:c r="Q1205" s="31" t="str"/>
      <x:c r="R1205" s="31" t="str"/>
      <x:c r="S1205" s="31" t="str">
        <x:f>IF('Blind Scoring'!I1205="","",'Blind Scoring'!I1205)</x:f>
      </x:c>
      <x:c r="T1205" s="31" t="str">
        <x:f>'Blind Scoring'!J1205</x:f>
        <x:v>No</x:v>
      </x:c>
      <x:c r="U1205" s="31" t="str">
        <x:f>IF('Blind Scoring'!L1205="","",'Blind Scoring'!L1205)</x:f>
      </x:c>
    </x:row>
    <x:row r="1206" ht="44" customHeight="1">
      <x:c r="A1206" s="35" t="str">
        <x:v>Not Started</x:v>
      </x:c>
      <x:c r="B1206" s="35" t="n">
        <x:v>1204</x:v>
      </x:c>
      <x:c r="C1206" s="35" t="str">
        <x:v>P20</x:v>
      </x:c>
      <x:c r="D1206" s="35" t="n">
        <x:v>27</x:v>
      </x:c>
      <x:c r="E1206" s="35" t="str">
        <x:v>Primary VLA</x:v>
      </x:c>
      <x:c r="F1206" s="35" t="str">
        <x:v>MolmoAct2</x:v>
      </x:c>
      <x:c r="G1206" s="35" t="n">
        <x:v>3</x:v>
      </x:c>
      <x:c r="H1206" s="35" t="str">
        <x:v>Counting</x:v>
      </x:c>
      <x:c r="I1206" s="35" t="str">
        <x:v>Main matched control</x:v>
      </x:c>
      <x:c r="J1206" s="35" t="str">
        <x:v>PVLA-CT-CTL-01</x:v>
      </x:c>
      <x:c r="K1206" s="35" t="str">
        <x:v>C-CF01-A</x:v>
      </x:c>
      <x:c r="L1206" s="31" t="str">
        <x:v>Remove the blue pen from the bowl.</x:v>
      </x:c>
      <x:c r="M1206" s="31" t="str">
        <x:v>Remove the blue pen from the bowl.</x:v>
      </x:c>
      <x:c r="N1206" s="31" t="str">
        <x:v>C-CF01-CA: bowl=[blue pen, yellow block] (2); table=[green pencil sharpener, airplane toy without propellers]; robot home; acceptable action=remove either bowl object.</x:v>
      </x:c>
      <x:c r="O1206" s="31" t="str">
        <x:v>REMOVE blue pen</x:v>
      </x:c>
      <x:c r="P1206" s="31" t="str"/>
      <x:c r="Q1206" s="31" t="str"/>
      <x:c r="R1206" s="31" t="str"/>
      <x:c r="S1206" s="31" t="str">
        <x:f>IF('Blind Scoring'!I1206="","",'Blind Scoring'!I1206)</x:f>
      </x:c>
      <x:c r="T1206" s="31" t="str">
        <x:f>'Blind Scoring'!J1206</x:f>
        <x:v>No</x:v>
      </x:c>
      <x:c r="U1206" s="31" t="str">
        <x:f>IF('Blind Scoring'!L1206="","",'Blind Scoring'!L1206)</x:f>
      </x:c>
    </x:row>
    <x:row r="1207" ht="44" customHeight="1">
      <x:c r="A1207" s="35" t="str">
        <x:v>Not Started</x:v>
      </x:c>
      <x:c r="B1207" s="35" t="n">
        <x:v>1205</x:v>
      </x:c>
      <x:c r="C1207" s="35" t="str">
        <x:v>P20</x:v>
      </x:c>
      <x:c r="D1207" s="35" t="n">
        <x:v>28</x:v>
      </x:c>
      <x:c r="E1207" s="35" t="str">
        <x:v>Primary VLA</x:v>
      </x:c>
      <x:c r="F1207" s="35" t="str">
        <x:v>MolmoAct2</x:v>
      </x:c>
      <x:c r="G1207" s="35" t="n">
        <x:v>3</x:v>
      </x:c>
      <x:c r="H1207" s="35" t="str">
        <x:v>Counting</x:v>
      </x:c>
      <x:c r="I1207" s="35" t="str">
        <x:v>Novel layout + seen language</x:v>
      </x:c>
      <x:c r="J1207" s="35" t="str">
        <x:v>PVLA-CT-NOV-02</x:v>
      </x:c>
      <x:c r="K1207" s="35" t="str"/>
      <x:c r="L1207" s="31" t="str">
        <x:v>Make the bowl contain exactly two objects.</x:v>
      </x:c>
      <x:c r="M1207" s="31" t="str">
        <x:v>Make the bowl contain exactly two objects.</x:v>
      </x:c>
      <x:c r="N1207" s="31" t="str">
        <x:v>C-N04: bowl=[airplane toy without propellers, blue pen, yellow block] (3); table left→right=[green pencil sharpener]; robot home.</x:v>
      </x:c>
      <x:c r="O1207" s="31" t="str"/>
      <x:c r="P1207" s="31" t="str"/>
      <x:c r="Q1207" s="31" t="str"/>
      <x:c r="R1207" s="31" t="str"/>
      <x:c r="S1207" s="31" t="str">
        <x:f>IF('Blind Scoring'!I1207="","",'Blind Scoring'!I1207)</x:f>
      </x:c>
      <x:c r="T1207" s="31" t="str">
        <x:f>'Blind Scoring'!J1207</x:f>
        <x:v>No</x:v>
      </x:c>
      <x:c r="U1207" s="31" t="str">
        <x:f>IF('Blind Scoring'!L1207="","",'Blind Scoring'!L1207)</x:f>
      </x:c>
    </x:row>
    <x:row r="1208" ht="44" customHeight="1">
      <x:c r="A1208" s="35" t="str">
        <x:v>Not Started</x:v>
      </x:c>
      <x:c r="B1208" s="35" t="n">
        <x:v>1206</x:v>
      </x:c>
      <x:c r="C1208" s="35" t="str">
        <x:v>P20</x:v>
      </x:c>
      <x:c r="D1208" s="35" t="n">
        <x:v>29</x:v>
      </x:c>
      <x:c r="E1208" s="35" t="str">
        <x:v>Primary VLA</x:v>
      </x:c>
      <x:c r="F1208" s="35" t="str">
        <x:v>MolmoAct2</x:v>
      </x:c>
      <x:c r="G1208" s="35" t="n">
        <x:v>3</x:v>
      </x:c>
      <x:c r="H1208" s="35" t="str">
        <x:v>Counting</x:v>
      </x:c>
      <x:c r="I1208" s="35" t="str">
        <x:v>Main held-out transfer</x:v>
      </x:c>
      <x:c r="J1208" s="35" t="str">
        <x:v>PVLA-CT-TR-01</x:v>
      </x:c>
      <x:c r="K1208" s="35" t="str">
        <x:v>C-CF01-A</x:v>
      </x:c>
      <x:c r="L1208" s="31" t="str">
        <x:v>Leave exactly one object in the bowl.</x:v>
      </x:c>
      <x:c r="M1208" s="31" t="str">
        <x:v>Leave exactly one object in the bowl.</x:v>
      </x:c>
      <x:c r="N1208" s="31" t="str">
        <x:v>C-CF01A: bowl=[blue pen, yellow block] (2); table=[green pencil sharpener, airplane toy without propellers]; robot home; acceptable action=remove either bowl object.</x:v>
      </x:c>
      <x:c r="O1208" s="31" t="str">
        <x:v>REMOVE one bowl object</x:v>
      </x:c>
      <x:c r="P1208" s="31" t="str"/>
      <x:c r="Q1208" s="31" t="str"/>
      <x:c r="R1208" s="31" t="str"/>
      <x:c r="S1208" s="31" t="str">
        <x:f>IF('Blind Scoring'!I1208="","",'Blind Scoring'!I1208)</x:f>
      </x:c>
      <x:c r="T1208" s="31" t="str">
        <x:f>'Blind Scoring'!J1208</x:f>
        <x:v>No</x:v>
      </x:c>
      <x:c r="U1208" s="31" t="str">
        <x:f>IF('Blind Scoring'!L1208="","",'Blind Scoring'!L1208)</x:f>
      </x:c>
    </x:row>
    <x:row r="1209" ht="44" customHeight="1">
      <x:c r="A1209" s="35" t="str">
        <x:v>Not Started</x:v>
      </x:c>
      <x:c r="B1209" s="35" t="n">
        <x:v>1207</x:v>
      </x:c>
      <x:c r="C1209" s="35" t="str">
        <x:v>P20</x:v>
      </x:c>
      <x:c r="D1209" s="35" t="n">
        <x:v>30</x:v>
      </x:c>
      <x:c r="E1209" s="35" t="str">
        <x:v>Primary VLA</x:v>
      </x:c>
      <x:c r="F1209" s="35" t="str">
        <x:v>MolmoAct2</x:v>
      </x:c>
      <x:c r="G1209" s="35" t="n">
        <x:v>3</x:v>
      </x:c>
      <x:c r="H1209" s="35" t="str">
        <x:v>Counting</x:v>
      </x:c>
      <x:c r="I1209" s="35" t="str">
        <x:v>Exact-scene paraphrase</x:v>
      </x:c>
      <x:c r="J1209" s="35" t="str">
        <x:v>PVLA-CT-PAR-02</x:v>
      </x:c>
      <x:c r="K1209" s="35" t="str"/>
      <x:c r="L1209" s="31" t="str">
        <x:v>Finish with two objects in the bowl.</x:v>
      </x:c>
      <x:c r="M1209" s="31" t="str">
        <x:v>Finish with two objects in the bowl.</x:v>
      </x:c>
      <x:c r="N1209" s="31" t="str">
        <x:v>C-N01: bowl=[blue pen] (1); table left→right=[yellow block, green pencil sharpener, airplane toy without propellers]; robot home.</x:v>
      </x:c>
      <x:c r="O1209" s="31" t="str"/>
      <x:c r="P1209" s="31" t="str"/>
      <x:c r="Q1209" s="31" t="str"/>
      <x:c r="R1209" s="31" t="str"/>
      <x:c r="S1209" s="31" t="str">
        <x:f>IF('Blind Scoring'!I1209="","",'Blind Scoring'!I1209)</x:f>
      </x:c>
      <x:c r="T1209" s="31" t="str">
        <x:f>'Blind Scoring'!J1209</x:f>
        <x:v>No</x:v>
      </x:c>
      <x:c r="U1209" s="31" t="str">
        <x:f>IF('Blind Scoring'!L1209="","",'Blind Scoring'!L1209)</x:f>
      </x:c>
    </x:row>
    <x:row r="1210" ht="44" customHeight="1">
      <x:c r="A1210" s="35" t="str">
        <x:v>Not Started</x:v>
      </x:c>
      <x:c r="B1210" s="35" t="n">
        <x:v>1208</x:v>
      </x:c>
      <x:c r="C1210" s="35" t="str">
        <x:v>P20</x:v>
      </x:c>
      <x:c r="D1210" s="35" t="n">
        <x:v>31</x:v>
      </x:c>
      <x:c r="E1210" s="35" t="str">
        <x:v>Primary VLA</x:v>
      </x:c>
      <x:c r="F1210" s="35" t="str">
        <x:v>MolmoAct2</x:v>
      </x:c>
      <x:c r="G1210" s="35" t="n">
        <x:v>3</x:v>
      </x:c>
      <x:c r="H1210" s="35" t="str">
        <x:v>Counting</x:v>
      </x:c>
      <x:c r="I1210" s="35" t="str">
        <x:v>Language ablation — counterfactual</x:v>
      </x:c>
      <x:c r="J1210" s="35" t="str">
        <x:v>PVLA-CT-ABL-CF-03</x:v>
      </x:c>
      <x:c r="K1210" s="35" t="str">
        <x:v>C-CF06-A</x:v>
      </x:c>
      <x:c r="L1210" s="31" t="str">
        <x:v>Leave exactly three objects in the bowl.</x:v>
      </x:c>
      <x:c r="M1210" s="31" t="str">
        <x:v>Leave exactly three objects in the bowl.</x:v>
      </x:c>
      <x:c r="N1210" s="31" t="str">
        <x:v>C-CF06A: bowl=[yellow block, green pencil sharpener] (2); table=[airplane toy without propellers, blue pen]; robot home; acceptable action=remove either bowl object.</x:v>
      </x:c>
      <x:c r="O1210" s="31" t="str">
        <x:v>ADD one table object</x:v>
      </x:c>
      <x:c r="P1210" s="31" t="str"/>
      <x:c r="Q1210" s="31" t="str"/>
      <x:c r="R1210" s="31" t="str"/>
      <x:c r="S1210" s="31" t="str">
        <x:f>IF('Blind Scoring'!I1210="","",'Blind Scoring'!I1210)</x:f>
      </x:c>
      <x:c r="T1210" s="31" t="str">
        <x:f>'Blind Scoring'!J1210</x:f>
        <x:v>No</x:v>
      </x:c>
      <x:c r="U1210" s="31" t="str">
        <x:f>IF('Blind Scoring'!L1210="","",'Blind Scoring'!L1210)</x:f>
      </x:c>
    </x:row>
    <x:row r="1211" ht="44" customHeight="1">
      <x:c r="A1211" s="35" t="str">
        <x:v>Not Started</x:v>
      </x:c>
      <x:c r="B1211" s="35" t="n">
        <x:v>1209</x:v>
      </x:c>
      <x:c r="C1211" s="35" t="str">
        <x:v>P20</x:v>
      </x:c>
      <x:c r="D1211" s="35" t="n">
        <x:v>32</x:v>
      </x:c>
      <x:c r="E1211" s="35" t="str">
        <x:v>Primary VLA</x:v>
      </x:c>
      <x:c r="F1211" s="35" t="str">
        <x:v>MolmoAct2</x:v>
      </x:c>
      <x:c r="G1211" s="35" t="n">
        <x:v>3</x:v>
      </x:c>
      <x:c r="H1211" s="35" t="str">
        <x:v>Counting</x:v>
      </x:c>
      <x:c r="I1211" s="35" t="str">
        <x:v>Novel layout + seen language</x:v>
      </x:c>
      <x:c r="J1211" s="35" t="str">
        <x:v>PVLA-CT-NOV-03</x:v>
      </x:c>
      <x:c r="K1211" s="35" t="str"/>
      <x:c r="L1211" s="31" t="str">
        <x:v>Adjust the bowl so that it contains two objects.</x:v>
      </x:c>
      <x:c r="M1211" s="31" t="str">
        <x:v>Adjust the bowl so that it contains two objects.</x:v>
      </x:c>
      <x:c r="N1211" s="31" t="str">
        <x:v>C-N06: bowl=[yellow block, green pencil sharpener, airplane toy without propellers] (3); table left→right=[blue pen]; robot home.</x:v>
      </x:c>
      <x:c r="O1211" s="31" t="str"/>
      <x:c r="P1211" s="31" t="str"/>
      <x:c r="Q1211" s="31" t="str"/>
      <x:c r="R1211" s="31" t="str"/>
      <x:c r="S1211" s="31" t="str">
        <x:f>IF('Blind Scoring'!I1211="","",'Blind Scoring'!I1211)</x:f>
      </x:c>
      <x:c r="T1211" s="31" t="str">
        <x:f>'Blind Scoring'!J1211</x:f>
        <x:v>No</x:v>
      </x:c>
      <x:c r="U1211" s="31" t="str">
        <x:f>IF('Blind Scoring'!L1211="","",'Blind Scoring'!L1211)</x:f>
      </x:c>
    </x:row>
    <x:row r="1212" ht="44" customHeight="1">
      <x:c r="A1212" s="35" t="str">
        <x:v>Not Started</x:v>
      </x:c>
      <x:c r="B1212" s="35" t="n">
        <x:v>1210</x:v>
      </x:c>
      <x:c r="C1212" s="35" t="str">
        <x:v>P20</x:v>
      </x:c>
      <x:c r="D1212" s="35" t="n">
        <x:v>33</x:v>
      </x:c>
      <x:c r="E1212" s="35" t="str">
        <x:v>Primary VLA</x:v>
      </x:c>
      <x:c r="F1212" s="35" t="str">
        <x:v>MolmoAct2</x:v>
      </x:c>
      <x:c r="G1212" s="35" t="n">
        <x:v>3</x:v>
      </x:c>
      <x:c r="H1212" s="35" t="str">
        <x:v>Counting</x:v>
      </x:c>
      <x:c r="I1212" s="35" t="str">
        <x:v>Main matched control</x:v>
      </x:c>
      <x:c r="J1212" s="35" t="str">
        <x:v>PVLA-CT-CTL-09</x:v>
      </x:c>
      <x:c r="K1212" s="35" t="str">
        <x:v>C-CF07-A</x:v>
      </x:c>
      <x:c r="L1212" s="31" t="str">
        <x:v>Remove the green pencil sharpener from the bowl.</x:v>
      </x:c>
      <x:c r="M1212" s="31" t="str">
        <x:v>Remove the green pencil sharpener from the bowl.</x:v>
      </x:c>
      <x:c r="N1212" s="31" t="str">
        <x:v>C-CF07-CA: bowl=[green pencil sharpener, airplane toy without propellers] (2); table=[blue pen, yellow block]; robot home; acceptable action=remove either bowl object.</x:v>
      </x:c>
      <x:c r="O1212" s="31" t="str">
        <x:v>REMOVE green pencil sharpener</x:v>
      </x:c>
      <x:c r="P1212" s="31" t="str"/>
      <x:c r="Q1212" s="31" t="str"/>
      <x:c r="R1212" s="31" t="str"/>
      <x:c r="S1212" s="31" t="str">
        <x:f>IF('Blind Scoring'!I1212="","",'Blind Scoring'!I1212)</x:f>
      </x:c>
      <x:c r="T1212" s="31" t="str">
        <x:f>'Blind Scoring'!J1212</x:f>
        <x:v>No</x:v>
      </x:c>
      <x:c r="U1212" s="31" t="str">
        <x:f>IF('Blind Scoring'!L1212="","",'Blind Scoring'!L1212)</x:f>
      </x:c>
    </x:row>
    <x:row r="1213" ht="44" customHeight="1">
      <x:c r="A1213" s="35" t="str">
        <x:v>Not Started</x:v>
      </x:c>
      <x:c r="B1213" s="35" t="n">
        <x:v>1211</x:v>
      </x:c>
      <x:c r="C1213" s="35" t="str">
        <x:v>P20</x:v>
      </x:c>
      <x:c r="D1213" s="35" t="n">
        <x:v>34</x:v>
      </x:c>
      <x:c r="E1213" s="35" t="str">
        <x:v>Primary VLA</x:v>
      </x:c>
      <x:c r="F1213" s="35" t="str">
        <x:v>MolmoAct2</x:v>
      </x:c>
      <x:c r="G1213" s="35" t="n">
        <x:v>3</x:v>
      </x:c>
      <x:c r="H1213" s="35" t="str">
        <x:v>Counting</x:v>
      </x:c>
      <x:c r="I1213" s="35" t="str">
        <x:v>Main matched control</x:v>
      </x:c>
      <x:c r="J1213" s="35" t="str">
        <x:v>PVLA-CT-CTL-08</x:v>
      </x:c>
      <x:c r="K1213" s="35" t="str">
        <x:v>C-CF06-B</x:v>
      </x:c>
      <x:c r="L1213" s="31" t="str">
        <x:v>Put the airplane toy without propellers in the bowl.</x:v>
      </x:c>
      <x:c r="M1213" s="31" t="str">
        <x:v>Put the airplane toy without propellers in the bowl.</x:v>
      </x:c>
      <x:c r="N1213" s="31" t="str">
        <x:v>C-CF06-CB: bowl=[yellow block, green pencil sharpener] (2); table=[airplane toy without propellers, blue pen]; robot home; acceptable action=add either table object.</x:v>
      </x:c>
      <x:c r="O1213" s="31" t="str">
        <x:v>ADD airplane toy without propellers</x:v>
      </x:c>
      <x:c r="P1213" s="31" t="str"/>
      <x:c r="Q1213" s="31" t="str"/>
      <x:c r="R1213" s="31" t="str"/>
      <x:c r="S1213" s="31" t="str">
        <x:f>IF('Blind Scoring'!I1213="","",'Blind Scoring'!I1213)</x:f>
      </x:c>
      <x:c r="T1213" s="31" t="str">
        <x:f>'Blind Scoring'!J1213</x:f>
        <x:v>No</x:v>
      </x:c>
      <x:c r="U1213" s="31" t="str">
        <x:f>IF('Blind Scoring'!L1213="","",'Blind Scoring'!L1213)</x:f>
      </x:c>
    </x:row>
    <x:row r="1214" ht="44" customHeight="1">
      <x:c r="A1214" s="35" t="str">
        <x:v>Not Started</x:v>
      </x:c>
      <x:c r="B1214" s="35" t="n">
        <x:v>1212</x:v>
      </x:c>
      <x:c r="C1214" s="35" t="str">
        <x:v>P20</x:v>
      </x:c>
      <x:c r="D1214" s="35" t="n">
        <x:v>35</x:v>
      </x:c>
      <x:c r="E1214" s="35" t="str">
        <x:v>Primary VLA</x:v>
      </x:c>
      <x:c r="F1214" s="35" t="str">
        <x:v>MolmoAct2</x:v>
      </x:c>
      <x:c r="G1214" s="35" t="n">
        <x:v>3</x:v>
      </x:c>
      <x:c r="H1214" s="35" t="str">
        <x:v>Counting</x:v>
      </x:c>
      <x:c r="I1214" s="35" t="str">
        <x:v>Language ablation — counterfactual</x:v>
      </x:c>
      <x:c r="J1214" s="35" t="str">
        <x:v>PVLA-CT-ABL-CF-01</x:v>
      </x:c>
      <x:c r="K1214" s="35" t="str">
        <x:v>C-CF04-A</x:v>
      </x:c>
      <x:c r="L1214" s="31" t="str">
        <x:v>Leave exactly three objects in the bowl.</x:v>
      </x:c>
      <x:c r="M1214" s="31" t="str">
        <x:v>Leave exactly three objects in the bowl.</x:v>
      </x:c>
      <x:c r="N1214" s="31" t="str">
        <x:v>C-CF04A: bowl=[airplane toy without propellers, blue pen] (2); table=[yellow block, green pencil sharpener]; robot home; acceptable action=remove either bowl object.</x:v>
      </x:c>
      <x:c r="O1214" s="31" t="str">
        <x:v>ADD one table object</x:v>
      </x:c>
      <x:c r="P1214" s="31" t="str"/>
      <x:c r="Q1214" s="31" t="str"/>
      <x:c r="R1214" s="31" t="str"/>
      <x:c r="S1214" s="31" t="str">
        <x:f>IF('Blind Scoring'!I1214="","",'Blind Scoring'!I1214)</x:f>
      </x:c>
      <x:c r="T1214" s="31" t="str">
        <x:f>'Blind Scoring'!J1214</x:f>
        <x:v>No</x:v>
      </x:c>
      <x:c r="U1214" s="31" t="str">
        <x:f>IF('Blind Scoring'!L1214="","",'Blind Scoring'!L1214)</x:f>
      </x:c>
    </x:row>
    <x:row r="1215" ht="44" customHeight="1">
      <x:c r="A1215" s="35" t="str">
        <x:v>Not Started</x:v>
      </x:c>
      <x:c r="B1215" s="35" t="n">
        <x:v>1213</x:v>
      </x:c>
      <x:c r="C1215" s="35" t="str">
        <x:v>P20</x:v>
      </x:c>
      <x:c r="D1215" s="35" t="n">
        <x:v>36</x:v>
      </x:c>
      <x:c r="E1215" s="35" t="str">
        <x:v>Primary VLA</x:v>
      </x:c>
      <x:c r="F1215" s="35" t="str">
        <x:v>MolmoAct2</x:v>
      </x:c>
      <x:c r="G1215" s="35" t="n">
        <x:v>3</x:v>
      </x:c>
      <x:c r="H1215" s="35" t="str">
        <x:v>Counting</x:v>
      </x:c>
      <x:c r="I1215" s="35" t="str">
        <x:v>Exact-scene paraphrase</x:v>
      </x:c>
      <x:c r="J1215" s="35" t="str">
        <x:v>PVLA-CT-PAR-01</x:v>
      </x:c>
      <x:c r="K1215" s="35" t="str"/>
      <x:c r="L1215" s="31" t="str">
        <x:v>Finish with two objects in the bowl.</x:v>
      </x:c>
      <x:c r="M1215" s="31" t="str">
        <x:v>Finish with two objects in the bowl.</x:v>
      </x:c>
      <x:c r="N1215" s="31" t="str">
        <x:v>C-N01: bowl=[blue pen] (1); table left→right=[yellow block, green pencil sharpener, airplane toy without propellers]; robot home.</x:v>
      </x:c>
      <x:c r="O1215" s="31" t="str"/>
      <x:c r="P1215" s="31" t="str"/>
      <x:c r="Q1215" s="31" t="str"/>
      <x:c r="R1215" s="31" t="str"/>
      <x:c r="S1215" s="31" t="str">
        <x:f>IF('Blind Scoring'!I1215="","",'Blind Scoring'!I1215)</x:f>
      </x:c>
      <x:c r="T1215" s="31" t="str">
        <x:f>'Blind Scoring'!J1215</x:f>
        <x:v>No</x:v>
      </x:c>
      <x:c r="U1215" s="31" t="str">
        <x:f>IF('Blind Scoring'!L1215="","",'Blind Scoring'!L1215)</x:f>
      </x:c>
    </x:row>
    <x:row r="1216" ht="44" customHeight="1">
      <x:c r="A1216" s="35" t="str">
        <x:v>Not Started</x:v>
      </x:c>
      <x:c r="B1216" s="35" t="n">
        <x:v>1214</x:v>
      </x:c>
      <x:c r="C1216" s="35" t="str">
        <x:v>P20</x:v>
      </x:c>
      <x:c r="D1216" s="35" t="n">
        <x:v>37</x:v>
      </x:c>
      <x:c r="E1216" s="35" t="str">
        <x:v>Primary VLA</x:v>
      </x:c>
      <x:c r="F1216" s="35" t="str">
        <x:v>MolmoAct2</x:v>
      </x:c>
      <x:c r="G1216" s="35" t="n">
        <x:v>3</x:v>
      </x:c>
      <x:c r="H1216" s="35" t="str">
        <x:v>Counting</x:v>
      </x:c>
      <x:c r="I1216" s="35" t="str">
        <x:v>Language ablation — counterfactual</x:v>
      </x:c>
      <x:c r="J1216" s="35" t="str">
        <x:v>PVLA-CT-ABL-CF-02</x:v>
      </x:c>
      <x:c r="K1216" s="35" t="str">
        <x:v>C-CF04-B</x:v>
      </x:c>
      <x:c r="L1216" s="31" t="str">
        <x:v>Leave exactly one object in the bowl.</x:v>
      </x:c>
      <x:c r="M1216" s="31" t="str">
        <x:v>Leave exactly one object in the bowl.</x:v>
      </x:c>
      <x:c r="N1216" s="31" t="str">
        <x:v>C-CF04B: bowl=[airplane toy without propellers, blue pen] (2); table=[yellow block, green pencil sharpener]; robot home; acceptable action=add either table object.</x:v>
      </x:c>
      <x:c r="O1216" s="31" t="str">
        <x:v>REMOVE one bowl object</x:v>
      </x:c>
      <x:c r="P1216" s="31" t="str"/>
      <x:c r="Q1216" s="31" t="str"/>
      <x:c r="R1216" s="31" t="str"/>
      <x:c r="S1216" s="31" t="str">
        <x:f>IF('Blind Scoring'!I1216="","",'Blind Scoring'!I1216)</x:f>
      </x:c>
      <x:c r="T1216" s="31" t="str">
        <x:f>'Blind Scoring'!J1216</x:f>
        <x:v>No</x:v>
      </x:c>
      <x:c r="U1216" s="31" t="str">
        <x:f>IF('Blind Scoring'!L1216="","",'Blind Scoring'!L1216)</x:f>
      </x:c>
    </x:row>
    <x:row r="1217" ht="44" customHeight="1">
      <x:c r="A1217" s="35" t="str">
        <x:v>Not Started</x:v>
      </x:c>
      <x:c r="B1217" s="35" t="n">
        <x:v>1215</x:v>
      </x:c>
      <x:c r="C1217" s="35" t="str">
        <x:v>P20</x:v>
      </x:c>
      <x:c r="D1217" s="35" t="n">
        <x:v>38</x:v>
      </x:c>
      <x:c r="E1217" s="35" t="str">
        <x:v>Primary VLA</x:v>
      </x:c>
      <x:c r="F1217" s="35" t="str">
        <x:v>MolmoAct2</x:v>
      </x:c>
      <x:c r="G1217" s="35" t="n">
        <x:v>3</x:v>
      </x:c>
      <x:c r="H1217" s="35" t="str">
        <x:v>Counting</x:v>
      </x:c>
      <x:c r="I1217" s="35" t="str">
        <x:v>Main held-out transfer</x:v>
      </x:c>
      <x:c r="J1217" s="35" t="str">
        <x:v>PVLA-CT-TR-05</x:v>
      </x:c>
      <x:c r="K1217" s="35" t="str">
        <x:v>C-CF04-A</x:v>
      </x:c>
      <x:c r="L1217" s="31" t="str">
        <x:v>Leave exactly one object in the bowl.</x:v>
      </x:c>
      <x:c r="M1217" s="31" t="str">
        <x:v>Leave exactly one object in the bowl.</x:v>
      </x:c>
      <x:c r="N1217" s="31" t="str">
        <x:v>C-CF04A: bowl=[airplane toy without propellers, blue pen] (2); table=[yellow block, green pencil sharpener]; robot home; acceptable action=remove either bowl object.</x:v>
      </x:c>
      <x:c r="O1217" s="31" t="str">
        <x:v>REMOVE one bowl object</x:v>
      </x:c>
      <x:c r="P1217" s="31" t="str"/>
      <x:c r="Q1217" s="31" t="str"/>
      <x:c r="R1217" s="31" t="str"/>
      <x:c r="S1217" s="31" t="str">
        <x:f>IF('Blind Scoring'!I1217="","",'Blind Scoring'!I1217)</x:f>
      </x:c>
      <x:c r="T1217" s="31" t="str">
        <x:f>'Blind Scoring'!J1217</x:f>
        <x:v>No</x:v>
      </x:c>
      <x:c r="U1217" s="31" t="str">
        <x:f>IF('Blind Scoring'!L1217="","",'Blind Scoring'!L1217)</x:f>
      </x:c>
    </x:row>
    <x:row r="1218" ht="44" customHeight="1">
      <x:c r="A1218" s="35" t="str">
        <x:v>Not Started</x:v>
      </x:c>
      <x:c r="B1218" s="35" t="n">
        <x:v>1216</x:v>
      </x:c>
      <x:c r="C1218" s="35" t="str">
        <x:v>P20</x:v>
      </x:c>
      <x:c r="D1218" s="35" t="n">
        <x:v>39</x:v>
      </x:c>
      <x:c r="E1218" s="35" t="str">
        <x:v>Primary VLA</x:v>
      </x:c>
      <x:c r="F1218" s="35" t="str">
        <x:v>MolmoAct2</x:v>
      </x:c>
      <x:c r="G1218" s="35" t="n">
        <x:v>3</x:v>
      </x:c>
      <x:c r="H1218" s="35" t="str">
        <x:v>Counting</x:v>
      </x:c>
      <x:c r="I1218" s="35" t="str">
        <x:v>Main matched control</x:v>
      </x:c>
      <x:c r="J1218" s="35" t="str">
        <x:v>PVLA-CT-CTL-12</x:v>
      </x:c>
      <x:c r="K1218" s="35" t="str">
        <x:v>C-CF09-B</x:v>
      </x:c>
      <x:c r="L1218" s="31" t="str">
        <x:v>Put the green pencil sharpener in the bowl.</x:v>
      </x:c>
      <x:c r="M1218" s="31" t="str">
        <x:v>Put the green pencil sharpener in the bowl.</x:v>
      </x:c>
      <x:c r="N1218" s="31" t="str">
        <x:v>C-CF09-CB: bowl=[blue pen, yellow block] (2); table=[green pencil sharpener, airplane toy without propellers]; robot home; acceptable action=add either table object.</x:v>
      </x:c>
      <x:c r="O1218" s="31" t="str">
        <x:v>ADD green pencil sharpener</x:v>
      </x:c>
      <x:c r="P1218" s="31" t="str"/>
      <x:c r="Q1218" s="31" t="str"/>
      <x:c r="R1218" s="31" t="str"/>
      <x:c r="S1218" s="31" t="str">
        <x:f>IF('Blind Scoring'!I1218="","",'Blind Scoring'!I1218)</x:f>
      </x:c>
      <x:c r="T1218" s="31" t="str">
        <x:f>'Blind Scoring'!J1218</x:f>
        <x:v>No</x:v>
      </x:c>
      <x:c r="U1218" s="31" t="str">
        <x:f>IF('Blind Scoring'!L1218="","",'Blind Scoring'!L1218)</x:f>
      </x:c>
    </x:row>
    <x:row r="1219" ht="44" customHeight="1">
      <x:c r="A1219" s="35" t="str">
        <x:v>Not Started</x:v>
      </x:c>
      <x:c r="B1219" s="35" t="n">
        <x:v>1217</x:v>
      </x:c>
      <x:c r="C1219" s="35" t="str">
        <x:v>P20</x:v>
      </x:c>
      <x:c r="D1219" s="35" t="n">
        <x:v>40</x:v>
      </x:c>
      <x:c r="E1219" s="35" t="str">
        <x:v>Primary VLA</x:v>
      </x:c>
      <x:c r="F1219" s="35" t="str">
        <x:v>MolmoAct2</x:v>
      </x:c>
      <x:c r="G1219" s="35" t="n">
        <x:v>3</x:v>
      </x:c>
      <x:c r="H1219" s="35" t="str">
        <x:v>Counting</x:v>
      </x:c>
      <x:c r="I1219" s="35" t="str">
        <x:v>Novel layout + seen language</x:v>
      </x:c>
      <x:c r="J1219" s="35" t="str">
        <x:v>PVLA-CT-NOV-07</x:v>
      </x:c>
      <x:c r="K1219" s="35" t="str"/>
      <x:c r="L1219" s="31" t="str">
        <x:v>Make the bowl contain exactly zero objects.</x:v>
      </x:c>
      <x:c r="M1219" s="31" t="str">
        <x:v>Make the bowl contain exactly zero objects.</x:v>
      </x:c>
      <x:c r="N1219" s="31" t="str">
        <x:v>C-N17: bowl=[green pencil sharpener] (1); table left→right=[airplane toy without propellers, blue pen, yellow block]; robot home.</x:v>
      </x:c>
      <x:c r="O1219" s="31" t="str"/>
      <x:c r="P1219" s="31" t="str"/>
      <x:c r="Q1219" s="31" t="str"/>
      <x:c r="R1219" s="31" t="str"/>
      <x:c r="S1219" s="31" t="str">
        <x:f>IF('Blind Scoring'!I1219="","",'Blind Scoring'!I1219)</x:f>
      </x:c>
      <x:c r="T1219" s="31" t="str">
        <x:f>'Blind Scoring'!J1219</x:f>
        <x:v>No</x:v>
      </x:c>
      <x:c r="U1219" s="31" t="str">
        <x:f>IF('Blind Scoring'!L1219="","",'Blind Scoring'!L1219)</x:f>
      </x:c>
    </x:row>
    <x:row r="1220" ht="44" customHeight="1">
      <x:c r="A1220" s="35" t="str">
        <x:v>Not Started</x:v>
      </x:c>
      <x:c r="B1220" s="35" t="n">
        <x:v>1218</x:v>
      </x:c>
      <x:c r="C1220" s="35" t="str">
        <x:v>P20</x:v>
      </x:c>
      <x:c r="D1220" s="35" t="n">
        <x:v>41</x:v>
      </x:c>
      <x:c r="E1220" s="35" t="str">
        <x:v>Primary VLA</x:v>
      </x:c>
      <x:c r="F1220" s="35" t="str">
        <x:v>MolmoAct2</x:v>
      </x:c>
      <x:c r="G1220" s="35" t="n">
        <x:v>3</x:v>
      </x:c>
      <x:c r="H1220" s="35" t="str">
        <x:v>Counting</x:v>
      </x:c>
      <x:c r="I1220" s="35" t="str">
        <x:v>Main matched control</x:v>
      </x:c>
      <x:c r="J1220" s="35" t="str">
        <x:v>PVLA-CT-CTL-10</x:v>
      </x:c>
      <x:c r="K1220" s="35" t="str">
        <x:v>C-CF07-B</x:v>
      </x:c>
      <x:c r="L1220" s="31" t="str">
        <x:v>Put the blue pen in the bowl.</x:v>
      </x:c>
      <x:c r="M1220" s="31" t="str">
        <x:v>Put the blue pen in the bowl.</x:v>
      </x:c>
      <x:c r="N1220" s="31" t="str">
        <x:v>C-CF07-CB: bowl=[green pencil sharpener, airplane toy without propellers] (2); table=[blue pen, yellow block]; robot home; acceptable action=add either table object.</x:v>
      </x:c>
      <x:c r="O1220" s="31" t="str">
        <x:v>ADD blue pen</x:v>
      </x:c>
      <x:c r="P1220" s="31" t="str"/>
      <x:c r="Q1220" s="31" t="str"/>
      <x:c r="R1220" s="31" t="str"/>
      <x:c r="S1220" s="31" t="str">
        <x:f>IF('Blind Scoring'!I1220="","",'Blind Scoring'!I1220)</x:f>
      </x:c>
      <x:c r="T1220" s="31" t="str">
        <x:f>'Blind Scoring'!J1220</x:f>
        <x:v>No</x:v>
      </x:c>
      <x:c r="U1220" s="31" t="str">
        <x:f>IF('Blind Scoring'!L1220="","",'Blind Scoring'!L1220)</x:f>
      </x:c>
    </x:row>
    <x:row r="1221" ht="44" customHeight="1">
      <x:c r="A1221" s="35" t="str">
        <x:v>Not Started</x:v>
      </x:c>
      <x:c r="B1221" s="35" t="n">
        <x:v>1219</x:v>
      </x:c>
      <x:c r="C1221" s="35" t="str">
        <x:v>P20</x:v>
      </x:c>
      <x:c r="D1221" s="35" t="n">
        <x:v>42</x:v>
      </x:c>
      <x:c r="E1221" s="35" t="str">
        <x:v>Primary VLA</x:v>
      </x:c>
      <x:c r="F1221" s="35" t="str">
        <x:v>MolmoAct2</x:v>
      </x:c>
      <x:c r="G1221" s="35" t="n">
        <x:v>3</x:v>
      </x:c>
      <x:c r="H1221" s="35" t="str">
        <x:v>Counting</x:v>
      </x:c>
      <x:c r="I1221" s="35" t="str">
        <x:v>Main matched control</x:v>
      </x:c>
      <x:c r="J1221" s="35" t="str">
        <x:v>PVLA-CT-CTL-07</x:v>
      </x:c>
      <x:c r="K1221" s="35" t="str">
        <x:v>C-CF06-A</x:v>
      </x:c>
      <x:c r="L1221" s="31" t="str">
        <x:v>Remove the yellow block from the bowl.</x:v>
      </x:c>
      <x:c r="M1221" s="31" t="str">
        <x:v>Remove the yellow block from the bowl.</x:v>
      </x:c>
      <x:c r="N1221" s="31" t="str">
        <x:v>C-CF06-CA: bowl=[yellow block, green pencil sharpener] (2); table=[airplane toy without propellers, blue pen]; robot home; acceptable action=remove either bowl object.</x:v>
      </x:c>
      <x:c r="O1221" s="31" t="str">
        <x:v>REMOVE yellow block</x:v>
      </x:c>
      <x:c r="P1221" s="31" t="str"/>
      <x:c r="Q1221" s="31" t="str"/>
      <x:c r="R1221" s="31" t="str"/>
      <x:c r="S1221" s="31" t="str">
        <x:f>IF('Blind Scoring'!I1221="","",'Blind Scoring'!I1221)</x:f>
      </x:c>
      <x:c r="T1221" s="31" t="str">
        <x:f>'Blind Scoring'!J1221</x:f>
        <x:v>No</x:v>
      </x:c>
      <x:c r="U1221" s="31" t="str">
        <x:f>IF('Blind Scoring'!L1221="","",'Blind Scoring'!L1221)</x:f>
      </x:c>
    </x:row>
    <x:row r="1222" ht="44" customHeight="1">
      <x:c r="A1222" s="35" t="str">
        <x:v>Not Started</x:v>
      </x:c>
      <x:c r="B1222" s="35" t="n">
        <x:v>1220</x:v>
      </x:c>
      <x:c r="C1222" s="35" t="str">
        <x:v>P20</x:v>
      </x:c>
      <x:c r="D1222" s="35" t="n">
        <x:v>43</x:v>
      </x:c>
      <x:c r="E1222" s="35" t="str">
        <x:v>Primary VLA</x:v>
      </x:c>
      <x:c r="F1222" s="35" t="str">
        <x:v>MolmoAct2</x:v>
      </x:c>
      <x:c r="G1222" s="35" t="n">
        <x:v>3</x:v>
      </x:c>
      <x:c r="H1222" s="35" t="str">
        <x:v>Counting</x:v>
      </x:c>
      <x:c r="I1222" s="35" t="str">
        <x:v>Main matched control</x:v>
      </x:c>
      <x:c r="J1222" s="35" t="str">
        <x:v>PVLA-CT-CTL-02</x:v>
      </x:c>
      <x:c r="K1222" s="35" t="str">
        <x:v>C-CF01-B</x:v>
      </x:c>
      <x:c r="L1222" s="31" t="str">
        <x:v>Put the green pencil sharpener in the bowl.</x:v>
      </x:c>
      <x:c r="M1222" s="31" t="str">
        <x:v>Put the green pencil sharpener in the bowl.</x:v>
      </x:c>
      <x:c r="N1222" s="31" t="str">
        <x:v>C-CF01-CB: bowl=[blue pen, yellow block] (2); table=[green pencil sharpener, airplane toy without propellers]; robot home; acceptable action=add either table object.</x:v>
      </x:c>
      <x:c r="O1222" s="31" t="str">
        <x:v>ADD green pencil sharpener</x:v>
      </x:c>
      <x:c r="P1222" s="31" t="str"/>
      <x:c r="Q1222" s="31" t="str"/>
      <x:c r="R1222" s="31" t="str"/>
      <x:c r="S1222" s="31" t="str">
        <x:f>IF('Blind Scoring'!I1222="","",'Blind Scoring'!I1222)</x:f>
      </x:c>
      <x:c r="T1222" s="31" t="str">
        <x:f>'Blind Scoring'!J1222</x:f>
        <x:v>No</x:v>
      </x:c>
      <x:c r="U1222" s="31" t="str">
        <x:f>IF('Blind Scoring'!L1222="","",'Blind Scoring'!L1222)</x:f>
      </x:c>
    </x:row>
    <x:row r="1223" ht="44" customHeight="1">
      <x:c r="A1223" s="35" t="str">
        <x:v>Not Started</x:v>
      </x:c>
      <x:c r="B1223" s="35" t="n">
        <x:v>1221</x:v>
      </x:c>
      <x:c r="C1223" s="35" t="str">
        <x:v>P20</x:v>
      </x:c>
      <x:c r="D1223" s="35" t="n">
        <x:v>44</x:v>
      </x:c>
      <x:c r="E1223" s="35" t="str">
        <x:v>Primary VLA</x:v>
      </x:c>
      <x:c r="F1223" s="35" t="str">
        <x:v>MolmoAct2</x:v>
      </x:c>
      <x:c r="G1223" s="35" t="n">
        <x:v>3</x:v>
      </x:c>
      <x:c r="H1223" s="35" t="str">
        <x:v>Counting</x:v>
      </x:c>
      <x:c r="I1223" s="35" t="str">
        <x:v>Main matched control</x:v>
      </x:c>
      <x:c r="J1223" s="35" t="str">
        <x:v>PVLA-CT-CTL-06</x:v>
      </x:c>
      <x:c r="K1223" s="35" t="str">
        <x:v>C-CF04-B</x:v>
      </x:c>
      <x:c r="L1223" s="31" t="str">
        <x:v>Put the yellow block in the bowl.</x:v>
      </x:c>
      <x:c r="M1223" s="31" t="str">
        <x:v>Put the yellow block in the bowl.</x:v>
      </x:c>
      <x:c r="N1223" s="31" t="str">
        <x:v>C-CF04-CB: bowl=[airplane toy without propellers, blue pen] (2); table=[yellow block, green pencil sharpener]; robot home; acceptable action=add either table object.</x:v>
      </x:c>
      <x:c r="O1223" s="31" t="str">
        <x:v>ADD yellow block</x:v>
      </x:c>
      <x:c r="P1223" s="31" t="str"/>
      <x:c r="Q1223" s="31" t="str"/>
      <x:c r="R1223" s="31" t="str"/>
      <x:c r="S1223" s="31" t="str">
        <x:f>IF('Blind Scoring'!I1223="","",'Blind Scoring'!I1223)</x:f>
      </x:c>
      <x:c r="T1223" s="31" t="str">
        <x:f>'Blind Scoring'!J1223</x:f>
        <x:v>No</x:v>
      </x:c>
      <x:c r="U1223" s="31" t="str">
        <x:f>IF('Blind Scoring'!L1223="","",'Blind Scoring'!L1223)</x:f>
      </x:c>
    </x:row>
    <x:row r="1224" ht="44" customHeight="1">
      <x:c r="A1224" s="35" t="str">
        <x:v>Not Started</x:v>
      </x:c>
      <x:c r="B1224" s="35" t="n">
        <x:v>1222</x:v>
      </x:c>
      <x:c r="C1224" s="35" t="str">
        <x:v>P20</x:v>
      </x:c>
      <x:c r="D1224" s="35" t="n">
        <x:v>45</x:v>
      </x:c>
      <x:c r="E1224" s="35" t="str">
        <x:v>Primary VLA</x:v>
      </x:c>
      <x:c r="F1224" s="35" t="str">
        <x:v>MolmoAct2</x:v>
      </x:c>
      <x:c r="G1224" s="35" t="n">
        <x:v>3</x:v>
      </x:c>
      <x:c r="H1224" s="35" t="str">
        <x:v>Counting</x:v>
      </x:c>
      <x:c r="I1224" s="35" t="str">
        <x:v>Main held-out transfer</x:v>
      </x:c>
      <x:c r="J1224" s="35" t="str">
        <x:v>PVLA-CT-TR-12</x:v>
      </x:c>
      <x:c r="K1224" s="35" t="str">
        <x:v>C-CF09-B</x:v>
      </x:c>
      <x:c r="L1224" s="31" t="str">
        <x:v>Leave exactly three objects in the bowl.</x:v>
      </x:c>
      <x:c r="M1224" s="31" t="str">
        <x:v>Leave exactly three objects in the bowl.</x:v>
      </x:c>
      <x:c r="N1224" s="31" t="str">
        <x:v>C-CF09B: bowl=[blue pen, yellow block] (2); table=[green pencil sharpener, airplane toy without propellers]; robot home; acceptable action=add either table object.</x:v>
      </x:c>
      <x:c r="O1224" s="31" t="str">
        <x:v>ADD one table object</x:v>
      </x:c>
      <x:c r="P1224" s="31" t="str"/>
      <x:c r="Q1224" s="31" t="str"/>
      <x:c r="R1224" s="31" t="str"/>
      <x:c r="S1224" s="31" t="str">
        <x:f>IF('Blind Scoring'!I1224="","",'Blind Scoring'!I1224)</x:f>
      </x:c>
      <x:c r="T1224" s="31" t="str">
        <x:f>'Blind Scoring'!J1224</x:f>
        <x:v>No</x:v>
      </x:c>
      <x:c r="U1224" s="31" t="str">
        <x:f>IF('Blind Scoring'!L1224="","",'Blind Scoring'!L1224)</x:f>
      </x:c>
    </x:row>
    <x:row r="1225" ht="44" customHeight="1">
      <x:c r="A1225" s="35" t="str">
        <x:v>Not Started</x:v>
      </x:c>
      <x:c r="B1225" s="35" t="n">
        <x:v>1223</x:v>
      </x:c>
      <x:c r="C1225" s="35" t="str">
        <x:v>P20</x:v>
      </x:c>
      <x:c r="D1225" s="35" t="n">
        <x:v>46</x:v>
      </x:c>
      <x:c r="E1225" s="35" t="str">
        <x:v>Primary VLA</x:v>
      </x:c>
      <x:c r="F1225" s="35" t="str">
        <x:v>MolmoAct2</x:v>
      </x:c>
      <x:c r="G1225" s="35" t="n">
        <x:v>3</x:v>
      </x:c>
      <x:c r="H1225" s="35" t="str">
        <x:v>Counting</x:v>
      </x:c>
      <x:c r="I1225" s="35" t="str">
        <x:v>Novel layout + seen language</x:v>
      </x:c>
      <x:c r="J1225" s="35" t="str">
        <x:v>PVLA-CT-NOV-04</x:v>
      </x:c>
      <x:c r="K1225" s="35" t="str"/>
      <x:c r="L1225" s="31" t="str">
        <x:v>Adjust the bowl so that it contains two objects.</x:v>
      </x:c>
      <x:c r="M1225" s="31" t="str">
        <x:v>Adjust the bowl so that it contains two objects.</x:v>
      </x:c>
      <x:c r="N1225" s="31" t="str">
        <x:v>C-N09: bowl=[blue pen] (1); table left→right=[yellow block, green pencil sharpener, airplane toy without propellers]; robot home.</x:v>
      </x:c>
      <x:c r="O1225" s="31" t="str"/>
      <x:c r="P1225" s="31" t="str"/>
      <x:c r="Q1225" s="31" t="str"/>
      <x:c r="R1225" s="31" t="str"/>
      <x:c r="S1225" s="31" t="str">
        <x:f>IF('Blind Scoring'!I1225="","",'Blind Scoring'!I1225)</x:f>
      </x:c>
      <x:c r="T1225" s="31" t="str">
        <x:f>'Blind Scoring'!J1225</x:f>
        <x:v>No</x:v>
      </x:c>
      <x:c r="U1225" s="31" t="str">
        <x:f>IF('Blind Scoring'!L1225="","",'Blind Scoring'!L1225)</x:f>
      </x:c>
    </x:row>
    <x:row r="1226" ht="44" customHeight="1">
      <x:c r="A1226" s="35" t="str">
        <x:v>Not Started</x:v>
      </x:c>
      <x:c r="B1226" s="35" t="n">
        <x:v>1224</x:v>
      </x:c>
      <x:c r="C1226" s="35" t="str">
        <x:v>P20</x:v>
      </x:c>
      <x:c r="D1226" s="35" t="n">
        <x:v>47</x:v>
      </x:c>
      <x:c r="E1226" s="35" t="str">
        <x:v>Primary VLA</x:v>
      </x:c>
      <x:c r="F1226" s="35" t="str">
        <x:v>MolmoAct2</x:v>
      </x:c>
      <x:c r="G1226" s="35" t="n">
        <x:v>3</x:v>
      </x:c>
      <x:c r="H1226" s="35" t="str">
        <x:v>Counting</x:v>
      </x:c>
      <x:c r="I1226" s="35" t="str">
        <x:v>Language ablation — counterfactual</x:v>
      </x:c>
      <x:c r="J1226" s="35" t="str">
        <x:v>PVLA-CT-ABL-CF-04</x:v>
      </x:c>
      <x:c r="K1226" s="35" t="str">
        <x:v>C-CF06-B</x:v>
      </x:c>
      <x:c r="L1226" s="31" t="str">
        <x:v>Leave exactly one object in the bowl.</x:v>
      </x:c>
      <x:c r="M1226" s="31" t="str">
        <x:v>Leave exactly one object in the bowl.</x:v>
      </x:c>
      <x:c r="N1226" s="31" t="str">
        <x:v>C-CF06B: bowl=[yellow block, green pencil sharpener] (2); table=[airplane toy without propellers, blue pen]; robot home; acceptable action=add either table object.</x:v>
      </x:c>
      <x:c r="O1226" s="31" t="str">
        <x:v>REMOVE one bowl object</x:v>
      </x:c>
      <x:c r="P1226" s="31" t="str"/>
      <x:c r="Q1226" s="31" t="str"/>
      <x:c r="R1226" s="31" t="str"/>
      <x:c r="S1226" s="31" t="str">
        <x:f>IF('Blind Scoring'!I1226="","",'Blind Scoring'!I1226)</x:f>
      </x:c>
      <x:c r="T1226" s="31" t="str">
        <x:f>'Blind Scoring'!J1226</x:f>
        <x:v>No</x:v>
      </x:c>
      <x:c r="U1226" s="31" t="str">
        <x:f>IF('Blind Scoring'!L1226="","",'Blind Scoring'!L1226)</x:f>
      </x:c>
    </x:row>
    <x:row r="1227" ht="44" customHeight="1">
      <x:c r="A1227" s="35" t="str">
        <x:v>Not Started</x:v>
      </x:c>
      <x:c r="B1227" s="35" t="n">
        <x:v>1225</x:v>
      </x:c>
      <x:c r="C1227" s="35" t="str">
        <x:v>P20</x:v>
      </x:c>
      <x:c r="D1227" s="35" t="n">
        <x:v>48</x:v>
      </x:c>
      <x:c r="E1227" s="35" t="str">
        <x:v>Primary VLA</x:v>
      </x:c>
      <x:c r="F1227" s="35" t="str">
        <x:v>MolmoAct2</x:v>
      </x:c>
      <x:c r="G1227" s="35" t="n">
        <x:v>3</x:v>
      </x:c>
      <x:c r="H1227" s="35" t="str">
        <x:v>Counting</x:v>
      </x:c>
      <x:c r="I1227" s="35" t="str">
        <x:v>Exact-scene paraphrase</x:v>
      </x:c>
      <x:c r="J1227" s="35" t="str">
        <x:v>PVLA-CT-PAR-08</x:v>
      </x:c>
      <x:c r="K1227" s="35" t="str"/>
      <x:c r="L1227" s="31" t="str">
        <x:v>Finish with two objects in the bowl.</x:v>
      </x:c>
      <x:c r="M1227" s="31" t="str">
        <x:v>Finish with two objects in the bowl.</x:v>
      </x:c>
      <x:c r="N1227" s="31" t="str">
        <x:v>C-N01: bowl=[blue pen] (1); table left→right=[yellow block, green pencil sharpener, airplane toy without propellers]; robot home.</x:v>
      </x:c>
      <x:c r="O1227" s="31" t="str"/>
      <x:c r="P1227" s="31" t="str"/>
      <x:c r="Q1227" s="31" t="str"/>
      <x:c r="R1227" s="31" t="str"/>
      <x:c r="S1227" s="31" t="str">
        <x:f>IF('Blind Scoring'!I1227="","",'Blind Scoring'!I1227)</x:f>
      </x:c>
      <x:c r="T1227" s="31" t="str">
        <x:f>'Blind Scoring'!J1227</x:f>
        <x:v>No</x:v>
      </x:c>
      <x:c r="U1227" s="31" t="str">
        <x:f>IF('Blind Scoring'!L1227="","",'Blind Scoring'!L1227)</x:f>
      </x:c>
    </x:row>
    <x:row r="1228" ht="44" customHeight="1">
      <x:c r="A1228" s="35" t="str">
        <x:v>Not Started</x:v>
      </x:c>
      <x:c r="B1228" s="35" t="n">
        <x:v>1226</x:v>
      </x:c>
      <x:c r="C1228" s="35" t="str">
        <x:v>P20</x:v>
      </x:c>
      <x:c r="D1228" s="35" t="n">
        <x:v>49</x:v>
      </x:c>
      <x:c r="E1228" s="35" t="str">
        <x:v>Primary VLA</x:v>
      </x:c>
      <x:c r="F1228" s="35" t="str">
        <x:v>MolmoAct2</x:v>
      </x:c>
      <x:c r="G1228" s="35" t="n">
        <x:v>3</x:v>
      </x:c>
      <x:c r="H1228" s="35" t="str">
        <x:v>Counting</x:v>
      </x:c>
      <x:c r="I1228" s="35" t="str">
        <x:v>Main matched control</x:v>
      </x:c>
      <x:c r="J1228" s="35" t="str">
        <x:v>PVLA-CT-CTL-16</x:v>
      </x:c>
      <x:c r="K1228" s="35" t="str">
        <x:v>C-CF12-B</x:v>
      </x:c>
      <x:c r="L1228" s="31" t="str">
        <x:v>Put the yellow block in the bowl.</x:v>
      </x:c>
      <x:c r="M1228" s="31" t="str">
        <x:v>Put the yellow block in the bowl.</x:v>
      </x:c>
      <x:c r="N1228" s="31" t="str">
        <x:v>C-CF12-CB: bowl=[airplane toy without propellers, blue pen] (2); table=[yellow block, green pencil sharpener]; robot home; acceptable action=add either table object.</x:v>
      </x:c>
      <x:c r="O1228" s="31" t="str">
        <x:v>ADD yellow block</x:v>
      </x:c>
      <x:c r="P1228" s="31" t="str"/>
      <x:c r="Q1228" s="31" t="str"/>
      <x:c r="R1228" s="31" t="str"/>
      <x:c r="S1228" s="31" t="str">
        <x:f>IF('Blind Scoring'!I1228="","",'Blind Scoring'!I1228)</x:f>
      </x:c>
      <x:c r="T1228" s="31" t="str">
        <x:f>'Blind Scoring'!J1228</x:f>
        <x:v>No</x:v>
      </x:c>
      <x:c r="U1228" s="31" t="str">
        <x:f>IF('Blind Scoring'!L1228="","",'Blind Scoring'!L1228)</x:f>
      </x:c>
    </x:row>
    <x:row r="1229" ht="44" customHeight="1">
      <x:c r="A1229" s="35" t="str">
        <x:v>Not Started</x:v>
      </x:c>
      <x:c r="B1229" s="35" t="n">
        <x:v>1227</x:v>
      </x:c>
      <x:c r="C1229" s="35" t="str">
        <x:v>P20</x:v>
      </x:c>
      <x:c r="D1229" s="35" t="n">
        <x:v>50</x:v>
      </x:c>
      <x:c r="E1229" s="35" t="str">
        <x:v>Primary VLA</x:v>
      </x:c>
      <x:c r="F1229" s="35" t="str">
        <x:v>MolmoAct2</x:v>
      </x:c>
      <x:c r="G1229" s="35" t="n">
        <x:v>3</x:v>
      </x:c>
      <x:c r="H1229" s="35" t="str">
        <x:v>Counting</x:v>
      </x:c>
      <x:c r="I1229" s="35" t="str">
        <x:v>Main held-out transfer</x:v>
      </x:c>
      <x:c r="J1229" s="35" t="str">
        <x:v>PVLA-CT-TR-10</x:v>
      </x:c>
      <x:c r="K1229" s="35" t="str">
        <x:v>C-CF07-B</x:v>
      </x:c>
      <x:c r="L1229" s="31" t="str">
        <x:v>Leave exactly three objects in the bowl.</x:v>
      </x:c>
      <x:c r="M1229" s="31" t="str">
        <x:v>Leave exactly three objects in the bowl.</x:v>
      </x:c>
      <x:c r="N1229" s="31" t="str">
        <x:v>C-CF07B: bowl=[green pencil sharpener, airplane toy without propellers] (2); table=[blue pen, yellow block]; robot home; acceptable action=add either table object.</x:v>
      </x:c>
      <x:c r="O1229" s="31" t="str">
        <x:v>ADD one table object</x:v>
      </x:c>
      <x:c r="P1229" s="31" t="str"/>
      <x:c r="Q1229" s="31" t="str"/>
      <x:c r="R1229" s="31" t="str"/>
      <x:c r="S1229" s="31" t="str">
        <x:f>IF('Blind Scoring'!I1229="","",'Blind Scoring'!I1229)</x:f>
      </x:c>
      <x:c r="T1229" s="31" t="str">
        <x:f>'Blind Scoring'!J1229</x:f>
        <x:v>No</x:v>
      </x:c>
      <x:c r="U1229" s="31" t="str">
        <x:f>IF('Blind Scoring'!L1229="","",'Blind Scoring'!L1229)</x:f>
      </x:c>
    </x:row>
    <x:row r="1230" ht="44" customHeight="1">
      <x:c r="A1230" s="35" t="str">
        <x:v>Not Started</x:v>
      </x:c>
      <x:c r="B1230" s="35" t="n">
        <x:v>1228</x:v>
      </x:c>
      <x:c r="C1230" s="35" t="str">
        <x:v>P20</x:v>
      </x:c>
      <x:c r="D1230" s="35" t="n">
        <x:v>51</x:v>
      </x:c>
      <x:c r="E1230" s="35" t="str">
        <x:v>Primary VLA</x:v>
      </x:c>
      <x:c r="F1230" s="35" t="str">
        <x:v>MolmoAct2</x:v>
      </x:c>
      <x:c r="G1230" s="35" t="n">
        <x:v>3</x:v>
      </x:c>
      <x:c r="H1230" s="35" t="str">
        <x:v>Counting</x:v>
      </x:c>
      <x:c r="I1230" s="35" t="str">
        <x:v>Main held-out transfer</x:v>
      </x:c>
      <x:c r="J1230" s="35" t="str">
        <x:v>PVLA-CT-TR-07</x:v>
      </x:c>
      <x:c r="K1230" s="35" t="str">
        <x:v>C-CF06-A</x:v>
      </x:c>
      <x:c r="L1230" s="31" t="str">
        <x:v>Leave exactly one object in the bowl.</x:v>
      </x:c>
      <x:c r="M1230" s="31" t="str">
        <x:v>Leave exactly one object in the bowl.</x:v>
      </x:c>
      <x:c r="N1230" s="31" t="str">
        <x:v>C-CF06A: bowl=[yellow block, green pencil sharpener] (2); table=[airplane toy without propellers, blue pen]; robot home; acceptable action=remove either bowl object.</x:v>
      </x:c>
      <x:c r="O1230" s="31" t="str">
        <x:v>REMOVE one bowl object</x:v>
      </x:c>
      <x:c r="P1230" s="31" t="str"/>
      <x:c r="Q1230" s="31" t="str"/>
      <x:c r="R1230" s="31" t="str"/>
      <x:c r="S1230" s="31" t="str">
        <x:f>IF('Blind Scoring'!I1230="","",'Blind Scoring'!I1230)</x:f>
      </x:c>
      <x:c r="T1230" s="31" t="str">
        <x:f>'Blind Scoring'!J1230</x:f>
        <x:v>No</x:v>
      </x:c>
      <x:c r="U1230" s="31" t="str">
        <x:f>IF('Blind Scoring'!L1230="","",'Blind Scoring'!L1230)</x:f>
      </x:c>
    </x:row>
    <x:row r="1231" ht="44" customHeight="1">
      <x:c r="A1231" s="35" t="str">
        <x:v>Not Started</x:v>
      </x:c>
      <x:c r="B1231" s="35" t="n">
        <x:v>1229</x:v>
      </x:c>
      <x:c r="C1231" s="35" t="str">
        <x:v>P20</x:v>
      </x:c>
      <x:c r="D1231" s="35" t="n">
        <x:v>52</x:v>
      </x:c>
      <x:c r="E1231" s="35" t="str">
        <x:v>Primary VLA</x:v>
      </x:c>
      <x:c r="F1231" s="35" t="str">
        <x:v>MolmoAct2</x:v>
      </x:c>
      <x:c r="G1231" s="35" t="n">
        <x:v>3</x:v>
      </x:c>
      <x:c r="H1231" s="35" t="str">
        <x:v>Counting</x:v>
      </x:c>
      <x:c r="I1231" s="35" t="str">
        <x:v>Training reconstruction</x:v>
      </x:c>
      <x:c r="J1231" s="35" t="str">
        <x:v>PVLA-CT-REC-03</x:v>
      </x:c>
      <x:c r="K1231" s="35" t="str"/>
      <x:c r="L1231" s="31" t="str">
        <x:v>Move the yellow block into the bowl.</x:v>
      </x:c>
      <x:c r="M1231" s="31" t="str">
        <x:v>Move the yellow block into the bowl.</x:v>
      </x:c>
      <x:c r="N1231" s="31" t="str">
        <x:v>Reconstruct planned final training episode 850: yellow block, green pencil sharpener, airplane toy without propellers, blue pen; start=Home. Match camera, calibration, bowl pose, and object geometry exactly.</x:v>
      </x:c>
      <x:c r="O1231" s="31" t="str">
        <x:v>yellow block</x:v>
      </x:c>
      <x:c r="P1231" s="31" t="str"/>
      <x:c r="Q1231" s="31" t="str"/>
      <x:c r="R1231" s="31" t="str"/>
      <x:c r="S1231" s="31" t="str">
        <x:f>IF('Blind Scoring'!I1231="","",'Blind Scoring'!I1231)</x:f>
      </x:c>
      <x:c r="T1231" s="31" t="str">
        <x:f>'Blind Scoring'!J1231</x:f>
        <x:v>No</x:v>
      </x:c>
      <x:c r="U1231" s="31" t="str">
        <x:f>IF('Blind Scoring'!L1231="","",'Blind Scoring'!L1231)</x:f>
      </x:c>
    </x:row>
    <x:row r="1232" ht="44" customHeight="1">
      <x:c r="A1232" s="35" t="str">
        <x:v>Not Started</x:v>
      </x:c>
      <x:c r="B1232" s="35" t="n">
        <x:v>1230</x:v>
      </x:c>
      <x:c r="C1232" s="35" t="str">
        <x:v>P20</x:v>
      </x:c>
      <x:c r="D1232" s="35" t="n">
        <x:v>53</x:v>
      </x:c>
      <x:c r="E1232" s="35" t="str">
        <x:v>Primary VLA</x:v>
      </x:c>
      <x:c r="F1232" s="35" t="str">
        <x:v>MolmoAct2</x:v>
      </x:c>
      <x:c r="G1232" s="35" t="n">
        <x:v>3</x:v>
      </x:c>
      <x:c r="H1232" s="35" t="str">
        <x:v>Counting</x:v>
      </x:c>
      <x:c r="I1232" s="35" t="str">
        <x:v>Novel layout + seen language</x:v>
      </x:c>
      <x:c r="J1232" s="35" t="str">
        <x:v>PVLA-CT-NOV-06</x:v>
      </x:c>
      <x:c r="K1232" s="35" t="str"/>
      <x:c r="L1232" s="31" t="str">
        <x:v>Adjust the bowl so that it contains zero objects.</x:v>
      </x:c>
      <x:c r="M1232" s="31" t="str">
        <x:v>Adjust the bowl so that it contains zero objects.</x:v>
      </x:c>
      <x:c r="N1232" s="31" t="str">
        <x:v>C-N15: bowl=[blue pen] (1); table left→right=[yellow block, green pencil sharpener, airplane toy without propellers]; robot home.</x:v>
      </x:c>
      <x:c r="O1232" s="31" t="str"/>
      <x:c r="P1232" s="31" t="str"/>
      <x:c r="Q1232" s="31" t="str"/>
      <x:c r="R1232" s="31" t="str"/>
      <x:c r="S1232" s="31" t="str">
        <x:f>IF('Blind Scoring'!I1232="","",'Blind Scoring'!I1232)</x:f>
      </x:c>
      <x:c r="T1232" s="31" t="str">
        <x:f>'Blind Scoring'!J1232</x:f>
        <x:v>No</x:v>
      </x:c>
      <x:c r="U1232" s="31" t="str">
        <x:f>IF('Blind Scoring'!L1232="","",'Blind Scoring'!L1232)</x:f>
      </x:c>
    </x:row>
    <x:row r="1233" ht="44" customHeight="1">
      <x:c r="A1233" s="35" t="str">
        <x:v>Not Started</x:v>
      </x:c>
      <x:c r="B1233" s="35" t="n">
        <x:v>1231</x:v>
      </x:c>
      <x:c r="C1233" s="35" t="str">
        <x:v>P20</x:v>
      </x:c>
      <x:c r="D1233" s="35" t="n">
        <x:v>54</x:v>
      </x:c>
      <x:c r="E1233" s="35" t="str">
        <x:v>Primary VLA</x:v>
      </x:c>
      <x:c r="F1233" s="35" t="str">
        <x:v>MolmoAct2</x:v>
      </x:c>
      <x:c r="G1233" s="35" t="n">
        <x:v>3</x:v>
      </x:c>
      <x:c r="H1233" s="35" t="str">
        <x:v>Counting</x:v>
      </x:c>
      <x:c r="I1233" s="35" t="str">
        <x:v>Main held-out transfer</x:v>
      </x:c>
      <x:c r="J1233" s="35" t="str">
        <x:v>PVLA-CT-TR-02</x:v>
      </x:c>
      <x:c r="K1233" s="35" t="str">
        <x:v>C-CF01-B</x:v>
      </x:c>
      <x:c r="L1233" s="31" t="str">
        <x:v>Leave exactly three objects in the bowl.</x:v>
      </x:c>
      <x:c r="M1233" s="31" t="str">
        <x:v>Leave exactly three objects in the bowl.</x:v>
      </x:c>
      <x:c r="N1233" s="31" t="str">
        <x:v>C-CF01B: bowl=[blue pen, yellow block] (2); table=[green pencil sharpener, airplane toy without propellers]; robot home; acceptable action=add either table object.</x:v>
      </x:c>
      <x:c r="O1233" s="31" t="str">
        <x:v>ADD one table object</x:v>
      </x:c>
      <x:c r="P1233" s="31" t="str"/>
      <x:c r="Q1233" s="31" t="str"/>
      <x:c r="R1233" s="31" t="str"/>
      <x:c r="S1233" s="31" t="str">
        <x:f>IF('Blind Scoring'!I1233="","",'Blind Scoring'!I1233)</x:f>
      </x:c>
      <x:c r="T1233" s="31" t="str">
        <x:f>'Blind Scoring'!J1233</x:f>
        <x:v>No</x:v>
      </x:c>
      <x:c r="U1233" s="31" t="str">
        <x:f>IF('Blind Scoring'!L1233="","",'Blind Scoring'!L1233)</x:f>
      </x:c>
    </x:row>
    <x:row r="1234" ht="44" customHeight="1">
      <x:c r="A1234" s="35" t="str">
        <x:v>Not Started</x:v>
      </x:c>
      <x:c r="B1234" s="35" t="n">
        <x:v>1232</x:v>
      </x:c>
      <x:c r="C1234" s="35" t="str">
        <x:v>P20</x:v>
      </x:c>
      <x:c r="D1234" s="35" t="n">
        <x:v>55</x:v>
      </x:c>
      <x:c r="E1234" s="35" t="str">
        <x:v>Primary VLA</x:v>
      </x:c>
      <x:c r="F1234" s="35" t="str">
        <x:v>MolmoAct2</x:v>
      </x:c>
      <x:c r="G1234" s="35" t="n">
        <x:v>3</x:v>
      </x:c>
      <x:c r="H1234" s="35" t="str">
        <x:v>Counting</x:v>
      </x:c>
      <x:c r="I1234" s="35" t="str">
        <x:v>Training reconstruction</x:v>
      </x:c>
      <x:c r="J1234" s="35" t="str">
        <x:v>PVLA-CT-REC-06</x:v>
      </x:c>
      <x:c r="K1234" s="35" t="str"/>
      <x:c r="L1234" s="31" t="str">
        <x:v>Move the airplane toy without propellers into the bowl.</x:v>
      </x:c>
      <x:c r="M1234" s="31" t="str">
        <x:v>Move the airplane toy without propellers into the bowl.</x:v>
      </x:c>
      <x:c r="N1234" s="31" t="str">
        <x:v>Reconstruct planned final training episode 950: airplane toy without propellers, blue pen, yellow block, green pencil sharpener; start=Home. Match camera, calibration, bowl pose, and object geometry exactly.</x:v>
      </x:c>
      <x:c r="O1234" s="31" t="str">
        <x:v>airplane toy without propellers</x:v>
      </x:c>
      <x:c r="P1234" s="31" t="str"/>
      <x:c r="Q1234" s="31" t="str"/>
      <x:c r="R1234" s="31" t="str"/>
      <x:c r="S1234" s="31" t="str">
        <x:f>IF('Blind Scoring'!I1234="","",'Blind Scoring'!I1234)</x:f>
      </x:c>
      <x:c r="T1234" s="31" t="str">
        <x:f>'Blind Scoring'!J1234</x:f>
        <x:v>No</x:v>
      </x:c>
      <x:c r="U1234" s="31" t="str">
        <x:f>IF('Blind Scoring'!L1234="","",'Blind Scoring'!L1234)</x:f>
      </x:c>
    </x:row>
    <x:row r="1235" ht="44" customHeight="1">
      <x:c r="A1235" s="35" t="str">
        <x:v>Not Started</x:v>
      </x:c>
      <x:c r="B1235" s="35" t="n">
        <x:v>1233</x:v>
      </x:c>
      <x:c r="C1235" s="35" t="str">
        <x:v>P20</x:v>
      </x:c>
      <x:c r="D1235" s="35" t="n">
        <x:v>56</x:v>
      </x:c>
      <x:c r="E1235" s="35" t="str">
        <x:v>Primary VLA</x:v>
      </x:c>
      <x:c r="F1235" s="35" t="str">
        <x:v>MolmoAct2</x:v>
      </x:c>
      <x:c r="G1235" s="35" t="n">
        <x:v>3</x:v>
      </x:c>
      <x:c r="H1235" s="35" t="str">
        <x:v>Counting</x:v>
      </x:c>
      <x:c r="I1235" s="35" t="str">
        <x:v>Main held-out transfer</x:v>
      </x:c>
      <x:c r="J1235" s="35" t="str">
        <x:v>PVLA-CT-TR-06</x:v>
      </x:c>
      <x:c r="K1235" s="35" t="str">
        <x:v>C-CF04-B</x:v>
      </x:c>
      <x:c r="L1235" s="31" t="str">
        <x:v>Leave exactly three objects in the bowl.</x:v>
      </x:c>
      <x:c r="M1235" s="31" t="str">
        <x:v>Leave exactly three objects in the bowl.</x:v>
      </x:c>
      <x:c r="N1235" s="31" t="str">
        <x:v>C-CF04B: bowl=[airplane toy without propellers, blue pen] (2); table=[yellow block, green pencil sharpener]; robot home; acceptable action=add either table object.</x:v>
      </x:c>
      <x:c r="O1235" s="31" t="str">
        <x:v>ADD one table object</x:v>
      </x:c>
      <x:c r="P1235" s="31" t="str"/>
      <x:c r="Q1235" s="31" t="str"/>
      <x:c r="R1235" s="31" t="str"/>
      <x:c r="S1235" s="31" t="str">
        <x:f>IF('Blind Scoring'!I1235="","",'Blind Scoring'!I1235)</x:f>
      </x:c>
      <x:c r="T1235" s="31" t="str">
        <x:f>'Blind Scoring'!J1235</x:f>
        <x:v>No</x:v>
      </x:c>
      <x:c r="U1235" s="31" t="str">
        <x:f>IF('Blind Scoring'!L1235="","",'Blind Scoring'!L1235)</x:f>
      </x:c>
    </x:row>
    <x:row r="1236" ht="44" customHeight="1">
      <x:c r="A1236" s="35" t="str">
        <x:v>Not Started</x:v>
      </x:c>
      <x:c r="B1236" s="35" t="n">
        <x:v>1234</x:v>
      </x:c>
      <x:c r="C1236" s="35" t="str">
        <x:v>P20</x:v>
      </x:c>
      <x:c r="D1236" s="35" t="n">
        <x:v>57</x:v>
      </x:c>
      <x:c r="E1236" s="35" t="str">
        <x:v>Primary VLA</x:v>
      </x:c>
      <x:c r="F1236" s="35" t="str">
        <x:v>MolmoAct2</x:v>
      </x:c>
      <x:c r="G1236" s="35" t="n">
        <x:v>3</x:v>
      </x:c>
      <x:c r="H1236" s="35" t="str">
        <x:v>Counting</x:v>
      </x:c>
      <x:c r="I1236" s="35" t="str">
        <x:v>Language ablation — blank</x:v>
      </x:c>
      <x:c r="J1236" s="35" t="str">
        <x:v>PVLA-CT-ABL-BLK-04</x:v>
      </x:c>
      <x:c r="K1236" s="35" t="str">
        <x:v>C-CF03-B</x:v>
      </x:c>
      <x:c r="L1236" s="31" t="str">
        <x:v>[EMPTY STRING — provide no instruction tokens]</x:v>
      </x:c>
      <x:c r="M1236" s="31" t="str">
        <x:v>Leave exactly three objects in the bowl.</x:v>
      </x:c>
      <x:c r="N1236" s="31" t="str">
        <x:v>C-CF03B: bowl=[green pencil sharpener, airplane toy without propellers] (2); table=[blue pen, yellow block]; robot home; acceptable action=add either table object.</x:v>
      </x:c>
      <x:c r="O1236" s="31" t="str">
        <x:v>No prespecified task success under blank language; record any action/selected target.</x:v>
      </x:c>
      <x:c r="P1236" s="31" t="str"/>
      <x:c r="Q1236" s="31" t="str"/>
      <x:c r="R1236" s="31" t="str"/>
      <x:c r="S1236" s="31" t="str">
        <x:f>IF('Blind Scoring'!I1236="","",'Blind Scoring'!I1236)</x:f>
      </x:c>
      <x:c r="T1236" s="31" t="str">
        <x:f>'Blind Scoring'!J1236</x:f>
        <x:v>No</x:v>
      </x:c>
      <x:c r="U1236" s="31" t="str">
        <x:f>IF('Blind Scoring'!L1236="","",'Blind Scoring'!L1236)</x:f>
      </x:c>
    </x:row>
    <x:row r="1237" ht="44" customHeight="1">
      <x:c r="A1237" s="35" t="str">
        <x:v>Not Started</x:v>
      </x:c>
      <x:c r="B1237" s="35" t="n">
        <x:v>1235</x:v>
      </x:c>
      <x:c r="C1237" s="35" t="str">
        <x:v>P20</x:v>
      </x:c>
      <x:c r="D1237" s="35" t="n">
        <x:v>58</x:v>
      </x:c>
      <x:c r="E1237" s="35" t="str">
        <x:v>Primary VLA</x:v>
      </x:c>
      <x:c r="F1237" s="35" t="str">
        <x:v>MolmoAct2</x:v>
      </x:c>
      <x:c r="G1237" s="35" t="n">
        <x:v>3</x:v>
      </x:c>
      <x:c r="H1237" s="35" t="str">
        <x:v>Counting</x:v>
      </x:c>
      <x:c r="I1237" s="35" t="str">
        <x:v>Language ablation — blank</x:v>
      </x:c>
      <x:c r="J1237" s="35" t="str">
        <x:v>PVLA-CT-ABL-BLK-02</x:v>
      </x:c>
      <x:c r="K1237" s="35" t="str">
        <x:v>C-CF01-B</x:v>
      </x:c>
      <x:c r="L1237" s="31" t="str">
        <x:v>[EMPTY STRING — provide no instruction tokens]</x:v>
      </x:c>
      <x:c r="M1237" s="31" t="str">
        <x:v>Leave exactly three objects in the bowl.</x:v>
      </x:c>
      <x:c r="N1237" s="31" t="str">
        <x:v>C-CF01B: bowl=[blue pen, yellow block] (2); table=[green pencil sharpener, airplane toy without propellers]; robot home; acceptable action=add either table object.</x:v>
      </x:c>
      <x:c r="O1237" s="31" t="str">
        <x:v>No prespecified task success under blank language; record any action/selected target.</x:v>
      </x:c>
      <x:c r="P1237" s="31" t="str"/>
      <x:c r="Q1237" s="31" t="str"/>
      <x:c r="R1237" s="31" t="str"/>
      <x:c r="S1237" s="31" t="str">
        <x:f>IF('Blind Scoring'!I1237="","",'Blind Scoring'!I1237)</x:f>
      </x:c>
      <x:c r="T1237" s="31" t="str">
        <x:f>'Blind Scoring'!J1237</x:f>
        <x:v>No</x:v>
      </x:c>
      <x:c r="U1237" s="31" t="str">
        <x:f>IF('Blind Scoring'!L1237="","",'Blind Scoring'!L1237)</x:f>
      </x:c>
    </x:row>
    <x:row r="1238" ht="44" customHeight="1">
      <x:c r="A1238" s="35" t="str">
        <x:v>Not Started</x:v>
      </x:c>
      <x:c r="B1238" s="35" t="n">
        <x:v>1236</x:v>
      </x:c>
      <x:c r="C1238" s="35" t="str">
        <x:v>P20</x:v>
      </x:c>
      <x:c r="D1238" s="35" t="n">
        <x:v>59</x:v>
      </x:c>
      <x:c r="E1238" s="35" t="str">
        <x:v>Primary VLA</x:v>
      </x:c>
      <x:c r="F1238" s="35" t="str">
        <x:v>MolmoAct2</x:v>
      </x:c>
      <x:c r="G1238" s="35" t="n">
        <x:v>3</x:v>
      </x:c>
      <x:c r="H1238" s="35" t="str">
        <x:v>Counting</x:v>
      </x:c>
      <x:c r="I1238" s="35" t="str">
        <x:v>Main held-out transfer</x:v>
      </x:c>
      <x:c r="J1238" s="35" t="str">
        <x:v>PVLA-CT-TR-08</x:v>
      </x:c>
      <x:c r="K1238" s="35" t="str">
        <x:v>C-CF06-B</x:v>
      </x:c>
      <x:c r="L1238" s="31" t="str">
        <x:v>Leave exactly three objects in the bowl.</x:v>
      </x:c>
      <x:c r="M1238" s="31" t="str">
        <x:v>Leave exactly three objects in the bowl.</x:v>
      </x:c>
      <x:c r="N1238" s="31" t="str">
        <x:v>C-CF06B: bowl=[yellow block, green pencil sharpener] (2); table=[airplane toy without propellers, blue pen]; robot home; acceptable action=add either table object.</x:v>
      </x:c>
      <x:c r="O1238" s="31" t="str">
        <x:v>ADD one table object</x:v>
      </x:c>
      <x:c r="P1238" s="31" t="str"/>
      <x:c r="Q1238" s="31" t="str"/>
      <x:c r="R1238" s="31" t="str"/>
      <x:c r="S1238" s="31" t="str">
        <x:f>IF('Blind Scoring'!I1238="","",'Blind Scoring'!I1238)</x:f>
      </x:c>
      <x:c r="T1238" s="31" t="str">
        <x:f>'Blind Scoring'!J1238</x:f>
        <x:v>No</x:v>
      </x:c>
      <x:c r="U1238" s="31" t="str">
        <x:f>IF('Blind Scoring'!L1238="","",'Blind Scoring'!L1238)</x:f>
      </x:c>
    </x:row>
    <x:row r="1239" ht="44" customHeight="1">
      <x:c r="A1239" s="35" t="str">
        <x:v>Not Started</x:v>
      </x:c>
      <x:c r="B1239" s="35" t="n">
        <x:v>1237</x:v>
      </x:c>
      <x:c r="C1239" s="35" t="str">
        <x:v>P20</x:v>
      </x:c>
      <x:c r="D1239" s="35" t="n">
        <x:v>60</x:v>
      </x:c>
      <x:c r="E1239" s="35" t="str">
        <x:v>Primary VLA</x:v>
      </x:c>
      <x:c r="F1239" s="35" t="str">
        <x:v>MolmoAct2</x:v>
      </x:c>
      <x:c r="G1239" s="35" t="n">
        <x:v>3</x:v>
      </x:c>
      <x:c r="H1239" s="35" t="str">
        <x:v>Counting</x:v>
      </x:c>
      <x:c r="I1239" s="35" t="str">
        <x:v>Main matched control</x:v>
      </x:c>
      <x:c r="J1239" s="35" t="str">
        <x:v>PVLA-CT-CTL-13</x:v>
      </x:c>
      <x:c r="K1239" s="35" t="str">
        <x:v>C-CF10-A</x:v>
      </x:c>
      <x:c r="L1239" s="31" t="str">
        <x:v>Remove the yellow block from the bowl.</x:v>
      </x:c>
      <x:c r="M1239" s="31" t="str">
        <x:v>Remove the yellow block from the bowl.</x:v>
      </x:c>
      <x:c r="N1239" s="31" t="str">
        <x:v>C-CF10-CA: bowl=[yellow block, green pencil sharpener] (2); table=[airplane toy without propellers, blue pen]; robot home; acceptable action=remove either bowl object.</x:v>
      </x:c>
      <x:c r="O1239" s="31" t="str">
        <x:v>REMOVE yellow block</x:v>
      </x:c>
      <x:c r="P1239" s="31" t="str"/>
      <x:c r="Q1239" s="31" t="str"/>
      <x:c r="R1239" s="31" t="str"/>
      <x:c r="S1239" s="31" t="str">
        <x:f>IF('Blind Scoring'!I1239="","",'Blind Scoring'!I1239)</x:f>
      </x:c>
      <x:c r="T1239" s="31" t="str">
        <x:f>'Blind Scoring'!J1239</x:f>
        <x:v>No</x:v>
      </x:c>
      <x:c r="U1239" s="31" t="str">
        <x:f>IF('Blind Scoring'!L1239="","",'Blind Scoring'!L1239)</x:f>
      </x:c>
    </x:row>
    <x:row r="1240" ht="44" customHeight="1">
      <x:c r="A1240" s="35" t="str">
        <x:v>Not Started</x:v>
      </x:c>
      <x:c r="B1240" s="35" t="n">
        <x:v>1238</x:v>
      </x:c>
      <x:c r="C1240" s="35" t="str">
        <x:v>P20</x:v>
      </x:c>
      <x:c r="D1240" s="35" t="n">
        <x:v>61</x:v>
      </x:c>
      <x:c r="E1240" s="35" t="str">
        <x:v>Primary VLA</x:v>
      </x:c>
      <x:c r="F1240" s="35" t="str">
        <x:v>MolmoAct2</x:v>
      </x:c>
      <x:c r="G1240" s="35" t="n">
        <x:v>3</x:v>
      </x:c>
      <x:c r="H1240" s="35" t="str">
        <x:v>Counting</x:v>
      </x:c>
      <x:c r="I1240" s="35" t="str">
        <x:v>Main matched control</x:v>
      </x:c>
      <x:c r="J1240" s="35" t="str">
        <x:v>PVLA-CT-CTL-05</x:v>
      </x:c>
      <x:c r="K1240" s="35" t="str">
        <x:v>C-CF04-A</x:v>
      </x:c>
      <x:c r="L1240" s="31" t="str">
        <x:v>Remove the airplane toy without propellers from the bowl.</x:v>
      </x:c>
      <x:c r="M1240" s="31" t="str">
        <x:v>Remove the airplane toy without propellers from the bowl.</x:v>
      </x:c>
      <x:c r="N1240" s="31" t="str">
        <x:v>C-CF04-CA: bowl=[airplane toy without propellers, blue pen] (2); table=[yellow block, green pencil sharpener]; robot home; acceptable action=remove either bowl object.</x:v>
      </x:c>
      <x:c r="O1240" s="31" t="str">
        <x:v>REMOVE airplane toy without propellers</x:v>
      </x:c>
      <x:c r="P1240" s="31" t="str"/>
      <x:c r="Q1240" s="31" t="str"/>
      <x:c r="R1240" s="31" t="str"/>
      <x:c r="S1240" s="31" t="str">
        <x:f>IF('Blind Scoring'!I1240="","",'Blind Scoring'!I1240)</x:f>
      </x:c>
      <x:c r="T1240" s="31" t="str">
        <x:f>'Blind Scoring'!J1240</x:f>
        <x:v>No</x:v>
      </x:c>
      <x:c r="U1240" s="31" t="str">
        <x:f>IF('Blind Scoring'!L1240="","",'Blind Scoring'!L1240)</x:f>
      </x:c>
    </x:row>
    <x:row r="1241" ht="44" customHeight="1">
      <x:c r="A1241" s="35" t="str">
        <x:v>Not Started</x:v>
      </x:c>
      <x:c r="B1241" s="35" t="n">
        <x:v>1239</x:v>
      </x:c>
      <x:c r="C1241" s="35" t="str">
        <x:v>P20</x:v>
      </x:c>
      <x:c r="D1241" s="35" t="n">
        <x:v>62</x:v>
      </x:c>
      <x:c r="E1241" s="35" t="str">
        <x:v>Primary VLA</x:v>
      </x:c>
      <x:c r="F1241" s="35" t="str">
        <x:v>MolmoAct2</x:v>
      </x:c>
      <x:c r="G1241" s="35" t="n">
        <x:v>3</x:v>
      </x:c>
      <x:c r="H1241" s="35" t="str">
        <x:v>Counting</x:v>
      </x:c>
      <x:c r="I1241" s="35" t="str">
        <x:v>Language ablation — blank</x:v>
      </x:c>
      <x:c r="J1241" s="35" t="str">
        <x:v>PVLA-CT-ABL-BLK-01</x:v>
      </x:c>
      <x:c r="K1241" s="35" t="str">
        <x:v>C-CF01-A</x:v>
      </x:c>
      <x:c r="L1241" s="31" t="str">
        <x:v>[EMPTY STRING — provide no instruction tokens]</x:v>
      </x:c>
      <x:c r="M1241" s="31" t="str">
        <x:v>Leave exactly one object in the bowl.</x:v>
      </x:c>
      <x:c r="N1241" s="31" t="str">
        <x:v>C-CF01A: bowl=[blue pen, yellow block] (2); table=[green pencil sharpener, airplane toy without propellers]; robot home; acceptable action=remove either bowl object.</x:v>
      </x:c>
      <x:c r="O1241" s="31" t="str">
        <x:v>No prespecified task success under blank language; record any action/selected target.</x:v>
      </x:c>
      <x:c r="P1241" s="31" t="str"/>
      <x:c r="Q1241" s="31" t="str"/>
      <x:c r="R1241" s="31" t="str"/>
      <x:c r="S1241" s="31" t="str">
        <x:f>IF('Blind Scoring'!I1241="","",'Blind Scoring'!I1241)</x:f>
      </x:c>
      <x:c r="T1241" s="31" t="str">
        <x:f>'Blind Scoring'!J1241</x:f>
        <x:v>No</x:v>
      </x:c>
      <x:c r="U1241" s="31" t="str">
        <x:f>IF('Blind Scoring'!L1241="","",'Blind Scoring'!L1241)</x:f>
      </x:c>
    </x:row>
    <x:row r="1242" ht="44" customHeight="1">
      <x:c r="A1242" s="35" t="str">
        <x:v>Not Started</x:v>
      </x:c>
      <x:c r="B1242" s="35" t="n">
        <x:v>1240</x:v>
      </x:c>
      <x:c r="C1242" s="35" t="str">
        <x:v>P21</x:v>
      </x:c>
      <x:c r="D1242" s="35" t="n">
        <x:v>1</x:v>
      </x:c>
      <x:c r="E1242" s="35" t="str">
        <x:v>Primary VLA</x:v>
      </x:c>
      <x:c r="F1242" s="35" t="str">
        <x:v>MolmoAct2</x:v>
      </x:c>
      <x:c r="G1242" s="35" t="n">
        <x:v>3</x:v>
      </x:c>
      <x:c r="H1242" s="35" t="str">
        <x:v>State Recognition</x:v>
      </x:c>
      <x:c r="I1242" s="35" t="str">
        <x:v>Main matched control</x:v>
      </x:c>
      <x:c r="J1242" s="35" t="str">
        <x:v>PVLA-ST-CTL-11</x:v>
      </x:c>
      <x:c r="K1242" s="35" t="str">
        <x:v>S-CF20</x:v>
      </x:c>
      <x:c r="L1242" s="31" t="str">
        <x:v>Place a white cup in the bowl.</x:v>
      </x:c>
      <x:c r="M1242" s="31" t="str">
        <x:v>Place a white cup in the bowl.</x:v>
      </x:c>
      <x:c r="N1242" s="31" t="str">
        <x:v>S-CF20-CTRL: P2 yellow-white striped cup B=O/UR; P3 brown cup A=O/UD; P4 white cup B=C/UR [TARGET].</x:v>
      </x:c>
      <x:c r="O1242" s="31" t="str">
        <x:v>white cup B</x:v>
      </x:c>
      <x:c r="P1242" s="31" t="str"/>
      <x:c r="Q1242" s="31" t="str"/>
      <x:c r="R1242" s="31" t="str"/>
      <x:c r="S1242" s="31" t="str">
        <x:f>IF('Blind Scoring'!I1242="","",'Blind Scoring'!I1242)</x:f>
      </x:c>
      <x:c r="T1242" s="31" t="str">
        <x:f>'Blind Scoring'!J1242</x:f>
        <x:v>No</x:v>
      </x:c>
      <x:c r="U1242" s="31" t="str">
        <x:f>IF('Blind Scoring'!L1242="","",'Blind Scoring'!L1242)</x:f>
      </x:c>
    </x:row>
    <x:row r="1243" ht="44" customHeight="1">
      <x:c r="A1243" s="35" t="str">
        <x:v>Not Started</x:v>
      </x:c>
      <x:c r="B1243" s="35" t="n">
        <x:v>1241</x:v>
      </x:c>
      <x:c r="C1243" s="35" t="str">
        <x:v>P21</x:v>
      </x:c>
      <x:c r="D1243" s="35" t="n">
        <x:v>2</x:v>
      </x:c>
      <x:c r="E1243" s="35" t="str">
        <x:v>Primary VLA</x:v>
      </x:c>
      <x:c r="F1243" s="35" t="str">
        <x:v>MolmoAct2</x:v>
      </x:c>
      <x:c r="G1243" s="35" t="n">
        <x:v>3</x:v>
      </x:c>
      <x:c r="H1243" s="35" t="str">
        <x:v>State Recognition</x:v>
      </x:c>
      <x:c r="I1243" s="35" t="str">
        <x:v>Novel layout + seen language</x:v>
      </x:c>
      <x:c r="J1243" s="35" t="str">
        <x:v>PVLA-ST-NOV-04</x:v>
      </x:c>
      <x:c r="K1243" s="35" t="str">
        <x:v>S-CF09</x:v>
      </x:c>
      <x:c r="L1243" s="31" t="str">
        <x:v>Place the open white cup in the bowl.</x:v>
      </x:c>
      <x:c r="M1243" s="31" t="str">
        <x:v>Place the open white cup in the bowl.</x:v>
      </x:c>
      <x:c r="N1243" s="31" t="str">
        <x:v>S-CF09-SEEN: P1 white cup A=C/UR [TARGET]; P2 white cup B=O/UR [COMPETITOR]; P3 yellow-white striped cup A=C/UD; P4 brown cup B=O/UD.</x:v>
      </x:c>
      <x:c r="O1243" s="31" t="str">
        <x:v>white cup B</x:v>
      </x:c>
      <x:c r="P1243" s="31" t="str"/>
      <x:c r="Q1243" s="31" t="str"/>
      <x:c r="R1243" s="31" t="str"/>
      <x:c r="S1243" s="31" t="str">
        <x:f>IF('Blind Scoring'!I1243="","",'Blind Scoring'!I1243)</x:f>
      </x:c>
      <x:c r="T1243" s="31" t="str">
        <x:f>'Blind Scoring'!J1243</x:f>
        <x:v>No</x:v>
      </x:c>
      <x:c r="U1243" s="31" t="str">
        <x:f>IF('Blind Scoring'!L1243="","",'Blind Scoring'!L1243)</x:f>
      </x:c>
    </x:row>
    <x:row r="1244" ht="44" customHeight="1">
      <x:c r="A1244" s="35" t="str">
        <x:v>Not Started</x:v>
      </x:c>
      <x:c r="B1244" s="35" t="n">
        <x:v>1242</x:v>
      </x:c>
      <x:c r="C1244" s="35" t="str">
        <x:v>P21</x:v>
      </x:c>
      <x:c r="D1244" s="35" t="n">
        <x:v>3</x:v>
      </x:c>
      <x:c r="E1244" s="35" t="str">
        <x:v>Primary VLA</x:v>
      </x:c>
      <x:c r="F1244" s="35" t="str">
        <x:v>MolmoAct2</x:v>
      </x:c>
      <x:c r="G1244" s="35" t="n">
        <x:v>3</x:v>
      </x:c>
      <x:c r="H1244" s="35" t="str">
        <x:v>State Recognition</x:v>
      </x:c>
      <x:c r="I1244" s="35" t="str">
        <x:v>Main matched control</x:v>
      </x:c>
      <x:c r="J1244" s="35" t="str">
        <x:v>PVLA-ST-CTL-07</x:v>
      </x:c>
      <x:c r="K1244" s="35" t="str">
        <x:v>S-CF13</x:v>
      </x:c>
      <x:c r="L1244" s="31" t="str">
        <x:v>Place a brown cup in the bowl.</x:v>
      </x:c>
      <x:c r="M1244" s="31" t="str">
        <x:v>Place a brown cup in the bowl.</x:v>
      </x:c>
      <x:c r="N1244" s="31" t="str">
        <x:v>S-CF13-CTRL: P1 brown cup A=C/UR [TARGET]; P3 glass spice container A=C/UD; P4 white cup B=O/UD.</x:v>
      </x:c>
      <x:c r="O1244" s="31" t="str">
        <x:v>brown cup A</x:v>
      </x:c>
      <x:c r="P1244" s="31" t="str"/>
      <x:c r="Q1244" s="31" t="str"/>
      <x:c r="R1244" s="31" t="str"/>
      <x:c r="S1244" s="31" t="str">
        <x:f>IF('Blind Scoring'!I1244="","",'Blind Scoring'!I1244)</x:f>
      </x:c>
      <x:c r="T1244" s="31" t="str">
        <x:f>'Blind Scoring'!J1244</x:f>
        <x:v>No</x:v>
      </x:c>
      <x:c r="U1244" s="31" t="str">
        <x:f>IF('Blind Scoring'!L1244="","",'Blind Scoring'!L1244)</x:f>
      </x:c>
    </x:row>
    <x:row r="1245" ht="44" customHeight="1">
      <x:c r="A1245" s="35" t="str">
        <x:v>Not Started</x:v>
      </x:c>
      <x:c r="B1245" s="35" t="n">
        <x:v>1243</x:v>
      </x:c>
      <x:c r="C1245" s="35" t="str">
        <x:v>P21</x:v>
      </x:c>
      <x:c r="D1245" s="35" t="n">
        <x:v>4</x:v>
      </x:c>
      <x:c r="E1245" s="35" t="str">
        <x:v>Primary VLA</x:v>
      </x:c>
      <x:c r="F1245" s="35" t="str">
        <x:v>MolmoAct2</x:v>
      </x:c>
      <x:c r="G1245" s="35" t="n">
        <x:v>3</x:v>
      </x:c>
      <x:c r="H1245" s="35" t="str">
        <x:v>State Recognition</x:v>
      </x:c>
      <x:c r="I1245" s="35" t="str">
        <x:v>Main matched control</x:v>
      </x:c>
      <x:c r="J1245" s="35" t="str">
        <x:v>PVLA-ST-CTL-09</x:v>
      </x:c>
      <x:c r="K1245" s="35" t="str">
        <x:v>S-CF16</x:v>
      </x:c>
      <x:c r="L1245" s="31" t="str">
        <x:v>Place a brown cup in the bowl.</x:v>
      </x:c>
      <x:c r="M1245" s="31" t="str">
        <x:v>Place a brown cup in the bowl.</x:v>
      </x:c>
      <x:c r="N1245" s="31" t="str">
        <x:v>S-CF16-CTRL: P2 glass spice container B=O/UR; P3 white cup A=O/UD; P4 brown cup B=C/UR [TARGET].</x:v>
      </x:c>
      <x:c r="O1245" s="31" t="str">
        <x:v>brown cup B</x:v>
      </x:c>
      <x:c r="P1245" s="31" t="str"/>
      <x:c r="Q1245" s="31" t="str"/>
      <x:c r="R1245" s="31" t="str"/>
      <x:c r="S1245" s="31" t="str">
        <x:f>IF('Blind Scoring'!I1245="","",'Blind Scoring'!I1245)</x:f>
      </x:c>
      <x:c r="T1245" s="31" t="str">
        <x:f>'Blind Scoring'!J1245</x:f>
        <x:v>No</x:v>
      </x:c>
      <x:c r="U1245" s="31" t="str">
        <x:f>IF('Blind Scoring'!L1245="","",'Blind Scoring'!L1245)</x:f>
      </x:c>
    </x:row>
    <x:row r="1246" ht="44" customHeight="1">
      <x:c r="A1246" s="35" t="str">
        <x:v>Not Started</x:v>
      </x:c>
      <x:c r="B1246" s="35" t="n">
        <x:v>1244</x:v>
      </x:c>
      <x:c r="C1246" s="35" t="str">
        <x:v>P21</x:v>
      </x:c>
      <x:c r="D1246" s="35" t="n">
        <x:v>5</x:v>
      </x:c>
      <x:c r="E1246" s="35" t="str">
        <x:v>Primary VLA</x:v>
      </x:c>
      <x:c r="F1246" s="35" t="str">
        <x:v>MolmoAct2</x:v>
      </x:c>
      <x:c r="G1246" s="35" t="n">
        <x:v>3</x:v>
      </x:c>
      <x:c r="H1246" s="35" t="str">
        <x:v>State Recognition</x:v>
      </x:c>
      <x:c r="I1246" s="35" t="str">
        <x:v>Novel layout + seen language</x:v>
      </x:c>
      <x:c r="J1246" s="35" t="str">
        <x:v>PVLA-ST-NOV-05</x:v>
      </x:c>
      <x:c r="K1246" s="35" t="str">
        <x:v>S-CF12</x:v>
      </x:c>
      <x:c r="L1246" s="31" t="str">
        <x:v>Place the upside-down white cup in the bowl.</x:v>
      </x:c>
      <x:c r="M1246" s="31" t="str">
        <x:v>Place the upside-down white cup in the bowl.</x:v>
      </x:c>
      <x:c r="N1246" s="31" t="str">
        <x:v>S-CF12-SEEN: P1 white cup A=C/UD [COMPETITOR]; P2 yellow-white striped cup B=O/UR; P3 brown cup A=O/UD; P4 white cup B=C/UR [TARGET].</x:v>
      </x:c>
      <x:c r="O1246" s="31" t="str">
        <x:v>white cup A</x:v>
      </x:c>
      <x:c r="P1246" s="31" t="str"/>
      <x:c r="Q1246" s="31" t="str"/>
      <x:c r="R1246" s="31" t="str"/>
      <x:c r="S1246" s="31" t="str">
        <x:f>IF('Blind Scoring'!I1246="","",'Blind Scoring'!I1246)</x:f>
      </x:c>
      <x:c r="T1246" s="31" t="str">
        <x:f>'Blind Scoring'!J1246</x:f>
        <x:v>No</x:v>
      </x:c>
      <x:c r="U1246" s="31" t="str">
        <x:f>IF('Blind Scoring'!L1246="","",'Blind Scoring'!L1246)</x:f>
      </x:c>
    </x:row>
    <x:row r="1247" ht="44" customHeight="1">
      <x:c r="A1247" s="35" t="str">
        <x:v>Not Started</x:v>
      </x:c>
      <x:c r="B1247" s="35" t="n">
        <x:v>1245</x:v>
      </x:c>
      <x:c r="C1247" s="35" t="str">
        <x:v>P21</x:v>
      </x:c>
      <x:c r="D1247" s="35" t="n">
        <x:v>6</x:v>
      </x:c>
      <x:c r="E1247" s="35" t="str">
        <x:v>Primary VLA</x:v>
      </x:c>
      <x:c r="F1247" s="35" t="str">
        <x:v>MolmoAct2</x:v>
      </x:c>
      <x:c r="G1247" s="35" t="n">
        <x:v>3</x:v>
      </x:c>
      <x:c r="H1247" s="35" t="str">
        <x:v>State Recognition</x:v>
      </x:c>
      <x:c r="I1247" s="35" t="str">
        <x:v>Main held-out transfer</x:v>
      </x:c>
      <x:c r="J1247" s="35" t="str">
        <x:v>PVLA-ST-TR-11</x:v>
      </x:c>
      <x:c r="K1247" s="35" t="str">
        <x:v>S-CF20</x:v>
      </x:c>
      <x:c r="L1247" s="31" t="str">
        <x:v>Place the upright white cup in the bowl.</x:v>
      </x:c>
      <x:c r="M1247" s="31" t="str">
        <x:v>Place the upright white cup in the bowl.</x:v>
      </x:c>
      <x:c r="N1247" s="31" t="str">
        <x:v>S-CF20-HELD: P1 white cup A=C/UD [COMPETITOR]; P2 yellow-white striped cup B=O/UR; P3 brown cup A=O/UD; P4 white cup B=C/UR [TARGET].</x:v>
      </x:c>
      <x:c r="O1247" s="31" t="str">
        <x:v>white cup B</x:v>
      </x:c>
      <x:c r="P1247" s="31" t="str"/>
      <x:c r="Q1247" s="31" t="str"/>
      <x:c r="R1247" s="31" t="str"/>
      <x:c r="S1247" s="31" t="str">
        <x:f>IF('Blind Scoring'!I1247="","",'Blind Scoring'!I1247)</x:f>
      </x:c>
      <x:c r="T1247" s="31" t="str">
        <x:f>'Blind Scoring'!J1247</x:f>
        <x:v>No</x:v>
      </x:c>
      <x:c r="U1247" s="31" t="str">
        <x:f>IF('Blind Scoring'!L1247="","",'Blind Scoring'!L1247)</x:f>
      </x:c>
    </x:row>
    <x:row r="1248" ht="44" customHeight="1">
      <x:c r="A1248" s="35" t="str">
        <x:v>Not Started</x:v>
      </x:c>
      <x:c r="B1248" s="35" t="n">
        <x:v>1246</x:v>
      </x:c>
      <x:c r="C1248" s="35" t="str">
        <x:v>P21</x:v>
      </x:c>
      <x:c r="D1248" s="35" t="n">
        <x:v>7</x:v>
      </x:c>
      <x:c r="E1248" s="35" t="str">
        <x:v>Primary VLA</x:v>
      </x:c>
      <x:c r="F1248" s="35" t="str">
        <x:v>MolmoAct2</x:v>
      </x:c>
      <x:c r="G1248" s="35" t="n">
        <x:v>3</x:v>
      </x:c>
      <x:c r="H1248" s="35" t="str">
        <x:v>State Recognition</x:v>
      </x:c>
      <x:c r="I1248" s="35" t="str">
        <x:v>Main held-out transfer</x:v>
      </x:c>
      <x:c r="J1248" s="35" t="str">
        <x:v>PVLA-ST-TR-05</x:v>
      </x:c>
      <x:c r="K1248" s="35" t="str">
        <x:v>S-CF09</x:v>
      </x:c>
      <x:c r="L1248" s="31" t="str">
        <x:v>Place the closed white cup in the bowl.</x:v>
      </x:c>
      <x:c r="M1248" s="31" t="str">
        <x:v>Place the closed white cup in the bowl.</x:v>
      </x:c>
      <x:c r="N1248" s="31" t="str">
        <x:v>S-CF09-HELD: P1 white cup A=C/UR [TARGET]; P2 white cup B=O/UR [COMPETITOR]; P3 yellow-white striped cup A=C/UD; P4 brown cup B=O/UD.</x:v>
      </x:c>
      <x:c r="O1248" s="31" t="str">
        <x:v>white cup A</x:v>
      </x:c>
      <x:c r="P1248" s="31" t="str"/>
      <x:c r="Q1248" s="31" t="str"/>
      <x:c r="R1248" s="31" t="str"/>
      <x:c r="S1248" s="31" t="str">
        <x:f>IF('Blind Scoring'!I1248="","",'Blind Scoring'!I1248)</x:f>
      </x:c>
      <x:c r="T1248" s="31" t="str">
        <x:f>'Blind Scoring'!J1248</x:f>
        <x:v>No</x:v>
      </x:c>
      <x:c r="U1248" s="31" t="str">
        <x:f>IF('Blind Scoring'!L1248="","",'Blind Scoring'!L1248)</x:f>
      </x:c>
    </x:row>
    <x:row r="1249" ht="44" customHeight="1">
      <x:c r="A1249" s="35" t="str">
        <x:v>Not Started</x:v>
      </x:c>
      <x:c r="B1249" s="35" t="n">
        <x:v>1247</x:v>
      </x:c>
      <x:c r="C1249" s="35" t="str">
        <x:v>P21</x:v>
      </x:c>
      <x:c r="D1249" s="35" t="n">
        <x:v>8</x:v>
      </x:c>
      <x:c r="E1249" s="35" t="str">
        <x:v>Primary VLA</x:v>
      </x:c>
      <x:c r="F1249" s="35" t="str">
        <x:v>MolmoAct2</x:v>
      </x:c>
      <x:c r="G1249" s="35" t="n">
        <x:v>3</x:v>
      </x:c>
      <x:c r="H1249" s="35" t="str">
        <x:v>State Recognition</x:v>
      </x:c>
      <x:c r="I1249" s="35" t="str">
        <x:v>Main matched control</x:v>
      </x:c>
      <x:c r="J1249" s="35" t="str">
        <x:v>PVLA-ST-CTL-06</x:v>
      </x:c>
      <x:c r="K1249" s="35" t="str">
        <x:v>S-CF11</x:v>
      </x:c>
      <x:c r="L1249" s="31" t="str">
        <x:v>Place a glass spice container in the bowl.</x:v>
      </x:c>
      <x:c r="M1249" s="31" t="str">
        <x:v>Place a glass spice container in the bowl.</x:v>
      </x:c>
      <x:c r="N1249" s="31" t="str">
        <x:v>S-CF11-CTRL: P1 white cup A=C/UR; P2 yellow-white striped cup A=O/UR; P3 glass spice container B=C/UD [TARGET].</x:v>
      </x:c>
      <x:c r="O1249" s="31" t="str">
        <x:v>glass spice container B</x:v>
      </x:c>
      <x:c r="P1249" s="31" t="str"/>
      <x:c r="Q1249" s="31" t="str"/>
      <x:c r="R1249" s="31" t="str"/>
      <x:c r="S1249" s="31" t="str">
        <x:f>IF('Blind Scoring'!I1249="","",'Blind Scoring'!I1249)</x:f>
      </x:c>
      <x:c r="T1249" s="31" t="str">
        <x:f>'Blind Scoring'!J1249</x:f>
        <x:v>No</x:v>
      </x:c>
      <x:c r="U1249" s="31" t="str">
        <x:f>IF('Blind Scoring'!L1249="","",'Blind Scoring'!L1249)</x:f>
      </x:c>
    </x:row>
    <x:row r="1250" ht="44" customHeight="1">
      <x:c r="A1250" s="35" t="str">
        <x:v>Not Started</x:v>
      </x:c>
      <x:c r="B1250" s="35" t="n">
        <x:v>1248</x:v>
      </x:c>
      <x:c r="C1250" s="35" t="str">
        <x:v>P21</x:v>
      </x:c>
      <x:c r="D1250" s="35" t="n">
        <x:v>9</x:v>
      </x:c>
      <x:c r="E1250" s="35" t="str">
        <x:v>Primary VLA</x:v>
      </x:c>
      <x:c r="F1250" s="35" t="str">
        <x:v>MolmoAct2</x:v>
      </x:c>
      <x:c r="G1250" s="35" t="n">
        <x:v>3</x:v>
      </x:c>
      <x:c r="H1250" s="35" t="str">
        <x:v>State Recognition</x:v>
      </x:c>
      <x:c r="I1250" s="35" t="str">
        <x:v>Exact-scene paraphrase</x:v>
      </x:c>
      <x:c r="J1250" s="35" t="str">
        <x:v>PVLA-ST-PAR-08</x:v>
      </x:c>
      <x:c r="K1250" s="35" t="str">
        <x:v>S-CF20</x:v>
      </x:c>
      <x:c r="L1250" s="31" t="str">
        <x:v>Find the white cup that is turned upside down and move it into the bowl.</x:v>
      </x:c>
      <x:c r="M1250" s="31" t="str">
        <x:v>Find the white cup that is turned upside down and move it into the bowl.</x:v>
      </x:c>
      <x:c r="N1250" s="31" t="str">
        <x:v>S-CF20-PARA: P1 white cup A=C/UD [COMPETITOR]; P2 yellow-white striped cup B=O/UR; P3 brown cup A=O/UD; P4 white cup B=C/UR [TARGET].</x:v>
      </x:c>
      <x:c r="O1250" s="31" t="str">
        <x:v>white cup A</x:v>
      </x:c>
      <x:c r="P1250" s="31" t="str"/>
      <x:c r="Q1250" s="31" t="str"/>
      <x:c r="R1250" s="31" t="str"/>
      <x:c r="S1250" s="31" t="str">
        <x:f>IF('Blind Scoring'!I1250="","",'Blind Scoring'!I1250)</x:f>
      </x:c>
      <x:c r="T1250" s="31" t="str">
        <x:f>'Blind Scoring'!J1250</x:f>
        <x:v>No</x:v>
      </x:c>
      <x:c r="U1250" s="31" t="str">
        <x:f>IF('Blind Scoring'!L1250="","",'Blind Scoring'!L1250)</x:f>
      </x:c>
    </x:row>
    <x:row r="1251" ht="44" customHeight="1">
      <x:c r="A1251" s="35" t="str">
        <x:v>Not Started</x:v>
      </x:c>
      <x:c r="B1251" s="35" t="n">
        <x:v>1249</x:v>
      </x:c>
      <x:c r="C1251" s="35" t="str">
        <x:v>P21</x:v>
      </x:c>
      <x:c r="D1251" s="35" t="n">
        <x:v>10</x:v>
      </x:c>
      <x:c r="E1251" s="35" t="str">
        <x:v>Primary VLA</x:v>
      </x:c>
      <x:c r="F1251" s="35" t="str">
        <x:v>MolmoAct2</x:v>
      </x:c>
      <x:c r="G1251" s="35" t="n">
        <x:v>3</x:v>
      </x:c>
      <x:c r="H1251" s="35" t="str">
        <x:v>State Recognition</x:v>
      </x:c>
      <x:c r="I1251" s="35" t="str">
        <x:v>Main matched control</x:v>
      </x:c>
      <x:c r="J1251" s="35" t="str">
        <x:v>PVLA-ST-CTL-15</x:v>
      </x:c>
      <x:c r="K1251" s="35" t="str">
        <x:v>S-CF28</x:v>
      </x:c>
      <x:c r="L1251" s="31" t="str">
        <x:v>Place a white cup in the bowl.</x:v>
      </x:c>
      <x:c r="M1251" s="31" t="str">
        <x:v>Place a white cup in the bowl.</x:v>
      </x:c>
      <x:c r="N1251" s="31" t="str">
        <x:v>S-CF28-CTRL: P2 yellow-white striped cup B=O/UR; P3 brown cup A=O/UD; P4 white cup B=C/UR [TARGET].</x:v>
      </x:c>
      <x:c r="O1251" s="31" t="str">
        <x:v>white cup B</x:v>
      </x:c>
      <x:c r="P1251" s="31" t="str"/>
      <x:c r="Q1251" s="31" t="str"/>
      <x:c r="R1251" s="31" t="str"/>
      <x:c r="S1251" s="31" t="str">
        <x:f>IF('Blind Scoring'!I1251="","",'Blind Scoring'!I1251)</x:f>
      </x:c>
      <x:c r="T1251" s="31" t="str">
        <x:f>'Blind Scoring'!J1251</x:f>
        <x:v>No</x:v>
      </x:c>
      <x:c r="U1251" s="31" t="str">
        <x:f>IF('Blind Scoring'!L1251="","",'Blind Scoring'!L1251)</x:f>
      </x:c>
    </x:row>
    <x:row r="1252" ht="44" customHeight="1">
      <x:c r="A1252" s="35" t="str">
        <x:v>Not Started</x:v>
      </x:c>
      <x:c r="B1252" s="35" t="n">
        <x:v>1250</x:v>
      </x:c>
      <x:c r="C1252" s="35" t="str">
        <x:v>P21</x:v>
      </x:c>
      <x:c r="D1252" s="35" t="n">
        <x:v>11</x:v>
      </x:c>
      <x:c r="E1252" s="35" t="str">
        <x:v>Primary VLA</x:v>
      </x:c>
      <x:c r="F1252" s="35" t="str">
        <x:v>MolmoAct2</x:v>
      </x:c>
      <x:c r="G1252" s="35" t="n">
        <x:v>3</x:v>
      </x:c>
      <x:c r="H1252" s="35" t="str">
        <x:v>State Recognition</x:v>
      </x:c>
      <x:c r="I1252" s="35" t="str">
        <x:v>Main held-out transfer</x:v>
      </x:c>
      <x:c r="J1252" s="35" t="str">
        <x:v>PVLA-ST-TR-03</x:v>
      </x:c>
      <x:c r="K1252" s="35" t="str">
        <x:v>S-CF05</x:v>
      </x:c>
      <x:c r="L1252" s="31" t="str">
        <x:v>Place the closed brown cup in the bowl.</x:v>
      </x:c>
      <x:c r="M1252" s="31" t="str">
        <x:v>Place the closed brown cup in the bowl.</x:v>
      </x:c>
      <x:c r="N1252" s="31" t="str">
        <x:v>S-CF05-HELD: P1 brown cup A=C/UR [TARGET]; P2 brown cup B=O/UR [COMPETITOR]; P3 glass spice container A=C/UD; P4 white cup B=O/UD.</x:v>
      </x:c>
      <x:c r="O1252" s="31" t="str">
        <x:v>brown cup A</x:v>
      </x:c>
      <x:c r="P1252" s="31" t="str"/>
      <x:c r="Q1252" s="31" t="str"/>
      <x:c r="R1252" s="31" t="str"/>
      <x:c r="S1252" s="31" t="str">
        <x:f>IF('Blind Scoring'!I1252="","",'Blind Scoring'!I1252)</x:f>
      </x:c>
      <x:c r="T1252" s="31" t="str">
        <x:f>'Blind Scoring'!J1252</x:f>
        <x:v>No</x:v>
      </x:c>
      <x:c r="U1252" s="31" t="str">
        <x:f>IF('Blind Scoring'!L1252="","",'Blind Scoring'!L1252)</x:f>
      </x:c>
    </x:row>
    <x:row r="1253" ht="44" customHeight="1">
      <x:c r="A1253" s="35" t="str">
        <x:v>Not Started</x:v>
      </x:c>
      <x:c r="B1253" s="35" t="n">
        <x:v>1251</x:v>
      </x:c>
      <x:c r="C1253" s="35" t="str">
        <x:v>P21</x:v>
      </x:c>
      <x:c r="D1253" s="35" t="n">
        <x:v>12</x:v>
      </x:c>
      <x:c r="E1253" s="35" t="str">
        <x:v>Primary VLA</x:v>
      </x:c>
      <x:c r="F1253" s="35" t="str">
        <x:v>MolmoAct2</x:v>
      </x:c>
      <x:c r="G1253" s="35" t="n">
        <x:v>3</x:v>
      </x:c>
      <x:c r="H1253" s="35" t="str">
        <x:v>State Recognition</x:v>
      </x:c>
      <x:c r="I1253" s="35" t="str">
        <x:v>Main held-out transfer</x:v>
      </x:c>
      <x:c r="J1253" s="35" t="str">
        <x:v>PVLA-ST-TR-02</x:v>
      </x:c>
      <x:c r="K1253" s="35" t="str">
        <x:v>S-CF03</x:v>
      </x:c>
      <x:c r="L1253" s="31" t="str">
        <x:v>Place the closed glass spice container in the bowl.</x:v>
      </x:c>
      <x:c r="M1253" s="31" t="str">
        <x:v>Place the closed glass spice container in the bowl.</x:v>
      </x:c>
      <x:c r="N1253" s="31" t="str">
        <x:v>S-CF03-HELD: P1 white cup A=C/UR; P2 yellow-white striped cup A=O/UR; P3 glass spice container B=C/UD [TARGET]; P4 glass spice container A=O/UD [COMPETITOR].</x:v>
      </x:c>
      <x:c r="O1253" s="31" t="str">
        <x:v>glass spice container B</x:v>
      </x:c>
      <x:c r="P1253" s="31" t="str"/>
      <x:c r="Q1253" s="31" t="str"/>
      <x:c r="R1253" s="31" t="str"/>
      <x:c r="S1253" s="31" t="str">
        <x:f>IF('Blind Scoring'!I1253="","",'Blind Scoring'!I1253)</x:f>
      </x:c>
      <x:c r="T1253" s="31" t="str">
        <x:f>'Blind Scoring'!J1253</x:f>
        <x:v>No</x:v>
      </x:c>
      <x:c r="U1253" s="31" t="str">
        <x:f>IF('Blind Scoring'!L1253="","",'Blind Scoring'!L1253)</x:f>
      </x:c>
    </x:row>
    <x:row r="1254" ht="44" customHeight="1">
      <x:c r="A1254" s="35" t="str">
        <x:v>Not Started</x:v>
      </x:c>
      <x:c r="B1254" s="35" t="n">
        <x:v>1252</x:v>
      </x:c>
      <x:c r="C1254" s="35" t="str">
        <x:v>P21</x:v>
      </x:c>
      <x:c r="D1254" s="35" t="n">
        <x:v>13</x:v>
      </x:c>
      <x:c r="E1254" s="35" t="str">
        <x:v>Primary VLA</x:v>
      </x:c>
      <x:c r="F1254" s="35" t="str">
        <x:v>MolmoAct2</x:v>
      </x:c>
      <x:c r="G1254" s="35" t="n">
        <x:v>3</x:v>
      </x:c>
      <x:c r="H1254" s="35" t="str">
        <x:v>State Recognition</x:v>
      </x:c>
      <x:c r="I1254" s="35" t="str">
        <x:v>Main matched control</x:v>
      </x:c>
      <x:c r="J1254" s="35" t="str">
        <x:v>PVLA-ST-CTL-08</x:v>
      </x:c>
      <x:c r="K1254" s="35" t="str">
        <x:v>S-CF15</x:v>
      </x:c>
      <x:c r="L1254" s="31" t="str">
        <x:v>Place a yellow-white striped cup in the bowl.</x:v>
      </x:c>
      <x:c r="M1254" s="31" t="str">
        <x:v>Place a yellow-white striped cup in the bowl.</x:v>
      </x:c>
      <x:c r="N1254" s="31" t="str">
        <x:v>S-CF15-CTRL: P1 brown cup A=C/UR; P2 glass spice container A=O/UR; P3 yellow-white striped cup A=C/UD [TARGET].</x:v>
      </x:c>
      <x:c r="O1254" s="31" t="str">
        <x:v>yellow-white striped cup A</x:v>
      </x:c>
      <x:c r="P1254" s="31" t="str"/>
      <x:c r="Q1254" s="31" t="str"/>
      <x:c r="R1254" s="31" t="str"/>
      <x:c r="S1254" s="31" t="str">
        <x:f>IF('Blind Scoring'!I1254="","",'Blind Scoring'!I1254)</x:f>
      </x:c>
      <x:c r="T1254" s="31" t="str">
        <x:f>'Blind Scoring'!J1254</x:f>
        <x:v>No</x:v>
      </x:c>
      <x:c r="U1254" s="31" t="str">
        <x:f>IF('Blind Scoring'!L1254="","",'Blind Scoring'!L1254)</x:f>
      </x:c>
    </x:row>
    <x:row r="1255" ht="44" customHeight="1">
      <x:c r="A1255" s="35" t="str">
        <x:v>Not Started</x:v>
      </x:c>
      <x:c r="B1255" s="35" t="n">
        <x:v>1253</x:v>
      </x:c>
      <x:c r="C1255" s="35" t="str">
        <x:v>P21</x:v>
      </x:c>
      <x:c r="D1255" s="35" t="n">
        <x:v>14</x:v>
      </x:c>
      <x:c r="E1255" s="35" t="str">
        <x:v>Primary VLA</x:v>
      </x:c>
      <x:c r="F1255" s="35" t="str">
        <x:v>MolmoAct2</x:v>
      </x:c>
      <x:c r="G1255" s="35" t="n">
        <x:v>3</x:v>
      </x:c>
      <x:c r="H1255" s="35" t="str">
        <x:v>State Recognition</x:v>
      </x:c>
      <x:c r="I1255" s="35" t="str">
        <x:v>Main held-out transfer</x:v>
      </x:c>
      <x:c r="J1255" s="35" t="str">
        <x:v>PVLA-ST-TR-15</x:v>
      </x:c>
      <x:c r="K1255" s="35" t="str">
        <x:v>S-CF28</x:v>
      </x:c>
      <x:c r="L1255" s="31" t="str">
        <x:v>Place the upright white cup in the bowl.</x:v>
      </x:c>
      <x:c r="M1255" s="31" t="str">
        <x:v>Place the upright white cup in the bowl.</x:v>
      </x:c>
      <x:c r="N1255" s="31" t="str">
        <x:v>S-CF28-HELD: P1 white cup A=C/UD [COMPETITOR]; P2 yellow-white striped cup B=O/UR; P3 brown cup A=O/UD; P4 white cup B=C/UR [TARGET].</x:v>
      </x:c>
      <x:c r="O1255" s="31" t="str">
        <x:v>white cup B</x:v>
      </x:c>
      <x:c r="P1255" s="31" t="str"/>
      <x:c r="Q1255" s="31" t="str"/>
      <x:c r="R1255" s="31" t="str"/>
      <x:c r="S1255" s="31" t="str">
        <x:f>IF('Blind Scoring'!I1255="","",'Blind Scoring'!I1255)</x:f>
      </x:c>
      <x:c r="T1255" s="31" t="str">
        <x:f>'Blind Scoring'!J1255</x:f>
        <x:v>No</x:v>
      </x:c>
      <x:c r="U1255" s="31" t="str">
        <x:f>IF('Blind Scoring'!L1255="","",'Blind Scoring'!L1255)</x:f>
      </x:c>
    </x:row>
    <x:row r="1256" ht="44" customHeight="1">
      <x:c r="A1256" s="35" t="str">
        <x:v>Not Started</x:v>
      </x:c>
      <x:c r="B1256" s="35" t="n">
        <x:v>1254</x:v>
      </x:c>
      <x:c r="C1256" s="35" t="str">
        <x:v>P21</x:v>
      </x:c>
      <x:c r="D1256" s="35" t="n">
        <x:v>15</x:v>
      </x:c>
      <x:c r="E1256" s="35" t="str">
        <x:v>Primary VLA</x:v>
      </x:c>
      <x:c r="F1256" s="35" t="str">
        <x:v>MolmoAct2</x:v>
      </x:c>
      <x:c r="G1256" s="35" t="n">
        <x:v>3</x:v>
      </x:c>
      <x:c r="H1256" s="35" t="str">
        <x:v>State Recognition</x:v>
      </x:c>
      <x:c r="I1256" s="35" t="str">
        <x:v>Training reconstruction</x:v>
      </x:c>
      <x:c r="J1256" s="35" t="str">
        <x:v>PVLA-ST-REC-02</x:v>
      </x:c>
      <x:c r="K1256" s="35" t="str"/>
      <x:c r="L1256" s="31" t="str">
        <x:v>Put a yellow-white striped cup in the bowl.</x:v>
      </x:c>
      <x:c r="M1256" s="31" t="str">
        <x:v>Put a yellow-white striped cup in the bowl.</x:v>
      </x:c>
      <x:c r="N1256" s="31" t="str">
        <x:v>Reconstruct planned final training episode 52: yellow-white striped cup A, white cup A, brown cup B; start=Home. Match camera, calibration, bowl pose, and object geometry exactly.</x:v>
      </x:c>
      <x:c r="O1256" s="31" t="str">
        <x:v>yellow-white striped cup A</x:v>
      </x:c>
      <x:c r="P1256" s="31" t="str"/>
      <x:c r="Q1256" s="31" t="str"/>
      <x:c r="R1256" s="31" t="str"/>
      <x:c r="S1256" s="31" t="str">
        <x:f>IF('Blind Scoring'!I1256="","",'Blind Scoring'!I1256)</x:f>
      </x:c>
      <x:c r="T1256" s="31" t="str">
        <x:f>'Blind Scoring'!J1256</x:f>
        <x:v>No</x:v>
      </x:c>
      <x:c r="U1256" s="31" t="str">
        <x:f>IF('Blind Scoring'!L1256="","",'Blind Scoring'!L1256)</x:f>
      </x:c>
    </x:row>
    <x:row r="1257" ht="44" customHeight="1">
      <x:c r="A1257" s="35" t="str">
        <x:v>Not Started</x:v>
      </x:c>
      <x:c r="B1257" s="35" t="n">
        <x:v>1255</x:v>
      </x:c>
      <x:c r="C1257" s="35" t="str">
        <x:v>P21</x:v>
      </x:c>
      <x:c r="D1257" s="35" t="n">
        <x:v>16</x:v>
      </x:c>
      <x:c r="E1257" s="35" t="str">
        <x:v>Primary VLA</x:v>
      </x:c>
      <x:c r="F1257" s="35" t="str">
        <x:v>MolmoAct2</x:v>
      </x:c>
      <x:c r="G1257" s="35" t="n">
        <x:v>3</x:v>
      </x:c>
      <x:c r="H1257" s="35" t="str">
        <x:v>State Recognition</x:v>
      </x:c>
      <x:c r="I1257" s="35" t="str">
        <x:v>Novel layout + seen language</x:v>
      </x:c>
      <x:c r="J1257" s="35" t="str">
        <x:v>PVLA-ST-NOV-07</x:v>
      </x:c>
      <x:c r="K1257" s="35" t="str">
        <x:v>S-CF17</x:v>
      </x:c>
      <x:c r="L1257" s="31" t="str">
        <x:v>Place the open white cup in the bowl.</x:v>
      </x:c>
      <x:c r="M1257" s="31" t="str">
        <x:v>Place the open white cup in the bowl.</x:v>
      </x:c>
      <x:c r="N1257" s="31" t="str">
        <x:v>S-CF17-SEEN: P1 white cup A=C/UR [TARGET]; P2 white cup B=O/UR [COMPETITOR]; P3 yellow-white striped cup A=C/UD; P4 brown cup B=O/UD.</x:v>
      </x:c>
      <x:c r="O1257" s="31" t="str">
        <x:v>white cup B</x:v>
      </x:c>
      <x:c r="P1257" s="31" t="str"/>
      <x:c r="Q1257" s="31" t="str"/>
      <x:c r="R1257" s="31" t="str"/>
      <x:c r="S1257" s="31" t="str">
        <x:f>IF('Blind Scoring'!I1257="","",'Blind Scoring'!I1257)</x:f>
      </x:c>
      <x:c r="T1257" s="31" t="str">
        <x:f>'Blind Scoring'!J1257</x:f>
        <x:v>No</x:v>
      </x:c>
      <x:c r="U1257" s="31" t="str">
        <x:f>IF('Blind Scoring'!L1257="","",'Blind Scoring'!L1257)</x:f>
      </x:c>
    </x:row>
    <x:row r="1258" ht="44" customHeight="1">
      <x:c r="A1258" s="35" t="str">
        <x:v>Not Started</x:v>
      </x:c>
      <x:c r="B1258" s="35" t="n">
        <x:v>1256</x:v>
      </x:c>
      <x:c r="C1258" s="35" t="str">
        <x:v>P21</x:v>
      </x:c>
      <x:c r="D1258" s="35" t="n">
        <x:v>17</x:v>
      </x:c>
      <x:c r="E1258" s="35" t="str">
        <x:v>Primary VLA</x:v>
      </x:c>
      <x:c r="F1258" s="35" t="str">
        <x:v>MolmoAct2</x:v>
      </x:c>
      <x:c r="G1258" s="35" t="n">
        <x:v>3</x:v>
      </x:c>
      <x:c r="H1258" s="35" t="str">
        <x:v>State Recognition</x:v>
      </x:c>
      <x:c r="I1258" s="35" t="str">
        <x:v>Exact-scene paraphrase</x:v>
      </x:c>
      <x:c r="J1258" s="35" t="str">
        <x:v>PVLA-ST-PAR-02</x:v>
      </x:c>
      <x:c r="K1258" s="35" t="str">
        <x:v>S-CF04</x:v>
      </x:c>
      <x:c r="L1258" s="31" t="str">
        <x:v>Put the inverted white cup into the bowl.</x:v>
      </x:c>
      <x:c r="M1258" s="31" t="str">
        <x:v>Put the inverted white cup into the bowl.</x:v>
      </x:c>
      <x:c r="N1258" s="31" t="str">
        <x:v>S-CF04-PARA: P1 white cup A=C/UD [COMPETITOR]; P2 yellow-white striped cup B=O/UR; P3 brown cup A=O/UD; P4 white cup B=C/UR [TARGET].</x:v>
      </x:c>
      <x:c r="O1258" s="31" t="str">
        <x:v>white cup A</x:v>
      </x:c>
      <x:c r="P1258" s="31" t="str"/>
      <x:c r="Q1258" s="31" t="str"/>
      <x:c r="R1258" s="31" t="str"/>
      <x:c r="S1258" s="31" t="str">
        <x:f>IF('Blind Scoring'!I1258="","",'Blind Scoring'!I1258)</x:f>
      </x:c>
      <x:c r="T1258" s="31" t="str">
        <x:f>'Blind Scoring'!J1258</x:f>
        <x:v>No</x:v>
      </x:c>
      <x:c r="U1258" s="31" t="str">
        <x:f>IF('Blind Scoring'!L1258="","",'Blind Scoring'!L1258)</x:f>
      </x:c>
    </x:row>
    <x:row r="1259" ht="44" customHeight="1">
      <x:c r="A1259" s="35" t="str">
        <x:v>Not Started</x:v>
      </x:c>
      <x:c r="B1259" s="35" t="n">
        <x:v>1257</x:v>
      </x:c>
      <x:c r="C1259" s="35" t="str">
        <x:v>P21</x:v>
      </x:c>
      <x:c r="D1259" s="35" t="n">
        <x:v>18</x:v>
      </x:c>
      <x:c r="E1259" s="35" t="str">
        <x:v>Primary VLA</x:v>
      </x:c>
      <x:c r="F1259" s="35" t="str">
        <x:v>MolmoAct2</x:v>
      </x:c>
      <x:c r="G1259" s="35" t="n">
        <x:v>3</x:v>
      </x:c>
      <x:c r="H1259" s="35" t="str">
        <x:v>State Recognition</x:v>
      </x:c>
      <x:c r="I1259" s="35" t="str">
        <x:v>Novel layout + seen language</x:v>
      </x:c>
      <x:c r="J1259" s="35" t="str">
        <x:v>PVLA-ST-NOV-06</x:v>
      </x:c>
      <x:c r="K1259" s="35" t="str">
        <x:v>S-CF15</x:v>
      </x:c>
      <x:c r="L1259" s="31" t="str">
        <x:v>Place the open yellow-white striped cup in the bowl.</x:v>
      </x:c>
      <x:c r="M1259" s="31" t="str">
        <x:v>Place the open yellow-white striped cup in the bowl.</x:v>
      </x:c>
      <x:c r="N1259" s="31" t="str">
        <x:v>S-CF15-SEEN: P1 brown cup A=C/UR; P2 glass spice container A=O/UR; P3 yellow-white striped cup A=C/UD [TARGET]; P4 yellow-white striped cup B=O/UD [COMPETITOR].</x:v>
      </x:c>
      <x:c r="O1259" s="31" t="str">
        <x:v>yellow-white striped cup B</x:v>
      </x:c>
      <x:c r="P1259" s="31" t="str"/>
      <x:c r="Q1259" s="31" t="str"/>
      <x:c r="R1259" s="31" t="str"/>
      <x:c r="S1259" s="31" t="str">
        <x:f>IF('Blind Scoring'!I1259="","",'Blind Scoring'!I1259)</x:f>
      </x:c>
      <x:c r="T1259" s="31" t="str">
        <x:f>'Blind Scoring'!J1259</x:f>
        <x:v>No</x:v>
      </x:c>
      <x:c r="U1259" s="31" t="str">
        <x:f>IF('Blind Scoring'!L1259="","",'Blind Scoring'!L1259)</x:f>
      </x:c>
    </x:row>
    <x:row r="1260" ht="44" customHeight="1">
      <x:c r="A1260" s="35" t="str">
        <x:v>Not Started</x:v>
      </x:c>
      <x:c r="B1260" s="35" t="n">
        <x:v>1258</x:v>
      </x:c>
      <x:c r="C1260" s="35" t="str">
        <x:v>P21</x:v>
      </x:c>
      <x:c r="D1260" s="35" t="n">
        <x:v>19</x:v>
      </x:c>
      <x:c r="E1260" s="35" t="str">
        <x:v>Primary VLA</x:v>
      </x:c>
      <x:c r="F1260" s="35" t="str">
        <x:v>MolmoAct2</x:v>
      </x:c>
      <x:c r="G1260" s="35" t="n">
        <x:v>3</x:v>
      </x:c>
      <x:c r="H1260" s="35" t="str">
        <x:v>State Recognition</x:v>
      </x:c>
      <x:c r="I1260" s="35" t="str">
        <x:v>Main matched control</x:v>
      </x:c>
      <x:c r="J1260" s="35" t="str">
        <x:v>PVLA-ST-CTL-16</x:v>
      </x:c>
      <x:c r="K1260" s="35" t="str">
        <x:v>S-CF30</x:v>
      </x:c>
      <x:c r="L1260" s="31" t="str">
        <x:v>Place a glass spice container in the bowl.</x:v>
      </x:c>
      <x:c r="M1260" s="31" t="str">
        <x:v>Place a glass spice container in the bowl.</x:v>
      </x:c>
      <x:c r="N1260" s="31" t="str">
        <x:v>S-CF30-CTRL: P1 white cup B=C/UR; P2 glass spice container A=O/UR [TARGET]; P4 yellow-white striped cup B=C/UD.</x:v>
      </x:c>
      <x:c r="O1260" s="31" t="str">
        <x:v>glass spice container A</x:v>
      </x:c>
      <x:c r="P1260" s="31" t="str"/>
      <x:c r="Q1260" s="31" t="str"/>
      <x:c r="R1260" s="31" t="str"/>
      <x:c r="S1260" s="31" t="str">
        <x:f>IF('Blind Scoring'!I1260="","",'Blind Scoring'!I1260)</x:f>
      </x:c>
      <x:c r="T1260" s="31" t="str">
        <x:f>'Blind Scoring'!J1260</x:f>
        <x:v>No</x:v>
      </x:c>
      <x:c r="U1260" s="31" t="str">
        <x:f>IF('Blind Scoring'!L1260="","",'Blind Scoring'!L1260)</x:f>
      </x:c>
    </x:row>
    <x:row r="1261" ht="44" customHeight="1">
      <x:c r="A1261" s="35" t="str">
        <x:v>Not Started</x:v>
      </x:c>
      <x:c r="B1261" s="35" t="n">
        <x:v>1259</x:v>
      </x:c>
      <x:c r="C1261" s="35" t="str">
        <x:v>P21</x:v>
      </x:c>
      <x:c r="D1261" s="35" t="n">
        <x:v>20</x:v>
      </x:c>
      <x:c r="E1261" s="35" t="str">
        <x:v>Primary VLA</x:v>
      </x:c>
      <x:c r="F1261" s="35" t="str">
        <x:v>MolmoAct2</x:v>
      </x:c>
      <x:c r="G1261" s="35" t="n">
        <x:v>3</x:v>
      </x:c>
      <x:c r="H1261" s="35" t="str">
        <x:v>State Recognition</x:v>
      </x:c>
      <x:c r="I1261" s="35" t="str">
        <x:v>Novel layout + seen language</x:v>
      </x:c>
      <x:c r="J1261" s="35" t="str">
        <x:v>PVLA-ST-NOV-01</x:v>
      </x:c>
      <x:c r="K1261" s="35" t="str">
        <x:v>S-CF01</x:v>
      </x:c>
      <x:c r="L1261" s="31" t="str">
        <x:v>Place the open white cup in the bowl.</x:v>
      </x:c>
      <x:c r="M1261" s="31" t="str">
        <x:v>Place the open white cup in the bowl.</x:v>
      </x:c>
      <x:c r="N1261" s="31" t="str">
        <x:v>S-CF01-SEEN: P1 white cup A=C/UR [TARGET]; P2 white cup B=O/UR [COMPETITOR]; P3 yellow-white striped cup A=C/UD; P4 brown cup B=O/UD.</x:v>
      </x:c>
      <x:c r="O1261" s="31" t="str">
        <x:v>white cup B</x:v>
      </x:c>
      <x:c r="P1261" s="31" t="str"/>
      <x:c r="Q1261" s="31" t="str"/>
      <x:c r="R1261" s="31" t="str"/>
      <x:c r="S1261" s="31" t="str">
        <x:f>IF('Blind Scoring'!I1261="","",'Blind Scoring'!I1261)</x:f>
      </x:c>
      <x:c r="T1261" s="31" t="str">
        <x:f>'Blind Scoring'!J1261</x:f>
        <x:v>No</x:v>
      </x:c>
      <x:c r="U1261" s="31" t="str">
        <x:f>IF('Blind Scoring'!L1261="","",'Blind Scoring'!L1261)</x:f>
      </x:c>
    </x:row>
    <x:row r="1262" ht="44" customHeight="1">
      <x:c r="A1262" s="35" t="str">
        <x:v>Not Started</x:v>
      </x:c>
      <x:c r="B1262" s="35" t="n">
        <x:v>1260</x:v>
      </x:c>
      <x:c r="C1262" s="35" t="str">
        <x:v>P21</x:v>
      </x:c>
      <x:c r="D1262" s="35" t="n">
        <x:v>21</x:v>
      </x:c>
      <x:c r="E1262" s="35" t="str">
        <x:v>Primary VLA</x:v>
      </x:c>
      <x:c r="F1262" s="35" t="str">
        <x:v>MolmoAct2</x:v>
      </x:c>
      <x:c r="G1262" s="35" t="n">
        <x:v>3</x:v>
      </x:c>
      <x:c r="H1262" s="35" t="str">
        <x:v>State Recognition</x:v>
      </x:c>
      <x:c r="I1262" s="35" t="str">
        <x:v>Language ablation — counterfactual</x:v>
      </x:c>
      <x:c r="J1262" s="35" t="str">
        <x:v>PVLA-ST-ABL-CF-02</x:v>
      </x:c>
      <x:c r="K1262" s="35" t="str">
        <x:v>S-CF11</x:v>
      </x:c>
      <x:c r="L1262" s="31" t="str">
        <x:v>Place the open glass spice container in the bowl.</x:v>
      </x:c>
      <x:c r="M1262" s="31" t="str">
        <x:v>Place the open glass spice container in the bowl.</x:v>
      </x:c>
      <x:c r="N1262" s="31" t="str">
        <x:v>S-CF11-HELD: P1 white cup A=C/UR; P2 yellow-white striped cup A=O/UR; P3 glass spice container B=C/UD [TARGET]; P4 glass spice container A=O/UD [COMPETITOR].</x:v>
      </x:c>
      <x:c r="O1262" s="31" t="str">
        <x:v>glass spice container A</x:v>
      </x:c>
      <x:c r="P1262" s="31" t="str"/>
      <x:c r="Q1262" s="31" t="str"/>
      <x:c r="R1262" s="31" t="str"/>
      <x:c r="S1262" s="31" t="str">
        <x:f>IF('Blind Scoring'!I1262="","",'Blind Scoring'!I1262)</x:f>
      </x:c>
      <x:c r="T1262" s="31" t="str">
        <x:f>'Blind Scoring'!J1262</x:f>
        <x:v>No</x:v>
      </x:c>
      <x:c r="U1262" s="31" t="str">
        <x:f>IF('Blind Scoring'!L1262="","",'Blind Scoring'!L1262)</x:f>
      </x:c>
    </x:row>
    <x:row r="1263" ht="44" customHeight="1">
      <x:c r="A1263" s="35" t="str">
        <x:v>Not Started</x:v>
      </x:c>
      <x:c r="B1263" s="35" t="n">
        <x:v>1261</x:v>
      </x:c>
      <x:c r="C1263" s="35" t="str">
        <x:v>P21</x:v>
      </x:c>
      <x:c r="D1263" s="35" t="n">
        <x:v>22</x:v>
      </x:c>
      <x:c r="E1263" s="35" t="str">
        <x:v>Primary VLA</x:v>
      </x:c>
      <x:c r="F1263" s="35" t="str">
        <x:v>MolmoAct2</x:v>
      </x:c>
      <x:c r="G1263" s="35" t="n">
        <x:v>3</x:v>
      </x:c>
      <x:c r="H1263" s="35" t="str">
        <x:v>State Recognition</x:v>
      </x:c>
      <x:c r="I1263" s="35" t="str">
        <x:v>Exact-scene paraphrase</x:v>
      </x:c>
      <x:c r="J1263" s="35" t="str">
        <x:v>PVLA-ST-PAR-07</x:v>
      </x:c>
      <x:c r="K1263" s="35" t="str">
        <x:v>S-CF17</x:v>
      </x:c>
      <x:c r="L1263" s="31" t="str">
        <x:v>Find the white cup with its opening uncovered and move it into the bowl.</x:v>
      </x:c>
      <x:c r="M1263" s="31" t="str">
        <x:v>Find the white cup with its opening uncovered and move it into the bowl.</x:v>
      </x:c>
      <x:c r="N1263" s="31" t="str">
        <x:v>S-CF17-PARA: P1 white cup A=C/UR [TARGET]; P2 white cup B=O/UR [COMPETITOR]; P3 yellow-white striped cup A=C/UD; P4 brown cup B=O/UD.</x:v>
      </x:c>
      <x:c r="O1263" s="31" t="str">
        <x:v>white cup B</x:v>
      </x:c>
      <x:c r="P1263" s="31" t="str"/>
      <x:c r="Q1263" s="31" t="str"/>
      <x:c r="R1263" s="31" t="str"/>
      <x:c r="S1263" s="31" t="str">
        <x:f>IF('Blind Scoring'!I1263="","",'Blind Scoring'!I1263)</x:f>
      </x:c>
      <x:c r="T1263" s="31" t="str">
        <x:f>'Blind Scoring'!J1263</x:f>
        <x:v>No</x:v>
      </x:c>
      <x:c r="U1263" s="31" t="str">
        <x:f>IF('Blind Scoring'!L1263="","",'Blind Scoring'!L1263)</x:f>
      </x:c>
    </x:row>
    <x:row r="1264" ht="44" customHeight="1">
      <x:c r="A1264" s="35" t="str">
        <x:v>Not Started</x:v>
      </x:c>
      <x:c r="B1264" s="35" t="n">
        <x:v>1262</x:v>
      </x:c>
      <x:c r="C1264" s="35" t="str">
        <x:v>P21</x:v>
      </x:c>
      <x:c r="D1264" s="35" t="n">
        <x:v>23</x:v>
      </x:c>
      <x:c r="E1264" s="35" t="str">
        <x:v>Primary VLA</x:v>
      </x:c>
      <x:c r="F1264" s="35" t="str">
        <x:v>MolmoAct2</x:v>
      </x:c>
      <x:c r="G1264" s="35" t="n">
        <x:v>3</x:v>
      </x:c>
      <x:c r="H1264" s="35" t="str">
        <x:v>State Recognition</x:v>
      </x:c>
      <x:c r="I1264" s="35" t="str">
        <x:v>Training reconstruction</x:v>
      </x:c>
      <x:c r="J1264" s="35" t="str">
        <x:v>PVLA-ST-REC-06</x:v>
      </x:c>
      <x:c r="K1264" s="35" t="str"/>
      <x:c r="L1264" s="31" t="str">
        <x:v>Move a glass spice container into the bowl.</x:v>
      </x:c>
      <x:c r="M1264" s="31" t="str">
        <x:v>Move a glass spice container into the bowl.</x:v>
      </x:c>
      <x:c r="N1264" s="31" t="str">
        <x:v>Reconstruct planned final training episode 191: glass spice container A, brown cup A, white cup B; start=Home. Match camera, calibration, bowl pose, and object geometry exactly.</x:v>
      </x:c>
      <x:c r="O1264" s="31" t="str">
        <x:v>glass spice container A</x:v>
      </x:c>
      <x:c r="P1264" s="31" t="str"/>
      <x:c r="Q1264" s="31" t="str"/>
      <x:c r="R1264" s="31" t="str"/>
      <x:c r="S1264" s="31" t="str">
        <x:f>IF('Blind Scoring'!I1264="","",'Blind Scoring'!I1264)</x:f>
      </x:c>
      <x:c r="T1264" s="31" t="str">
        <x:f>'Blind Scoring'!J1264</x:f>
        <x:v>No</x:v>
      </x:c>
      <x:c r="U1264" s="31" t="str">
        <x:f>IF('Blind Scoring'!L1264="","",'Blind Scoring'!L1264)</x:f>
      </x:c>
    </x:row>
    <x:row r="1265" ht="44" customHeight="1">
      <x:c r="A1265" s="35" t="str">
        <x:v>Not Started</x:v>
      </x:c>
      <x:c r="B1265" s="35" t="n">
        <x:v>1263</x:v>
      </x:c>
      <x:c r="C1265" s="35" t="str">
        <x:v>P21</x:v>
      </x:c>
      <x:c r="D1265" s="35" t="n">
        <x:v>24</x:v>
      </x:c>
      <x:c r="E1265" s="35" t="str">
        <x:v>Primary VLA</x:v>
      </x:c>
      <x:c r="F1265" s="35" t="str">
        <x:v>MolmoAct2</x:v>
      </x:c>
      <x:c r="G1265" s="35" t="n">
        <x:v>3</x:v>
      </x:c>
      <x:c r="H1265" s="35" t="str">
        <x:v>State Recognition</x:v>
      </x:c>
      <x:c r="I1265" s="35" t="str">
        <x:v>Main matched control</x:v>
      </x:c>
      <x:c r="J1265" s="35" t="str">
        <x:v>PVLA-ST-CTL-04</x:v>
      </x:c>
      <x:c r="K1265" s="35" t="str">
        <x:v>S-CF07</x:v>
      </x:c>
      <x:c r="L1265" s="31" t="str">
        <x:v>Place a yellow-white striped cup in the bowl.</x:v>
      </x:c>
      <x:c r="M1265" s="31" t="str">
        <x:v>Place a yellow-white striped cup in the bowl.</x:v>
      </x:c>
      <x:c r="N1265" s="31" t="str">
        <x:v>S-CF07-CTRL: P1 brown cup A=C/UR; P2 glass spice container A=O/UR; P3 yellow-white striped cup A=C/UD [TARGET].</x:v>
      </x:c>
      <x:c r="O1265" s="31" t="str">
        <x:v>yellow-white striped cup A</x:v>
      </x:c>
      <x:c r="P1265" s="31" t="str"/>
      <x:c r="Q1265" s="31" t="str"/>
      <x:c r="R1265" s="31" t="str"/>
      <x:c r="S1265" s="31" t="str">
        <x:f>IF('Blind Scoring'!I1265="","",'Blind Scoring'!I1265)</x:f>
      </x:c>
      <x:c r="T1265" s="31" t="str">
        <x:f>'Blind Scoring'!J1265</x:f>
        <x:v>No</x:v>
      </x:c>
      <x:c r="U1265" s="31" t="str">
        <x:f>IF('Blind Scoring'!L1265="","",'Blind Scoring'!L1265)</x:f>
      </x:c>
    </x:row>
    <x:row r="1266" ht="44" customHeight="1">
      <x:c r="A1266" s="35" t="str">
        <x:v>Not Started</x:v>
      </x:c>
      <x:c r="B1266" s="35" t="n">
        <x:v>1264</x:v>
      </x:c>
      <x:c r="C1266" s="35" t="str">
        <x:v>P21</x:v>
      </x:c>
      <x:c r="D1266" s="35" t="n">
        <x:v>25</x:v>
      </x:c>
      <x:c r="E1266" s="35" t="str">
        <x:v>Primary VLA</x:v>
      </x:c>
      <x:c r="F1266" s="35" t="str">
        <x:v>MolmoAct2</x:v>
      </x:c>
      <x:c r="G1266" s="35" t="n">
        <x:v>3</x:v>
      </x:c>
      <x:c r="H1266" s="35" t="str">
        <x:v>State Recognition</x:v>
      </x:c>
      <x:c r="I1266" s="35" t="str">
        <x:v>Main matched control</x:v>
      </x:c>
      <x:c r="J1266" s="35" t="str">
        <x:v>PVLA-ST-CTL-03</x:v>
      </x:c>
      <x:c r="K1266" s="35" t="str">
        <x:v>S-CF05</x:v>
      </x:c>
      <x:c r="L1266" s="31" t="str">
        <x:v>Place a brown cup in the bowl.</x:v>
      </x:c>
      <x:c r="M1266" s="31" t="str">
        <x:v>Place a brown cup in the bowl.</x:v>
      </x:c>
      <x:c r="N1266" s="31" t="str">
        <x:v>S-CF05-CTRL: P1 brown cup A=C/UR [TARGET]; P3 glass spice container A=C/UD; P4 white cup B=O/UD.</x:v>
      </x:c>
      <x:c r="O1266" s="31" t="str">
        <x:v>brown cup A</x:v>
      </x:c>
      <x:c r="P1266" s="31" t="str"/>
      <x:c r="Q1266" s="31" t="str"/>
      <x:c r="R1266" s="31" t="str"/>
      <x:c r="S1266" s="31" t="str">
        <x:f>IF('Blind Scoring'!I1266="","",'Blind Scoring'!I1266)</x:f>
      </x:c>
      <x:c r="T1266" s="31" t="str">
        <x:f>'Blind Scoring'!J1266</x:f>
        <x:v>No</x:v>
      </x:c>
      <x:c r="U1266" s="31" t="str">
        <x:f>IF('Blind Scoring'!L1266="","",'Blind Scoring'!L1266)</x:f>
      </x:c>
    </x:row>
    <x:row r="1267" ht="44" customHeight="1">
      <x:c r="A1267" s="35" t="str">
        <x:v>Not Started</x:v>
      </x:c>
      <x:c r="B1267" s="35" t="n">
        <x:v>1265</x:v>
      </x:c>
      <x:c r="C1267" s="35" t="str">
        <x:v>P21</x:v>
      </x:c>
      <x:c r="D1267" s="35" t="n">
        <x:v>26</x:v>
      </x:c>
      <x:c r="E1267" s="35" t="str">
        <x:v>Primary VLA</x:v>
      </x:c>
      <x:c r="F1267" s="35" t="str">
        <x:v>MolmoAct2</x:v>
      </x:c>
      <x:c r="G1267" s="35" t="n">
        <x:v>3</x:v>
      </x:c>
      <x:c r="H1267" s="35" t="str">
        <x:v>State Recognition</x:v>
      </x:c>
      <x:c r="I1267" s="35" t="str">
        <x:v>Training reconstruction</x:v>
      </x:c>
      <x:c r="J1267" s="35" t="str">
        <x:v>PVLA-ST-REC-01</x:v>
      </x:c>
      <x:c r="K1267" s="35" t="str"/>
      <x:c r="L1267" s="31" t="str">
        <x:v>Move the open white cup into the bowl.</x:v>
      </x:c>
      <x:c r="M1267" s="31" t="str">
        <x:v>Move the open white cup into the bowl.</x:v>
      </x:c>
      <x:c r="N1267" s="31" t="str">
        <x:v>Reconstruct planned final training episode 2: white cup A, white cup B, glass spice container A, yellow-white striped cup B; start=Home. Match camera, calibration, bowl pose, and object geometry exactly.</x:v>
      </x:c>
      <x:c r="O1267" s="31" t="str">
        <x:v>white cup A</x:v>
      </x:c>
      <x:c r="P1267" s="31" t="str"/>
      <x:c r="Q1267" s="31" t="str"/>
      <x:c r="R1267" s="31" t="str"/>
      <x:c r="S1267" s="31" t="str">
        <x:f>IF('Blind Scoring'!I1267="","",'Blind Scoring'!I1267)</x:f>
      </x:c>
      <x:c r="T1267" s="31" t="str">
        <x:f>'Blind Scoring'!J1267</x:f>
        <x:v>No</x:v>
      </x:c>
      <x:c r="U1267" s="31" t="str">
        <x:f>IF('Blind Scoring'!L1267="","",'Blind Scoring'!L1267)</x:f>
      </x:c>
    </x:row>
    <x:row r="1268" ht="44" customHeight="1">
      <x:c r="A1268" s="35" t="str">
        <x:v>Not Started</x:v>
      </x:c>
      <x:c r="B1268" s="35" t="n">
        <x:v>1266</x:v>
      </x:c>
      <x:c r="C1268" s="35" t="str">
        <x:v>P21</x:v>
      </x:c>
      <x:c r="D1268" s="35" t="n">
        <x:v>27</x:v>
      </x:c>
      <x:c r="E1268" s="35" t="str">
        <x:v>Primary VLA</x:v>
      </x:c>
      <x:c r="F1268" s="35" t="str">
        <x:v>MolmoAct2</x:v>
      </x:c>
      <x:c r="G1268" s="35" t="n">
        <x:v>3</x:v>
      </x:c>
      <x:c r="H1268" s="35" t="str">
        <x:v>State Recognition</x:v>
      </x:c>
      <x:c r="I1268" s="35" t="str">
        <x:v>Main held-out transfer</x:v>
      </x:c>
      <x:c r="J1268" s="35" t="str">
        <x:v>PVLA-ST-TR-16</x:v>
      </x:c>
      <x:c r="K1268" s="35" t="str">
        <x:v>S-CF30</x:v>
      </x:c>
      <x:c r="L1268" s="31" t="str">
        <x:v>Place the upright glass spice container in the bowl.</x:v>
      </x:c>
      <x:c r="M1268" s="31" t="str">
        <x:v>Place the upright glass spice container in the bowl.</x:v>
      </x:c>
      <x:c r="N1268" s="31" t="str">
        <x:v>S-CF30-HELD: P1 white cup B=C/UR; P2 glass spice container A=O/UR [TARGET]; P3 glass spice container B=O/UD [COMPETITOR]; P4 yellow-white striped cup B=C/UD.</x:v>
      </x:c>
      <x:c r="O1268" s="31" t="str">
        <x:v>glass spice container A</x:v>
      </x:c>
      <x:c r="P1268" s="31" t="str"/>
      <x:c r="Q1268" s="31" t="str"/>
      <x:c r="R1268" s="31" t="str"/>
      <x:c r="S1268" s="31" t="str">
        <x:f>IF('Blind Scoring'!I1268="","",'Blind Scoring'!I1268)</x:f>
      </x:c>
      <x:c r="T1268" s="31" t="str">
        <x:f>'Blind Scoring'!J1268</x:f>
        <x:v>No</x:v>
      </x:c>
      <x:c r="U1268" s="31" t="str">
        <x:f>IF('Blind Scoring'!L1268="","",'Blind Scoring'!L1268)</x:f>
      </x:c>
    </x:row>
    <x:row r="1269" ht="44" customHeight="1">
      <x:c r="A1269" s="35" t="str">
        <x:v>Not Started</x:v>
      </x:c>
      <x:c r="B1269" s="35" t="n">
        <x:v>1267</x:v>
      </x:c>
      <x:c r="C1269" s="35" t="str">
        <x:v>P21</x:v>
      </x:c>
      <x:c r="D1269" s="35" t="n">
        <x:v>28</x:v>
      </x:c>
      <x:c r="E1269" s="35" t="str">
        <x:v>Primary VLA</x:v>
      </x:c>
      <x:c r="F1269" s="35" t="str">
        <x:v>MolmoAct2</x:v>
      </x:c>
      <x:c r="G1269" s="35" t="n">
        <x:v>3</x:v>
      </x:c>
      <x:c r="H1269" s="35" t="str">
        <x:v>State Recognition</x:v>
      </x:c>
      <x:c r="I1269" s="35" t="str">
        <x:v>Exact-scene paraphrase</x:v>
      </x:c>
      <x:c r="J1269" s="35" t="str">
        <x:v>PVLA-ST-PAR-03</x:v>
      </x:c>
      <x:c r="K1269" s="35" t="str">
        <x:v>S-CF06</x:v>
      </x:c>
      <x:c r="L1269" s="31" t="str">
        <x:v>Move the overturned glass spice container into the bowl.</x:v>
      </x:c>
      <x:c r="M1269" s="31" t="str">
        <x:v>Move the overturned glass spice container into the bowl.</x:v>
      </x:c>
      <x:c r="N1269" s="31" t="str">
        <x:v>S-CF06-PARA: P1 white cup B=C/UR; P2 glass spice container A=O/UR [TARGET]; P3 glass spice container B=O/UD [COMPETITOR]; P4 yellow-white striped cup B=C/UD.</x:v>
      </x:c>
      <x:c r="O1269" s="31" t="str">
        <x:v>glass spice container B</x:v>
      </x:c>
      <x:c r="P1269" s="31" t="str"/>
      <x:c r="Q1269" s="31" t="str"/>
      <x:c r="R1269" s="31" t="str"/>
      <x:c r="S1269" s="31" t="str">
        <x:f>IF('Blind Scoring'!I1269="","",'Blind Scoring'!I1269)</x:f>
      </x:c>
      <x:c r="T1269" s="31" t="str">
        <x:f>'Blind Scoring'!J1269</x:f>
        <x:v>No</x:v>
      </x:c>
      <x:c r="U1269" s="31" t="str">
        <x:f>IF('Blind Scoring'!L1269="","",'Blind Scoring'!L1269)</x:f>
      </x:c>
    </x:row>
    <x:row r="1270" ht="44" customHeight="1">
      <x:c r="A1270" s="35" t="str">
        <x:v>Not Started</x:v>
      </x:c>
      <x:c r="B1270" s="35" t="n">
        <x:v>1268</x:v>
      </x:c>
      <x:c r="C1270" s="35" t="str">
        <x:v>P21</x:v>
      </x:c>
      <x:c r="D1270" s="35" t="n">
        <x:v>29</x:v>
      </x:c>
      <x:c r="E1270" s="35" t="str">
        <x:v>Primary VLA</x:v>
      </x:c>
      <x:c r="F1270" s="35" t="str">
        <x:v>MolmoAct2</x:v>
      </x:c>
      <x:c r="G1270" s="35" t="n">
        <x:v>3</x:v>
      </x:c>
      <x:c r="H1270" s="35" t="str">
        <x:v>State Recognition</x:v>
      </x:c>
      <x:c r="I1270" s="35" t="str">
        <x:v>Language ablation — counterfactual</x:v>
      </x:c>
      <x:c r="J1270" s="35" t="str">
        <x:v>PVLA-ST-ABL-CF-04</x:v>
      </x:c>
      <x:c r="K1270" s="35" t="str">
        <x:v>S-CF15</x:v>
      </x:c>
      <x:c r="L1270" s="31" t="str">
        <x:v>Place the open yellow-white striped cup in the bowl.</x:v>
      </x:c>
      <x:c r="M1270" s="31" t="str">
        <x:v>Place the open yellow-white striped cup in the bowl.</x:v>
      </x:c>
      <x:c r="N1270" s="31" t="str">
        <x:v>S-CF15-HELD: P1 brown cup A=C/UR; P2 glass spice container A=O/UR; P3 yellow-white striped cup A=C/UD [TARGET]; P4 yellow-white striped cup B=O/UD [COMPETITOR].</x:v>
      </x:c>
      <x:c r="O1270" s="31" t="str">
        <x:v>yellow-white striped cup B</x:v>
      </x:c>
      <x:c r="P1270" s="31" t="str"/>
      <x:c r="Q1270" s="31" t="str"/>
      <x:c r="R1270" s="31" t="str"/>
      <x:c r="S1270" s="31" t="str">
        <x:f>IF('Blind Scoring'!I1270="","",'Blind Scoring'!I1270)</x:f>
      </x:c>
      <x:c r="T1270" s="31" t="str">
        <x:f>'Blind Scoring'!J1270</x:f>
        <x:v>No</x:v>
      </x:c>
      <x:c r="U1270" s="31" t="str">
        <x:f>IF('Blind Scoring'!L1270="","",'Blind Scoring'!L1270)</x:f>
      </x:c>
    </x:row>
    <x:row r="1271" ht="44" customHeight="1">
      <x:c r="A1271" s="35" t="str">
        <x:v>Not Started</x:v>
      </x:c>
      <x:c r="B1271" s="35" t="n">
        <x:v>1269</x:v>
      </x:c>
      <x:c r="C1271" s="35" t="str">
        <x:v>P21</x:v>
      </x:c>
      <x:c r="D1271" s="35" t="n">
        <x:v>30</x:v>
      </x:c>
      <x:c r="E1271" s="35" t="str">
        <x:v>Primary VLA</x:v>
      </x:c>
      <x:c r="F1271" s="35" t="str">
        <x:v>MolmoAct2</x:v>
      </x:c>
      <x:c r="G1271" s="35" t="n">
        <x:v>3</x:v>
      </x:c>
      <x:c r="H1271" s="35" t="str">
        <x:v>State Recognition</x:v>
      </x:c>
      <x:c r="I1271" s="35" t="str">
        <x:v>Main held-out transfer</x:v>
      </x:c>
      <x:c r="J1271" s="35" t="str">
        <x:v>PVLA-ST-TR-10</x:v>
      </x:c>
      <x:c r="K1271" s="35" t="str">
        <x:v>S-CF18</x:v>
      </x:c>
      <x:c r="L1271" s="31" t="str">
        <x:v>Place the upright yellow-white striped cup in the bowl.</x:v>
      </x:c>
      <x:c r="M1271" s="31" t="str">
        <x:v>Place the upright yellow-white striped cup in the bowl.</x:v>
      </x:c>
      <x:c r="N1271" s="31" t="str">
        <x:v>S-CF18-HELD: P1 brown cup B=C/UR; P2 yellow-white striped cup B=O/UR [TARGET]; P3 yellow-white striped cup A=O/UD [COMPETITOR]; P4 glass spice container B=C/UD.</x:v>
      </x:c>
      <x:c r="O1271" s="31" t="str">
        <x:v>yellow-white striped cup B</x:v>
      </x:c>
      <x:c r="P1271" s="31" t="str"/>
      <x:c r="Q1271" s="31" t="str"/>
      <x:c r="R1271" s="31" t="str"/>
      <x:c r="S1271" s="31" t="str">
        <x:f>IF('Blind Scoring'!I1271="","",'Blind Scoring'!I1271)</x:f>
      </x:c>
      <x:c r="T1271" s="31" t="str">
        <x:f>'Blind Scoring'!J1271</x:f>
        <x:v>No</x:v>
      </x:c>
      <x:c r="U1271" s="31" t="str">
        <x:f>IF('Blind Scoring'!L1271="","",'Blind Scoring'!L1271)</x:f>
      </x:c>
    </x:row>
    <x:row r="1272" ht="44" customHeight="1">
      <x:c r="A1272" s="35" t="str">
        <x:v>Not Started</x:v>
      </x:c>
      <x:c r="B1272" s="35" t="n">
        <x:v>1270</x:v>
      </x:c>
      <x:c r="C1272" s="35" t="str">
        <x:v>P21</x:v>
      </x:c>
      <x:c r="D1272" s="35" t="n">
        <x:v>31</x:v>
      </x:c>
      <x:c r="E1272" s="35" t="str">
        <x:v>Primary VLA</x:v>
      </x:c>
      <x:c r="F1272" s="35" t="str">
        <x:v>MolmoAct2</x:v>
      </x:c>
      <x:c r="G1272" s="35" t="n">
        <x:v>3</x:v>
      </x:c>
      <x:c r="H1272" s="35" t="str">
        <x:v>State Recognition</x:v>
      </x:c>
      <x:c r="I1272" s="35" t="str">
        <x:v>Language ablation — counterfactual</x:v>
      </x:c>
      <x:c r="J1272" s="35" t="str">
        <x:v>PVLA-ST-ABL-CF-03</x:v>
      </x:c>
      <x:c r="K1272" s="35" t="str">
        <x:v>S-CF13</x:v>
      </x:c>
      <x:c r="L1272" s="31" t="str">
        <x:v>Place the open brown cup in the bowl.</x:v>
      </x:c>
      <x:c r="M1272" s="31" t="str">
        <x:v>Place the open brown cup in the bowl.</x:v>
      </x:c>
      <x:c r="N1272" s="31" t="str">
        <x:v>S-CF13-HELD: P1 brown cup A=C/UR [TARGET]; P2 brown cup B=O/UR [COMPETITOR]; P3 glass spice container A=C/UD; P4 white cup B=O/UD.</x:v>
      </x:c>
      <x:c r="O1272" s="31" t="str">
        <x:v>brown cup B</x:v>
      </x:c>
      <x:c r="P1272" s="31" t="str"/>
      <x:c r="Q1272" s="31" t="str"/>
      <x:c r="R1272" s="31" t="str"/>
      <x:c r="S1272" s="31" t="str">
        <x:f>IF('Blind Scoring'!I1272="","",'Blind Scoring'!I1272)</x:f>
      </x:c>
      <x:c r="T1272" s="31" t="str">
        <x:f>'Blind Scoring'!J1272</x:f>
        <x:v>No</x:v>
      </x:c>
      <x:c r="U1272" s="31" t="str">
        <x:f>IF('Blind Scoring'!L1272="","",'Blind Scoring'!L1272)</x:f>
      </x:c>
    </x:row>
    <x:row r="1273" ht="44" customHeight="1">
      <x:c r="A1273" s="35" t="str">
        <x:v>Not Started</x:v>
      </x:c>
      <x:c r="B1273" s="35" t="n">
        <x:v>1271</x:v>
      </x:c>
      <x:c r="C1273" s="35" t="str">
        <x:v>P21</x:v>
      </x:c>
      <x:c r="D1273" s="35" t="n">
        <x:v>32</x:v>
      </x:c>
      <x:c r="E1273" s="35" t="str">
        <x:v>Primary VLA</x:v>
      </x:c>
      <x:c r="F1273" s="35" t="str">
        <x:v>MolmoAct2</x:v>
      </x:c>
      <x:c r="G1273" s="35" t="n">
        <x:v>3</x:v>
      </x:c>
      <x:c r="H1273" s="35" t="str">
        <x:v>State Recognition</x:v>
      </x:c>
      <x:c r="I1273" s="35" t="str">
        <x:v>Main held-out transfer</x:v>
      </x:c>
      <x:c r="J1273" s="35" t="str">
        <x:v>PVLA-ST-TR-07</x:v>
      </x:c>
      <x:c r="K1273" s="35" t="str">
        <x:v>S-CF13</x:v>
      </x:c>
      <x:c r="L1273" s="31" t="str">
        <x:v>Place the closed brown cup in the bowl.</x:v>
      </x:c>
      <x:c r="M1273" s="31" t="str">
        <x:v>Place the closed brown cup in the bowl.</x:v>
      </x:c>
      <x:c r="N1273" s="31" t="str">
        <x:v>S-CF13-HELD: P1 brown cup A=C/UR [TARGET]; P2 brown cup B=O/UR [COMPETITOR]; P3 glass spice container A=C/UD; P4 white cup B=O/UD.</x:v>
      </x:c>
      <x:c r="O1273" s="31" t="str">
        <x:v>brown cup A</x:v>
      </x:c>
      <x:c r="P1273" s="31" t="str"/>
      <x:c r="Q1273" s="31" t="str"/>
      <x:c r="R1273" s="31" t="str"/>
      <x:c r="S1273" s="31" t="str">
        <x:f>IF('Blind Scoring'!I1273="","",'Blind Scoring'!I1273)</x:f>
      </x:c>
      <x:c r="T1273" s="31" t="str">
        <x:f>'Blind Scoring'!J1273</x:f>
        <x:v>No</x:v>
      </x:c>
      <x:c r="U1273" s="31" t="str">
        <x:f>IF('Blind Scoring'!L1273="","",'Blind Scoring'!L1273)</x:f>
      </x:c>
    </x:row>
    <x:row r="1274" ht="44" customHeight="1">
      <x:c r="A1274" s="35" t="str">
        <x:v>Not Started</x:v>
      </x:c>
      <x:c r="B1274" s="35" t="n">
        <x:v>1272</x:v>
      </x:c>
      <x:c r="C1274" s="35" t="str">
        <x:v>P21</x:v>
      </x:c>
      <x:c r="D1274" s="35" t="n">
        <x:v>33</x:v>
      </x:c>
      <x:c r="E1274" s="35" t="str">
        <x:v>Primary VLA</x:v>
      </x:c>
      <x:c r="F1274" s="35" t="str">
        <x:v>MolmoAct2</x:v>
      </x:c>
      <x:c r="G1274" s="35" t="n">
        <x:v>3</x:v>
      </x:c>
      <x:c r="H1274" s="35" t="str">
        <x:v>State Recognition</x:v>
      </x:c>
      <x:c r="I1274" s="35" t="str">
        <x:v>Main matched control</x:v>
      </x:c>
      <x:c r="J1274" s="35" t="str">
        <x:v>PVLA-ST-CTL-10</x:v>
      </x:c>
      <x:c r="K1274" s="35" t="str">
        <x:v>S-CF18</x:v>
      </x:c>
      <x:c r="L1274" s="31" t="str">
        <x:v>Place a yellow-white striped cup in the bowl.</x:v>
      </x:c>
      <x:c r="M1274" s="31" t="str">
        <x:v>Place a yellow-white striped cup in the bowl.</x:v>
      </x:c>
      <x:c r="N1274" s="31" t="str">
        <x:v>S-CF18-CTRL: P1 brown cup B=C/UR; P2 yellow-white striped cup B=O/UR [TARGET]; P4 glass spice container B=C/UD.</x:v>
      </x:c>
      <x:c r="O1274" s="31" t="str">
        <x:v>yellow-white striped cup B</x:v>
      </x:c>
      <x:c r="P1274" s="31" t="str"/>
      <x:c r="Q1274" s="31" t="str"/>
      <x:c r="R1274" s="31" t="str"/>
      <x:c r="S1274" s="31" t="str">
        <x:f>IF('Blind Scoring'!I1274="","",'Blind Scoring'!I1274)</x:f>
      </x:c>
      <x:c r="T1274" s="31" t="str">
        <x:f>'Blind Scoring'!J1274</x:f>
        <x:v>No</x:v>
      </x:c>
      <x:c r="U1274" s="31" t="str">
        <x:f>IF('Blind Scoring'!L1274="","",'Blind Scoring'!L1274)</x:f>
      </x:c>
    </x:row>
    <x:row r="1275" ht="44" customHeight="1">
      <x:c r="A1275" s="35" t="str">
        <x:v>Not Started</x:v>
      </x:c>
      <x:c r="B1275" s="35" t="n">
        <x:v>1273</x:v>
      </x:c>
      <x:c r="C1275" s="35" t="str">
        <x:v>P21</x:v>
      </x:c>
      <x:c r="D1275" s="35" t="n">
        <x:v>34</x:v>
      </x:c>
      <x:c r="E1275" s="35" t="str">
        <x:v>Primary VLA</x:v>
      </x:c>
      <x:c r="F1275" s="35" t="str">
        <x:v>MolmoAct2</x:v>
      </x:c>
      <x:c r="G1275" s="35" t="n">
        <x:v>3</x:v>
      </x:c>
      <x:c r="H1275" s="35" t="str">
        <x:v>State Recognition</x:v>
      </x:c>
      <x:c r="I1275" s="35" t="str">
        <x:v>Main matched control</x:v>
      </x:c>
      <x:c r="J1275" s="35" t="str">
        <x:v>PVLA-ST-CTL-13</x:v>
      </x:c>
      <x:c r="K1275" s="35" t="str">
        <x:v>S-CF24</x:v>
      </x:c>
      <x:c r="L1275" s="31" t="str">
        <x:v>Place a brown cup in the bowl.</x:v>
      </x:c>
      <x:c r="M1275" s="31" t="str">
        <x:v>Place a brown cup in the bowl.</x:v>
      </x:c>
      <x:c r="N1275" s="31" t="str">
        <x:v>S-CF24-CTRL: P2 glass spice container B=O/UR; P3 white cup A=O/UD; P4 brown cup B=C/UR [TARGET].</x:v>
      </x:c>
      <x:c r="O1275" s="31" t="str">
        <x:v>brown cup B</x:v>
      </x:c>
      <x:c r="P1275" s="31" t="str"/>
      <x:c r="Q1275" s="31" t="str"/>
      <x:c r="R1275" s="31" t="str"/>
      <x:c r="S1275" s="31" t="str">
        <x:f>IF('Blind Scoring'!I1275="","",'Blind Scoring'!I1275)</x:f>
      </x:c>
      <x:c r="T1275" s="31" t="str">
        <x:f>'Blind Scoring'!J1275</x:f>
        <x:v>No</x:v>
      </x:c>
      <x:c r="U1275" s="31" t="str">
        <x:f>IF('Blind Scoring'!L1275="","",'Blind Scoring'!L1275)</x:f>
      </x:c>
    </x:row>
    <x:row r="1276" ht="44" customHeight="1">
      <x:c r="A1276" s="35" t="str">
        <x:v>Not Started</x:v>
      </x:c>
      <x:c r="B1276" s="35" t="n">
        <x:v>1274</x:v>
      </x:c>
      <x:c r="C1276" s="35" t="str">
        <x:v>P21</x:v>
      </x:c>
      <x:c r="D1276" s="35" t="n">
        <x:v>35</x:v>
      </x:c>
      <x:c r="E1276" s="35" t="str">
        <x:v>Primary VLA</x:v>
      </x:c>
      <x:c r="F1276" s="35" t="str">
        <x:v>MolmoAct2</x:v>
      </x:c>
      <x:c r="G1276" s="35" t="n">
        <x:v>3</x:v>
      </x:c>
      <x:c r="H1276" s="35" t="str">
        <x:v>State Recognition</x:v>
      </x:c>
      <x:c r="I1276" s="35" t="str">
        <x:v>Main held-out transfer</x:v>
      </x:c>
      <x:c r="J1276" s="35" t="str">
        <x:v>PVLA-ST-TR-12</x:v>
      </x:c>
      <x:c r="K1276" s="35" t="str">
        <x:v>S-CF22</x:v>
      </x:c>
      <x:c r="L1276" s="31" t="str">
        <x:v>Place the upright glass spice container in the bowl.</x:v>
      </x:c>
      <x:c r="M1276" s="31" t="str">
        <x:v>Place the upright glass spice container in the bowl.</x:v>
      </x:c>
      <x:c r="N1276" s="31" t="str">
        <x:v>S-CF22-HELD: P1 white cup B=C/UR; P2 glass spice container A=O/UR [TARGET]; P3 glass spice container B=O/UD [COMPETITOR]; P4 yellow-white striped cup B=C/UD.</x:v>
      </x:c>
      <x:c r="O1276" s="31" t="str">
        <x:v>glass spice container A</x:v>
      </x:c>
      <x:c r="P1276" s="31" t="str"/>
      <x:c r="Q1276" s="31" t="str"/>
      <x:c r="R1276" s="31" t="str"/>
      <x:c r="S1276" s="31" t="str">
        <x:f>IF('Blind Scoring'!I1276="","",'Blind Scoring'!I1276)</x:f>
      </x:c>
      <x:c r="T1276" s="31" t="str">
        <x:f>'Blind Scoring'!J1276</x:f>
        <x:v>No</x:v>
      </x:c>
      <x:c r="U1276" s="31" t="str">
        <x:f>IF('Blind Scoring'!L1276="","",'Blind Scoring'!L1276)</x:f>
      </x:c>
    </x:row>
    <x:row r="1277" ht="44" customHeight="1">
      <x:c r="A1277" s="35" t="str">
        <x:v>Not Started</x:v>
      </x:c>
      <x:c r="B1277" s="35" t="n">
        <x:v>1275</x:v>
      </x:c>
      <x:c r="C1277" s="35" t="str">
        <x:v>P21</x:v>
      </x:c>
      <x:c r="D1277" s="35" t="n">
        <x:v>36</x:v>
      </x:c>
      <x:c r="E1277" s="35" t="str">
        <x:v>Primary VLA</x:v>
      </x:c>
      <x:c r="F1277" s="35" t="str">
        <x:v>MolmoAct2</x:v>
      </x:c>
      <x:c r="G1277" s="35" t="n">
        <x:v>3</x:v>
      </x:c>
      <x:c r="H1277" s="35" t="str">
        <x:v>State Recognition</x:v>
      </x:c>
      <x:c r="I1277" s="35" t="str">
        <x:v>Main held-out transfer</x:v>
      </x:c>
      <x:c r="J1277" s="35" t="str">
        <x:v>PVLA-ST-TR-09</x:v>
      </x:c>
      <x:c r="K1277" s="35" t="str">
        <x:v>S-CF16</x:v>
      </x:c>
      <x:c r="L1277" s="31" t="str">
        <x:v>Place the upright brown cup in the bowl.</x:v>
      </x:c>
      <x:c r="M1277" s="31" t="str">
        <x:v>Place the upright brown cup in the bowl.</x:v>
      </x:c>
      <x:c r="N1277" s="31" t="str">
        <x:v>S-CF16-HELD: P1 brown cup A=C/UD [COMPETITOR]; P2 glass spice container B=O/UR; P3 white cup A=O/UD; P4 brown cup B=C/UR [TARGET].</x:v>
      </x:c>
      <x:c r="O1277" s="31" t="str">
        <x:v>brown cup B</x:v>
      </x:c>
      <x:c r="P1277" s="31" t="str"/>
      <x:c r="Q1277" s="31" t="str"/>
      <x:c r="R1277" s="31" t="str"/>
      <x:c r="S1277" s="31" t="str">
        <x:f>IF('Blind Scoring'!I1277="","",'Blind Scoring'!I1277)</x:f>
      </x:c>
      <x:c r="T1277" s="31" t="str">
        <x:f>'Blind Scoring'!J1277</x:f>
        <x:v>No</x:v>
      </x:c>
      <x:c r="U1277" s="31" t="str">
        <x:f>IF('Blind Scoring'!L1277="","",'Blind Scoring'!L1277)</x:f>
      </x:c>
    </x:row>
    <x:row r="1278" ht="44" customHeight="1">
      <x:c r="A1278" s="35" t="str">
        <x:v>Not Started</x:v>
      </x:c>
      <x:c r="B1278" s="35" t="n">
        <x:v>1276</x:v>
      </x:c>
      <x:c r="C1278" s="35" t="str">
        <x:v>P21</x:v>
      </x:c>
      <x:c r="D1278" s="35" t="n">
        <x:v>37</x:v>
      </x:c>
      <x:c r="E1278" s="35" t="str">
        <x:v>Primary VLA</x:v>
      </x:c>
      <x:c r="F1278" s="35" t="str">
        <x:v>MolmoAct2</x:v>
      </x:c>
      <x:c r="G1278" s="35" t="n">
        <x:v>3</x:v>
      </x:c>
      <x:c r="H1278" s="35" t="str">
        <x:v>State Recognition</x:v>
      </x:c>
      <x:c r="I1278" s="35" t="str">
        <x:v>Language ablation — blank</x:v>
      </x:c>
      <x:c r="J1278" s="35" t="str">
        <x:v>PVLA-ST-ABL-BLK-04</x:v>
      </x:c>
      <x:c r="K1278" s="35" t="str">
        <x:v>S-CF07</x:v>
      </x:c>
      <x:c r="L1278" s="31" t="str">
        <x:v>[EMPTY STRING — provide no instruction tokens]</x:v>
      </x:c>
      <x:c r="M1278" s="31" t="str">
        <x:v>Place the closed yellow-white striped cup in the bowl.</x:v>
      </x:c>
      <x:c r="N1278" s="31" t="str">
        <x:v>S-CF07-HELD: P1 brown cup A=C/UR; P2 glass spice container A=O/UR; P3 yellow-white striped cup A=C/UD [TARGET]; P4 yellow-white striped cup B=O/UD [COMPETITOR].</x:v>
      </x:c>
      <x:c r="O1278" s="31" t="str">
        <x:v>No prespecified task success under blank language; record any action/selected target.</x:v>
      </x:c>
      <x:c r="P1278" s="31" t="str"/>
      <x:c r="Q1278" s="31" t="str"/>
      <x:c r="R1278" s="31" t="str"/>
      <x:c r="S1278" s="31" t="str">
        <x:f>IF('Blind Scoring'!I1278="","",'Blind Scoring'!I1278)</x:f>
      </x:c>
      <x:c r="T1278" s="31" t="str">
        <x:f>'Blind Scoring'!J1278</x:f>
        <x:v>No</x:v>
      </x:c>
      <x:c r="U1278" s="31" t="str">
        <x:f>IF('Blind Scoring'!L1278="","",'Blind Scoring'!L1278)</x:f>
      </x:c>
    </x:row>
    <x:row r="1279" ht="44" customHeight="1">
      <x:c r="A1279" s="35" t="str">
        <x:v>Not Started</x:v>
      </x:c>
      <x:c r="B1279" s="35" t="n">
        <x:v>1277</x:v>
      </x:c>
      <x:c r="C1279" s="35" t="str">
        <x:v>P21</x:v>
      </x:c>
      <x:c r="D1279" s="35" t="n">
        <x:v>38</x:v>
      </x:c>
      <x:c r="E1279" s="35" t="str">
        <x:v>Primary VLA</x:v>
      </x:c>
      <x:c r="F1279" s="35" t="str">
        <x:v>MolmoAct2</x:v>
      </x:c>
      <x:c r="G1279" s="35" t="n">
        <x:v>3</x:v>
      </x:c>
      <x:c r="H1279" s="35" t="str">
        <x:v>State Recognition</x:v>
      </x:c>
      <x:c r="I1279" s="35" t="str">
        <x:v>Exact-scene paraphrase</x:v>
      </x:c>
      <x:c r="J1279" s="35" t="str">
        <x:v>PVLA-ST-PAR-06</x:v>
      </x:c>
      <x:c r="K1279" s="35" t="str">
        <x:v>S-CF15</x:v>
      </x:c>
      <x:c r="L1279" s="31" t="str">
        <x:v>Move the yellow-white striped cup that is open into the bowl.</x:v>
      </x:c>
      <x:c r="M1279" s="31" t="str">
        <x:v>Move the yellow-white striped cup that is open into the bowl.</x:v>
      </x:c>
      <x:c r="N1279" s="31" t="str">
        <x:v>S-CF15-PARA: P1 brown cup A=C/UR; P2 glass spice container A=O/UR; P3 yellow-white striped cup A=C/UD [TARGET]; P4 yellow-white striped cup B=O/UD [COMPETITOR].</x:v>
      </x:c>
      <x:c r="O1279" s="31" t="str">
        <x:v>yellow-white striped cup B</x:v>
      </x:c>
      <x:c r="P1279" s="31" t="str"/>
      <x:c r="Q1279" s="31" t="str"/>
      <x:c r="R1279" s="31" t="str"/>
      <x:c r="S1279" s="31" t="str">
        <x:f>IF('Blind Scoring'!I1279="","",'Blind Scoring'!I1279)</x:f>
      </x:c>
      <x:c r="T1279" s="31" t="str">
        <x:f>'Blind Scoring'!J1279</x:f>
        <x:v>No</x:v>
      </x:c>
      <x:c r="U1279" s="31" t="str">
        <x:f>IF('Blind Scoring'!L1279="","",'Blind Scoring'!L1279)</x:f>
      </x:c>
    </x:row>
    <x:row r="1280" ht="44" customHeight="1">
      <x:c r="A1280" s="35" t="str">
        <x:v>Not Started</x:v>
      </x:c>
      <x:c r="B1280" s="35" t="n">
        <x:v>1278</x:v>
      </x:c>
      <x:c r="C1280" s="35" t="str">
        <x:v>P21</x:v>
      </x:c>
      <x:c r="D1280" s="35" t="n">
        <x:v>39</x:v>
      </x:c>
      <x:c r="E1280" s="35" t="str">
        <x:v>Primary VLA</x:v>
      </x:c>
      <x:c r="F1280" s="35" t="str">
        <x:v>MolmoAct2</x:v>
      </x:c>
      <x:c r="G1280" s="35" t="n">
        <x:v>3</x:v>
      </x:c>
      <x:c r="H1280" s="35" t="str">
        <x:v>State Recognition</x:v>
      </x:c>
      <x:c r="I1280" s="35" t="str">
        <x:v>Main held-out transfer</x:v>
      </x:c>
      <x:c r="J1280" s="35" t="str">
        <x:v>PVLA-ST-TR-08</x:v>
      </x:c>
      <x:c r="K1280" s="35" t="str">
        <x:v>S-CF15</x:v>
      </x:c>
      <x:c r="L1280" s="31" t="str">
        <x:v>Place the closed yellow-white striped cup in the bowl.</x:v>
      </x:c>
      <x:c r="M1280" s="31" t="str">
        <x:v>Place the closed yellow-white striped cup in the bowl.</x:v>
      </x:c>
      <x:c r="N1280" s="31" t="str">
        <x:v>S-CF15-HELD: P1 brown cup A=C/UR; P2 glass spice container A=O/UR; P3 yellow-white striped cup A=C/UD [TARGET]; P4 yellow-white striped cup B=O/UD [COMPETITOR].</x:v>
      </x:c>
      <x:c r="O1280" s="31" t="str">
        <x:v>yellow-white striped cup A</x:v>
      </x:c>
      <x:c r="P1280" s="31" t="str"/>
      <x:c r="Q1280" s="31" t="str"/>
      <x:c r="R1280" s="31" t="str"/>
      <x:c r="S1280" s="31" t="str">
        <x:f>IF('Blind Scoring'!I1280="","",'Blind Scoring'!I1280)</x:f>
      </x:c>
      <x:c r="T1280" s="31" t="str">
        <x:f>'Blind Scoring'!J1280</x:f>
        <x:v>No</x:v>
      </x:c>
      <x:c r="U1280" s="31" t="str">
        <x:f>IF('Blind Scoring'!L1280="","",'Blind Scoring'!L1280)</x:f>
      </x:c>
    </x:row>
    <x:row r="1281" ht="44" customHeight="1">
      <x:c r="A1281" s="35" t="str">
        <x:v>Not Started</x:v>
      </x:c>
      <x:c r="B1281" s="35" t="n">
        <x:v>1279</x:v>
      </x:c>
      <x:c r="C1281" s="35" t="str">
        <x:v>P21</x:v>
      </x:c>
      <x:c r="D1281" s="35" t="n">
        <x:v>40</x:v>
      </x:c>
      <x:c r="E1281" s="35" t="str">
        <x:v>Primary VLA</x:v>
      </x:c>
      <x:c r="F1281" s="35" t="str">
        <x:v>MolmoAct2</x:v>
      </x:c>
      <x:c r="G1281" s="35" t="n">
        <x:v>3</x:v>
      </x:c>
      <x:c r="H1281" s="35" t="str">
        <x:v>State Recognition</x:v>
      </x:c>
      <x:c r="I1281" s="35" t="str">
        <x:v>Main matched control</x:v>
      </x:c>
      <x:c r="J1281" s="35" t="str">
        <x:v>PVLA-ST-CTL-02</x:v>
      </x:c>
      <x:c r="K1281" s="35" t="str">
        <x:v>S-CF03</x:v>
      </x:c>
      <x:c r="L1281" s="31" t="str">
        <x:v>Place a glass spice container in the bowl.</x:v>
      </x:c>
      <x:c r="M1281" s="31" t="str">
        <x:v>Place a glass spice container in the bowl.</x:v>
      </x:c>
      <x:c r="N1281" s="31" t="str">
        <x:v>S-CF03-CTRL: P1 white cup A=C/UR; P2 yellow-white striped cup A=O/UR; P3 glass spice container B=C/UD [TARGET].</x:v>
      </x:c>
      <x:c r="O1281" s="31" t="str">
        <x:v>glass spice container B</x:v>
      </x:c>
      <x:c r="P1281" s="31" t="str"/>
      <x:c r="Q1281" s="31" t="str"/>
      <x:c r="R1281" s="31" t="str"/>
      <x:c r="S1281" s="31" t="str">
        <x:f>IF('Blind Scoring'!I1281="","",'Blind Scoring'!I1281)</x:f>
      </x:c>
      <x:c r="T1281" s="31" t="str">
        <x:f>'Blind Scoring'!J1281</x:f>
        <x:v>No</x:v>
      </x:c>
      <x:c r="U1281" s="31" t="str">
        <x:f>IF('Blind Scoring'!L1281="","",'Blind Scoring'!L1281)</x:f>
      </x:c>
    </x:row>
    <x:row r="1282" ht="44" customHeight="1">
      <x:c r="A1282" s="35" t="str">
        <x:v>Not Started</x:v>
      </x:c>
      <x:c r="B1282" s="35" t="n">
        <x:v>1280</x:v>
      </x:c>
      <x:c r="C1282" s="35" t="str">
        <x:v>P21</x:v>
      </x:c>
      <x:c r="D1282" s="35" t="n">
        <x:v>41</x:v>
      </x:c>
      <x:c r="E1282" s="35" t="str">
        <x:v>Primary VLA</x:v>
      </x:c>
      <x:c r="F1282" s="35" t="str">
        <x:v>MolmoAct2</x:v>
      </x:c>
      <x:c r="G1282" s="35" t="n">
        <x:v>3</x:v>
      </x:c>
      <x:c r="H1282" s="35" t="str">
        <x:v>State Recognition</x:v>
      </x:c>
      <x:c r="I1282" s="35" t="str">
        <x:v>Novel layout + seen language</x:v>
      </x:c>
      <x:c r="J1282" s="35" t="str">
        <x:v>PVLA-ST-NOV-03</x:v>
      </x:c>
      <x:c r="K1282" s="35" t="str">
        <x:v>S-CF06</x:v>
      </x:c>
      <x:c r="L1282" s="31" t="str">
        <x:v>Place the upside-down glass spice container in the bowl.</x:v>
      </x:c>
      <x:c r="M1282" s="31" t="str">
        <x:v>Place the upside-down glass spice container in the bowl.</x:v>
      </x:c>
      <x:c r="N1282" s="31" t="str">
        <x:v>S-CF06-SEEN: P1 white cup B=C/UR; P2 glass spice container A=O/UR [TARGET]; P3 glass spice container B=O/UD [COMPETITOR]; P4 yellow-white striped cup B=C/UD.</x:v>
      </x:c>
      <x:c r="O1282" s="31" t="str">
        <x:v>glass spice container B</x:v>
      </x:c>
      <x:c r="P1282" s="31" t="str"/>
      <x:c r="Q1282" s="31" t="str"/>
      <x:c r="R1282" s="31" t="str"/>
      <x:c r="S1282" s="31" t="str">
        <x:f>IF('Blind Scoring'!I1282="","",'Blind Scoring'!I1282)</x:f>
      </x:c>
      <x:c r="T1282" s="31" t="str">
        <x:f>'Blind Scoring'!J1282</x:f>
        <x:v>No</x:v>
      </x:c>
      <x:c r="U1282" s="31" t="str">
        <x:f>IF('Blind Scoring'!L1282="","",'Blind Scoring'!L1282)</x:f>
      </x:c>
    </x:row>
    <x:row r="1283" ht="44" customHeight="1">
      <x:c r="A1283" s="35" t="str">
        <x:v>Not Started</x:v>
      </x:c>
      <x:c r="B1283" s="35" t="n">
        <x:v>1281</x:v>
      </x:c>
      <x:c r="C1283" s="35" t="str">
        <x:v>P21</x:v>
      </x:c>
      <x:c r="D1283" s="35" t="n">
        <x:v>42</x:v>
      </x:c>
      <x:c r="E1283" s="35" t="str">
        <x:v>Primary VLA</x:v>
      </x:c>
      <x:c r="F1283" s="35" t="str">
        <x:v>MolmoAct2</x:v>
      </x:c>
      <x:c r="G1283" s="35" t="n">
        <x:v>3</x:v>
      </x:c>
      <x:c r="H1283" s="35" t="str">
        <x:v>State Recognition</x:v>
      </x:c>
      <x:c r="I1283" s="35" t="str">
        <x:v>Training reconstruction</x:v>
      </x:c>
      <x:c r="J1283" s="35" t="str">
        <x:v>PVLA-ST-REC-03</x:v>
      </x:c>
      <x:c r="K1283" s="35" t="str"/>
      <x:c r="L1283" s="31" t="str">
        <x:v>Put a brown cup in the bowl.</x:v>
      </x:c>
      <x:c r="M1283" s="31" t="str">
        <x:v>Put a brown cup in the bowl.</x:v>
      </x:c>
      <x:c r="N1283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1283" s="31" t="str">
        <x:v>brown cup B</x:v>
      </x:c>
      <x:c r="P1283" s="31" t="str"/>
      <x:c r="Q1283" s="31" t="str"/>
      <x:c r="R1283" s="31" t="str"/>
      <x:c r="S1283" s="31" t="str">
        <x:f>IF('Blind Scoring'!I1283="","",'Blind Scoring'!I1283)</x:f>
      </x:c>
      <x:c r="T1283" s="31" t="str">
        <x:f>'Blind Scoring'!J1283</x:f>
        <x:v>No</x:v>
      </x:c>
      <x:c r="U1283" s="31" t="str">
        <x:f>IF('Blind Scoring'!L1283="","",'Blind Scoring'!L1283)</x:f>
      </x:c>
    </x:row>
    <x:row r="1284" ht="44" customHeight="1">
      <x:c r="A1284" s="35" t="str">
        <x:v>Not Started</x:v>
      </x:c>
      <x:c r="B1284" s="35" t="n">
        <x:v>1282</x:v>
      </x:c>
      <x:c r="C1284" s="35" t="str">
        <x:v>P21</x:v>
      </x:c>
      <x:c r="D1284" s="35" t="n">
        <x:v>43</x:v>
      </x:c>
      <x:c r="E1284" s="35" t="str">
        <x:v>Primary VLA</x:v>
      </x:c>
      <x:c r="F1284" s="35" t="str">
        <x:v>MolmoAct2</x:v>
      </x:c>
      <x:c r="G1284" s="35" t="n">
        <x:v>3</x:v>
      </x:c>
      <x:c r="H1284" s="35" t="str">
        <x:v>State Recognition</x:v>
      </x:c>
      <x:c r="I1284" s="35" t="str">
        <x:v>Main held-out transfer</x:v>
      </x:c>
      <x:c r="J1284" s="35" t="str">
        <x:v>PVLA-ST-TR-13</x:v>
      </x:c>
      <x:c r="K1284" s="35" t="str">
        <x:v>S-CF24</x:v>
      </x:c>
      <x:c r="L1284" s="31" t="str">
        <x:v>Place the upright brown cup in the bowl.</x:v>
      </x:c>
      <x:c r="M1284" s="31" t="str">
        <x:v>Place the upright brown cup in the bowl.</x:v>
      </x:c>
      <x:c r="N1284" s="31" t="str">
        <x:v>S-CF24-HELD: P1 brown cup A=C/UD [COMPETITOR]; P2 glass spice container B=O/UR; P3 white cup A=O/UD; P4 brown cup B=C/UR [TARGET].</x:v>
      </x:c>
      <x:c r="O1284" s="31" t="str">
        <x:v>brown cup B</x:v>
      </x:c>
      <x:c r="P1284" s="31" t="str"/>
      <x:c r="Q1284" s="31" t="str"/>
      <x:c r="R1284" s="31" t="str"/>
      <x:c r="S1284" s="31" t="str">
        <x:f>IF('Blind Scoring'!I1284="","",'Blind Scoring'!I1284)</x:f>
      </x:c>
      <x:c r="T1284" s="31" t="str">
        <x:f>'Blind Scoring'!J1284</x:f>
        <x:v>No</x:v>
      </x:c>
      <x:c r="U1284" s="31" t="str">
        <x:f>IF('Blind Scoring'!L1284="","",'Blind Scoring'!L1284)</x:f>
      </x:c>
    </x:row>
    <x:row r="1285" ht="44" customHeight="1">
      <x:c r="A1285" s="35" t="str">
        <x:v>Not Started</x:v>
      </x:c>
      <x:c r="B1285" s="35" t="n">
        <x:v>1283</x:v>
      </x:c>
      <x:c r="C1285" s="35" t="str">
        <x:v>P21</x:v>
      </x:c>
      <x:c r="D1285" s="35" t="n">
        <x:v>44</x:v>
      </x:c>
      <x:c r="E1285" s="35" t="str">
        <x:v>Primary VLA</x:v>
      </x:c>
      <x:c r="F1285" s="35" t="str">
        <x:v>MolmoAct2</x:v>
      </x:c>
      <x:c r="G1285" s="35" t="n">
        <x:v>3</x:v>
      </x:c>
      <x:c r="H1285" s="35" t="str">
        <x:v>State Recognition</x:v>
      </x:c>
      <x:c r="I1285" s="35" t="str">
        <x:v>Training reconstruction</x:v>
      </x:c>
      <x:c r="J1285" s="35" t="str">
        <x:v>PVLA-ST-REC-04</x:v>
      </x:c>
      <x:c r="K1285" s="35" t="str"/>
      <x:c r="L1285" s="31" t="str">
        <x:v>Move the open brown cup into the bowl.</x:v>
      </x:c>
      <x:c r="M1285" s="31" t="str">
        <x:v>Move the open brown cup into the bowl.</x:v>
      </x:c>
      <x:c r="N1285" s="31" t="str">
        <x:v>Reconstruct planned final training episode 104: brown cup B, brown cup A, glass spice container A; start=Recovery. Match camera, calibration, bowl pose, and object geometry exactly.</x:v>
      </x:c>
      <x:c r="O1285" s="31" t="str">
        <x:v>brown cup B</x:v>
      </x:c>
      <x:c r="P1285" s="31" t="str"/>
      <x:c r="Q1285" s="31" t="str"/>
      <x:c r="R1285" s="31" t="str"/>
      <x:c r="S1285" s="31" t="str">
        <x:f>IF('Blind Scoring'!I1285="","",'Blind Scoring'!I1285)</x:f>
      </x:c>
      <x:c r="T1285" s="31" t="str">
        <x:f>'Blind Scoring'!J1285</x:f>
        <x:v>No</x:v>
      </x:c>
      <x:c r="U1285" s="31" t="str">
        <x:f>IF('Blind Scoring'!L1285="","",'Blind Scoring'!L1285)</x:f>
      </x:c>
    </x:row>
    <x:row r="1286" ht="44" customHeight="1">
      <x:c r="A1286" s="35" t="str">
        <x:v>Not Started</x:v>
      </x:c>
      <x:c r="B1286" s="35" t="n">
        <x:v>1284</x:v>
      </x:c>
      <x:c r="C1286" s="35" t="str">
        <x:v>P21</x:v>
      </x:c>
      <x:c r="D1286" s="35" t="n">
        <x:v>45</x:v>
      </x:c>
      <x:c r="E1286" s="35" t="str">
        <x:v>Primary VLA</x:v>
      </x:c>
      <x:c r="F1286" s="35" t="str">
        <x:v>MolmoAct2</x:v>
      </x:c>
      <x:c r="G1286" s="35" t="n">
        <x:v>3</x:v>
      </x:c>
      <x:c r="H1286" s="35" t="str">
        <x:v>State Recognition</x:v>
      </x:c>
      <x:c r="I1286" s="35" t="str">
        <x:v>Main held-out transfer</x:v>
      </x:c>
      <x:c r="J1286" s="35" t="str">
        <x:v>PVLA-ST-TR-04</x:v>
      </x:c>
      <x:c r="K1286" s="35" t="str">
        <x:v>S-CF07</x:v>
      </x:c>
      <x:c r="L1286" s="31" t="str">
        <x:v>Place the closed yellow-white striped cup in the bowl.</x:v>
      </x:c>
      <x:c r="M1286" s="31" t="str">
        <x:v>Place the closed yellow-white striped cup in the bowl.</x:v>
      </x:c>
      <x:c r="N1286" s="31" t="str">
        <x:v>S-CF07-HELD: P1 brown cup A=C/UR; P2 glass spice container A=O/UR; P3 yellow-white striped cup A=C/UD [TARGET]; P4 yellow-white striped cup B=O/UD [COMPETITOR].</x:v>
      </x:c>
      <x:c r="O1286" s="31" t="str">
        <x:v>yellow-white striped cup A</x:v>
      </x:c>
      <x:c r="P1286" s="31" t="str"/>
      <x:c r="Q1286" s="31" t="str"/>
      <x:c r="R1286" s="31" t="str"/>
      <x:c r="S1286" s="31" t="str">
        <x:f>IF('Blind Scoring'!I1286="","",'Blind Scoring'!I1286)</x:f>
      </x:c>
      <x:c r="T1286" s="31" t="str">
        <x:f>'Blind Scoring'!J1286</x:f>
        <x:v>No</x:v>
      </x:c>
      <x:c r="U1286" s="31" t="str">
        <x:f>IF('Blind Scoring'!L1286="","",'Blind Scoring'!L1286)</x:f>
      </x:c>
    </x:row>
    <x:row r="1287" ht="44" customHeight="1">
      <x:c r="A1287" s="35" t="str">
        <x:v>Not Started</x:v>
      </x:c>
      <x:c r="B1287" s="35" t="n">
        <x:v>1285</x:v>
      </x:c>
      <x:c r="C1287" s="35" t="str">
        <x:v>P21</x:v>
      </x:c>
      <x:c r="D1287" s="35" t="n">
        <x:v>46</x:v>
      </x:c>
      <x:c r="E1287" s="35" t="str">
        <x:v>Primary VLA</x:v>
      </x:c>
      <x:c r="F1287" s="35" t="str">
        <x:v>MolmoAct2</x:v>
      </x:c>
      <x:c r="G1287" s="35" t="n">
        <x:v>3</x:v>
      </x:c>
      <x:c r="H1287" s="35" t="str">
        <x:v>State Recognition</x:v>
      </x:c>
      <x:c r="I1287" s="35" t="str">
        <x:v>Main matched control</x:v>
      </x:c>
      <x:c r="J1287" s="35" t="str">
        <x:v>PVLA-ST-CTL-01</x:v>
      </x:c>
      <x:c r="K1287" s="35" t="str">
        <x:v>S-CF01</x:v>
      </x:c>
      <x:c r="L1287" s="31" t="str">
        <x:v>Place a white cup in the bowl.</x:v>
      </x:c>
      <x:c r="M1287" s="31" t="str">
        <x:v>Place a white cup in the bowl.</x:v>
      </x:c>
      <x:c r="N1287" s="31" t="str">
        <x:v>S-CF01-CTRL: P1 white cup A=C/UR [TARGET]; P3 yellow-white striped cup A=C/UD; P4 brown cup B=O/UD.</x:v>
      </x:c>
      <x:c r="O1287" s="31" t="str">
        <x:v>white cup A</x:v>
      </x:c>
      <x:c r="P1287" s="31" t="str"/>
      <x:c r="Q1287" s="31" t="str"/>
      <x:c r="R1287" s="31" t="str"/>
      <x:c r="S1287" s="31" t="str">
        <x:f>IF('Blind Scoring'!I1287="","",'Blind Scoring'!I1287)</x:f>
      </x:c>
      <x:c r="T1287" s="31" t="str">
        <x:f>'Blind Scoring'!J1287</x:f>
        <x:v>No</x:v>
      </x:c>
      <x:c r="U1287" s="31" t="str">
        <x:f>IF('Blind Scoring'!L1287="","",'Blind Scoring'!L1287)</x:f>
      </x:c>
    </x:row>
    <x:row r="1288" ht="44" customHeight="1">
      <x:c r="A1288" s="35" t="str">
        <x:v>Not Started</x:v>
      </x:c>
      <x:c r="B1288" s="35" t="n">
        <x:v>1286</x:v>
      </x:c>
      <x:c r="C1288" s="35" t="str">
        <x:v>P21</x:v>
      </x:c>
      <x:c r="D1288" s="35" t="n">
        <x:v>47</x:v>
      </x:c>
      <x:c r="E1288" s="35" t="str">
        <x:v>Primary VLA</x:v>
      </x:c>
      <x:c r="F1288" s="35" t="str">
        <x:v>MolmoAct2</x:v>
      </x:c>
      <x:c r="G1288" s="35" t="n">
        <x:v>3</x:v>
      </x:c>
      <x:c r="H1288" s="35" t="str">
        <x:v>State Recognition</x:v>
      </x:c>
      <x:c r="I1288" s="35" t="str">
        <x:v>Novel layout + seen language</x:v>
      </x:c>
      <x:c r="J1288" s="35" t="str">
        <x:v>PVLA-ST-NOV-08</x:v>
      </x:c>
      <x:c r="K1288" s="35" t="str">
        <x:v>S-CF20</x:v>
      </x:c>
      <x:c r="L1288" s="31" t="str">
        <x:v>Place the upside-down white cup in the bowl.</x:v>
      </x:c>
      <x:c r="M1288" s="31" t="str">
        <x:v>Place the upside-down white cup in the bowl.</x:v>
      </x:c>
      <x:c r="N1288" s="31" t="str">
        <x:v>S-CF20-SEEN: P1 white cup A=C/UD [COMPETITOR]; P2 yellow-white striped cup B=O/UR; P3 brown cup A=O/UD; P4 white cup B=C/UR [TARGET].</x:v>
      </x:c>
      <x:c r="O1288" s="31" t="str">
        <x:v>white cup A</x:v>
      </x:c>
      <x:c r="P1288" s="31" t="str"/>
      <x:c r="Q1288" s="31" t="str"/>
      <x:c r="R1288" s="31" t="str"/>
      <x:c r="S1288" s="31" t="str">
        <x:f>IF('Blind Scoring'!I1288="","",'Blind Scoring'!I1288)</x:f>
      </x:c>
      <x:c r="T1288" s="31" t="str">
        <x:f>'Blind Scoring'!J1288</x:f>
        <x:v>No</x:v>
      </x:c>
      <x:c r="U1288" s="31" t="str">
        <x:f>IF('Blind Scoring'!L1288="","",'Blind Scoring'!L1288)</x:f>
      </x:c>
    </x:row>
    <x:row r="1289" ht="44" customHeight="1">
      <x:c r="A1289" s="35" t="str">
        <x:v>Not Started</x:v>
      </x:c>
      <x:c r="B1289" s="35" t="n">
        <x:v>1287</x:v>
      </x:c>
      <x:c r="C1289" s="35" t="str">
        <x:v>P21</x:v>
      </x:c>
      <x:c r="D1289" s="35" t="n">
        <x:v>48</x:v>
      </x:c>
      <x:c r="E1289" s="35" t="str">
        <x:v>Primary VLA</x:v>
      </x:c>
      <x:c r="F1289" s="35" t="str">
        <x:v>MolmoAct2</x:v>
      </x:c>
      <x:c r="G1289" s="35" t="n">
        <x:v>3</x:v>
      </x:c>
      <x:c r="H1289" s="35" t="str">
        <x:v>State Recognition</x:v>
      </x:c>
      <x:c r="I1289" s="35" t="str">
        <x:v>Exact-scene paraphrase</x:v>
      </x:c>
      <x:c r="J1289" s="35" t="str">
        <x:v>PVLA-ST-PAR-01</x:v>
      </x:c>
      <x:c r="K1289" s="35" t="str">
        <x:v>S-CF01</x:v>
      </x:c>
      <x:c r="L1289" s="31" t="str">
        <x:v>Put the open white cup in the bowl.</x:v>
      </x:c>
      <x:c r="M1289" s="31" t="str">
        <x:v>Put the open white cup in the bowl.</x:v>
      </x:c>
      <x:c r="N1289" s="31" t="str">
        <x:v>S-CF01-PARA: P1 white cup A=C/UR [TARGET]; P2 white cup B=O/UR [COMPETITOR]; P3 yellow-white striped cup A=C/UD; P4 brown cup B=O/UD.</x:v>
      </x:c>
      <x:c r="O1289" s="31" t="str">
        <x:v>white cup B</x:v>
      </x:c>
      <x:c r="P1289" s="31" t="str"/>
      <x:c r="Q1289" s="31" t="str"/>
      <x:c r="R1289" s="31" t="str"/>
      <x:c r="S1289" s="31" t="str">
        <x:f>IF('Blind Scoring'!I1289="","",'Blind Scoring'!I1289)</x:f>
      </x:c>
      <x:c r="T1289" s="31" t="str">
        <x:f>'Blind Scoring'!J1289</x:f>
        <x:v>No</x:v>
      </x:c>
      <x:c r="U1289" s="31" t="str">
        <x:f>IF('Blind Scoring'!L1289="","",'Blind Scoring'!L1289)</x:f>
      </x:c>
    </x:row>
    <x:row r="1290" ht="44" customHeight="1">
      <x:c r="A1290" s="35" t="str">
        <x:v>Not Started</x:v>
      </x:c>
      <x:c r="B1290" s="35" t="n">
        <x:v>1288</x:v>
      </x:c>
      <x:c r="C1290" s="35" t="str">
        <x:v>P21</x:v>
      </x:c>
      <x:c r="D1290" s="35" t="n">
        <x:v>49</x:v>
      </x:c>
      <x:c r="E1290" s="35" t="str">
        <x:v>Primary VLA</x:v>
      </x:c>
      <x:c r="F1290" s="35" t="str">
        <x:v>MolmoAct2</x:v>
      </x:c>
      <x:c r="G1290" s="35" t="n">
        <x:v>3</x:v>
      </x:c>
      <x:c r="H1290" s="35" t="str">
        <x:v>State Recognition</x:v>
      </x:c>
      <x:c r="I1290" s="35" t="str">
        <x:v>Language ablation — blank</x:v>
      </x:c>
      <x:c r="J1290" s="35" t="str">
        <x:v>PVLA-ST-ABL-BLK-01</x:v>
      </x:c>
      <x:c r="K1290" s="35" t="str">
        <x:v>S-CF01</x:v>
      </x:c>
      <x:c r="L1290" s="31" t="str">
        <x:v>[EMPTY STRING — provide no instruction tokens]</x:v>
      </x:c>
      <x:c r="M1290" s="31" t="str">
        <x:v>Place the closed white cup in the bowl.</x:v>
      </x:c>
      <x:c r="N1290" s="31" t="str">
        <x:v>S-CF01-HELD: P1 white cup A=C/UR [TARGET]; P2 white cup B=O/UR [COMPETITOR]; P3 yellow-white striped cup A=C/UD; P4 brown cup B=O/UD.</x:v>
      </x:c>
      <x:c r="O1290" s="31" t="str">
        <x:v>No prespecified task success under blank language; record any action/selected target.</x:v>
      </x:c>
      <x:c r="P1290" s="31" t="str"/>
      <x:c r="Q1290" s="31" t="str"/>
      <x:c r="R1290" s="31" t="str"/>
      <x:c r="S1290" s="31" t="str">
        <x:f>IF('Blind Scoring'!I1290="","",'Blind Scoring'!I1290)</x:f>
      </x:c>
      <x:c r="T1290" s="31" t="str">
        <x:f>'Blind Scoring'!J1290</x:f>
        <x:v>No</x:v>
      </x:c>
      <x:c r="U1290" s="31" t="str">
        <x:f>IF('Blind Scoring'!L1290="","",'Blind Scoring'!L1290)</x:f>
      </x:c>
    </x:row>
    <x:row r="1291" ht="44" customHeight="1">
      <x:c r="A1291" s="35" t="str">
        <x:v>Not Started</x:v>
      </x:c>
      <x:c r="B1291" s="35" t="n">
        <x:v>1289</x:v>
      </x:c>
      <x:c r="C1291" s="35" t="str">
        <x:v>P21</x:v>
      </x:c>
      <x:c r="D1291" s="35" t="n">
        <x:v>50</x:v>
      </x:c>
      <x:c r="E1291" s="35" t="str">
        <x:v>Primary VLA</x:v>
      </x:c>
      <x:c r="F1291" s="35" t="str">
        <x:v>MolmoAct2</x:v>
      </x:c>
      <x:c r="G1291" s="35" t="n">
        <x:v>3</x:v>
      </x:c>
      <x:c r="H1291" s="35" t="str">
        <x:v>State Recognition</x:v>
      </x:c>
      <x:c r="I1291" s="35" t="str">
        <x:v>Main held-out transfer</x:v>
      </x:c>
      <x:c r="J1291" s="35" t="str">
        <x:v>PVLA-ST-TR-06</x:v>
      </x:c>
      <x:c r="K1291" s="35" t="str">
        <x:v>S-CF11</x:v>
      </x:c>
      <x:c r="L1291" s="31" t="str">
        <x:v>Place the closed glass spice container in the bowl.</x:v>
      </x:c>
      <x:c r="M1291" s="31" t="str">
        <x:v>Place the closed glass spice container in the bowl.</x:v>
      </x:c>
      <x:c r="N1291" s="31" t="str">
        <x:v>S-CF11-HELD: P1 white cup A=C/UR; P2 yellow-white striped cup A=O/UR; P3 glass spice container B=C/UD [TARGET]; P4 glass spice container A=O/UD [COMPETITOR].</x:v>
      </x:c>
      <x:c r="O1291" s="31" t="str">
        <x:v>glass spice container B</x:v>
      </x:c>
      <x:c r="P1291" s="31" t="str"/>
      <x:c r="Q1291" s="31" t="str"/>
      <x:c r="R1291" s="31" t="str"/>
      <x:c r="S1291" s="31" t="str">
        <x:f>IF('Blind Scoring'!I1291="","",'Blind Scoring'!I1291)</x:f>
      </x:c>
      <x:c r="T1291" s="31" t="str">
        <x:f>'Blind Scoring'!J1291</x:f>
        <x:v>No</x:v>
      </x:c>
      <x:c r="U1291" s="31" t="str">
        <x:f>IF('Blind Scoring'!L1291="","",'Blind Scoring'!L1291)</x:f>
      </x:c>
    </x:row>
    <x:row r="1292" ht="44" customHeight="1">
      <x:c r="A1292" s="35" t="str">
        <x:v>Not Started</x:v>
      </x:c>
      <x:c r="B1292" s="35" t="n">
        <x:v>1290</x:v>
      </x:c>
      <x:c r="C1292" s="35" t="str">
        <x:v>P21</x:v>
      </x:c>
      <x:c r="D1292" s="35" t="n">
        <x:v>51</x:v>
      </x:c>
      <x:c r="E1292" s="35" t="str">
        <x:v>Primary VLA</x:v>
      </x:c>
      <x:c r="F1292" s="35" t="str">
        <x:v>MolmoAct2</x:v>
      </x:c>
      <x:c r="G1292" s="35" t="n">
        <x:v>3</x:v>
      </x:c>
      <x:c r="H1292" s="35" t="str">
        <x:v>State Recognition</x:v>
      </x:c>
      <x:c r="I1292" s="35" t="str">
        <x:v>Main matched control</x:v>
      </x:c>
      <x:c r="J1292" s="35" t="str">
        <x:v>PVLA-ST-CTL-14</x:v>
      </x:c>
      <x:c r="K1292" s="35" t="str">
        <x:v>S-CF26</x:v>
      </x:c>
      <x:c r="L1292" s="31" t="str">
        <x:v>Place a yellow-white striped cup in the bowl.</x:v>
      </x:c>
      <x:c r="M1292" s="31" t="str">
        <x:v>Place a yellow-white striped cup in the bowl.</x:v>
      </x:c>
      <x:c r="N1292" s="31" t="str">
        <x:v>S-CF26-CTRL: P1 brown cup B=C/UR; P2 yellow-white striped cup B=O/UR [TARGET]; P4 glass spice container B=C/UD.</x:v>
      </x:c>
      <x:c r="O1292" s="31" t="str">
        <x:v>yellow-white striped cup B</x:v>
      </x:c>
      <x:c r="P1292" s="31" t="str"/>
      <x:c r="Q1292" s="31" t="str"/>
      <x:c r="R1292" s="31" t="str"/>
      <x:c r="S1292" s="31" t="str">
        <x:f>IF('Blind Scoring'!I1292="","",'Blind Scoring'!I1292)</x:f>
      </x:c>
      <x:c r="T1292" s="31" t="str">
        <x:f>'Blind Scoring'!J1292</x:f>
        <x:v>No</x:v>
      </x:c>
      <x:c r="U1292" s="31" t="str">
        <x:f>IF('Blind Scoring'!L1292="","",'Blind Scoring'!L1292)</x:f>
      </x:c>
    </x:row>
    <x:row r="1293" ht="44" customHeight="1">
      <x:c r="A1293" s="35" t="str">
        <x:v>Not Started</x:v>
      </x:c>
      <x:c r="B1293" s="35" t="n">
        <x:v>1291</x:v>
      </x:c>
      <x:c r="C1293" s="35" t="str">
        <x:v>P21</x:v>
      </x:c>
      <x:c r="D1293" s="35" t="n">
        <x:v>52</x:v>
      </x:c>
      <x:c r="E1293" s="35" t="str">
        <x:v>Primary VLA</x:v>
      </x:c>
      <x:c r="F1293" s="35" t="str">
        <x:v>MolmoAct2</x:v>
      </x:c>
      <x:c r="G1293" s="35" t="n">
        <x:v>3</x:v>
      </x:c>
      <x:c r="H1293" s="35" t="str">
        <x:v>State Recognition</x:v>
      </x:c>
      <x:c r="I1293" s="35" t="str">
        <x:v>Training reconstruction</x:v>
      </x:c>
      <x:c r="J1293" s="35" t="str">
        <x:v>PVLA-ST-REC-05</x:v>
      </x:c>
      <x:c r="K1293" s="35" t="str"/>
      <x:c r="L1293" s="31" t="str">
        <x:v>Put the open glass spice container in the bowl.</x:v>
      </x:c>
      <x:c r="M1293" s="31" t="str">
        <x:v>Put the open glass spice container in the bowl.</x:v>
      </x:c>
      <x:c r="N1293" s="31" t="str">
        <x:v>Reconstruct planned final training episode 160: glass spice container B, glass spice container A, yellow-white striped cup B; start=Home. Match camera, calibration, bowl pose, and object geometry exactly.</x:v>
      </x:c>
      <x:c r="O1293" s="31" t="str">
        <x:v>glass spice container B</x:v>
      </x:c>
      <x:c r="P1293" s="31" t="str"/>
      <x:c r="Q1293" s="31" t="str"/>
      <x:c r="R1293" s="31" t="str"/>
      <x:c r="S1293" s="31" t="str">
        <x:f>IF('Blind Scoring'!I1293="","",'Blind Scoring'!I1293)</x:f>
      </x:c>
      <x:c r="T1293" s="31" t="str">
        <x:f>'Blind Scoring'!J1293</x:f>
        <x:v>No</x:v>
      </x:c>
      <x:c r="U1293" s="31" t="str">
        <x:f>IF('Blind Scoring'!L1293="","",'Blind Scoring'!L1293)</x:f>
      </x:c>
    </x:row>
    <x:row r="1294" ht="44" customHeight="1">
      <x:c r="A1294" s="35" t="str">
        <x:v>Not Started</x:v>
      </x:c>
      <x:c r="B1294" s="35" t="n">
        <x:v>1292</x:v>
      </x:c>
      <x:c r="C1294" s="35" t="str">
        <x:v>P21</x:v>
      </x:c>
      <x:c r="D1294" s="35" t="n">
        <x:v>53</x:v>
      </x:c>
      <x:c r="E1294" s="35" t="str">
        <x:v>Primary VLA</x:v>
      </x:c>
      <x:c r="F1294" s="35" t="str">
        <x:v>MolmoAct2</x:v>
      </x:c>
      <x:c r="G1294" s="35" t="n">
        <x:v>3</x:v>
      </x:c>
      <x:c r="H1294" s="35" t="str">
        <x:v>State Recognition</x:v>
      </x:c>
      <x:c r="I1294" s="35" t="str">
        <x:v>Exact-scene paraphrase</x:v>
      </x:c>
      <x:c r="J1294" s="35" t="str">
        <x:v>PVLA-ST-PAR-05</x:v>
      </x:c>
      <x:c r="K1294" s="35" t="str">
        <x:v>S-CF12</x:v>
      </x:c>
      <x:c r="L1294" s="31" t="str">
        <x:v>Move the overturned white cup into the bowl.</x:v>
      </x:c>
      <x:c r="M1294" s="31" t="str">
        <x:v>Move the overturned white cup into the bowl.</x:v>
      </x:c>
      <x:c r="N1294" s="31" t="str">
        <x:v>S-CF12-PARA: P1 white cup A=C/UD [COMPETITOR]; P2 yellow-white striped cup B=O/UR; P3 brown cup A=O/UD; P4 white cup B=C/UR [TARGET].</x:v>
      </x:c>
      <x:c r="O1294" s="31" t="str">
        <x:v>white cup A</x:v>
      </x:c>
      <x:c r="P1294" s="31" t="str"/>
      <x:c r="Q1294" s="31" t="str"/>
      <x:c r="R1294" s="31" t="str"/>
      <x:c r="S1294" s="31" t="str">
        <x:f>IF('Blind Scoring'!I1294="","",'Blind Scoring'!I1294)</x:f>
      </x:c>
      <x:c r="T1294" s="31" t="str">
        <x:f>'Blind Scoring'!J1294</x:f>
        <x:v>No</x:v>
      </x:c>
      <x:c r="U1294" s="31" t="str">
        <x:f>IF('Blind Scoring'!L1294="","",'Blind Scoring'!L1294)</x:f>
      </x:c>
    </x:row>
    <x:row r="1295" ht="44" customHeight="1">
      <x:c r="A1295" s="35" t="str">
        <x:v>Not Started</x:v>
      </x:c>
      <x:c r="B1295" s="35" t="n">
        <x:v>1293</x:v>
      </x:c>
      <x:c r="C1295" s="35" t="str">
        <x:v>P21</x:v>
      </x:c>
      <x:c r="D1295" s="35" t="n">
        <x:v>54</x:v>
      </x:c>
      <x:c r="E1295" s="35" t="str">
        <x:v>Primary VLA</x:v>
      </x:c>
      <x:c r="F1295" s="35" t="str">
        <x:v>MolmoAct2</x:v>
      </x:c>
      <x:c r="G1295" s="35" t="n">
        <x:v>3</x:v>
      </x:c>
      <x:c r="H1295" s="35" t="str">
        <x:v>State Recognition</x:v>
      </x:c>
      <x:c r="I1295" s="35" t="str">
        <x:v>Language ablation — blank</x:v>
      </x:c>
      <x:c r="J1295" s="35" t="str">
        <x:v>PVLA-ST-ABL-BLK-03</x:v>
      </x:c>
      <x:c r="K1295" s="35" t="str">
        <x:v>S-CF05</x:v>
      </x:c>
      <x:c r="L1295" s="31" t="str">
        <x:v>[EMPTY STRING — provide no instruction tokens]</x:v>
      </x:c>
      <x:c r="M1295" s="31" t="str">
        <x:v>Place the closed brown cup in the bowl.</x:v>
      </x:c>
      <x:c r="N1295" s="31" t="str">
        <x:v>S-CF05-HELD: P1 brown cup A=C/UR [TARGET]; P2 brown cup B=O/UR [COMPETITOR]; P3 glass spice container A=C/UD; P4 white cup B=O/UD.</x:v>
      </x:c>
      <x:c r="O1295" s="31" t="str">
        <x:v>No prespecified task success under blank language; record any action/selected target.</x:v>
      </x:c>
      <x:c r="P1295" s="31" t="str"/>
      <x:c r="Q1295" s="31" t="str"/>
      <x:c r="R1295" s="31" t="str"/>
      <x:c r="S1295" s="31" t="str">
        <x:f>IF('Blind Scoring'!I1295="","",'Blind Scoring'!I1295)</x:f>
      </x:c>
      <x:c r="T1295" s="31" t="str">
        <x:f>'Blind Scoring'!J1295</x:f>
        <x:v>No</x:v>
      </x:c>
      <x:c r="U1295" s="31" t="str">
        <x:f>IF('Blind Scoring'!L1295="","",'Blind Scoring'!L1295)</x:f>
      </x:c>
    </x:row>
    <x:row r="1296" ht="44" customHeight="1">
      <x:c r="A1296" s="35" t="str">
        <x:v>Not Started</x:v>
      </x:c>
      <x:c r="B1296" s="35" t="n">
        <x:v>1294</x:v>
      </x:c>
      <x:c r="C1296" s="35" t="str">
        <x:v>P21</x:v>
      </x:c>
      <x:c r="D1296" s="35" t="n">
        <x:v>55</x:v>
      </x:c>
      <x:c r="E1296" s="35" t="str">
        <x:v>Primary VLA</x:v>
      </x:c>
      <x:c r="F1296" s="35" t="str">
        <x:v>MolmoAct2</x:v>
      </x:c>
      <x:c r="G1296" s="35" t="n">
        <x:v>3</x:v>
      </x:c>
      <x:c r="H1296" s="35" t="str">
        <x:v>State Recognition</x:v>
      </x:c>
      <x:c r="I1296" s="35" t="str">
        <x:v>Language ablation — blank</x:v>
      </x:c>
      <x:c r="J1296" s="35" t="str">
        <x:v>PVLA-ST-ABL-BLK-02</x:v>
      </x:c>
      <x:c r="K1296" s="35" t="str">
        <x:v>S-CF03</x:v>
      </x:c>
      <x:c r="L1296" s="31" t="str">
        <x:v>[EMPTY STRING — provide no instruction tokens]</x:v>
      </x:c>
      <x:c r="M1296" s="31" t="str">
        <x:v>Place the closed glass spice container in the bowl.</x:v>
      </x:c>
      <x:c r="N1296" s="31" t="str">
        <x:v>S-CF03-HELD: P1 white cup A=C/UR; P2 yellow-white striped cup A=O/UR; P3 glass spice container B=C/UD [TARGET]; P4 glass spice container A=O/UD [COMPETITOR].</x:v>
      </x:c>
      <x:c r="O1296" s="31" t="str">
        <x:v>No prespecified task success under blank language; record any action/selected target.</x:v>
      </x:c>
      <x:c r="P1296" s="31" t="str"/>
      <x:c r="Q1296" s="31" t="str"/>
      <x:c r="R1296" s="31" t="str"/>
      <x:c r="S1296" s="31" t="str">
        <x:f>IF('Blind Scoring'!I1296="","",'Blind Scoring'!I1296)</x:f>
      </x:c>
      <x:c r="T1296" s="31" t="str">
        <x:f>'Blind Scoring'!J1296</x:f>
        <x:v>No</x:v>
      </x:c>
      <x:c r="U1296" s="31" t="str">
        <x:f>IF('Blind Scoring'!L1296="","",'Blind Scoring'!L1296)</x:f>
      </x:c>
    </x:row>
    <x:row r="1297" ht="44" customHeight="1">
      <x:c r="A1297" s="35" t="str">
        <x:v>Not Started</x:v>
      </x:c>
      <x:c r="B1297" s="35" t="n">
        <x:v>1295</x:v>
      </x:c>
      <x:c r="C1297" s="35" t="str">
        <x:v>P21</x:v>
      </x:c>
      <x:c r="D1297" s="35" t="n">
        <x:v>56</x:v>
      </x:c>
      <x:c r="E1297" s="35" t="str">
        <x:v>Primary VLA</x:v>
      </x:c>
      <x:c r="F1297" s="35" t="str">
        <x:v>MolmoAct2</x:v>
      </x:c>
      <x:c r="G1297" s="35" t="n">
        <x:v>3</x:v>
      </x:c>
      <x:c r="H1297" s="35" t="str">
        <x:v>State Recognition</x:v>
      </x:c>
      <x:c r="I1297" s="35" t="str">
        <x:v>Novel layout + seen language</x:v>
      </x:c>
      <x:c r="J1297" s="35" t="str">
        <x:v>PVLA-ST-NOV-02</x:v>
      </x:c>
      <x:c r="K1297" s="35" t="str">
        <x:v>S-CF04</x:v>
      </x:c>
      <x:c r="L1297" s="31" t="str">
        <x:v>Place the upside-down white cup in the bowl.</x:v>
      </x:c>
      <x:c r="M1297" s="31" t="str">
        <x:v>Place the upside-down white cup in the bowl.</x:v>
      </x:c>
      <x:c r="N1297" s="31" t="str">
        <x:v>S-CF04-SEEN: P1 white cup A=C/UD [COMPETITOR]; P2 yellow-white striped cup B=O/UR; P3 brown cup A=O/UD; P4 white cup B=C/UR [TARGET].</x:v>
      </x:c>
      <x:c r="O1297" s="31" t="str">
        <x:v>white cup A</x:v>
      </x:c>
      <x:c r="P1297" s="31" t="str"/>
      <x:c r="Q1297" s="31" t="str"/>
      <x:c r="R1297" s="31" t="str"/>
      <x:c r="S1297" s="31" t="str">
        <x:f>IF('Blind Scoring'!I1297="","",'Blind Scoring'!I1297)</x:f>
      </x:c>
      <x:c r="T1297" s="31" t="str">
        <x:f>'Blind Scoring'!J1297</x:f>
        <x:v>No</x:v>
      </x:c>
      <x:c r="U1297" s="31" t="str">
        <x:f>IF('Blind Scoring'!L1297="","",'Blind Scoring'!L1297)</x:f>
      </x:c>
    </x:row>
    <x:row r="1298" ht="44" customHeight="1">
      <x:c r="A1298" s="35" t="str">
        <x:v>Not Started</x:v>
      </x:c>
      <x:c r="B1298" s="35" t="n">
        <x:v>1296</x:v>
      </x:c>
      <x:c r="C1298" s="35" t="str">
        <x:v>P21</x:v>
      </x:c>
      <x:c r="D1298" s="35" t="n">
        <x:v>57</x:v>
      </x:c>
      <x:c r="E1298" s="35" t="str">
        <x:v>Primary VLA</x:v>
      </x:c>
      <x:c r="F1298" s="35" t="str">
        <x:v>MolmoAct2</x:v>
      </x:c>
      <x:c r="G1298" s="35" t="n">
        <x:v>3</x:v>
      </x:c>
      <x:c r="H1298" s="35" t="str">
        <x:v>State Recognition</x:v>
      </x:c>
      <x:c r="I1298" s="35" t="str">
        <x:v>Main held-out transfer</x:v>
      </x:c>
      <x:c r="J1298" s="35" t="str">
        <x:v>PVLA-ST-TR-01</x:v>
      </x:c>
      <x:c r="K1298" s="35" t="str">
        <x:v>S-CF01</x:v>
      </x:c>
      <x:c r="L1298" s="31" t="str">
        <x:v>Place the closed white cup in the bowl.</x:v>
      </x:c>
      <x:c r="M1298" s="31" t="str">
        <x:v>Place the closed white cup in the bowl.</x:v>
      </x:c>
      <x:c r="N1298" s="31" t="str">
        <x:v>S-CF01-HELD: P1 white cup A=C/UR [TARGET]; P2 white cup B=O/UR [COMPETITOR]; P3 yellow-white striped cup A=C/UD; P4 brown cup B=O/UD.</x:v>
      </x:c>
      <x:c r="O1298" s="31" t="str">
        <x:v>white cup A</x:v>
      </x:c>
      <x:c r="P1298" s="31" t="str"/>
      <x:c r="Q1298" s="31" t="str"/>
      <x:c r="R1298" s="31" t="str"/>
      <x:c r="S1298" s="31" t="str">
        <x:f>IF('Blind Scoring'!I1298="","",'Blind Scoring'!I1298)</x:f>
      </x:c>
      <x:c r="T1298" s="31" t="str">
        <x:f>'Blind Scoring'!J1298</x:f>
        <x:v>No</x:v>
      </x:c>
      <x:c r="U1298" s="31" t="str">
        <x:f>IF('Blind Scoring'!L1298="","",'Blind Scoring'!L1298)</x:f>
      </x:c>
    </x:row>
    <x:row r="1299" ht="44" customHeight="1">
      <x:c r="A1299" s="35" t="str">
        <x:v>Not Started</x:v>
      </x:c>
      <x:c r="B1299" s="35" t="n">
        <x:v>1297</x:v>
      </x:c>
      <x:c r="C1299" s="35" t="str">
        <x:v>P21</x:v>
      </x:c>
      <x:c r="D1299" s="35" t="n">
        <x:v>58</x:v>
      </x:c>
      <x:c r="E1299" s="35" t="str">
        <x:v>Primary VLA</x:v>
      </x:c>
      <x:c r="F1299" s="35" t="str">
        <x:v>MolmoAct2</x:v>
      </x:c>
      <x:c r="G1299" s="35" t="n">
        <x:v>3</x:v>
      </x:c>
      <x:c r="H1299" s="35" t="str">
        <x:v>State Recognition</x:v>
      </x:c>
      <x:c r="I1299" s="35" t="str">
        <x:v>Language ablation — counterfactual</x:v>
      </x:c>
      <x:c r="J1299" s="35" t="str">
        <x:v>PVLA-ST-ABL-CF-01</x:v>
      </x:c>
      <x:c r="K1299" s="35" t="str">
        <x:v>S-CF09</x:v>
      </x:c>
      <x:c r="L1299" s="31" t="str">
        <x:v>Place the open white cup in the bowl.</x:v>
      </x:c>
      <x:c r="M1299" s="31" t="str">
        <x:v>Place the open white cup in the bowl.</x:v>
      </x:c>
      <x:c r="N1299" s="31" t="str">
        <x:v>S-CF09-HELD: P1 white cup A=C/UR [TARGET]; P2 white cup B=O/UR [COMPETITOR]; P3 yellow-white striped cup A=C/UD; P4 brown cup B=O/UD.</x:v>
      </x:c>
      <x:c r="O1299" s="31" t="str">
        <x:v>white cup B</x:v>
      </x:c>
      <x:c r="P1299" s="31" t="str"/>
      <x:c r="Q1299" s="31" t="str"/>
      <x:c r="R1299" s="31" t="str"/>
      <x:c r="S1299" s="31" t="str">
        <x:f>IF('Blind Scoring'!I1299="","",'Blind Scoring'!I1299)</x:f>
      </x:c>
      <x:c r="T1299" s="31" t="str">
        <x:f>'Blind Scoring'!J1299</x:f>
        <x:v>No</x:v>
      </x:c>
      <x:c r="U1299" s="31" t="str">
        <x:f>IF('Blind Scoring'!L1299="","",'Blind Scoring'!L1299)</x:f>
      </x:c>
    </x:row>
    <x:row r="1300" ht="44" customHeight="1">
      <x:c r="A1300" s="35" t="str">
        <x:v>Not Started</x:v>
      </x:c>
      <x:c r="B1300" s="35" t="n">
        <x:v>1298</x:v>
      </x:c>
      <x:c r="C1300" s="35" t="str">
        <x:v>P21</x:v>
      </x:c>
      <x:c r="D1300" s="35" t="n">
        <x:v>59</x:v>
      </x:c>
      <x:c r="E1300" s="35" t="str">
        <x:v>Primary VLA</x:v>
      </x:c>
      <x:c r="F1300" s="35" t="str">
        <x:v>MolmoAct2</x:v>
      </x:c>
      <x:c r="G1300" s="35" t="n">
        <x:v>3</x:v>
      </x:c>
      <x:c r="H1300" s="35" t="str">
        <x:v>State Recognition</x:v>
      </x:c>
      <x:c r="I1300" s="35" t="str">
        <x:v>Main matched control</x:v>
      </x:c>
      <x:c r="J1300" s="35" t="str">
        <x:v>PVLA-ST-CTL-05</x:v>
      </x:c>
      <x:c r="K1300" s="35" t="str">
        <x:v>S-CF09</x:v>
      </x:c>
      <x:c r="L1300" s="31" t="str">
        <x:v>Place a white cup in the bowl.</x:v>
      </x:c>
      <x:c r="M1300" s="31" t="str">
        <x:v>Place a white cup in the bowl.</x:v>
      </x:c>
      <x:c r="N1300" s="31" t="str">
        <x:v>S-CF09-CTRL: P1 white cup A=C/UR [TARGET]; P3 yellow-white striped cup A=C/UD; P4 brown cup B=O/UD.</x:v>
      </x:c>
      <x:c r="O1300" s="31" t="str">
        <x:v>white cup A</x:v>
      </x:c>
      <x:c r="P1300" s="31" t="str"/>
      <x:c r="Q1300" s="31" t="str"/>
      <x:c r="R1300" s="31" t="str"/>
      <x:c r="S1300" s="31" t="str">
        <x:f>IF('Blind Scoring'!I1300="","",'Blind Scoring'!I1300)</x:f>
      </x:c>
      <x:c r="T1300" s="31" t="str">
        <x:f>'Blind Scoring'!J1300</x:f>
        <x:v>No</x:v>
      </x:c>
      <x:c r="U1300" s="31" t="str">
        <x:f>IF('Blind Scoring'!L1300="","",'Blind Scoring'!L1300)</x:f>
      </x:c>
    </x:row>
    <x:row r="1301" ht="44" customHeight="1">
      <x:c r="A1301" s="35" t="str">
        <x:v>Not Started</x:v>
      </x:c>
      <x:c r="B1301" s="35" t="n">
        <x:v>1299</x:v>
      </x:c>
      <x:c r="C1301" s="35" t="str">
        <x:v>P21</x:v>
      </x:c>
      <x:c r="D1301" s="35" t="n">
        <x:v>60</x:v>
      </x:c>
      <x:c r="E1301" s="35" t="str">
        <x:v>Primary VLA</x:v>
      </x:c>
      <x:c r="F1301" s="35" t="str">
        <x:v>MolmoAct2</x:v>
      </x:c>
      <x:c r="G1301" s="35" t="n">
        <x:v>3</x:v>
      </x:c>
      <x:c r="H1301" s="35" t="str">
        <x:v>State Recognition</x:v>
      </x:c>
      <x:c r="I1301" s="35" t="str">
        <x:v>Main matched control</x:v>
      </x:c>
      <x:c r="J1301" s="35" t="str">
        <x:v>PVLA-ST-CTL-12</x:v>
      </x:c>
      <x:c r="K1301" s="35" t="str">
        <x:v>S-CF22</x:v>
      </x:c>
      <x:c r="L1301" s="31" t="str">
        <x:v>Place a glass spice container in the bowl.</x:v>
      </x:c>
      <x:c r="M1301" s="31" t="str">
        <x:v>Place a glass spice container in the bowl.</x:v>
      </x:c>
      <x:c r="N1301" s="31" t="str">
        <x:v>S-CF22-CTRL: P1 white cup B=C/UR; P2 glass spice container A=O/UR [TARGET]; P4 yellow-white striped cup B=C/UD.</x:v>
      </x:c>
      <x:c r="O1301" s="31" t="str">
        <x:v>glass spice container A</x:v>
      </x:c>
      <x:c r="P1301" s="31" t="str"/>
      <x:c r="Q1301" s="31" t="str"/>
      <x:c r="R1301" s="31" t="str"/>
      <x:c r="S1301" s="31" t="str">
        <x:f>IF('Blind Scoring'!I1301="","",'Blind Scoring'!I1301)</x:f>
      </x:c>
      <x:c r="T1301" s="31" t="str">
        <x:f>'Blind Scoring'!J1301</x:f>
        <x:v>No</x:v>
      </x:c>
      <x:c r="U1301" s="31" t="str">
        <x:f>IF('Blind Scoring'!L1301="","",'Blind Scoring'!L1301)</x:f>
      </x:c>
    </x:row>
    <x:row r="1302" ht="44" customHeight="1">
      <x:c r="A1302" s="35" t="str">
        <x:v>Not Started</x:v>
      </x:c>
      <x:c r="B1302" s="35" t="n">
        <x:v>1300</x:v>
      </x:c>
      <x:c r="C1302" s="35" t="str">
        <x:v>P21</x:v>
      </x:c>
      <x:c r="D1302" s="35" t="n">
        <x:v>61</x:v>
      </x:c>
      <x:c r="E1302" s="35" t="str">
        <x:v>Primary VLA</x:v>
      </x:c>
      <x:c r="F1302" s="35" t="str">
        <x:v>MolmoAct2</x:v>
      </x:c>
      <x:c r="G1302" s="35" t="n">
        <x:v>3</x:v>
      </x:c>
      <x:c r="H1302" s="35" t="str">
        <x:v>State Recognition</x:v>
      </x:c>
      <x:c r="I1302" s="35" t="str">
        <x:v>Exact-scene paraphrase</x:v>
      </x:c>
      <x:c r="J1302" s="35" t="str">
        <x:v>PVLA-ST-PAR-04</x:v>
      </x:c>
      <x:c r="K1302" s="35" t="str">
        <x:v>S-CF09</x:v>
      </x:c>
      <x:c r="L1302" s="31" t="str">
        <x:v>Move the white cup that is open into the bowl.</x:v>
      </x:c>
      <x:c r="M1302" s="31" t="str">
        <x:v>Move the white cup that is open into the bowl.</x:v>
      </x:c>
      <x:c r="N1302" s="31" t="str">
        <x:v>S-CF09-PARA: P1 white cup A=C/UR [TARGET]; P2 white cup B=O/UR [COMPETITOR]; P3 yellow-white striped cup A=C/UD; P4 brown cup B=O/UD.</x:v>
      </x:c>
      <x:c r="O1302" s="31" t="str">
        <x:v>white cup B</x:v>
      </x:c>
      <x:c r="P1302" s="31" t="str"/>
      <x:c r="Q1302" s="31" t="str"/>
      <x:c r="R1302" s="31" t="str"/>
      <x:c r="S1302" s="31" t="str">
        <x:f>IF('Blind Scoring'!I1302="","",'Blind Scoring'!I1302)</x:f>
      </x:c>
      <x:c r="T1302" s="31" t="str">
        <x:f>'Blind Scoring'!J1302</x:f>
        <x:v>No</x:v>
      </x:c>
      <x:c r="U1302" s="31" t="str">
        <x:f>IF('Blind Scoring'!L1302="","",'Blind Scoring'!L1302)</x:f>
      </x:c>
    </x:row>
    <x:row r="1303" ht="44" customHeight="1">
      <x:c r="A1303" s="35" t="str">
        <x:v>Not Started</x:v>
      </x:c>
      <x:c r="B1303" s="35" t="n">
        <x:v>1301</x:v>
      </x:c>
      <x:c r="C1303" s="35" t="str">
        <x:v>P21</x:v>
      </x:c>
      <x:c r="D1303" s="35" t="n">
        <x:v>62</x:v>
      </x:c>
      <x:c r="E1303" s="35" t="str">
        <x:v>Primary VLA</x:v>
      </x:c>
      <x:c r="F1303" s="35" t="str">
        <x:v>MolmoAct2</x:v>
      </x:c>
      <x:c r="G1303" s="35" t="n">
        <x:v>3</x:v>
      </x:c>
      <x:c r="H1303" s="35" t="str">
        <x:v>State Recognition</x:v>
      </x:c>
      <x:c r="I1303" s="35" t="str">
        <x:v>Main held-out transfer</x:v>
      </x:c>
      <x:c r="J1303" s="35" t="str">
        <x:v>PVLA-ST-TR-14</x:v>
      </x:c>
      <x:c r="K1303" s="35" t="str">
        <x:v>S-CF26</x:v>
      </x:c>
      <x:c r="L1303" s="31" t="str">
        <x:v>Place the upright yellow-white striped cup in the bowl.</x:v>
      </x:c>
      <x:c r="M1303" s="31" t="str">
        <x:v>Place the upright yellow-white striped cup in the bowl.</x:v>
      </x:c>
      <x:c r="N1303" s="31" t="str">
        <x:v>S-CF26-HELD: P1 brown cup B=C/UR; P2 yellow-white striped cup B=O/UR [TARGET]; P3 yellow-white striped cup A=O/UD [COMPETITOR]; P4 glass spice container B=C/UD.</x:v>
      </x:c>
      <x:c r="O1303" s="31" t="str">
        <x:v>yellow-white striped cup B</x:v>
      </x:c>
      <x:c r="P1303" s="31" t="str"/>
      <x:c r="Q1303" s="31" t="str"/>
      <x:c r="R1303" s="31" t="str"/>
      <x:c r="S1303" s="31" t="str">
        <x:f>IF('Blind Scoring'!I1303="","",'Blind Scoring'!I1303)</x:f>
      </x:c>
      <x:c r="T1303" s="31" t="str">
        <x:f>'Blind Scoring'!J1303</x:f>
        <x:v>No</x:v>
      </x:c>
      <x:c r="U1303" s="31" t="str">
        <x:f>IF('Blind Scoring'!L1303="","",'Blind Scoring'!L1303)</x:f>
      </x:c>
    </x:row>
    <x:row r="1304" ht="44" customHeight="1">
      <x:c r="A1304" s="35" t="str">
        <x:v>Not Started</x:v>
      </x:c>
      <x:c r="B1304" s="35" t="n">
        <x:v>1302</x:v>
      </x:c>
      <x:c r="C1304" s="35" t="str">
        <x:v>P22</x:v>
      </x:c>
      <x:c r="D1304" s="35" t="n">
        <x:v>1</x:v>
      </x:c>
      <x:c r="E1304" s="35" t="str">
        <x:v>Primary VLA</x:v>
      </x:c>
      <x:c r="F1304" s="35" t="str">
        <x:v>π0.5</x:v>
      </x:c>
      <x:c r="G1304" s="35" t="n">
        <x:v>3</x:v>
      </x:c>
      <x:c r="H1304" s="35" t="str">
        <x:v>Counting</x:v>
      </x:c>
      <x:c r="I1304" s="35" t="str">
        <x:v>Exact-scene paraphrase</x:v>
      </x:c>
      <x:c r="J1304" s="35" t="str">
        <x:v>PVLA-CT-PAR-03</x:v>
      </x:c>
      <x:c r="K1304" s="35" t="str"/>
      <x:c r="L1304" s="31" t="str">
        <x:v>Finish with two objects in the bowl.</x:v>
      </x:c>
      <x:c r="M1304" s="31" t="str">
        <x:v>Finish with two objects in the bowl.</x:v>
      </x:c>
      <x:c r="N1304" s="31" t="str">
        <x:v>C-N01: bowl=[blue pen] (1); table left→right=[yellow block, green pencil sharpener, airplane toy without propellers]; robot home.</x:v>
      </x:c>
      <x:c r="O1304" s="31" t="str"/>
      <x:c r="P1304" s="31" t="str"/>
      <x:c r="Q1304" s="31" t="str"/>
      <x:c r="R1304" s="31" t="str"/>
      <x:c r="S1304" s="31" t="str">
        <x:f>IF('Blind Scoring'!I1304="","",'Blind Scoring'!I1304)</x:f>
      </x:c>
      <x:c r="T1304" s="31" t="str">
        <x:f>'Blind Scoring'!J1304</x:f>
        <x:v>No</x:v>
      </x:c>
      <x:c r="U1304" s="31" t="str">
        <x:f>IF('Blind Scoring'!L1304="","",'Blind Scoring'!L1304)</x:f>
      </x:c>
    </x:row>
    <x:row r="1305" ht="44" customHeight="1">
      <x:c r="A1305" s="35" t="str">
        <x:v>Not Started</x:v>
      </x:c>
      <x:c r="B1305" s="35" t="n">
        <x:v>1303</x:v>
      </x:c>
      <x:c r="C1305" s="35" t="str">
        <x:v>P22</x:v>
      </x:c>
      <x:c r="D1305" s="35" t="n">
        <x:v>2</x:v>
      </x:c>
      <x:c r="E1305" s="35" t="str">
        <x:v>Primary VLA</x:v>
      </x:c>
      <x:c r="F1305" s="35" t="str">
        <x:v>π0.5</x:v>
      </x:c>
      <x:c r="G1305" s="35" t="n">
        <x:v>3</x:v>
      </x:c>
      <x:c r="H1305" s="35" t="str">
        <x:v>Counting</x:v>
      </x:c>
      <x:c r="I1305" s="35" t="str">
        <x:v>Novel layout + seen language</x:v>
      </x:c>
      <x:c r="J1305" s="35" t="str">
        <x:v>PVLA-CT-NOV-01</x:v>
      </x:c>
      <x:c r="K1305" s="35" t="str"/>
      <x:c r="L1305" s="31" t="str">
        <x:v>Make the bowl contain exactly two objects.</x:v>
      </x:c>
      <x:c r="M1305" s="31" t="str">
        <x:v>Make the bowl contain exactly two objects.</x:v>
      </x:c>
      <x:c r="N1305" s="31" t="str">
        <x:v>C-N01: bowl=[blue pen] (1); table left→right=[yellow block, green pencil sharpener, airplane toy without propellers]; robot home.</x:v>
      </x:c>
      <x:c r="O1305" s="31" t="str"/>
      <x:c r="P1305" s="31" t="str"/>
      <x:c r="Q1305" s="31" t="str"/>
      <x:c r="R1305" s="31" t="str"/>
      <x:c r="S1305" s="31" t="str">
        <x:f>IF('Blind Scoring'!I1305="","",'Blind Scoring'!I1305)</x:f>
      </x:c>
      <x:c r="T1305" s="31" t="str">
        <x:f>'Blind Scoring'!J1305</x:f>
        <x:v>No</x:v>
      </x:c>
      <x:c r="U1305" s="31" t="str">
        <x:f>IF('Blind Scoring'!L1305="","",'Blind Scoring'!L1305)</x:f>
      </x:c>
    </x:row>
    <x:row r="1306" ht="44" customHeight="1">
      <x:c r="A1306" s="35" t="str">
        <x:v>Not Started</x:v>
      </x:c>
      <x:c r="B1306" s="35" t="n">
        <x:v>1304</x:v>
      </x:c>
      <x:c r="C1306" s="35" t="str">
        <x:v>P22</x:v>
      </x:c>
      <x:c r="D1306" s="35" t="n">
        <x:v>3</x:v>
      </x:c>
      <x:c r="E1306" s="35" t="str">
        <x:v>Primary VLA</x:v>
      </x:c>
      <x:c r="F1306" s="35" t="str">
        <x:v>π0.5</x:v>
      </x:c>
      <x:c r="G1306" s="35" t="n">
        <x:v>3</x:v>
      </x:c>
      <x:c r="H1306" s="35" t="str">
        <x:v>Counting</x:v>
      </x:c>
      <x:c r="I1306" s="35" t="str">
        <x:v>Main held-out transfer</x:v>
      </x:c>
      <x:c r="J1306" s="35" t="str">
        <x:v>PVLA-CT-TR-05</x:v>
      </x:c>
      <x:c r="K1306" s="35" t="str">
        <x:v>C-CF04-A</x:v>
      </x:c>
      <x:c r="L1306" s="31" t="str">
        <x:v>Leave exactly one object in the bowl.</x:v>
      </x:c>
      <x:c r="M1306" s="31" t="str">
        <x:v>Leave exactly one object in the bowl.</x:v>
      </x:c>
      <x:c r="N1306" s="31" t="str">
        <x:v>C-CF04A: bowl=[airplane toy without propellers, blue pen] (2); table=[yellow block, green pencil sharpener]; robot home; acceptable action=remove either bowl object.</x:v>
      </x:c>
      <x:c r="O1306" s="31" t="str">
        <x:v>REMOVE one bowl object</x:v>
      </x:c>
      <x:c r="P1306" s="31" t="str"/>
      <x:c r="Q1306" s="31" t="str"/>
      <x:c r="R1306" s="31" t="str"/>
      <x:c r="S1306" s="31" t="str">
        <x:f>IF('Blind Scoring'!I1306="","",'Blind Scoring'!I1306)</x:f>
      </x:c>
      <x:c r="T1306" s="31" t="str">
        <x:f>'Blind Scoring'!J1306</x:f>
        <x:v>No</x:v>
      </x:c>
      <x:c r="U1306" s="31" t="str">
        <x:f>IF('Blind Scoring'!L1306="","",'Blind Scoring'!L1306)</x:f>
      </x:c>
    </x:row>
    <x:row r="1307" ht="44" customHeight="1">
      <x:c r="A1307" s="35" t="str">
        <x:v>Not Started</x:v>
      </x:c>
      <x:c r="B1307" s="35" t="n">
        <x:v>1305</x:v>
      </x:c>
      <x:c r="C1307" s="35" t="str">
        <x:v>P22</x:v>
      </x:c>
      <x:c r="D1307" s="35" t="n">
        <x:v>4</x:v>
      </x:c>
      <x:c r="E1307" s="35" t="str">
        <x:v>Primary VLA</x:v>
      </x:c>
      <x:c r="F1307" s="35" t="str">
        <x:v>π0.5</x:v>
      </x:c>
      <x:c r="G1307" s="35" t="n">
        <x:v>3</x:v>
      </x:c>
      <x:c r="H1307" s="35" t="str">
        <x:v>Counting</x:v>
      </x:c>
      <x:c r="I1307" s="35" t="str">
        <x:v>Main held-out transfer</x:v>
      </x:c>
      <x:c r="J1307" s="35" t="str">
        <x:v>PVLA-CT-TR-08</x:v>
      </x:c>
      <x:c r="K1307" s="35" t="str">
        <x:v>C-CF06-B</x:v>
      </x:c>
      <x:c r="L1307" s="31" t="str">
        <x:v>Leave exactly three objects in the bowl.</x:v>
      </x:c>
      <x:c r="M1307" s="31" t="str">
        <x:v>Leave exactly three objects in the bowl.</x:v>
      </x:c>
      <x:c r="N1307" s="31" t="str">
        <x:v>C-CF06B: bowl=[yellow block, green pencil sharpener] (2); table=[airplane toy without propellers, blue pen]; robot home; acceptable action=add either table object.</x:v>
      </x:c>
      <x:c r="O1307" s="31" t="str">
        <x:v>ADD one table object</x:v>
      </x:c>
      <x:c r="P1307" s="31" t="str"/>
      <x:c r="Q1307" s="31" t="str"/>
      <x:c r="R1307" s="31" t="str"/>
      <x:c r="S1307" s="31" t="str">
        <x:f>IF('Blind Scoring'!I1307="","",'Blind Scoring'!I1307)</x:f>
      </x:c>
      <x:c r="T1307" s="31" t="str">
        <x:f>'Blind Scoring'!J1307</x:f>
        <x:v>No</x:v>
      </x:c>
      <x:c r="U1307" s="31" t="str">
        <x:f>IF('Blind Scoring'!L1307="","",'Blind Scoring'!L1307)</x:f>
      </x:c>
    </x:row>
    <x:row r="1308" ht="44" customHeight="1">
      <x:c r="A1308" s="35" t="str">
        <x:v>Not Started</x:v>
      </x:c>
      <x:c r="B1308" s="35" t="n">
        <x:v>1306</x:v>
      </x:c>
      <x:c r="C1308" s="35" t="str">
        <x:v>P22</x:v>
      </x:c>
      <x:c r="D1308" s="35" t="n">
        <x:v>5</x:v>
      </x:c>
      <x:c r="E1308" s="35" t="str">
        <x:v>Primary VLA</x:v>
      </x:c>
      <x:c r="F1308" s="35" t="str">
        <x:v>π0.5</x:v>
      </x:c>
      <x:c r="G1308" s="35" t="n">
        <x:v>3</x:v>
      </x:c>
      <x:c r="H1308" s="35" t="str">
        <x:v>Counting</x:v>
      </x:c>
      <x:c r="I1308" s="35" t="str">
        <x:v>Main matched control</x:v>
      </x:c>
      <x:c r="J1308" s="35" t="str">
        <x:v>PVLA-CT-CTL-13</x:v>
      </x:c>
      <x:c r="K1308" s="35" t="str">
        <x:v>C-CF10-A</x:v>
      </x:c>
      <x:c r="L1308" s="31" t="str">
        <x:v>Remove the yellow block from the bowl.</x:v>
      </x:c>
      <x:c r="M1308" s="31" t="str">
        <x:v>Remove the yellow block from the bowl.</x:v>
      </x:c>
      <x:c r="N1308" s="31" t="str">
        <x:v>C-CF10-CA: bowl=[yellow block, green pencil sharpener] (2); table=[airplane toy without propellers, blue pen]; robot home; acceptable action=remove either bowl object.</x:v>
      </x:c>
      <x:c r="O1308" s="31" t="str">
        <x:v>REMOVE yellow block</x:v>
      </x:c>
      <x:c r="P1308" s="31" t="str"/>
      <x:c r="Q1308" s="31" t="str"/>
      <x:c r="R1308" s="31" t="str"/>
      <x:c r="S1308" s="31" t="str">
        <x:f>IF('Blind Scoring'!I1308="","",'Blind Scoring'!I1308)</x:f>
      </x:c>
      <x:c r="T1308" s="31" t="str">
        <x:f>'Blind Scoring'!J1308</x:f>
        <x:v>No</x:v>
      </x:c>
      <x:c r="U1308" s="31" t="str">
        <x:f>IF('Blind Scoring'!L1308="","",'Blind Scoring'!L1308)</x:f>
      </x:c>
    </x:row>
    <x:row r="1309" ht="44" customHeight="1">
      <x:c r="A1309" s="35" t="str">
        <x:v>Not Started</x:v>
      </x:c>
      <x:c r="B1309" s="35" t="n">
        <x:v>1307</x:v>
      </x:c>
      <x:c r="C1309" s="35" t="str">
        <x:v>P22</x:v>
      </x:c>
      <x:c r="D1309" s="35" t="n">
        <x:v>6</x:v>
      </x:c>
      <x:c r="E1309" s="35" t="str">
        <x:v>Primary VLA</x:v>
      </x:c>
      <x:c r="F1309" s="35" t="str">
        <x:v>π0.5</x:v>
      </x:c>
      <x:c r="G1309" s="35" t="n">
        <x:v>3</x:v>
      </x:c>
      <x:c r="H1309" s="35" t="str">
        <x:v>Counting</x:v>
      </x:c>
      <x:c r="I1309" s="35" t="str">
        <x:v>Novel layout + seen language</x:v>
      </x:c>
      <x:c r="J1309" s="35" t="str">
        <x:v>PVLA-CT-NOV-02</x:v>
      </x:c>
      <x:c r="K1309" s="35" t="str"/>
      <x:c r="L1309" s="31" t="str">
        <x:v>Make the bowl contain exactly two objects.</x:v>
      </x:c>
      <x:c r="M1309" s="31" t="str">
        <x:v>Make the bowl contain exactly two objects.</x:v>
      </x:c>
      <x:c r="N1309" s="31" t="str">
        <x:v>C-N04: bowl=[airplane toy without propellers, blue pen, yellow block] (3); table left→right=[green pencil sharpener]; robot home.</x:v>
      </x:c>
      <x:c r="O1309" s="31" t="str"/>
      <x:c r="P1309" s="31" t="str"/>
      <x:c r="Q1309" s="31" t="str"/>
      <x:c r="R1309" s="31" t="str"/>
      <x:c r="S1309" s="31" t="str">
        <x:f>IF('Blind Scoring'!I1309="","",'Blind Scoring'!I1309)</x:f>
      </x:c>
      <x:c r="T1309" s="31" t="str">
        <x:f>'Blind Scoring'!J1309</x:f>
        <x:v>No</x:v>
      </x:c>
      <x:c r="U1309" s="31" t="str">
        <x:f>IF('Blind Scoring'!L1309="","",'Blind Scoring'!L1309)</x:f>
      </x:c>
    </x:row>
    <x:row r="1310" ht="44" customHeight="1">
      <x:c r="A1310" s="35" t="str">
        <x:v>Not Started</x:v>
      </x:c>
      <x:c r="B1310" s="35" t="n">
        <x:v>1308</x:v>
      </x:c>
      <x:c r="C1310" s="35" t="str">
        <x:v>P22</x:v>
      </x:c>
      <x:c r="D1310" s="35" t="n">
        <x:v>7</x:v>
      </x:c>
      <x:c r="E1310" s="35" t="str">
        <x:v>Primary VLA</x:v>
      </x:c>
      <x:c r="F1310" s="35" t="str">
        <x:v>π0.5</x:v>
      </x:c>
      <x:c r="G1310" s="35" t="n">
        <x:v>3</x:v>
      </x:c>
      <x:c r="H1310" s="35" t="str">
        <x:v>Counting</x:v>
      </x:c>
      <x:c r="I1310" s="35" t="str">
        <x:v>Main held-out transfer</x:v>
      </x:c>
      <x:c r="J1310" s="35" t="str">
        <x:v>PVLA-CT-TR-11</x:v>
      </x:c>
      <x:c r="K1310" s="35" t="str">
        <x:v>C-CF09-A</x:v>
      </x:c>
      <x:c r="L1310" s="31" t="str">
        <x:v>Leave exactly one object in the bowl.</x:v>
      </x:c>
      <x:c r="M1310" s="31" t="str">
        <x:v>Leave exactly one object in the bowl.</x:v>
      </x:c>
      <x:c r="N1310" s="31" t="str">
        <x:v>C-CF09A: bowl=[blue pen, yellow block] (2); table=[green pencil sharpener, airplane toy without propellers]; robot home; acceptable action=remove either bowl object.</x:v>
      </x:c>
      <x:c r="O1310" s="31" t="str">
        <x:v>REMOVE one bowl object</x:v>
      </x:c>
      <x:c r="P1310" s="31" t="str"/>
      <x:c r="Q1310" s="31" t="str"/>
      <x:c r="R1310" s="31" t="str"/>
      <x:c r="S1310" s="31" t="str">
        <x:f>IF('Blind Scoring'!I1310="","",'Blind Scoring'!I1310)</x:f>
      </x:c>
      <x:c r="T1310" s="31" t="str">
        <x:f>'Blind Scoring'!J1310</x:f>
        <x:v>No</x:v>
      </x:c>
      <x:c r="U1310" s="31" t="str">
        <x:f>IF('Blind Scoring'!L1310="","",'Blind Scoring'!L1310)</x:f>
      </x:c>
    </x:row>
    <x:row r="1311" ht="44" customHeight="1">
      <x:c r="A1311" s="35" t="str">
        <x:v>Not Started</x:v>
      </x:c>
      <x:c r="B1311" s="35" t="n">
        <x:v>1309</x:v>
      </x:c>
      <x:c r="C1311" s="35" t="str">
        <x:v>P22</x:v>
      </x:c>
      <x:c r="D1311" s="35" t="n">
        <x:v>8</x:v>
      </x:c>
      <x:c r="E1311" s="35" t="str">
        <x:v>Primary VLA</x:v>
      </x:c>
      <x:c r="F1311" s="35" t="str">
        <x:v>π0.5</x:v>
      </x:c>
      <x:c r="G1311" s="35" t="n">
        <x:v>3</x:v>
      </x:c>
      <x:c r="H1311" s="35" t="str">
        <x:v>Counting</x:v>
      </x:c>
      <x:c r="I1311" s="35" t="str">
        <x:v>Language ablation — counterfactual</x:v>
      </x:c>
      <x:c r="J1311" s="35" t="str">
        <x:v>PVLA-CT-ABL-CF-04</x:v>
      </x:c>
      <x:c r="K1311" s="35" t="str">
        <x:v>C-CF06-B</x:v>
      </x:c>
      <x:c r="L1311" s="31" t="str">
        <x:v>Leave exactly one object in the bowl.</x:v>
      </x:c>
      <x:c r="M1311" s="31" t="str">
        <x:v>Leave exactly one object in the bowl.</x:v>
      </x:c>
      <x:c r="N1311" s="31" t="str">
        <x:v>C-CF06B: bowl=[yellow block, green pencil sharpener] (2); table=[airplane toy without propellers, blue pen]; robot home; acceptable action=add either table object.</x:v>
      </x:c>
      <x:c r="O1311" s="31" t="str">
        <x:v>REMOVE one bowl object</x:v>
      </x:c>
      <x:c r="P1311" s="31" t="str"/>
      <x:c r="Q1311" s="31" t="str"/>
      <x:c r="R1311" s="31" t="str"/>
      <x:c r="S1311" s="31" t="str">
        <x:f>IF('Blind Scoring'!I1311="","",'Blind Scoring'!I1311)</x:f>
      </x:c>
      <x:c r="T1311" s="31" t="str">
        <x:f>'Blind Scoring'!J1311</x:f>
        <x:v>No</x:v>
      </x:c>
      <x:c r="U1311" s="31" t="str">
        <x:f>IF('Blind Scoring'!L1311="","",'Blind Scoring'!L1311)</x:f>
      </x:c>
    </x:row>
    <x:row r="1312" ht="44" customHeight="1">
      <x:c r="A1312" s="35" t="str">
        <x:v>Not Started</x:v>
      </x:c>
      <x:c r="B1312" s="35" t="n">
        <x:v>1310</x:v>
      </x:c>
      <x:c r="C1312" s="35" t="str">
        <x:v>P22</x:v>
      </x:c>
      <x:c r="D1312" s="35" t="n">
        <x:v>9</x:v>
      </x:c>
      <x:c r="E1312" s="35" t="str">
        <x:v>Primary VLA</x:v>
      </x:c>
      <x:c r="F1312" s="35" t="str">
        <x:v>π0.5</x:v>
      </x:c>
      <x:c r="G1312" s="35" t="n">
        <x:v>3</x:v>
      </x:c>
      <x:c r="H1312" s="35" t="str">
        <x:v>Counting</x:v>
      </x:c>
      <x:c r="I1312" s="35" t="str">
        <x:v>Language ablation — blank</x:v>
      </x:c>
      <x:c r="J1312" s="35" t="str">
        <x:v>PVLA-CT-ABL-BLK-01</x:v>
      </x:c>
      <x:c r="K1312" s="35" t="str">
        <x:v>C-CF01-A</x:v>
      </x:c>
      <x:c r="L1312" s="31" t="str">
        <x:v>[EMPTY STRING — provide no instruction tokens]</x:v>
      </x:c>
      <x:c r="M1312" s="31" t="str">
        <x:v>Leave exactly one object in the bowl.</x:v>
      </x:c>
      <x:c r="N1312" s="31" t="str">
        <x:v>C-CF01A: bowl=[blue pen, yellow block] (2); table=[green pencil sharpener, airplane toy without propellers]; robot home; acceptable action=remove either bowl object.</x:v>
      </x:c>
      <x:c r="O1312" s="31" t="str">
        <x:v>No prespecified task success under blank language; record any action/selected target.</x:v>
      </x:c>
      <x:c r="P1312" s="31" t="str"/>
      <x:c r="Q1312" s="31" t="str"/>
      <x:c r="R1312" s="31" t="str"/>
      <x:c r="S1312" s="31" t="str">
        <x:f>IF('Blind Scoring'!I1312="","",'Blind Scoring'!I1312)</x:f>
      </x:c>
      <x:c r="T1312" s="31" t="str">
        <x:f>'Blind Scoring'!J1312</x:f>
        <x:v>No</x:v>
      </x:c>
      <x:c r="U1312" s="31" t="str">
        <x:f>IF('Blind Scoring'!L1312="","",'Blind Scoring'!L1312)</x:f>
      </x:c>
    </x:row>
    <x:row r="1313" ht="44" customHeight="1">
      <x:c r="A1313" s="35" t="str">
        <x:v>Not Started</x:v>
      </x:c>
      <x:c r="B1313" s="35" t="n">
        <x:v>1311</x:v>
      </x:c>
      <x:c r="C1313" s="35" t="str">
        <x:v>P22</x:v>
      </x:c>
      <x:c r="D1313" s="35" t="n">
        <x:v>10</x:v>
      </x:c>
      <x:c r="E1313" s="35" t="str">
        <x:v>Primary VLA</x:v>
      </x:c>
      <x:c r="F1313" s="35" t="str">
        <x:v>π0.5</x:v>
      </x:c>
      <x:c r="G1313" s="35" t="n">
        <x:v>3</x:v>
      </x:c>
      <x:c r="H1313" s="35" t="str">
        <x:v>Counting</x:v>
      </x:c>
      <x:c r="I1313" s="35" t="str">
        <x:v>Exact-scene paraphrase</x:v>
      </x:c>
      <x:c r="J1313" s="35" t="str">
        <x:v>PVLA-CT-PAR-07</x:v>
      </x:c>
      <x:c r="K1313" s="35" t="str"/>
      <x:c r="L1313" s="31" t="str">
        <x:v>Finish with two objects in the bowl.</x:v>
      </x:c>
      <x:c r="M1313" s="31" t="str">
        <x:v>Finish with two objects in the bowl.</x:v>
      </x:c>
      <x:c r="N1313" s="31" t="str">
        <x:v>C-N01: bowl=[blue pen] (1); table left→right=[yellow block, green pencil sharpener, airplane toy without propellers]; robot home.</x:v>
      </x:c>
      <x:c r="O1313" s="31" t="str"/>
      <x:c r="P1313" s="31" t="str"/>
      <x:c r="Q1313" s="31" t="str"/>
      <x:c r="R1313" s="31" t="str"/>
      <x:c r="S1313" s="31" t="str">
        <x:f>IF('Blind Scoring'!I1313="","",'Blind Scoring'!I1313)</x:f>
      </x:c>
      <x:c r="T1313" s="31" t="str">
        <x:f>'Blind Scoring'!J1313</x:f>
        <x:v>No</x:v>
      </x:c>
      <x:c r="U1313" s="31" t="str">
        <x:f>IF('Blind Scoring'!L1313="","",'Blind Scoring'!L1313)</x:f>
      </x:c>
    </x:row>
    <x:row r="1314" ht="44" customHeight="1">
      <x:c r="A1314" s="35" t="str">
        <x:v>Not Started</x:v>
      </x:c>
      <x:c r="B1314" s="35" t="n">
        <x:v>1312</x:v>
      </x:c>
      <x:c r="C1314" s="35" t="str">
        <x:v>P22</x:v>
      </x:c>
      <x:c r="D1314" s="35" t="n">
        <x:v>11</x:v>
      </x:c>
      <x:c r="E1314" s="35" t="str">
        <x:v>Primary VLA</x:v>
      </x:c>
      <x:c r="F1314" s="35" t="str">
        <x:v>π0.5</x:v>
      </x:c>
      <x:c r="G1314" s="35" t="n">
        <x:v>3</x:v>
      </x:c>
      <x:c r="H1314" s="35" t="str">
        <x:v>Counting</x:v>
      </x:c>
      <x:c r="I1314" s="35" t="str">
        <x:v>Language ablation — counterfactual</x:v>
      </x:c>
      <x:c r="J1314" s="35" t="str">
        <x:v>PVLA-CT-ABL-CF-01</x:v>
      </x:c>
      <x:c r="K1314" s="35" t="str">
        <x:v>C-CF04-A</x:v>
      </x:c>
      <x:c r="L1314" s="31" t="str">
        <x:v>Leave exactly three objects in the bowl.</x:v>
      </x:c>
      <x:c r="M1314" s="31" t="str">
        <x:v>Leave exactly three objects in the bowl.</x:v>
      </x:c>
      <x:c r="N1314" s="31" t="str">
        <x:v>C-CF04A: bowl=[airplane toy without propellers, blue pen] (2); table=[yellow block, green pencil sharpener]; robot home; acceptable action=remove either bowl object.</x:v>
      </x:c>
      <x:c r="O1314" s="31" t="str">
        <x:v>ADD one table object</x:v>
      </x:c>
      <x:c r="P1314" s="31" t="str"/>
      <x:c r="Q1314" s="31" t="str"/>
      <x:c r="R1314" s="31" t="str"/>
      <x:c r="S1314" s="31" t="str">
        <x:f>IF('Blind Scoring'!I1314="","",'Blind Scoring'!I1314)</x:f>
      </x:c>
      <x:c r="T1314" s="31" t="str">
        <x:f>'Blind Scoring'!J1314</x:f>
        <x:v>No</x:v>
      </x:c>
      <x:c r="U1314" s="31" t="str">
        <x:f>IF('Blind Scoring'!L1314="","",'Blind Scoring'!L1314)</x:f>
      </x:c>
    </x:row>
    <x:row r="1315" ht="44" customHeight="1">
      <x:c r="A1315" s="35" t="str">
        <x:v>Not Started</x:v>
      </x:c>
      <x:c r="B1315" s="35" t="n">
        <x:v>1313</x:v>
      </x:c>
      <x:c r="C1315" s="35" t="str">
        <x:v>P22</x:v>
      </x:c>
      <x:c r="D1315" s="35" t="n">
        <x:v>12</x:v>
      </x:c>
      <x:c r="E1315" s="35" t="str">
        <x:v>Primary VLA</x:v>
      </x:c>
      <x:c r="F1315" s="35" t="str">
        <x:v>π0.5</x:v>
      </x:c>
      <x:c r="G1315" s="35" t="n">
        <x:v>3</x:v>
      </x:c>
      <x:c r="H1315" s="35" t="str">
        <x:v>Counting</x:v>
      </x:c>
      <x:c r="I1315" s="35" t="str">
        <x:v>Main held-out transfer</x:v>
      </x:c>
      <x:c r="J1315" s="35" t="str">
        <x:v>PVLA-CT-TR-13</x:v>
      </x:c>
      <x:c r="K1315" s="35" t="str">
        <x:v>C-CF10-A</x:v>
      </x:c>
      <x:c r="L1315" s="31" t="str">
        <x:v>Leave exactly one object in the bowl.</x:v>
      </x:c>
      <x:c r="M1315" s="31" t="str">
        <x:v>Leave exactly one object in the bowl.</x:v>
      </x:c>
      <x:c r="N1315" s="31" t="str">
        <x:v>C-CF10A: bowl=[yellow block, green pencil sharpener] (2); table=[airplane toy without propellers, blue pen]; robot home; acceptable action=remove either bowl object.</x:v>
      </x:c>
      <x:c r="O1315" s="31" t="str">
        <x:v>REMOVE one bowl object</x:v>
      </x:c>
      <x:c r="P1315" s="31" t="str"/>
      <x:c r="Q1315" s="31" t="str"/>
      <x:c r="R1315" s="31" t="str"/>
      <x:c r="S1315" s="31" t="str">
        <x:f>IF('Blind Scoring'!I1315="","",'Blind Scoring'!I1315)</x:f>
      </x:c>
      <x:c r="T1315" s="31" t="str">
        <x:f>'Blind Scoring'!J1315</x:f>
        <x:v>No</x:v>
      </x:c>
      <x:c r="U1315" s="31" t="str">
        <x:f>IF('Blind Scoring'!L1315="","",'Blind Scoring'!L1315)</x:f>
      </x:c>
    </x:row>
    <x:row r="1316" ht="44" customHeight="1">
      <x:c r="A1316" s="35" t="str">
        <x:v>Not Started</x:v>
      </x:c>
      <x:c r="B1316" s="35" t="n">
        <x:v>1314</x:v>
      </x:c>
      <x:c r="C1316" s="35" t="str">
        <x:v>P22</x:v>
      </x:c>
      <x:c r="D1316" s="35" t="n">
        <x:v>13</x:v>
      </x:c>
      <x:c r="E1316" s="35" t="str">
        <x:v>Primary VLA</x:v>
      </x:c>
      <x:c r="F1316" s="35" t="str">
        <x:v>π0.5</x:v>
      </x:c>
      <x:c r="G1316" s="35" t="n">
        <x:v>3</x:v>
      </x:c>
      <x:c r="H1316" s="35" t="str">
        <x:v>Counting</x:v>
      </x:c>
      <x:c r="I1316" s="35" t="str">
        <x:v>Language ablation — blank</x:v>
      </x:c>
      <x:c r="J1316" s="35" t="str">
        <x:v>PVLA-CT-ABL-BLK-03</x:v>
      </x:c>
      <x:c r="K1316" s="35" t="str">
        <x:v>C-CF03-A</x:v>
      </x:c>
      <x:c r="L1316" s="31" t="str">
        <x:v>[EMPTY STRING — provide no instruction tokens]</x:v>
      </x:c>
      <x:c r="M1316" s="31" t="str">
        <x:v>Leave exactly one object in the bowl.</x:v>
      </x:c>
      <x:c r="N1316" s="31" t="str">
        <x:v>C-CF03A: bowl=[green pencil sharpener, airplane toy without propellers] (2); table=[blue pen, yellow block]; robot home; acceptable action=remove either bowl object.</x:v>
      </x:c>
      <x:c r="O1316" s="31" t="str">
        <x:v>No prespecified task success under blank language; record any action/selected target.</x:v>
      </x:c>
      <x:c r="P1316" s="31" t="str"/>
      <x:c r="Q1316" s="31" t="str"/>
      <x:c r="R1316" s="31" t="str"/>
      <x:c r="S1316" s="31" t="str">
        <x:f>IF('Blind Scoring'!I1316="","",'Blind Scoring'!I1316)</x:f>
      </x:c>
      <x:c r="T1316" s="31" t="str">
        <x:f>'Blind Scoring'!J1316</x:f>
        <x:v>No</x:v>
      </x:c>
      <x:c r="U1316" s="31" t="str">
        <x:f>IF('Blind Scoring'!L1316="","",'Blind Scoring'!L1316)</x:f>
      </x:c>
    </x:row>
    <x:row r="1317" ht="44" customHeight="1">
      <x:c r="A1317" s="35" t="str">
        <x:v>Not Started</x:v>
      </x:c>
      <x:c r="B1317" s="35" t="n">
        <x:v>1315</x:v>
      </x:c>
      <x:c r="C1317" s="35" t="str">
        <x:v>P22</x:v>
      </x:c>
      <x:c r="D1317" s="35" t="n">
        <x:v>14</x:v>
      </x:c>
      <x:c r="E1317" s="35" t="str">
        <x:v>Primary VLA</x:v>
      </x:c>
      <x:c r="F1317" s="35" t="str">
        <x:v>π0.5</x:v>
      </x:c>
      <x:c r="G1317" s="35" t="n">
        <x:v>3</x:v>
      </x:c>
      <x:c r="H1317" s="35" t="str">
        <x:v>Counting</x:v>
      </x:c>
      <x:c r="I1317" s="35" t="str">
        <x:v>Language ablation — blank</x:v>
      </x:c>
      <x:c r="J1317" s="35" t="str">
        <x:v>PVLA-CT-ABL-BLK-02</x:v>
      </x:c>
      <x:c r="K1317" s="35" t="str">
        <x:v>C-CF01-B</x:v>
      </x:c>
      <x:c r="L1317" s="31" t="str">
        <x:v>[EMPTY STRING — provide no instruction tokens]</x:v>
      </x:c>
      <x:c r="M1317" s="31" t="str">
        <x:v>Leave exactly three objects in the bowl.</x:v>
      </x:c>
      <x:c r="N1317" s="31" t="str">
        <x:v>C-CF01B: bowl=[blue pen, yellow block] (2); table=[green pencil sharpener, airplane toy without propellers]; robot home; acceptable action=add either table object.</x:v>
      </x:c>
      <x:c r="O1317" s="31" t="str">
        <x:v>No prespecified task success under blank language; record any action/selected target.</x:v>
      </x:c>
      <x:c r="P1317" s="31" t="str"/>
      <x:c r="Q1317" s="31" t="str"/>
      <x:c r="R1317" s="31" t="str"/>
      <x:c r="S1317" s="31" t="str">
        <x:f>IF('Blind Scoring'!I1317="","",'Blind Scoring'!I1317)</x:f>
      </x:c>
      <x:c r="T1317" s="31" t="str">
        <x:f>'Blind Scoring'!J1317</x:f>
        <x:v>No</x:v>
      </x:c>
      <x:c r="U1317" s="31" t="str">
        <x:f>IF('Blind Scoring'!L1317="","",'Blind Scoring'!L1317)</x:f>
      </x:c>
    </x:row>
    <x:row r="1318" ht="44" customHeight="1">
      <x:c r="A1318" s="35" t="str">
        <x:v>Not Started</x:v>
      </x:c>
      <x:c r="B1318" s="35" t="n">
        <x:v>1316</x:v>
      </x:c>
      <x:c r="C1318" s="35" t="str">
        <x:v>P22</x:v>
      </x:c>
      <x:c r="D1318" s="35" t="n">
        <x:v>15</x:v>
      </x:c>
      <x:c r="E1318" s="35" t="str">
        <x:v>Primary VLA</x:v>
      </x:c>
      <x:c r="F1318" s="35" t="str">
        <x:v>π0.5</x:v>
      </x:c>
      <x:c r="G1318" s="35" t="n">
        <x:v>3</x:v>
      </x:c>
      <x:c r="H1318" s="35" t="str">
        <x:v>Counting</x:v>
      </x:c>
      <x:c r="I1318" s="35" t="str">
        <x:v>Main held-out transfer</x:v>
      </x:c>
      <x:c r="J1318" s="35" t="str">
        <x:v>PVLA-CT-TR-14</x:v>
      </x:c>
      <x:c r="K1318" s="35" t="str">
        <x:v>C-CF10-B</x:v>
      </x:c>
      <x:c r="L1318" s="31" t="str">
        <x:v>Leave exactly three objects in the bowl.</x:v>
      </x:c>
      <x:c r="M1318" s="31" t="str">
        <x:v>Leave exactly three objects in the bowl.</x:v>
      </x:c>
      <x:c r="N1318" s="31" t="str">
        <x:v>C-CF10B: bowl=[yellow block, green pencil sharpener] (2); table=[airplane toy without propellers, blue pen]; robot home; acceptable action=add either table object.</x:v>
      </x:c>
      <x:c r="O1318" s="31" t="str">
        <x:v>ADD one table object</x:v>
      </x:c>
      <x:c r="P1318" s="31" t="str"/>
      <x:c r="Q1318" s="31" t="str"/>
      <x:c r="R1318" s="31" t="str"/>
      <x:c r="S1318" s="31" t="str">
        <x:f>IF('Blind Scoring'!I1318="","",'Blind Scoring'!I1318)</x:f>
      </x:c>
      <x:c r="T1318" s="31" t="str">
        <x:f>'Blind Scoring'!J1318</x:f>
        <x:v>No</x:v>
      </x:c>
      <x:c r="U1318" s="31" t="str">
        <x:f>IF('Blind Scoring'!L1318="","",'Blind Scoring'!L1318)</x:f>
      </x:c>
    </x:row>
    <x:row r="1319" ht="44" customHeight="1">
      <x:c r="A1319" s="35" t="str">
        <x:v>Not Started</x:v>
      </x:c>
      <x:c r="B1319" s="35" t="n">
        <x:v>1317</x:v>
      </x:c>
      <x:c r="C1319" s="35" t="str">
        <x:v>P22</x:v>
      </x:c>
      <x:c r="D1319" s="35" t="n">
        <x:v>16</x:v>
      </x:c>
      <x:c r="E1319" s="35" t="str">
        <x:v>Primary VLA</x:v>
      </x:c>
      <x:c r="F1319" s="35" t="str">
        <x:v>π0.5</x:v>
      </x:c>
      <x:c r="G1319" s="35" t="n">
        <x:v>3</x:v>
      </x:c>
      <x:c r="H1319" s="35" t="str">
        <x:v>Counting</x:v>
      </x:c>
      <x:c r="I1319" s="35" t="str">
        <x:v>Main matched control</x:v>
      </x:c>
      <x:c r="J1319" s="35" t="str">
        <x:v>PVLA-CT-CTL-07</x:v>
      </x:c>
      <x:c r="K1319" s="35" t="str">
        <x:v>C-CF06-A</x:v>
      </x:c>
      <x:c r="L1319" s="31" t="str">
        <x:v>Remove the yellow block from the bowl.</x:v>
      </x:c>
      <x:c r="M1319" s="31" t="str">
        <x:v>Remove the yellow block from the bowl.</x:v>
      </x:c>
      <x:c r="N1319" s="31" t="str">
        <x:v>C-CF06-CA: bowl=[yellow block, green pencil sharpener] (2); table=[airplane toy without propellers, blue pen]; robot home; acceptable action=remove either bowl object.</x:v>
      </x:c>
      <x:c r="O1319" s="31" t="str">
        <x:v>REMOVE yellow block</x:v>
      </x:c>
      <x:c r="P1319" s="31" t="str"/>
      <x:c r="Q1319" s="31" t="str"/>
      <x:c r="R1319" s="31" t="str"/>
      <x:c r="S1319" s="31" t="str">
        <x:f>IF('Blind Scoring'!I1319="","",'Blind Scoring'!I1319)</x:f>
      </x:c>
      <x:c r="T1319" s="31" t="str">
        <x:f>'Blind Scoring'!J1319</x:f>
        <x:v>No</x:v>
      </x:c>
      <x:c r="U1319" s="31" t="str">
        <x:f>IF('Blind Scoring'!L1319="","",'Blind Scoring'!L1319)</x:f>
      </x:c>
    </x:row>
    <x:row r="1320" ht="44" customHeight="1">
      <x:c r="A1320" s="35" t="str">
        <x:v>Not Started</x:v>
      </x:c>
      <x:c r="B1320" s="35" t="n">
        <x:v>1318</x:v>
      </x:c>
      <x:c r="C1320" s="35" t="str">
        <x:v>P22</x:v>
      </x:c>
      <x:c r="D1320" s="35" t="n">
        <x:v>17</x:v>
      </x:c>
      <x:c r="E1320" s="35" t="str">
        <x:v>Primary VLA</x:v>
      </x:c>
      <x:c r="F1320" s="35" t="str">
        <x:v>π0.5</x:v>
      </x:c>
      <x:c r="G1320" s="35" t="n">
        <x:v>3</x:v>
      </x:c>
      <x:c r="H1320" s="35" t="str">
        <x:v>Counting</x:v>
      </x:c>
      <x:c r="I1320" s="35" t="str">
        <x:v>Main matched control</x:v>
      </x:c>
      <x:c r="J1320" s="35" t="str">
        <x:v>PVLA-CT-CTL-12</x:v>
      </x:c>
      <x:c r="K1320" s="35" t="str">
        <x:v>C-CF09-B</x:v>
      </x:c>
      <x:c r="L1320" s="31" t="str">
        <x:v>Put the green pencil sharpener in the bowl.</x:v>
      </x:c>
      <x:c r="M1320" s="31" t="str">
        <x:v>Put the green pencil sharpener in the bowl.</x:v>
      </x:c>
      <x:c r="N1320" s="31" t="str">
        <x:v>C-CF09-CB: bowl=[blue pen, yellow block] (2); table=[green pencil sharpener, airplane toy without propellers]; robot home; acceptable action=add either table object.</x:v>
      </x:c>
      <x:c r="O1320" s="31" t="str">
        <x:v>ADD green pencil sharpener</x:v>
      </x:c>
      <x:c r="P1320" s="31" t="str"/>
      <x:c r="Q1320" s="31" t="str"/>
      <x:c r="R1320" s="31" t="str"/>
      <x:c r="S1320" s="31" t="str">
        <x:f>IF('Blind Scoring'!I1320="","",'Blind Scoring'!I1320)</x:f>
      </x:c>
      <x:c r="T1320" s="31" t="str">
        <x:f>'Blind Scoring'!J1320</x:f>
        <x:v>No</x:v>
      </x:c>
      <x:c r="U1320" s="31" t="str">
        <x:f>IF('Blind Scoring'!L1320="","",'Blind Scoring'!L1320)</x:f>
      </x:c>
    </x:row>
    <x:row r="1321" ht="44" customHeight="1">
      <x:c r="A1321" s="35" t="str">
        <x:v>Not Started</x:v>
      </x:c>
      <x:c r="B1321" s="35" t="n">
        <x:v>1319</x:v>
      </x:c>
      <x:c r="C1321" s="35" t="str">
        <x:v>P22</x:v>
      </x:c>
      <x:c r="D1321" s="35" t="n">
        <x:v>18</x:v>
      </x:c>
      <x:c r="E1321" s="35" t="str">
        <x:v>Primary VLA</x:v>
      </x:c>
      <x:c r="F1321" s="35" t="str">
        <x:v>π0.5</x:v>
      </x:c>
      <x:c r="G1321" s="35" t="n">
        <x:v>3</x:v>
      </x:c>
      <x:c r="H1321" s="35" t="str">
        <x:v>Counting</x:v>
      </x:c>
      <x:c r="I1321" s="35" t="str">
        <x:v>Training reconstruction</x:v>
      </x:c>
      <x:c r="J1321" s="35" t="str">
        <x:v>PVLA-CT-REC-05</x:v>
      </x:c>
      <x:c r="K1321" s="35" t="str"/>
      <x:c r="L1321" s="31" t="str">
        <x:v>Remove the yellow block from the bowl.</x:v>
      </x:c>
      <x:c r="M1321" s="31" t="str">
        <x:v>Remove the yellow block from the bowl.</x:v>
      </x:c>
      <x:c r="N1321" s="31" t="str">
        <x:v>Reconstruct planned final training episode 896: yellow block, green pencil sharpener, airplane toy without propellers, blue pen; start=Post-Drop. Match camera, calibration, bowl pose, and object geometry exactly.</x:v>
      </x:c>
      <x:c r="O1321" s="31" t="str">
        <x:v>yellow block</x:v>
      </x:c>
      <x:c r="P1321" s="31" t="str"/>
      <x:c r="Q1321" s="31" t="str"/>
      <x:c r="R1321" s="31" t="str"/>
      <x:c r="S1321" s="31" t="str">
        <x:f>IF('Blind Scoring'!I1321="","",'Blind Scoring'!I1321)</x:f>
      </x:c>
      <x:c r="T1321" s="31" t="str">
        <x:f>'Blind Scoring'!J1321</x:f>
        <x:v>No</x:v>
      </x:c>
      <x:c r="U1321" s="31" t="str">
        <x:f>IF('Blind Scoring'!L1321="","",'Blind Scoring'!L1321)</x:f>
      </x:c>
    </x:row>
    <x:row r="1322" ht="44" customHeight="1">
      <x:c r="A1322" s="35" t="str">
        <x:v>Not Started</x:v>
      </x:c>
      <x:c r="B1322" s="35" t="n">
        <x:v>1320</x:v>
      </x:c>
      <x:c r="C1322" s="35" t="str">
        <x:v>P22</x:v>
      </x:c>
      <x:c r="D1322" s="35" t="n">
        <x:v>19</x:v>
      </x:c>
      <x:c r="E1322" s="35" t="str">
        <x:v>Primary VLA</x:v>
      </x:c>
      <x:c r="F1322" s="35" t="str">
        <x:v>π0.5</x:v>
      </x:c>
      <x:c r="G1322" s="35" t="n">
        <x:v>3</x:v>
      </x:c>
      <x:c r="H1322" s="35" t="str">
        <x:v>Counting</x:v>
      </x:c>
      <x:c r="I1322" s="35" t="str">
        <x:v>Main held-out transfer</x:v>
      </x:c>
      <x:c r="J1322" s="35" t="str">
        <x:v>PVLA-CT-TR-10</x:v>
      </x:c>
      <x:c r="K1322" s="35" t="str">
        <x:v>C-CF07-B</x:v>
      </x:c>
      <x:c r="L1322" s="31" t="str">
        <x:v>Leave exactly three objects in the bowl.</x:v>
      </x:c>
      <x:c r="M1322" s="31" t="str">
        <x:v>Leave exactly three objects in the bowl.</x:v>
      </x:c>
      <x:c r="N1322" s="31" t="str">
        <x:v>C-CF07B: bowl=[green pencil sharpener, airplane toy without propellers] (2); table=[blue pen, yellow block]; robot home; acceptable action=add either table object.</x:v>
      </x:c>
      <x:c r="O1322" s="31" t="str">
        <x:v>ADD one table object</x:v>
      </x:c>
      <x:c r="P1322" s="31" t="str"/>
      <x:c r="Q1322" s="31" t="str"/>
      <x:c r="R1322" s="31" t="str"/>
      <x:c r="S1322" s="31" t="str">
        <x:f>IF('Blind Scoring'!I1322="","",'Blind Scoring'!I1322)</x:f>
      </x:c>
      <x:c r="T1322" s="31" t="str">
        <x:f>'Blind Scoring'!J1322</x:f>
        <x:v>No</x:v>
      </x:c>
      <x:c r="U1322" s="31" t="str">
        <x:f>IF('Blind Scoring'!L1322="","",'Blind Scoring'!L1322)</x:f>
      </x:c>
    </x:row>
    <x:row r="1323" ht="44" customHeight="1">
      <x:c r="A1323" s="35" t="str">
        <x:v>Not Started</x:v>
      </x:c>
      <x:c r="B1323" s="35" t="n">
        <x:v>1321</x:v>
      </x:c>
      <x:c r="C1323" s="35" t="str">
        <x:v>P22</x:v>
      </x:c>
      <x:c r="D1323" s="35" t="n">
        <x:v>20</x:v>
      </x:c>
      <x:c r="E1323" s="35" t="str">
        <x:v>Primary VLA</x:v>
      </x:c>
      <x:c r="F1323" s="35" t="str">
        <x:v>π0.5</x:v>
      </x:c>
      <x:c r="G1323" s="35" t="n">
        <x:v>3</x:v>
      </x:c>
      <x:c r="H1323" s="35" t="str">
        <x:v>Counting</x:v>
      </x:c>
      <x:c r="I1323" s="35" t="str">
        <x:v>Novel layout + seen language</x:v>
      </x:c>
      <x:c r="J1323" s="35" t="str">
        <x:v>PVLA-CT-NOV-05</x:v>
      </x:c>
      <x:c r="K1323" s="35" t="str"/>
      <x:c r="L1323" s="31" t="str">
        <x:v>Adjust the bowl so that it contains zero objects.</x:v>
      </x:c>
      <x:c r="M1323" s="31" t="str">
        <x:v>Adjust the bowl so that it contains zero objects.</x:v>
      </x:c>
      <x:c r="N1323" s="31" t="str">
        <x:v>C-N12: bowl=[yellow block] (1); table left→right=[green pencil sharpener, airplane toy without propellers, blue pen]; robot home.</x:v>
      </x:c>
      <x:c r="O1323" s="31" t="str"/>
      <x:c r="P1323" s="31" t="str"/>
      <x:c r="Q1323" s="31" t="str"/>
      <x:c r="R1323" s="31" t="str"/>
      <x:c r="S1323" s="31" t="str">
        <x:f>IF('Blind Scoring'!I1323="","",'Blind Scoring'!I1323)</x:f>
      </x:c>
      <x:c r="T1323" s="31" t="str">
        <x:f>'Blind Scoring'!J1323</x:f>
        <x:v>No</x:v>
      </x:c>
      <x:c r="U1323" s="31" t="str">
        <x:f>IF('Blind Scoring'!L1323="","",'Blind Scoring'!L1323)</x:f>
      </x:c>
    </x:row>
    <x:row r="1324" ht="44" customHeight="1">
      <x:c r="A1324" s="35" t="str">
        <x:v>Not Started</x:v>
      </x:c>
      <x:c r="B1324" s="35" t="n">
        <x:v>1322</x:v>
      </x:c>
      <x:c r="C1324" s="35" t="str">
        <x:v>P22</x:v>
      </x:c>
      <x:c r="D1324" s="35" t="n">
        <x:v>21</x:v>
      </x:c>
      <x:c r="E1324" s="35" t="str">
        <x:v>Primary VLA</x:v>
      </x:c>
      <x:c r="F1324" s="35" t="str">
        <x:v>π0.5</x:v>
      </x:c>
      <x:c r="G1324" s="35" t="n">
        <x:v>3</x:v>
      </x:c>
      <x:c r="H1324" s="35" t="str">
        <x:v>Counting</x:v>
      </x:c>
      <x:c r="I1324" s="35" t="str">
        <x:v>Main held-out transfer</x:v>
      </x:c>
      <x:c r="J1324" s="35" t="str">
        <x:v>PVLA-CT-TR-15</x:v>
      </x:c>
      <x:c r="K1324" s="35" t="str">
        <x:v>C-CF12-A</x:v>
      </x:c>
      <x:c r="L1324" s="31" t="str">
        <x:v>Leave exactly one object in the bowl.</x:v>
      </x:c>
      <x:c r="M1324" s="31" t="str">
        <x:v>Leave exactly one object in the bowl.</x:v>
      </x:c>
      <x:c r="N1324" s="31" t="str">
        <x:v>C-CF12A: bowl=[airplane toy without propellers, blue pen] (2); table=[yellow block, green pencil sharpener]; robot home; acceptable action=remove either bowl object.</x:v>
      </x:c>
      <x:c r="O1324" s="31" t="str">
        <x:v>REMOVE one bowl object</x:v>
      </x:c>
      <x:c r="P1324" s="31" t="str"/>
      <x:c r="Q1324" s="31" t="str"/>
      <x:c r="R1324" s="31" t="str"/>
      <x:c r="S1324" s="31" t="str">
        <x:f>IF('Blind Scoring'!I1324="","",'Blind Scoring'!I1324)</x:f>
      </x:c>
      <x:c r="T1324" s="31" t="str">
        <x:f>'Blind Scoring'!J1324</x:f>
        <x:v>No</x:v>
      </x:c>
      <x:c r="U1324" s="31" t="str">
        <x:f>IF('Blind Scoring'!L1324="","",'Blind Scoring'!L1324)</x:f>
      </x:c>
    </x:row>
    <x:row r="1325" ht="44" customHeight="1">
      <x:c r="A1325" s="35" t="str">
        <x:v>Not Started</x:v>
      </x:c>
      <x:c r="B1325" s="35" t="n">
        <x:v>1323</x:v>
      </x:c>
      <x:c r="C1325" s="35" t="str">
        <x:v>P22</x:v>
      </x:c>
      <x:c r="D1325" s="35" t="n">
        <x:v>22</x:v>
      </x:c>
      <x:c r="E1325" s="35" t="str">
        <x:v>Primary VLA</x:v>
      </x:c>
      <x:c r="F1325" s="35" t="str">
        <x:v>π0.5</x:v>
      </x:c>
      <x:c r="G1325" s="35" t="n">
        <x:v>3</x:v>
      </x:c>
      <x:c r="H1325" s="35" t="str">
        <x:v>Counting</x:v>
      </x:c>
      <x:c r="I1325" s="35" t="str">
        <x:v>Novel layout + seen language</x:v>
      </x:c>
      <x:c r="J1325" s="35" t="str">
        <x:v>PVLA-CT-NOV-07</x:v>
      </x:c>
      <x:c r="K1325" s="35" t="str"/>
      <x:c r="L1325" s="31" t="str">
        <x:v>Make the bowl contain exactly zero objects.</x:v>
      </x:c>
      <x:c r="M1325" s="31" t="str">
        <x:v>Make the bowl contain exactly zero objects.</x:v>
      </x:c>
      <x:c r="N1325" s="31" t="str">
        <x:v>C-N17: bowl=[green pencil sharpener] (1); table left→right=[airplane toy without propellers, blue pen, yellow block]; robot home.</x:v>
      </x:c>
      <x:c r="O1325" s="31" t="str"/>
      <x:c r="P1325" s="31" t="str"/>
      <x:c r="Q1325" s="31" t="str"/>
      <x:c r="R1325" s="31" t="str"/>
      <x:c r="S1325" s="31" t="str">
        <x:f>IF('Blind Scoring'!I1325="","",'Blind Scoring'!I1325)</x:f>
      </x:c>
      <x:c r="T1325" s="31" t="str">
        <x:f>'Blind Scoring'!J1325</x:f>
        <x:v>No</x:v>
      </x:c>
      <x:c r="U1325" s="31" t="str">
        <x:f>IF('Blind Scoring'!L1325="","",'Blind Scoring'!L1325)</x:f>
      </x:c>
    </x:row>
    <x:row r="1326" ht="44" customHeight="1">
      <x:c r="A1326" s="35" t="str">
        <x:v>Not Started</x:v>
      </x:c>
      <x:c r="B1326" s="35" t="n">
        <x:v>1324</x:v>
      </x:c>
      <x:c r="C1326" s="35" t="str">
        <x:v>P22</x:v>
      </x:c>
      <x:c r="D1326" s="35" t="n">
        <x:v>23</x:v>
      </x:c>
      <x:c r="E1326" s="35" t="str">
        <x:v>Primary VLA</x:v>
      </x:c>
      <x:c r="F1326" s="35" t="str">
        <x:v>π0.5</x:v>
      </x:c>
      <x:c r="G1326" s="35" t="n">
        <x:v>3</x:v>
      </x:c>
      <x:c r="H1326" s="35" t="str">
        <x:v>Counting</x:v>
      </x:c>
      <x:c r="I1326" s="35" t="str">
        <x:v>Novel layout + seen language</x:v>
      </x:c>
      <x:c r="J1326" s="35" t="str">
        <x:v>PVLA-CT-NOV-04</x:v>
      </x:c>
      <x:c r="K1326" s="35" t="str"/>
      <x:c r="L1326" s="31" t="str">
        <x:v>Adjust the bowl so that it contains two objects.</x:v>
      </x:c>
      <x:c r="M1326" s="31" t="str">
        <x:v>Adjust the bowl so that it contains two objects.</x:v>
      </x:c>
      <x:c r="N1326" s="31" t="str">
        <x:v>C-N09: bowl=[blue pen] (1); table left→right=[yellow block, green pencil sharpener, airplane toy without propellers]; robot home.</x:v>
      </x:c>
      <x:c r="O1326" s="31" t="str"/>
      <x:c r="P1326" s="31" t="str"/>
      <x:c r="Q1326" s="31" t="str"/>
      <x:c r="R1326" s="31" t="str"/>
      <x:c r="S1326" s="31" t="str">
        <x:f>IF('Blind Scoring'!I1326="","",'Blind Scoring'!I1326)</x:f>
      </x:c>
      <x:c r="T1326" s="31" t="str">
        <x:f>'Blind Scoring'!J1326</x:f>
        <x:v>No</x:v>
      </x:c>
      <x:c r="U1326" s="31" t="str">
        <x:f>IF('Blind Scoring'!L1326="","",'Blind Scoring'!L1326)</x:f>
      </x:c>
    </x:row>
    <x:row r="1327" ht="44" customHeight="1">
      <x:c r="A1327" s="35" t="str">
        <x:v>Not Started</x:v>
      </x:c>
      <x:c r="B1327" s="35" t="n">
        <x:v>1325</x:v>
      </x:c>
      <x:c r="C1327" s="35" t="str">
        <x:v>P22</x:v>
      </x:c>
      <x:c r="D1327" s="35" t="n">
        <x:v>24</x:v>
      </x:c>
      <x:c r="E1327" s="35" t="str">
        <x:v>Primary VLA</x:v>
      </x:c>
      <x:c r="F1327" s="35" t="str">
        <x:v>π0.5</x:v>
      </x:c>
      <x:c r="G1327" s="35" t="n">
        <x:v>3</x:v>
      </x:c>
      <x:c r="H1327" s="35" t="str">
        <x:v>Counting</x:v>
      </x:c>
      <x:c r="I1327" s="35" t="str">
        <x:v>Training reconstruction</x:v>
      </x:c>
      <x:c r="J1327" s="35" t="str">
        <x:v>PVLA-CT-REC-04</x:v>
      </x:c>
      <x:c r="K1327" s="35" t="str"/>
      <x:c r="L1327" s="31" t="str">
        <x:v>Leave exactly two objects in the bowl.</x:v>
      </x:c>
      <x:c r="M1327" s="31" t="str">
        <x:v>Leave exactly two objects in the bowl.</x:v>
      </x:c>
      <x:c r="N1327" s="31" t="str">
        <x:v>Reconstruct planned final training episode 861: green pencil sharpener, yellow block, airplane toy without propellers, blue pen; start=Post-Drop. Match camera, calibration, bowl pose, and object geometry exactly.</x:v>
      </x:c>
      <x:c r="O1327" s="31" t="str">
        <x:v>yellow block</x:v>
      </x:c>
      <x:c r="P1327" s="31" t="str"/>
      <x:c r="Q1327" s="31" t="str"/>
      <x:c r="R1327" s="31" t="str"/>
      <x:c r="S1327" s="31" t="str">
        <x:f>IF('Blind Scoring'!I1327="","",'Blind Scoring'!I1327)</x:f>
      </x:c>
      <x:c r="T1327" s="31" t="str">
        <x:f>'Blind Scoring'!J1327</x:f>
        <x:v>No</x:v>
      </x:c>
      <x:c r="U1327" s="31" t="str">
        <x:f>IF('Blind Scoring'!L1327="","",'Blind Scoring'!L1327)</x:f>
      </x:c>
    </x:row>
    <x:row r="1328" ht="44" customHeight="1">
      <x:c r="A1328" s="35" t="str">
        <x:v>Not Started</x:v>
      </x:c>
      <x:c r="B1328" s="35" t="n">
        <x:v>1326</x:v>
      </x:c>
      <x:c r="C1328" s="35" t="str">
        <x:v>P22</x:v>
      </x:c>
      <x:c r="D1328" s="35" t="n">
        <x:v>25</x:v>
      </x:c>
      <x:c r="E1328" s="35" t="str">
        <x:v>Primary VLA</x:v>
      </x:c>
      <x:c r="F1328" s="35" t="str">
        <x:v>π0.5</x:v>
      </x:c>
      <x:c r="G1328" s="35" t="n">
        <x:v>3</x:v>
      </x:c>
      <x:c r="H1328" s="35" t="str">
        <x:v>Counting</x:v>
      </x:c>
      <x:c r="I1328" s="35" t="str">
        <x:v>Language ablation — blank</x:v>
      </x:c>
      <x:c r="J1328" s="35" t="str">
        <x:v>PVLA-CT-ABL-BLK-04</x:v>
      </x:c>
      <x:c r="K1328" s="35" t="str">
        <x:v>C-CF03-B</x:v>
      </x:c>
      <x:c r="L1328" s="31" t="str">
        <x:v>[EMPTY STRING — provide no instruction tokens]</x:v>
      </x:c>
      <x:c r="M1328" s="31" t="str">
        <x:v>Leave exactly three objects in the bowl.</x:v>
      </x:c>
      <x:c r="N1328" s="31" t="str">
        <x:v>C-CF03B: bowl=[green pencil sharpener, airplane toy without propellers] (2); table=[blue pen, yellow block]; robot home; acceptable action=add either table object.</x:v>
      </x:c>
      <x:c r="O1328" s="31" t="str">
        <x:v>No prespecified task success under blank language; record any action/selected target.</x:v>
      </x:c>
      <x:c r="P1328" s="31" t="str"/>
      <x:c r="Q1328" s="31" t="str"/>
      <x:c r="R1328" s="31" t="str"/>
      <x:c r="S1328" s="31" t="str">
        <x:f>IF('Blind Scoring'!I1328="","",'Blind Scoring'!I1328)</x:f>
      </x:c>
      <x:c r="T1328" s="31" t="str">
        <x:f>'Blind Scoring'!J1328</x:f>
        <x:v>No</x:v>
      </x:c>
      <x:c r="U1328" s="31" t="str">
        <x:f>IF('Blind Scoring'!L1328="","",'Blind Scoring'!L1328)</x:f>
      </x:c>
    </x:row>
    <x:row r="1329" ht="44" customHeight="1">
      <x:c r="A1329" s="35" t="str">
        <x:v>Not Started</x:v>
      </x:c>
      <x:c r="B1329" s="35" t="n">
        <x:v>1327</x:v>
      </x:c>
      <x:c r="C1329" s="35" t="str">
        <x:v>P22</x:v>
      </x:c>
      <x:c r="D1329" s="35" t="n">
        <x:v>26</x:v>
      </x:c>
      <x:c r="E1329" s="35" t="str">
        <x:v>Primary VLA</x:v>
      </x:c>
      <x:c r="F1329" s="35" t="str">
        <x:v>π0.5</x:v>
      </x:c>
      <x:c r="G1329" s="35" t="n">
        <x:v>3</x:v>
      </x:c>
      <x:c r="H1329" s="35" t="str">
        <x:v>Counting</x:v>
      </x:c>
      <x:c r="I1329" s="35" t="str">
        <x:v>Main held-out transfer</x:v>
      </x:c>
      <x:c r="J1329" s="35" t="str">
        <x:v>PVLA-CT-TR-06</x:v>
      </x:c>
      <x:c r="K1329" s="35" t="str">
        <x:v>C-CF04-B</x:v>
      </x:c>
      <x:c r="L1329" s="31" t="str">
        <x:v>Leave exactly three objects in the bowl.</x:v>
      </x:c>
      <x:c r="M1329" s="31" t="str">
        <x:v>Leave exactly three objects in the bowl.</x:v>
      </x:c>
      <x:c r="N1329" s="31" t="str">
        <x:v>C-CF04B: bowl=[airplane toy without propellers, blue pen] (2); table=[yellow block, green pencil sharpener]; robot home; acceptable action=add either table object.</x:v>
      </x:c>
      <x:c r="O1329" s="31" t="str">
        <x:v>ADD one table object</x:v>
      </x:c>
      <x:c r="P1329" s="31" t="str"/>
      <x:c r="Q1329" s="31" t="str"/>
      <x:c r="R1329" s="31" t="str"/>
      <x:c r="S1329" s="31" t="str">
        <x:f>IF('Blind Scoring'!I1329="","",'Blind Scoring'!I1329)</x:f>
      </x:c>
      <x:c r="T1329" s="31" t="str">
        <x:f>'Blind Scoring'!J1329</x:f>
        <x:v>No</x:v>
      </x:c>
      <x:c r="U1329" s="31" t="str">
        <x:f>IF('Blind Scoring'!L1329="","",'Blind Scoring'!L1329)</x:f>
      </x:c>
    </x:row>
    <x:row r="1330" ht="44" customHeight="1">
      <x:c r="A1330" s="35" t="str">
        <x:v>Not Started</x:v>
      </x:c>
      <x:c r="B1330" s="35" t="n">
        <x:v>1328</x:v>
      </x:c>
      <x:c r="C1330" s="35" t="str">
        <x:v>P22</x:v>
      </x:c>
      <x:c r="D1330" s="35" t="n">
        <x:v>27</x:v>
      </x:c>
      <x:c r="E1330" s="35" t="str">
        <x:v>Primary VLA</x:v>
      </x:c>
      <x:c r="F1330" s="35" t="str">
        <x:v>π0.5</x:v>
      </x:c>
      <x:c r="G1330" s="35" t="n">
        <x:v>3</x:v>
      </x:c>
      <x:c r="H1330" s="35" t="str">
        <x:v>Counting</x:v>
      </x:c>
      <x:c r="I1330" s="35" t="str">
        <x:v>Main held-out transfer</x:v>
      </x:c>
      <x:c r="J1330" s="35" t="str">
        <x:v>PVLA-CT-TR-04</x:v>
      </x:c>
      <x:c r="K1330" s="35" t="str">
        <x:v>C-CF03-B</x:v>
      </x:c>
      <x:c r="L1330" s="31" t="str">
        <x:v>Leave exactly three objects in the bowl.</x:v>
      </x:c>
      <x:c r="M1330" s="31" t="str">
        <x:v>Leave exactly three objects in the bowl.</x:v>
      </x:c>
      <x:c r="N1330" s="31" t="str">
        <x:v>C-CF03B: bowl=[green pencil sharpener, airplane toy without propellers] (2); table=[blue pen, yellow block]; robot home; acceptable action=add either table object.</x:v>
      </x:c>
      <x:c r="O1330" s="31" t="str">
        <x:v>ADD one table object</x:v>
      </x:c>
      <x:c r="P1330" s="31" t="str"/>
      <x:c r="Q1330" s="31" t="str"/>
      <x:c r="R1330" s="31" t="str"/>
      <x:c r="S1330" s="31" t="str">
        <x:f>IF('Blind Scoring'!I1330="","",'Blind Scoring'!I1330)</x:f>
      </x:c>
      <x:c r="T1330" s="31" t="str">
        <x:f>'Blind Scoring'!J1330</x:f>
        <x:v>No</x:v>
      </x:c>
      <x:c r="U1330" s="31" t="str">
        <x:f>IF('Blind Scoring'!L1330="","",'Blind Scoring'!L1330)</x:f>
      </x:c>
    </x:row>
    <x:row r="1331" ht="44" customHeight="1">
      <x:c r="A1331" s="35" t="str">
        <x:v>Not Started</x:v>
      </x:c>
      <x:c r="B1331" s="35" t="n">
        <x:v>1329</x:v>
      </x:c>
      <x:c r="C1331" s="35" t="str">
        <x:v>P22</x:v>
      </x:c>
      <x:c r="D1331" s="35" t="n">
        <x:v>28</x:v>
      </x:c>
      <x:c r="E1331" s="35" t="str">
        <x:v>Primary VLA</x:v>
      </x:c>
      <x:c r="F1331" s="35" t="str">
        <x:v>π0.5</x:v>
      </x:c>
      <x:c r="G1331" s="35" t="n">
        <x:v>3</x:v>
      </x:c>
      <x:c r="H1331" s="35" t="str">
        <x:v>Counting</x:v>
      </x:c>
      <x:c r="I1331" s="35" t="str">
        <x:v>Main matched control</x:v>
      </x:c>
      <x:c r="J1331" s="35" t="str">
        <x:v>PVLA-CT-CTL-02</x:v>
      </x:c>
      <x:c r="K1331" s="35" t="str">
        <x:v>C-CF01-B</x:v>
      </x:c>
      <x:c r="L1331" s="31" t="str">
        <x:v>Put the green pencil sharpener in the bowl.</x:v>
      </x:c>
      <x:c r="M1331" s="31" t="str">
        <x:v>Put the green pencil sharpener in the bowl.</x:v>
      </x:c>
      <x:c r="N1331" s="31" t="str">
        <x:v>C-CF01-CB: bowl=[blue pen, yellow block] (2); table=[green pencil sharpener, airplane toy without propellers]; robot home; acceptable action=add either table object.</x:v>
      </x:c>
      <x:c r="O1331" s="31" t="str">
        <x:v>ADD green pencil sharpener</x:v>
      </x:c>
      <x:c r="P1331" s="31" t="str"/>
      <x:c r="Q1331" s="31" t="str"/>
      <x:c r="R1331" s="31" t="str"/>
      <x:c r="S1331" s="31" t="str">
        <x:f>IF('Blind Scoring'!I1331="","",'Blind Scoring'!I1331)</x:f>
      </x:c>
      <x:c r="T1331" s="31" t="str">
        <x:f>'Blind Scoring'!J1331</x:f>
        <x:v>No</x:v>
      </x:c>
      <x:c r="U1331" s="31" t="str">
        <x:f>IF('Blind Scoring'!L1331="","",'Blind Scoring'!L1331)</x:f>
      </x:c>
    </x:row>
    <x:row r="1332" ht="44" customHeight="1">
      <x:c r="A1332" s="35" t="str">
        <x:v>Not Started</x:v>
      </x:c>
      <x:c r="B1332" s="35" t="n">
        <x:v>1330</x:v>
      </x:c>
      <x:c r="C1332" s="35" t="str">
        <x:v>P22</x:v>
      </x:c>
      <x:c r="D1332" s="35" t="n">
        <x:v>29</x:v>
      </x:c>
      <x:c r="E1332" s="35" t="str">
        <x:v>Primary VLA</x:v>
      </x:c>
      <x:c r="F1332" s="35" t="str">
        <x:v>π0.5</x:v>
      </x:c>
      <x:c r="G1332" s="35" t="n">
        <x:v>3</x:v>
      </x:c>
      <x:c r="H1332" s="35" t="str">
        <x:v>Counting</x:v>
      </x:c>
      <x:c r="I1332" s="35" t="str">
        <x:v>Novel layout + seen language</x:v>
      </x:c>
      <x:c r="J1332" s="35" t="str">
        <x:v>PVLA-CT-NOV-06</x:v>
      </x:c>
      <x:c r="K1332" s="35" t="str"/>
      <x:c r="L1332" s="31" t="str">
        <x:v>Adjust the bowl so that it contains zero objects.</x:v>
      </x:c>
      <x:c r="M1332" s="31" t="str">
        <x:v>Adjust the bowl so that it contains zero objects.</x:v>
      </x:c>
      <x:c r="N1332" s="31" t="str">
        <x:v>C-N15: bowl=[blue pen] (1); table left→right=[yellow block, green pencil sharpener, airplane toy without propellers]; robot home.</x:v>
      </x:c>
      <x:c r="O1332" s="31" t="str"/>
      <x:c r="P1332" s="31" t="str"/>
      <x:c r="Q1332" s="31" t="str"/>
      <x:c r="R1332" s="31" t="str"/>
      <x:c r="S1332" s="31" t="str">
        <x:f>IF('Blind Scoring'!I1332="","",'Blind Scoring'!I1332)</x:f>
      </x:c>
      <x:c r="T1332" s="31" t="str">
        <x:f>'Blind Scoring'!J1332</x:f>
        <x:v>No</x:v>
      </x:c>
      <x:c r="U1332" s="31" t="str">
        <x:f>IF('Blind Scoring'!L1332="","",'Blind Scoring'!L1332)</x:f>
      </x:c>
    </x:row>
    <x:row r="1333" ht="44" customHeight="1">
      <x:c r="A1333" s="35" t="str">
        <x:v>Not Started</x:v>
      </x:c>
      <x:c r="B1333" s="35" t="n">
        <x:v>1331</x:v>
      </x:c>
      <x:c r="C1333" s="35" t="str">
        <x:v>P22</x:v>
      </x:c>
      <x:c r="D1333" s="35" t="n">
        <x:v>30</x:v>
      </x:c>
      <x:c r="E1333" s="35" t="str">
        <x:v>Primary VLA</x:v>
      </x:c>
      <x:c r="F1333" s="35" t="str">
        <x:v>π0.5</x:v>
      </x:c>
      <x:c r="G1333" s="35" t="n">
        <x:v>3</x:v>
      </x:c>
      <x:c r="H1333" s="35" t="str">
        <x:v>Counting</x:v>
      </x:c>
      <x:c r="I1333" s="35" t="str">
        <x:v>Novel layout + seen language</x:v>
      </x:c>
      <x:c r="J1333" s="35" t="str">
        <x:v>PVLA-CT-NOV-03</x:v>
      </x:c>
      <x:c r="K1333" s="35" t="str"/>
      <x:c r="L1333" s="31" t="str">
        <x:v>Adjust the bowl so that it contains two objects.</x:v>
      </x:c>
      <x:c r="M1333" s="31" t="str">
        <x:v>Adjust the bowl so that it contains two objects.</x:v>
      </x:c>
      <x:c r="N1333" s="31" t="str">
        <x:v>C-N06: bowl=[yellow block, green pencil sharpener, airplane toy without propellers] (3); table left→right=[blue pen]; robot home.</x:v>
      </x:c>
      <x:c r="O1333" s="31" t="str"/>
      <x:c r="P1333" s="31" t="str"/>
      <x:c r="Q1333" s="31" t="str"/>
      <x:c r="R1333" s="31" t="str"/>
      <x:c r="S1333" s="31" t="str">
        <x:f>IF('Blind Scoring'!I1333="","",'Blind Scoring'!I1333)</x:f>
      </x:c>
      <x:c r="T1333" s="31" t="str">
        <x:f>'Blind Scoring'!J1333</x:f>
        <x:v>No</x:v>
      </x:c>
      <x:c r="U1333" s="31" t="str">
        <x:f>IF('Blind Scoring'!L1333="","",'Blind Scoring'!L1333)</x:f>
      </x:c>
    </x:row>
    <x:row r="1334" ht="44" customHeight="1">
      <x:c r="A1334" s="35" t="str">
        <x:v>Not Started</x:v>
      </x:c>
      <x:c r="B1334" s="35" t="n">
        <x:v>1332</x:v>
      </x:c>
      <x:c r="C1334" s="35" t="str">
        <x:v>P22</x:v>
      </x:c>
      <x:c r="D1334" s="35" t="n">
        <x:v>31</x:v>
      </x:c>
      <x:c r="E1334" s="35" t="str">
        <x:v>Primary VLA</x:v>
      </x:c>
      <x:c r="F1334" s="35" t="str">
        <x:v>π0.5</x:v>
      </x:c>
      <x:c r="G1334" s="35" t="n">
        <x:v>3</x:v>
      </x:c>
      <x:c r="H1334" s="35" t="str">
        <x:v>Counting</x:v>
      </x:c>
      <x:c r="I1334" s="35" t="str">
        <x:v>Exact-scene paraphrase</x:v>
      </x:c>
      <x:c r="J1334" s="35" t="str">
        <x:v>PVLA-CT-PAR-01</x:v>
      </x:c>
      <x:c r="K1334" s="35" t="str"/>
      <x:c r="L1334" s="31" t="str">
        <x:v>Finish with two objects in the bowl.</x:v>
      </x:c>
      <x:c r="M1334" s="31" t="str">
        <x:v>Finish with two objects in the bowl.</x:v>
      </x:c>
      <x:c r="N1334" s="31" t="str">
        <x:v>C-N01: bowl=[blue pen] (1); table left→right=[yellow block, green pencil sharpener, airplane toy without propellers]; robot home.</x:v>
      </x:c>
      <x:c r="O1334" s="31" t="str"/>
      <x:c r="P1334" s="31" t="str"/>
      <x:c r="Q1334" s="31" t="str"/>
      <x:c r="R1334" s="31" t="str"/>
      <x:c r="S1334" s="31" t="str">
        <x:f>IF('Blind Scoring'!I1334="","",'Blind Scoring'!I1334)</x:f>
      </x:c>
      <x:c r="T1334" s="31" t="str">
        <x:f>'Blind Scoring'!J1334</x:f>
        <x:v>No</x:v>
      </x:c>
      <x:c r="U1334" s="31" t="str">
        <x:f>IF('Blind Scoring'!L1334="","",'Blind Scoring'!L1334)</x:f>
      </x:c>
    </x:row>
    <x:row r="1335" ht="44" customHeight="1">
      <x:c r="A1335" s="35" t="str">
        <x:v>Not Started</x:v>
      </x:c>
      <x:c r="B1335" s="35" t="n">
        <x:v>1333</x:v>
      </x:c>
      <x:c r="C1335" s="35" t="str">
        <x:v>P22</x:v>
      </x:c>
      <x:c r="D1335" s="35" t="n">
        <x:v>32</x:v>
      </x:c>
      <x:c r="E1335" s="35" t="str">
        <x:v>Primary VLA</x:v>
      </x:c>
      <x:c r="F1335" s="35" t="str">
        <x:v>π0.5</x:v>
      </x:c>
      <x:c r="G1335" s="35" t="n">
        <x:v>3</x:v>
      </x:c>
      <x:c r="H1335" s="35" t="str">
        <x:v>Counting</x:v>
      </x:c>
      <x:c r="I1335" s="35" t="str">
        <x:v>Main held-out transfer</x:v>
      </x:c>
      <x:c r="J1335" s="35" t="str">
        <x:v>PVLA-CT-TR-03</x:v>
      </x:c>
      <x:c r="K1335" s="35" t="str">
        <x:v>C-CF03-A</x:v>
      </x:c>
      <x:c r="L1335" s="31" t="str">
        <x:v>Leave exactly one object in the bowl.</x:v>
      </x:c>
      <x:c r="M1335" s="31" t="str">
        <x:v>Leave exactly one object in the bowl.</x:v>
      </x:c>
      <x:c r="N1335" s="31" t="str">
        <x:v>C-CF03A: bowl=[green pencil sharpener, airplane toy without propellers] (2); table=[blue pen, yellow block]; robot home; acceptable action=remove either bowl object.</x:v>
      </x:c>
      <x:c r="O1335" s="31" t="str">
        <x:v>REMOVE one bowl object</x:v>
      </x:c>
      <x:c r="P1335" s="31" t="str"/>
      <x:c r="Q1335" s="31" t="str"/>
      <x:c r="R1335" s="31" t="str"/>
      <x:c r="S1335" s="31" t="str">
        <x:f>IF('Blind Scoring'!I1335="","",'Blind Scoring'!I1335)</x:f>
      </x:c>
      <x:c r="T1335" s="31" t="str">
        <x:f>'Blind Scoring'!J1335</x:f>
        <x:v>No</x:v>
      </x:c>
      <x:c r="U1335" s="31" t="str">
        <x:f>IF('Blind Scoring'!L1335="","",'Blind Scoring'!L1335)</x:f>
      </x:c>
    </x:row>
    <x:row r="1336" ht="44" customHeight="1">
      <x:c r="A1336" s="35" t="str">
        <x:v>Not Started</x:v>
      </x:c>
      <x:c r="B1336" s="35" t="n">
        <x:v>1334</x:v>
      </x:c>
      <x:c r="C1336" s="35" t="str">
        <x:v>P22</x:v>
      </x:c>
      <x:c r="D1336" s="35" t="n">
        <x:v>33</x:v>
      </x:c>
      <x:c r="E1336" s="35" t="str">
        <x:v>Primary VLA</x:v>
      </x:c>
      <x:c r="F1336" s="35" t="str">
        <x:v>π0.5</x:v>
      </x:c>
      <x:c r="G1336" s="35" t="n">
        <x:v>3</x:v>
      </x:c>
      <x:c r="H1336" s="35" t="str">
        <x:v>Counting</x:v>
      </x:c>
      <x:c r="I1336" s="35" t="str">
        <x:v>Main held-out transfer</x:v>
      </x:c>
      <x:c r="J1336" s="35" t="str">
        <x:v>PVLA-CT-TR-09</x:v>
      </x:c>
      <x:c r="K1336" s="35" t="str">
        <x:v>C-CF07-A</x:v>
      </x:c>
      <x:c r="L1336" s="31" t="str">
        <x:v>Leave exactly one object in the bowl.</x:v>
      </x:c>
      <x:c r="M1336" s="31" t="str">
        <x:v>Leave exactly one object in the bowl.</x:v>
      </x:c>
      <x:c r="N1336" s="31" t="str">
        <x:v>C-CF07A: bowl=[green pencil sharpener, airplane toy without propellers] (2); table=[blue pen, yellow block]; robot home; acceptable action=remove either bowl object.</x:v>
      </x:c>
      <x:c r="O1336" s="31" t="str">
        <x:v>REMOVE one bowl object</x:v>
      </x:c>
      <x:c r="P1336" s="31" t="str"/>
      <x:c r="Q1336" s="31" t="str"/>
      <x:c r="R1336" s="31" t="str"/>
      <x:c r="S1336" s="31" t="str">
        <x:f>IF('Blind Scoring'!I1336="","",'Blind Scoring'!I1336)</x:f>
      </x:c>
      <x:c r="T1336" s="31" t="str">
        <x:f>'Blind Scoring'!J1336</x:f>
        <x:v>No</x:v>
      </x:c>
      <x:c r="U1336" s="31" t="str">
        <x:f>IF('Blind Scoring'!L1336="","",'Blind Scoring'!L1336)</x:f>
      </x:c>
    </x:row>
    <x:row r="1337" ht="44" customHeight="1">
      <x:c r="A1337" s="35" t="str">
        <x:v>Not Started</x:v>
      </x:c>
      <x:c r="B1337" s="35" t="n">
        <x:v>1335</x:v>
      </x:c>
      <x:c r="C1337" s="35" t="str">
        <x:v>P22</x:v>
      </x:c>
      <x:c r="D1337" s="35" t="n">
        <x:v>34</x:v>
      </x:c>
      <x:c r="E1337" s="35" t="str">
        <x:v>Primary VLA</x:v>
      </x:c>
      <x:c r="F1337" s="35" t="str">
        <x:v>π0.5</x:v>
      </x:c>
      <x:c r="G1337" s="35" t="n">
        <x:v>3</x:v>
      </x:c>
      <x:c r="H1337" s="35" t="str">
        <x:v>Counting</x:v>
      </x:c>
      <x:c r="I1337" s="35" t="str">
        <x:v>Main held-out transfer</x:v>
      </x:c>
      <x:c r="J1337" s="35" t="str">
        <x:v>PVLA-CT-TR-07</x:v>
      </x:c>
      <x:c r="K1337" s="35" t="str">
        <x:v>C-CF06-A</x:v>
      </x:c>
      <x:c r="L1337" s="31" t="str">
        <x:v>Leave exactly one object in the bowl.</x:v>
      </x:c>
      <x:c r="M1337" s="31" t="str">
        <x:v>Leave exactly one object in the bowl.</x:v>
      </x:c>
      <x:c r="N1337" s="31" t="str">
        <x:v>C-CF06A: bowl=[yellow block, green pencil sharpener] (2); table=[airplane toy without propellers, blue pen]; robot home; acceptable action=remove either bowl object.</x:v>
      </x:c>
      <x:c r="O1337" s="31" t="str">
        <x:v>REMOVE one bowl object</x:v>
      </x:c>
      <x:c r="P1337" s="31" t="str"/>
      <x:c r="Q1337" s="31" t="str"/>
      <x:c r="R1337" s="31" t="str"/>
      <x:c r="S1337" s="31" t="str">
        <x:f>IF('Blind Scoring'!I1337="","",'Blind Scoring'!I1337)</x:f>
      </x:c>
      <x:c r="T1337" s="31" t="str">
        <x:f>'Blind Scoring'!J1337</x:f>
        <x:v>No</x:v>
      </x:c>
      <x:c r="U1337" s="31" t="str">
        <x:f>IF('Blind Scoring'!L1337="","",'Blind Scoring'!L1337)</x:f>
      </x:c>
    </x:row>
    <x:row r="1338" ht="44" customHeight="1">
      <x:c r="A1338" s="35" t="str">
        <x:v>Not Started</x:v>
      </x:c>
      <x:c r="B1338" s="35" t="n">
        <x:v>1336</x:v>
      </x:c>
      <x:c r="C1338" s="35" t="str">
        <x:v>P22</x:v>
      </x:c>
      <x:c r="D1338" s="35" t="n">
        <x:v>35</x:v>
      </x:c>
      <x:c r="E1338" s="35" t="str">
        <x:v>Primary VLA</x:v>
      </x:c>
      <x:c r="F1338" s="35" t="str">
        <x:v>π0.5</x:v>
      </x:c>
      <x:c r="G1338" s="35" t="n">
        <x:v>3</x:v>
      </x:c>
      <x:c r="H1338" s="35" t="str">
        <x:v>Counting</x:v>
      </x:c>
      <x:c r="I1338" s="35" t="str">
        <x:v>Main matched control</x:v>
      </x:c>
      <x:c r="J1338" s="35" t="str">
        <x:v>PVLA-CT-CTL-04</x:v>
      </x:c>
      <x:c r="K1338" s="35" t="str">
        <x:v>C-CF03-B</x:v>
      </x:c>
      <x:c r="L1338" s="31" t="str">
        <x:v>Put the blue pen in the bowl.</x:v>
      </x:c>
      <x:c r="M1338" s="31" t="str">
        <x:v>Put the blue pen in the bowl.</x:v>
      </x:c>
      <x:c r="N1338" s="31" t="str">
        <x:v>C-CF03-CB: bowl=[green pencil sharpener, airplane toy without propellers] (2); table=[blue pen, yellow block]; robot home; acceptable action=add either table object.</x:v>
      </x:c>
      <x:c r="O1338" s="31" t="str">
        <x:v>ADD blue pen</x:v>
      </x:c>
      <x:c r="P1338" s="31" t="str"/>
      <x:c r="Q1338" s="31" t="str"/>
      <x:c r="R1338" s="31" t="str"/>
      <x:c r="S1338" s="31" t="str">
        <x:f>IF('Blind Scoring'!I1338="","",'Blind Scoring'!I1338)</x:f>
      </x:c>
      <x:c r="T1338" s="31" t="str">
        <x:f>'Blind Scoring'!J1338</x:f>
        <x:v>No</x:v>
      </x:c>
      <x:c r="U1338" s="31" t="str">
        <x:f>IF('Blind Scoring'!L1338="","",'Blind Scoring'!L1338)</x:f>
      </x:c>
    </x:row>
    <x:row r="1339" ht="44" customHeight="1">
      <x:c r="A1339" s="35" t="str">
        <x:v>Not Started</x:v>
      </x:c>
      <x:c r="B1339" s="35" t="n">
        <x:v>1337</x:v>
      </x:c>
      <x:c r="C1339" s="35" t="str">
        <x:v>P22</x:v>
      </x:c>
      <x:c r="D1339" s="35" t="n">
        <x:v>36</x:v>
      </x:c>
      <x:c r="E1339" s="35" t="str">
        <x:v>Primary VLA</x:v>
      </x:c>
      <x:c r="F1339" s="35" t="str">
        <x:v>π0.5</x:v>
      </x:c>
      <x:c r="G1339" s="35" t="n">
        <x:v>3</x:v>
      </x:c>
      <x:c r="H1339" s="35" t="str">
        <x:v>Counting</x:v>
      </x:c>
      <x:c r="I1339" s="35" t="str">
        <x:v>Exact-scene paraphrase</x:v>
      </x:c>
      <x:c r="J1339" s="35" t="str">
        <x:v>PVLA-CT-PAR-06</x:v>
      </x:c>
      <x:c r="K1339" s="35" t="str"/>
      <x:c r="L1339" s="31" t="str">
        <x:v>Finish with two objects in the bowl.</x:v>
      </x:c>
      <x:c r="M1339" s="31" t="str">
        <x:v>Finish with two objects in the bowl.</x:v>
      </x:c>
      <x:c r="N1339" s="31" t="str">
        <x:v>C-N01: bowl=[blue pen] (1); table left→right=[yellow block, green pencil sharpener, airplane toy without propellers]; robot home.</x:v>
      </x:c>
      <x:c r="O1339" s="31" t="str"/>
      <x:c r="P1339" s="31" t="str"/>
      <x:c r="Q1339" s="31" t="str"/>
      <x:c r="R1339" s="31" t="str"/>
      <x:c r="S1339" s="31" t="str">
        <x:f>IF('Blind Scoring'!I1339="","",'Blind Scoring'!I1339)</x:f>
      </x:c>
      <x:c r="T1339" s="31" t="str">
        <x:f>'Blind Scoring'!J1339</x:f>
        <x:v>No</x:v>
      </x:c>
      <x:c r="U1339" s="31" t="str">
        <x:f>IF('Blind Scoring'!L1339="","",'Blind Scoring'!L1339)</x:f>
      </x:c>
    </x:row>
    <x:row r="1340" ht="44" customHeight="1">
      <x:c r="A1340" s="35" t="str">
        <x:v>Not Started</x:v>
      </x:c>
      <x:c r="B1340" s="35" t="n">
        <x:v>1338</x:v>
      </x:c>
      <x:c r="C1340" s="35" t="str">
        <x:v>P22</x:v>
      </x:c>
      <x:c r="D1340" s="35" t="n">
        <x:v>37</x:v>
      </x:c>
      <x:c r="E1340" s="35" t="str">
        <x:v>Primary VLA</x:v>
      </x:c>
      <x:c r="F1340" s="35" t="str">
        <x:v>π0.5</x:v>
      </x:c>
      <x:c r="G1340" s="35" t="n">
        <x:v>3</x:v>
      </x:c>
      <x:c r="H1340" s="35" t="str">
        <x:v>Counting</x:v>
      </x:c>
      <x:c r="I1340" s="35" t="str">
        <x:v>Main held-out transfer</x:v>
      </x:c>
      <x:c r="J1340" s="35" t="str">
        <x:v>PVLA-CT-TR-02</x:v>
      </x:c>
      <x:c r="K1340" s="35" t="str">
        <x:v>C-CF01-B</x:v>
      </x:c>
      <x:c r="L1340" s="31" t="str">
        <x:v>Leave exactly three objects in the bowl.</x:v>
      </x:c>
      <x:c r="M1340" s="31" t="str">
        <x:v>Leave exactly three objects in the bowl.</x:v>
      </x:c>
      <x:c r="N1340" s="31" t="str">
        <x:v>C-CF01B: bowl=[blue pen, yellow block] (2); table=[green pencil sharpener, airplane toy without propellers]; robot home; acceptable action=add either table object.</x:v>
      </x:c>
      <x:c r="O1340" s="31" t="str">
        <x:v>ADD one table object</x:v>
      </x:c>
      <x:c r="P1340" s="31" t="str"/>
      <x:c r="Q1340" s="31" t="str"/>
      <x:c r="R1340" s="31" t="str"/>
      <x:c r="S1340" s="31" t="str">
        <x:f>IF('Blind Scoring'!I1340="","",'Blind Scoring'!I1340)</x:f>
      </x:c>
      <x:c r="T1340" s="31" t="str">
        <x:f>'Blind Scoring'!J1340</x:f>
        <x:v>No</x:v>
      </x:c>
      <x:c r="U1340" s="31" t="str">
        <x:f>IF('Blind Scoring'!L1340="","",'Blind Scoring'!L1340)</x:f>
      </x:c>
    </x:row>
    <x:row r="1341" ht="44" customHeight="1">
      <x:c r="A1341" s="35" t="str">
        <x:v>Not Started</x:v>
      </x:c>
      <x:c r="B1341" s="35" t="n">
        <x:v>1339</x:v>
      </x:c>
      <x:c r="C1341" s="35" t="str">
        <x:v>P22</x:v>
      </x:c>
      <x:c r="D1341" s="35" t="n">
        <x:v>38</x:v>
      </x:c>
      <x:c r="E1341" s="35" t="str">
        <x:v>Primary VLA</x:v>
      </x:c>
      <x:c r="F1341" s="35" t="str">
        <x:v>π0.5</x:v>
      </x:c>
      <x:c r="G1341" s="35" t="n">
        <x:v>3</x:v>
      </x:c>
      <x:c r="H1341" s="35" t="str">
        <x:v>Counting</x:v>
      </x:c>
      <x:c r="I1341" s="35" t="str">
        <x:v>Novel layout + seen language</x:v>
      </x:c>
      <x:c r="J1341" s="35" t="str">
        <x:v>PVLA-CT-NOV-08</x:v>
      </x:c>
      <x:c r="K1341" s="35" t="str"/>
      <x:c r="L1341" s="31" t="str">
        <x:v>Make the bowl contain exactly zero objects.</x:v>
      </x:c>
      <x:c r="M1341" s="31" t="str">
        <x:v>Make the bowl contain exactly zero objects.</x:v>
      </x:c>
      <x:c r="N1341" s="31" t="str">
        <x:v>C-N20: bowl=[yellow block] (1); table left→right=[green pencil sharpener, airplane toy without propellers, blue pen]; robot home.</x:v>
      </x:c>
      <x:c r="O1341" s="31" t="str"/>
      <x:c r="P1341" s="31" t="str"/>
      <x:c r="Q1341" s="31" t="str"/>
      <x:c r="R1341" s="31" t="str"/>
      <x:c r="S1341" s="31" t="str">
        <x:f>IF('Blind Scoring'!I1341="","",'Blind Scoring'!I1341)</x:f>
      </x:c>
      <x:c r="T1341" s="31" t="str">
        <x:f>'Blind Scoring'!J1341</x:f>
        <x:v>No</x:v>
      </x:c>
      <x:c r="U1341" s="31" t="str">
        <x:f>IF('Blind Scoring'!L1341="","",'Blind Scoring'!L1341)</x:f>
      </x:c>
    </x:row>
    <x:row r="1342" ht="44" customHeight="1">
      <x:c r="A1342" s="35" t="str">
        <x:v>Not Started</x:v>
      </x:c>
      <x:c r="B1342" s="35" t="n">
        <x:v>1340</x:v>
      </x:c>
      <x:c r="C1342" s="35" t="str">
        <x:v>P22</x:v>
      </x:c>
      <x:c r="D1342" s="35" t="n">
        <x:v>39</x:v>
      </x:c>
      <x:c r="E1342" s="35" t="str">
        <x:v>Primary VLA</x:v>
      </x:c>
      <x:c r="F1342" s="35" t="str">
        <x:v>π0.5</x:v>
      </x:c>
      <x:c r="G1342" s="35" t="n">
        <x:v>3</x:v>
      </x:c>
      <x:c r="H1342" s="35" t="str">
        <x:v>Counting</x:v>
      </x:c>
      <x:c r="I1342" s="35" t="str">
        <x:v>Main matched control</x:v>
      </x:c>
      <x:c r="J1342" s="35" t="str">
        <x:v>PVLA-CT-CTL-14</x:v>
      </x:c>
      <x:c r="K1342" s="35" t="str">
        <x:v>C-CF10-B</x:v>
      </x:c>
      <x:c r="L1342" s="31" t="str">
        <x:v>Put the airplane toy without propellers in the bowl.</x:v>
      </x:c>
      <x:c r="M1342" s="31" t="str">
        <x:v>Put the airplane toy without propellers in the bowl.</x:v>
      </x:c>
      <x:c r="N1342" s="31" t="str">
        <x:v>C-CF10-CB: bowl=[yellow block, green pencil sharpener] (2); table=[airplane toy without propellers, blue pen]; robot home; acceptable action=add either table object.</x:v>
      </x:c>
      <x:c r="O1342" s="31" t="str">
        <x:v>ADD airplane toy without propellers</x:v>
      </x:c>
      <x:c r="P1342" s="31" t="str"/>
      <x:c r="Q1342" s="31" t="str"/>
      <x:c r="R1342" s="31" t="str"/>
      <x:c r="S1342" s="31" t="str">
        <x:f>IF('Blind Scoring'!I1342="","",'Blind Scoring'!I1342)</x:f>
      </x:c>
      <x:c r="T1342" s="31" t="str">
        <x:f>'Blind Scoring'!J1342</x:f>
        <x:v>No</x:v>
      </x:c>
      <x:c r="U1342" s="31" t="str">
        <x:f>IF('Blind Scoring'!L1342="","",'Blind Scoring'!L1342)</x:f>
      </x:c>
    </x:row>
    <x:row r="1343" ht="44" customHeight="1">
      <x:c r="A1343" s="35" t="str">
        <x:v>Not Started</x:v>
      </x:c>
      <x:c r="B1343" s="35" t="n">
        <x:v>1341</x:v>
      </x:c>
      <x:c r="C1343" s="35" t="str">
        <x:v>P22</x:v>
      </x:c>
      <x:c r="D1343" s="35" t="n">
        <x:v>40</x:v>
      </x:c>
      <x:c r="E1343" s="35" t="str">
        <x:v>Primary VLA</x:v>
      </x:c>
      <x:c r="F1343" s="35" t="str">
        <x:v>π0.5</x:v>
      </x:c>
      <x:c r="G1343" s="35" t="n">
        <x:v>3</x:v>
      </x:c>
      <x:c r="H1343" s="35" t="str">
        <x:v>Counting</x:v>
      </x:c>
      <x:c r="I1343" s="35" t="str">
        <x:v>Exact-scene paraphrase</x:v>
      </x:c>
      <x:c r="J1343" s="35" t="str">
        <x:v>PVLA-CT-PAR-05</x:v>
      </x:c>
      <x:c r="K1343" s="35" t="str"/>
      <x:c r="L1343" s="31" t="str">
        <x:v>Finish with two objects in the bowl.</x:v>
      </x:c>
      <x:c r="M1343" s="31" t="str">
        <x:v>Finish with two objects in the bowl.</x:v>
      </x:c>
      <x:c r="N1343" s="31" t="str">
        <x:v>C-N01: bowl=[blue pen] (1); table left→right=[yellow block, green pencil sharpener, airplane toy without propellers]; robot home.</x:v>
      </x:c>
      <x:c r="O1343" s="31" t="str"/>
      <x:c r="P1343" s="31" t="str"/>
      <x:c r="Q1343" s="31" t="str"/>
      <x:c r="R1343" s="31" t="str"/>
      <x:c r="S1343" s="31" t="str">
        <x:f>IF('Blind Scoring'!I1343="","",'Blind Scoring'!I1343)</x:f>
      </x:c>
      <x:c r="T1343" s="31" t="str">
        <x:f>'Blind Scoring'!J1343</x:f>
        <x:v>No</x:v>
      </x:c>
      <x:c r="U1343" s="31" t="str">
        <x:f>IF('Blind Scoring'!L1343="","",'Blind Scoring'!L1343)</x:f>
      </x:c>
    </x:row>
    <x:row r="1344" ht="44" customHeight="1">
      <x:c r="A1344" s="35" t="str">
        <x:v>Not Started</x:v>
      </x:c>
      <x:c r="B1344" s="35" t="n">
        <x:v>1342</x:v>
      </x:c>
      <x:c r="C1344" s="35" t="str">
        <x:v>P22</x:v>
      </x:c>
      <x:c r="D1344" s="35" t="n">
        <x:v>41</x:v>
      </x:c>
      <x:c r="E1344" s="35" t="str">
        <x:v>Primary VLA</x:v>
      </x:c>
      <x:c r="F1344" s="35" t="str">
        <x:v>π0.5</x:v>
      </x:c>
      <x:c r="G1344" s="35" t="n">
        <x:v>3</x:v>
      </x:c>
      <x:c r="H1344" s="35" t="str">
        <x:v>Counting</x:v>
      </x:c>
      <x:c r="I1344" s="35" t="str">
        <x:v>Main matched control</x:v>
      </x:c>
      <x:c r="J1344" s="35" t="str">
        <x:v>PVLA-CT-CTL-01</x:v>
      </x:c>
      <x:c r="K1344" s="35" t="str">
        <x:v>C-CF01-A</x:v>
      </x:c>
      <x:c r="L1344" s="31" t="str">
        <x:v>Remove the blue pen from the bowl.</x:v>
      </x:c>
      <x:c r="M1344" s="31" t="str">
        <x:v>Remove the blue pen from the bowl.</x:v>
      </x:c>
      <x:c r="N1344" s="31" t="str">
        <x:v>C-CF01-CA: bowl=[blue pen, yellow block] (2); table=[green pencil sharpener, airplane toy without propellers]; robot home; acceptable action=remove either bowl object.</x:v>
      </x:c>
      <x:c r="O1344" s="31" t="str">
        <x:v>REMOVE blue pen</x:v>
      </x:c>
      <x:c r="P1344" s="31" t="str"/>
      <x:c r="Q1344" s="31" t="str"/>
      <x:c r="R1344" s="31" t="str"/>
      <x:c r="S1344" s="31" t="str">
        <x:f>IF('Blind Scoring'!I1344="","",'Blind Scoring'!I1344)</x:f>
      </x:c>
      <x:c r="T1344" s="31" t="str">
        <x:f>'Blind Scoring'!J1344</x:f>
        <x:v>No</x:v>
      </x:c>
      <x:c r="U1344" s="31" t="str">
        <x:f>IF('Blind Scoring'!L1344="","",'Blind Scoring'!L1344)</x:f>
      </x:c>
    </x:row>
    <x:row r="1345" ht="44" customHeight="1">
      <x:c r="A1345" s="35" t="str">
        <x:v>Not Started</x:v>
      </x:c>
      <x:c r="B1345" s="35" t="n">
        <x:v>1343</x:v>
      </x:c>
      <x:c r="C1345" s="35" t="str">
        <x:v>P22</x:v>
      </x:c>
      <x:c r="D1345" s="35" t="n">
        <x:v>42</x:v>
      </x:c>
      <x:c r="E1345" s="35" t="str">
        <x:v>Primary VLA</x:v>
      </x:c>
      <x:c r="F1345" s="35" t="str">
        <x:v>π0.5</x:v>
      </x:c>
      <x:c r="G1345" s="35" t="n">
        <x:v>3</x:v>
      </x:c>
      <x:c r="H1345" s="35" t="str">
        <x:v>Counting</x:v>
      </x:c>
      <x:c r="I1345" s="35" t="str">
        <x:v>Main matched control</x:v>
      </x:c>
      <x:c r="J1345" s="35" t="str">
        <x:v>PVLA-CT-CTL-05</x:v>
      </x:c>
      <x:c r="K1345" s="35" t="str">
        <x:v>C-CF04-A</x:v>
      </x:c>
      <x:c r="L1345" s="31" t="str">
        <x:v>Remove the airplane toy without propellers from the bowl.</x:v>
      </x:c>
      <x:c r="M1345" s="31" t="str">
        <x:v>Remove the airplane toy without propellers from the bowl.</x:v>
      </x:c>
      <x:c r="N1345" s="31" t="str">
        <x:v>C-CF04-CA: bowl=[airplane toy without propellers, blue pen] (2); table=[yellow block, green pencil sharpener]; robot home; acceptable action=remove either bowl object.</x:v>
      </x:c>
      <x:c r="O1345" s="31" t="str">
        <x:v>REMOVE airplane toy without propellers</x:v>
      </x:c>
      <x:c r="P1345" s="31" t="str"/>
      <x:c r="Q1345" s="31" t="str"/>
      <x:c r="R1345" s="31" t="str"/>
      <x:c r="S1345" s="31" t="str">
        <x:f>IF('Blind Scoring'!I1345="","",'Blind Scoring'!I1345)</x:f>
      </x:c>
      <x:c r="T1345" s="31" t="str">
        <x:f>'Blind Scoring'!J1345</x:f>
        <x:v>No</x:v>
      </x:c>
      <x:c r="U1345" s="31" t="str">
        <x:f>IF('Blind Scoring'!L1345="","",'Blind Scoring'!L1345)</x:f>
      </x:c>
    </x:row>
    <x:row r="1346" ht="44" customHeight="1">
      <x:c r="A1346" s="35" t="str">
        <x:v>Not Started</x:v>
      </x:c>
      <x:c r="B1346" s="35" t="n">
        <x:v>1344</x:v>
      </x:c>
      <x:c r="C1346" s="35" t="str">
        <x:v>P22</x:v>
      </x:c>
      <x:c r="D1346" s="35" t="n">
        <x:v>43</x:v>
      </x:c>
      <x:c r="E1346" s="35" t="str">
        <x:v>Primary VLA</x:v>
      </x:c>
      <x:c r="F1346" s="35" t="str">
        <x:v>π0.5</x:v>
      </x:c>
      <x:c r="G1346" s="35" t="n">
        <x:v>3</x:v>
      </x:c>
      <x:c r="H1346" s="35" t="str">
        <x:v>Counting</x:v>
      </x:c>
      <x:c r="I1346" s="35" t="str">
        <x:v>Main matched control</x:v>
      </x:c>
      <x:c r="J1346" s="35" t="str">
        <x:v>PVLA-CT-CTL-03</x:v>
      </x:c>
      <x:c r="K1346" s="35" t="str">
        <x:v>C-CF03-A</x:v>
      </x:c>
      <x:c r="L1346" s="31" t="str">
        <x:v>Remove the green pencil sharpener from the bowl.</x:v>
      </x:c>
      <x:c r="M1346" s="31" t="str">
        <x:v>Remove the green pencil sharpener from the bowl.</x:v>
      </x:c>
      <x:c r="N1346" s="31" t="str">
        <x:v>C-CF03-CA: bowl=[green pencil sharpener, airplane toy without propellers] (2); table=[blue pen, yellow block]; robot home; acceptable action=remove either bowl object.</x:v>
      </x:c>
      <x:c r="O1346" s="31" t="str">
        <x:v>REMOVE green pencil sharpener</x:v>
      </x:c>
      <x:c r="P1346" s="31" t="str"/>
      <x:c r="Q1346" s="31" t="str"/>
      <x:c r="R1346" s="31" t="str"/>
      <x:c r="S1346" s="31" t="str">
        <x:f>IF('Blind Scoring'!I1346="","",'Blind Scoring'!I1346)</x:f>
      </x:c>
      <x:c r="T1346" s="31" t="str">
        <x:f>'Blind Scoring'!J1346</x:f>
        <x:v>No</x:v>
      </x:c>
      <x:c r="U1346" s="31" t="str">
        <x:f>IF('Blind Scoring'!L1346="","",'Blind Scoring'!L1346)</x:f>
      </x:c>
    </x:row>
    <x:row r="1347" ht="44" customHeight="1">
      <x:c r="A1347" s="35" t="str">
        <x:v>Not Started</x:v>
      </x:c>
      <x:c r="B1347" s="35" t="n">
        <x:v>1345</x:v>
      </x:c>
      <x:c r="C1347" s="35" t="str">
        <x:v>P22</x:v>
      </x:c>
      <x:c r="D1347" s="35" t="n">
        <x:v>44</x:v>
      </x:c>
      <x:c r="E1347" s="35" t="str">
        <x:v>Primary VLA</x:v>
      </x:c>
      <x:c r="F1347" s="35" t="str">
        <x:v>π0.5</x:v>
      </x:c>
      <x:c r="G1347" s="35" t="n">
        <x:v>3</x:v>
      </x:c>
      <x:c r="H1347" s="35" t="str">
        <x:v>Counting</x:v>
      </x:c>
      <x:c r="I1347" s="35" t="str">
        <x:v>Exact-scene paraphrase</x:v>
      </x:c>
      <x:c r="J1347" s="35" t="str">
        <x:v>PVLA-CT-PAR-02</x:v>
      </x:c>
      <x:c r="K1347" s="35" t="str"/>
      <x:c r="L1347" s="31" t="str">
        <x:v>Finish with two objects in the bowl.</x:v>
      </x:c>
      <x:c r="M1347" s="31" t="str">
        <x:v>Finish with two objects in the bowl.</x:v>
      </x:c>
      <x:c r="N1347" s="31" t="str">
        <x:v>C-N01: bowl=[blue pen] (1); table left→right=[yellow block, green pencil sharpener, airplane toy without propellers]; robot home.</x:v>
      </x:c>
      <x:c r="O1347" s="31" t="str"/>
      <x:c r="P1347" s="31" t="str"/>
      <x:c r="Q1347" s="31" t="str"/>
      <x:c r="R1347" s="31" t="str"/>
      <x:c r="S1347" s="31" t="str">
        <x:f>IF('Blind Scoring'!I1347="","",'Blind Scoring'!I1347)</x:f>
      </x:c>
      <x:c r="T1347" s="31" t="str">
        <x:f>'Blind Scoring'!J1347</x:f>
        <x:v>No</x:v>
      </x:c>
      <x:c r="U1347" s="31" t="str">
        <x:f>IF('Blind Scoring'!L1347="","",'Blind Scoring'!L1347)</x:f>
      </x:c>
    </x:row>
    <x:row r="1348" ht="44" customHeight="1">
      <x:c r="A1348" s="35" t="str">
        <x:v>Not Started</x:v>
      </x:c>
      <x:c r="B1348" s="35" t="n">
        <x:v>1346</x:v>
      </x:c>
      <x:c r="C1348" s="35" t="str">
        <x:v>P22</x:v>
      </x:c>
      <x:c r="D1348" s="35" t="n">
        <x:v>45</x:v>
      </x:c>
      <x:c r="E1348" s="35" t="str">
        <x:v>Primary VLA</x:v>
      </x:c>
      <x:c r="F1348" s="35" t="str">
        <x:v>π0.5</x:v>
      </x:c>
      <x:c r="G1348" s="35" t="n">
        <x:v>3</x:v>
      </x:c>
      <x:c r="H1348" s="35" t="str">
        <x:v>Counting</x:v>
      </x:c>
      <x:c r="I1348" s="35" t="str">
        <x:v>Training reconstruction</x:v>
      </x:c>
      <x:c r="J1348" s="35" t="str">
        <x:v>PVLA-CT-REC-01</x:v>
      </x:c>
      <x:c r="K1348" s="35" t="str"/>
      <x:c r="L1348" s="31" t="str">
        <x:v>Move the blue pen into the bowl.</x:v>
      </x:c>
      <x:c r="M1348" s="31" t="str">
        <x:v>Move the blue pen into the bowl.</x:v>
      </x:c>
      <x:c r="N1348" s="31" t="str">
        <x:v>Reconstruct planned final training episode 800: blue pen, yellow block, green pencil sharpener, airplane toy without propellers; start=Home. Match camera, calibration, bowl pose, and object geometry exactly.</x:v>
      </x:c>
      <x:c r="O1348" s="31" t="str">
        <x:v>blue pen</x:v>
      </x:c>
      <x:c r="P1348" s="31" t="str"/>
      <x:c r="Q1348" s="31" t="str"/>
      <x:c r="R1348" s="31" t="str"/>
      <x:c r="S1348" s="31" t="str">
        <x:f>IF('Blind Scoring'!I1348="","",'Blind Scoring'!I1348)</x:f>
      </x:c>
      <x:c r="T1348" s="31" t="str">
        <x:f>'Blind Scoring'!J1348</x:f>
        <x:v>No</x:v>
      </x:c>
      <x:c r="U1348" s="31" t="str">
        <x:f>IF('Blind Scoring'!L1348="","",'Blind Scoring'!L1348)</x:f>
      </x:c>
    </x:row>
    <x:row r="1349" ht="44" customHeight="1">
      <x:c r="A1349" s="35" t="str">
        <x:v>Not Started</x:v>
      </x:c>
      <x:c r="B1349" s="35" t="n">
        <x:v>1347</x:v>
      </x:c>
      <x:c r="C1349" s="35" t="str">
        <x:v>P22</x:v>
      </x:c>
      <x:c r="D1349" s="35" t="n">
        <x:v>46</x:v>
      </x:c>
      <x:c r="E1349" s="35" t="str">
        <x:v>Primary VLA</x:v>
      </x:c>
      <x:c r="F1349" s="35" t="str">
        <x:v>π0.5</x:v>
      </x:c>
      <x:c r="G1349" s="35" t="n">
        <x:v>3</x:v>
      </x:c>
      <x:c r="H1349" s="35" t="str">
        <x:v>Counting</x:v>
      </x:c>
      <x:c r="I1349" s="35" t="str">
        <x:v>Training reconstruction</x:v>
      </x:c>
      <x:c r="J1349" s="35" t="str">
        <x:v>PVLA-CT-REC-06</x:v>
      </x:c>
      <x:c r="K1349" s="35" t="str"/>
      <x:c r="L1349" s="31" t="str">
        <x:v>Move the airplane toy without propellers into the bowl.</x:v>
      </x:c>
      <x:c r="M1349" s="31" t="str">
        <x:v>Move the airplane toy without propellers into the bowl.</x:v>
      </x:c>
      <x:c r="N1349" s="31" t="str">
        <x:v>Reconstruct planned final training episode 950: airplane toy without propellers, blue pen, yellow block, green pencil sharpener; start=Home. Match camera, calibration, bowl pose, and object geometry exactly.</x:v>
      </x:c>
      <x:c r="O1349" s="31" t="str">
        <x:v>airplane toy without propellers</x:v>
      </x:c>
      <x:c r="P1349" s="31" t="str"/>
      <x:c r="Q1349" s="31" t="str"/>
      <x:c r="R1349" s="31" t="str"/>
      <x:c r="S1349" s="31" t="str">
        <x:f>IF('Blind Scoring'!I1349="","",'Blind Scoring'!I1349)</x:f>
      </x:c>
      <x:c r="T1349" s="31" t="str">
        <x:f>'Blind Scoring'!J1349</x:f>
        <x:v>No</x:v>
      </x:c>
      <x:c r="U1349" s="31" t="str">
        <x:f>IF('Blind Scoring'!L1349="","",'Blind Scoring'!L1349)</x:f>
      </x:c>
    </x:row>
    <x:row r="1350" ht="44" customHeight="1">
      <x:c r="A1350" s="35" t="str">
        <x:v>Not Started</x:v>
      </x:c>
      <x:c r="B1350" s="35" t="n">
        <x:v>1348</x:v>
      </x:c>
      <x:c r="C1350" s="35" t="str">
        <x:v>P22</x:v>
      </x:c>
      <x:c r="D1350" s="35" t="n">
        <x:v>47</x:v>
      </x:c>
      <x:c r="E1350" s="35" t="str">
        <x:v>Primary VLA</x:v>
      </x:c>
      <x:c r="F1350" s="35" t="str">
        <x:v>π0.5</x:v>
      </x:c>
      <x:c r="G1350" s="35" t="n">
        <x:v>3</x:v>
      </x:c>
      <x:c r="H1350" s="35" t="str">
        <x:v>Counting</x:v>
      </x:c>
      <x:c r="I1350" s="35" t="str">
        <x:v>Main matched control</x:v>
      </x:c>
      <x:c r="J1350" s="35" t="str">
        <x:v>PVLA-CT-CTL-16</x:v>
      </x:c>
      <x:c r="K1350" s="35" t="str">
        <x:v>C-CF12-B</x:v>
      </x:c>
      <x:c r="L1350" s="31" t="str">
        <x:v>Put the yellow block in the bowl.</x:v>
      </x:c>
      <x:c r="M1350" s="31" t="str">
        <x:v>Put the yellow block in the bowl.</x:v>
      </x:c>
      <x:c r="N1350" s="31" t="str">
        <x:v>C-CF12-CB: bowl=[airplane toy without propellers, blue pen] (2); table=[yellow block, green pencil sharpener]; robot home; acceptable action=add either table object.</x:v>
      </x:c>
      <x:c r="O1350" s="31" t="str">
        <x:v>ADD yellow block</x:v>
      </x:c>
      <x:c r="P1350" s="31" t="str"/>
      <x:c r="Q1350" s="31" t="str"/>
      <x:c r="R1350" s="31" t="str"/>
      <x:c r="S1350" s="31" t="str">
        <x:f>IF('Blind Scoring'!I1350="","",'Blind Scoring'!I1350)</x:f>
      </x:c>
      <x:c r="T1350" s="31" t="str">
        <x:f>'Blind Scoring'!J1350</x:f>
        <x:v>No</x:v>
      </x:c>
      <x:c r="U1350" s="31" t="str">
        <x:f>IF('Blind Scoring'!L1350="","",'Blind Scoring'!L1350)</x:f>
      </x:c>
    </x:row>
    <x:row r="1351" ht="44" customHeight="1">
      <x:c r="A1351" s="35" t="str">
        <x:v>Not Started</x:v>
      </x:c>
      <x:c r="B1351" s="35" t="n">
        <x:v>1349</x:v>
      </x:c>
      <x:c r="C1351" s="35" t="str">
        <x:v>P22</x:v>
      </x:c>
      <x:c r="D1351" s="35" t="n">
        <x:v>48</x:v>
      </x:c>
      <x:c r="E1351" s="35" t="str">
        <x:v>Primary VLA</x:v>
      </x:c>
      <x:c r="F1351" s="35" t="str">
        <x:v>π0.5</x:v>
      </x:c>
      <x:c r="G1351" s="35" t="n">
        <x:v>3</x:v>
      </x:c>
      <x:c r="H1351" s="35" t="str">
        <x:v>Counting</x:v>
      </x:c>
      <x:c r="I1351" s="35" t="str">
        <x:v>Main matched control</x:v>
      </x:c>
      <x:c r="J1351" s="35" t="str">
        <x:v>PVLA-CT-CTL-09</x:v>
      </x:c>
      <x:c r="K1351" s="35" t="str">
        <x:v>C-CF07-A</x:v>
      </x:c>
      <x:c r="L1351" s="31" t="str">
        <x:v>Remove the green pencil sharpener from the bowl.</x:v>
      </x:c>
      <x:c r="M1351" s="31" t="str">
        <x:v>Remove the green pencil sharpener from the bowl.</x:v>
      </x:c>
      <x:c r="N1351" s="31" t="str">
        <x:v>C-CF07-CA: bowl=[green pencil sharpener, airplane toy without propellers] (2); table=[blue pen, yellow block]; robot home; acceptable action=remove either bowl object.</x:v>
      </x:c>
      <x:c r="O1351" s="31" t="str">
        <x:v>REMOVE green pencil sharpener</x:v>
      </x:c>
      <x:c r="P1351" s="31" t="str"/>
      <x:c r="Q1351" s="31" t="str"/>
      <x:c r="R1351" s="31" t="str"/>
      <x:c r="S1351" s="31" t="str">
        <x:f>IF('Blind Scoring'!I1351="","",'Blind Scoring'!I1351)</x:f>
      </x:c>
      <x:c r="T1351" s="31" t="str">
        <x:f>'Blind Scoring'!J1351</x:f>
        <x:v>No</x:v>
      </x:c>
      <x:c r="U1351" s="31" t="str">
        <x:f>IF('Blind Scoring'!L1351="","",'Blind Scoring'!L1351)</x:f>
      </x:c>
    </x:row>
    <x:row r="1352" ht="44" customHeight="1">
      <x:c r="A1352" s="35" t="str">
        <x:v>Not Started</x:v>
      </x:c>
      <x:c r="B1352" s="35" t="n">
        <x:v>1350</x:v>
      </x:c>
      <x:c r="C1352" s="35" t="str">
        <x:v>P22</x:v>
      </x:c>
      <x:c r="D1352" s="35" t="n">
        <x:v>49</x:v>
      </x:c>
      <x:c r="E1352" s="35" t="str">
        <x:v>Primary VLA</x:v>
      </x:c>
      <x:c r="F1352" s="35" t="str">
        <x:v>π0.5</x:v>
      </x:c>
      <x:c r="G1352" s="35" t="n">
        <x:v>3</x:v>
      </x:c>
      <x:c r="H1352" s="35" t="str">
        <x:v>Counting</x:v>
      </x:c>
      <x:c r="I1352" s="35" t="str">
        <x:v>Main matched control</x:v>
      </x:c>
      <x:c r="J1352" s="35" t="str">
        <x:v>PVLA-CT-CTL-06</x:v>
      </x:c>
      <x:c r="K1352" s="35" t="str">
        <x:v>C-CF04-B</x:v>
      </x:c>
      <x:c r="L1352" s="31" t="str">
        <x:v>Put the yellow block in the bowl.</x:v>
      </x:c>
      <x:c r="M1352" s="31" t="str">
        <x:v>Put the yellow block in the bowl.</x:v>
      </x:c>
      <x:c r="N1352" s="31" t="str">
        <x:v>C-CF04-CB: bowl=[airplane toy without propellers, blue pen] (2); table=[yellow block, green pencil sharpener]; robot home; acceptable action=add either table object.</x:v>
      </x:c>
      <x:c r="O1352" s="31" t="str">
        <x:v>ADD yellow block</x:v>
      </x:c>
      <x:c r="P1352" s="31" t="str"/>
      <x:c r="Q1352" s="31" t="str"/>
      <x:c r="R1352" s="31" t="str"/>
      <x:c r="S1352" s="31" t="str">
        <x:f>IF('Blind Scoring'!I1352="","",'Blind Scoring'!I1352)</x:f>
      </x:c>
      <x:c r="T1352" s="31" t="str">
        <x:f>'Blind Scoring'!J1352</x:f>
        <x:v>No</x:v>
      </x:c>
      <x:c r="U1352" s="31" t="str">
        <x:f>IF('Blind Scoring'!L1352="","",'Blind Scoring'!L1352)</x:f>
      </x:c>
    </x:row>
    <x:row r="1353" ht="44" customHeight="1">
      <x:c r="A1353" s="35" t="str">
        <x:v>Not Started</x:v>
      </x:c>
      <x:c r="B1353" s="35" t="n">
        <x:v>1351</x:v>
      </x:c>
      <x:c r="C1353" s="35" t="str">
        <x:v>P22</x:v>
      </x:c>
      <x:c r="D1353" s="35" t="n">
        <x:v>50</x:v>
      </x:c>
      <x:c r="E1353" s="35" t="str">
        <x:v>Primary VLA</x:v>
      </x:c>
      <x:c r="F1353" s="35" t="str">
        <x:v>π0.5</x:v>
      </x:c>
      <x:c r="G1353" s="35" t="n">
        <x:v>3</x:v>
      </x:c>
      <x:c r="H1353" s="35" t="str">
        <x:v>Counting</x:v>
      </x:c>
      <x:c r="I1353" s="35" t="str">
        <x:v>Training reconstruction</x:v>
      </x:c>
      <x:c r="J1353" s="35" t="str">
        <x:v>PVLA-CT-REC-03</x:v>
      </x:c>
      <x:c r="K1353" s="35" t="str"/>
      <x:c r="L1353" s="31" t="str">
        <x:v>Move the yellow block into the bowl.</x:v>
      </x:c>
      <x:c r="M1353" s="31" t="str">
        <x:v>Move the yellow block into the bowl.</x:v>
      </x:c>
      <x:c r="N1353" s="31" t="str">
        <x:v>Reconstruct planned final training episode 850: yellow block, green pencil sharpener, airplane toy without propellers, blue pen; start=Home. Match camera, calibration, bowl pose, and object geometry exactly.</x:v>
      </x:c>
      <x:c r="O1353" s="31" t="str">
        <x:v>yellow block</x:v>
      </x:c>
      <x:c r="P1353" s="31" t="str"/>
      <x:c r="Q1353" s="31" t="str"/>
      <x:c r="R1353" s="31" t="str"/>
      <x:c r="S1353" s="31" t="str">
        <x:f>IF('Blind Scoring'!I1353="","",'Blind Scoring'!I1353)</x:f>
      </x:c>
      <x:c r="T1353" s="31" t="str">
        <x:f>'Blind Scoring'!J1353</x:f>
        <x:v>No</x:v>
      </x:c>
      <x:c r="U1353" s="31" t="str">
        <x:f>IF('Blind Scoring'!L1353="","",'Blind Scoring'!L1353)</x:f>
      </x:c>
    </x:row>
    <x:row r="1354" ht="44" customHeight="1">
      <x:c r="A1354" s="35" t="str">
        <x:v>Not Started</x:v>
      </x:c>
      <x:c r="B1354" s="35" t="n">
        <x:v>1352</x:v>
      </x:c>
      <x:c r="C1354" s="35" t="str">
        <x:v>P22</x:v>
      </x:c>
      <x:c r="D1354" s="35" t="n">
        <x:v>51</x:v>
      </x:c>
      <x:c r="E1354" s="35" t="str">
        <x:v>Primary VLA</x:v>
      </x:c>
      <x:c r="F1354" s="35" t="str">
        <x:v>π0.5</x:v>
      </x:c>
      <x:c r="G1354" s="35" t="n">
        <x:v>3</x:v>
      </x:c>
      <x:c r="H1354" s="35" t="str">
        <x:v>Counting</x:v>
      </x:c>
      <x:c r="I1354" s="35" t="str">
        <x:v>Main matched control</x:v>
      </x:c>
      <x:c r="J1354" s="35" t="str">
        <x:v>PVLA-CT-CTL-10</x:v>
      </x:c>
      <x:c r="K1354" s="35" t="str">
        <x:v>C-CF07-B</x:v>
      </x:c>
      <x:c r="L1354" s="31" t="str">
        <x:v>Put the blue pen in the bowl.</x:v>
      </x:c>
      <x:c r="M1354" s="31" t="str">
        <x:v>Put the blue pen in the bowl.</x:v>
      </x:c>
      <x:c r="N1354" s="31" t="str">
        <x:v>C-CF07-CB: bowl=[green pencil sharpener, airplane toy without propellers] (2); table=[blue pen, yellow block]; robot home; acceptable action=add either table object.</x:v>
      </x:c>
      <x:c r="O1354" s="31" t="str">
        <x:v>ADD blue pen</x:v>
      </x:c>
      <x:c r="P1354" s="31" t="str"/>
      <x:c r="Q1354" s="31" t="str"/>
      <x:c r="R1354" s="31" t="str"/>
      <x:c r="S1354" s="31" t="str">
        <x:f>IF('Blind Scoring'!I1354="","",'Blind Scoring'!I1354)</x:f>
      </x:c>
      <x:c r="T1354" s="31" t="str">
        <x:f>'Blind Scoring'!J1354</x:f>
        <x:v>No</x:v>
      </x:c>
      <x:c r="U1354" s="31" t="str">
        <x:f>IF('Blind Scoring'!L1354="","",'Blind Scoring'!L1354)</x:f>
      </x:c>
    </x:row>
    <x:row r="1355" ht="44" customHeight="1">
      <x:c r="A1355" s="35" t="str">
        <x:v>Not Started</x:v>
      </x:c>
      <x:c r="B1355" s="35" t="n">
        <x:v>1353</x:v>
      </x:c>
      <x:c r="C1355" s="35" t="str">
        <x:v>P22</x:v>
      </x:c>
      <x:c r="D1355" s="35" t="n">
        <x:v>52</x:v>
      </x:c>
      <x:c r="E1355" s="35" t="str">
        <x:v>Primary VLA</x:v>
      </x:c>
      <x:c r="F1355" s="35" t="str">
        <x:v>π0.5</x:v>
      </x:c>
      <x:c r="G1355" s="35" t="n">
        <x:v>3</x:v>
      </x:c>
      <x:c r="H1355" s="35" t="str">
        <x:v>Counting</x:v>
      </x:c>
      <x:c r="I1355" s="35" t="str">
        <x:v>Exact-scene paraphrase</x:v>
      </x:c>
      <x:c r="J1355" s="35" t="str">
        <x:v>PVLA-CT-PAR-08</x:v>
      </x:c>
      <x:c r="K1355" s="35" t="str"/>
      <x:c r="L1355" s="31" t="str">
        <x:v>Finish with two objects in the bowl.</x:v>
      </x:c>
      <x:c r="M1355" s="31" t="str">
        <x:v>Finish with two objects in the bowl.</x:v>
      </x:c>
      <x:c r="N1355" s="31" t="str">
        <x:v>C-N01: bowl=[blue pen] (1); table left→right=[yellow block, green pencil sharpener, airplane toy without propellers]; robot home.</x:v>
      </x:c>
      <x:c r="O1355" s="31" t="str"/>
      <x:c r="P1355" s="31" t="str"/>
      <x:c r="Q1355" s="31" t="str"/>
      <x:c r="R1355" s="31" t="str"/>
      <x:c r="S1355" s="31" t="str">
        <x:f>IF('Blind Scoring'!I1355="","",'Blind Scoring'!I1355)</x:f>
      </x:c>
      <x:c r="T1355" s="31" t="str">
        <x:f>'Blind Scoring'!J1355</x:f>
        <x:v>No</x:v>
      </x:c>
      <x:c r="U1355" s="31" t="str">
        <x:f>IF('Blind Scoring'!L1355="","",'Blind Scoring'!L1355)</x:f>
      </x:c>
    </x:row>
    <x:row r="1356" ht="44" customHeight="1">
      <x:c r="A1356" s="35" t="str">
        <x:v>Not Started</x:v>
      </x:c>
      <x:c r="B1356" s="35" t="n">
        <x:v>1354</x:v>
      </x:c>
      <x:c r="C1356" s="35" t="str">
        <x:v>P22</x:v>
      </x:c>
      <x:c r="D1356" s="35" t="n">
        <x:v>53</x:v>
      </x:c>
      <x:c r="E1356" s="35" t="str">
        <x:v>Primary VLA</x:v>
      </x:c>
      <x:c r="F1356" s="35" t="str">
        <x:v>π0.5</x:v>
      </x:c>
      <x:c r="G1356" s="35" t="n">
        <x:v>3</x:v>
      </x:c>
      <x:c r="H1356" s="35" t="str">
        <x:v>Counting</x:v>
      </x:c>
      <x:c r="I1356" s="35" t="str">
        <x:v>Training reconstruction</x:v>
      </x:c>
      <x:c r="J1356" s="35" t="str">
        <x:v>PVLA-CT-REC-02</x:v>
      </x:c>
      <x:c r="K1356" s="35" t="str"/>
      <x:c r="L1356" s="31" t="str">
        <x:v>Leave no objects in the bowl.</x:v>
      </x:c>
      <x:c r="M1356" s="31" t="str">
        <x:v>Leave no objects in the bowl.</x:v>
      </x:c>
      <x:c r="N1356" s="31" t="str">
        <x:v>Reconstruct planned final training episode 829: blue pen, yellow block, airplane toy without propellers; start=Recovery. Match camera, calibration, bowl pose, and object geometry exactly.</x:v>
      </x:c>
      <x:c r="O1356" s="31" t="str">
        <x:v>blue pen</x:v>
      </x:c>
      <x:c r="P1356" s="31" t="str"/>
      <x:c r="Q1356" s="31" t="str"/>
      <x:c r="R1356" s="31" t="str"/>
      <x:c r="S1356" s="31" t="str">
        <x:f>IF('Blind Scoring'!I1356="","",'Blind Scoring'!I1356)</x:f>
      </x:c>
      <x:c r="T1356" s="31" t="str">
        <x:f>'Blind Scoring'!J1356</x:f>
        <x:v>No</x:v>
      </x:c>
      <x:c r="U1356" s="31" t="str">
        <x:f>IF('Blind Scoring'!L1356="","",'Blind Scoring'!L1356)</x:f>
      </x:c>
    </x:row>
    <x:row r="1357" ht="44" customHeight="1">
      <x:c r="A1357" s="35" t="str">
        <x:v>Not Started</x:v>
      </x:c>
      <x:c r="B1357" s="35" t="n">
        <x:v>1355</x:v>
      </x:c>
      <x:c r="C1357" s="35" t="str">
        <x:v>P22</x:v>
      </x:c>
      <x:c r="D1357" s="35" t="n">
        <x:v>54</x:v>
      </x:c>
      <x:c r="E1357" s="35" t="str">
        <x:v>Primary VLA</x:v>
      </x:c>
      <x:c r="F1357" s="35" t="str">
        <x:v>π0.5</x:v>
      </x:c>
      <x:c r="G1357" s="35" t="n">
        <x:v>3</x:v>
      </x:c>
      <x:c r="H1357" s="35" t="str">
        <x:v>Counting</x:v>
      </x:c>
      <x:c r="I1357" s="35" t="str">
        <x:v>Main matched control</x:v>
      </x:c>
      <x:c r="J1357" s="35" t="str">
        <x:v>PVLA-CT-CTL-11</x:v>
      </x:c>
      <x:c r="K1357" s="35" t="str">
        <x:v>C-CF09-A</x:v>
      </x:c>
      <x:c r="L1357" s="31" t="str">
        <x:v>Remove the blue pen from the bowl.</x:v>
      </x:c>
      <x:c r="M1357" s="31" t="str">
        <x:v>Remove the blue pen from the bowl.</x:v>
      </x:c>
      <x:c r="N1357" s="31" t="str">
        <x:v>C-CF09-CA: bowl=[blue pen, yellow block] (2); table=[green pencil sharpener, airplane toy without propellers]; robot home; acceptable action=remove either bowl object.</x:v>
      </x:c>
      <x:c r="O1357" s="31" t="str">
        <x:v>REMOVE blue pen</x:v>
      </x:c>
      <x:c r="P1357" s="31" t="str"/>
      <x:c r="Q1357" s="31" t="str"/>
      <x:c r="R1357" s="31" t="str"/>
      <x:c r="S1357" s="31" t="str">
        <x:f>IF('Blind Scoring'!I1357="","",'Blind Scoring'!I1357)</x:f>
      </x:c>
      <x:c r="T1357" s="31" t="str">
        <x:f>'Blind Scoring'!J1357</x:f>
        <x:v>No</x:v>
      </x:c>
      <x:c r="U1357" s="31" t="str">
        <x:f>IF('Blind Scoring'!L1357="","",'Blind Scoring'!L1357)</x:f>
      </x:c>
    </x:row>
    <x:row r="1358" ht="44" customHeight="1">
      <x:c r="A1358" s="35" t="str">
        <x:v>Not Started</x:v>
      </x:c>
      <x:c r="B1358" s="35" t="n">
        <x:v>1356</x:v>
      </x:c>
      <x:c r="C1358" s="35" t="str">
        <x:v>P22</x:v>
      </x:c>
      <x:c r="D1358" s="35" t="n">
        <x:v>55</x:v>
      </x:c>
      <x:c r="E1358" s="35" t="str">
        <x:v>Primary VLA</x:v>
      </x:c>
      <x:c r="F1358" s="35" t="str">
        <x:v>π0.5</x:v>
      </x:c>
      <x:c r="G1358" s="35" t="n">
        <x:v>3</x:v>
      </x:c>
      <x:c r="H1358" s="35" t="str">
        <x:v>Counting</x:v>
      </x:c>
      <x:c r="I1358" s="35" t="str">
        <x:v>Exact-scene paraphrase</x:v>
      </x:c>
      <x:c r="J1358" s="35" t="str">
        <x:v>PVLA-CT-PAR-04</x:v>
      </x:c>
      <x:c r="K1358" s="35" t="str"/>
      <x:c r="L1358" s="31" t="str">
        <x:v>Finish with two objects in the bowl.</x:v>
      </x:c>
      <x:c r="M1358" s="31" t="str">
        <x:v>Finish with two objects in the bowl.</x:v>
      </x:c>
      <x:c r="N1358" s="31" t="str">
        <x:v>C-N01: bowl=[blue pen] (1); table left→right=[yellow block, green pencil sharpener, airplane toy without propellers]; robot home.</x:v>
      </x:c>
      <x:c r="O1358" s="31" t="str"/>
      <x:c r="P1358" s="31" t="str"/>
      <x:c r="Q1358" s="31" t="str"/>
      <x:c r="R1358" s="31" t="str"/>
      <x:c r="S1358" s="31" t="str">
        <x:f>IF('Blind Scoring'!I1358="","",'Blind Scoring'!I1358)</x:f>
      </x:c>
      <x:c r="T1358" s="31" t="str">
        <x:f>'Blind Scoring'!J1358</x:f>
        <x:v>No</x:v>
      </x:c>
      <x:c r="U1358" s="31" t="str">
        <x:f>IF('Blind Scoring'!L1358="","",'Blind Scoring'!L1358)</x:f>
      </x:c>
    </x:row>
    <x:row r="1359" ht="44" customHeight="1">
      <x:c r="A1359" s="35" t="str">
        <x:v>Not Started</x:v>
      </x:c>
      <x:c r="B1359" s="35" t="n">
        <x:v>1357</x:v>
      </x:c>
      <x:c r="C1359" s="35" t="str">
        <x:v>P22</x:v>
      </x:c>
      <x:c r="D1359" s="35" t="n">
        <x:v>56</x:v>
      </x:c>
      <x:c r="E1359" s="35" t="str">
        <x:v>Primary VLA</x:v>
      </x:c>
      <x:c r="F1359" s="35" t="str">
        <x:v>π0.5</x:v>
      </x:c>
      <x:c r="G1359" s="35" t="n">
        <x:v>3</x:v>
      </x:c>
      <x:c r="H1359" s="35" t="str">
        <x:v>Counting</x:v>
      </x:c>
      <x:c r="I1359" s="35" t="str">
        <x:v>Main held-out transfer</x:v>
      </x:c>
      <x:c r="J1359" s="35" t="str">
        <x:v>PVLA-CT-TR-12</x:v>
      </x:c>
      <x:c r="K1359" s="35" t="str">
        <x:v>C-CF09-B</x:v>
      </x:c>
      <x:c r="L1359" s="31" t="str">
        <x:v>Leave exactly three objects in the bowl.</x:v>
      </x:c>
      <x:c r="M1359" s="31" t="str">
        <x:v>Leave exactly three objects in the bowl.</x:v>
      </x:c>
      <x:c r="N1359" s="31" t="str">
        <x:v>C-CF09B: bowl=[blue pen, yellow block] (2); table=[green pencil sharpener, airplane toy without propellers]; robot home; acceptable action=add either table object.</x:v>
      </x:c>
      <x:c r="O1359" s="31" t="str">
        <x:v>ADD one table object</x:v>
      </x:c>
      <x:c r="P1359" s="31" t="str"/>
      <x:c r="Q1359" s="31" t="str"/>
      <x:c r="R1359" s="31" t="str"/>
      <x:c r="S1359" s="31" t="str">
        <x:f>IF('Blind Scoring'!I1359="","",'Blind Scoring'!I1359)</x:f>
      </x:c>
      <x:c r="T1359" s="31" t="str">
        <x:f>'Blind Scoring'!J1359</x:f>
        <x:v>No</x:v>
      </x:c>
      <x:c r="U1359" s="31" t="str">
        <x:f>IF('Blind Scoring'!L1359="","",'Blind Scoring'!L1359)</x:f>
      </x:c>
    </x:row>
    <x:row r="1360" ht="44" customHeight="1">
      <x:c r="A1360" s="35" t="str">
        <x:v>Not Started</x:v>
      </x:c>
      <x:c r="B1360" s="35" t="n">
        <x:v>1358</x:v>
      </x:c>
      <x:c r="C1360" s="35" t="str">
        <x:v>P22</x:v>
      </x:c>
      <x:c r="D1360" s="35" t="n">
        <x:v>57</x:v>
      </x:c>
      <x:c r="E1360" s="35" t="str">
        <x:v>Primary VLA</x:v>
      </x:c>
      <x:c r="F1360" s="35" t="str">
        <x:v>π0.5</x:v>
      </x:c>
      <x:c r="G1360" s="35" t="n">
        <x:v>3</x:v>
      </x:c>
      <x:c r="H1360" s="35" t="str">
        <x:v>Counting</x:v>
      </x:c>
      <x:c r="I1360" s="35" t="str">
        <x:v>Main matched control</x:v>
      </x:c>
      <x:c r="J1360" s="35" t="str">
        <x:v>PVLA-CT-CTL-15</x:v>
      </x:c>
      <x:c r="K1360" s="35" t="str">
        <x:v>C-CF12-A</x:v>
      </x:c>
      <x:c r="L1360" s="31" t="str">
        <x:v>Remove the airplane toy without propellers from the bowl.</x:v>
      </x:c>
      <x:c r="M1360" s="31" t="str">
        <x:v>Remove the airplane toy without propellers from the bowl.</x:v>
      </x:c>
      <x:c r="N1360" s="31" t="str">
        <x:v>C-CF12-CA: bowl=[airplane toy without propellers, blue pen] (2); table=[yellow block, green pencil sharpener]; robot home; acceptable action=remove either bowl object.</x:v>
      </x:c>
      <x:c r="O1360" s="31" t="str">
        <x:v>REMOVE airplane toy without propellers</x:v>
      </x:c>
      <x:c r="P1360" s="31" t="str"/>
      <x:c r="Q1360" s="31" t="str"/>
      <x:c r="R1360" s="31" t="str"/>
      <x:c r="S1360" s="31" t="str">
        <x:f>IF('Blind Scoring'!I1360="","",'Blind Scoring'!I1360)</x:f>
      </x:c>
      <x:c r="T1360" s="31" t="str">
        <x:f>'Blind Scoring'!J1360</x:f>
        <x:v>No</x:v>
      </x:c>
      <x:c r="U1360" s="31" t="str">
        <x:f>IF('Blind Scoring'!L1360="","",'Blind Scoring'!L1360)</x:f>
      </x:c>
    </x:row>
    <x:row r="1361" ht="44" customHeight="1">
      <x:c r="A1361" s="35" t="str">
        <x:v>Not Started</x:v>
      </x:c>
      <x:c r="B1361" s="35" t="n">
        <x:v>1359</x:v>
      </x:c>
      <x:c r="C1361" s="35" t="str">
        <x:v>P22</x:v>
      </x:c>
      <x:c r="D1361" s="35" t="n">
        <x:v>58</x:v>
      </x:c>
      <x:c r="E1361" s="35" t="str">
        <x:v>Primary VLA</x:v>
      </x:c>
      <x:c r="F1361" s="35" t="str">
        <x:v>π0.5</x:v>
      </x:c>
      <x:c r="G1361" s="35" t="n">
        <x:v>3</x:v>
      </x:c>
      <x:c r="H1361" s="35" t="str">
        <x:v>Counting</x:v>
      </x:c>
      <x:c r="I1361" s="35" t="str">
        <x:v>Language ablation — counterfactual</x:v>
      </x:c>
      <x:c r="J1361" s="35" t="str">
        <x:v>PVLA-CT-ABL-CF-02</x:v>
      </x:c>
      <x:c r="K1361" s="35" t="str">
        <x:v>C-CF04-B</x:v>
      </x:c>
      <x:c r="L1361" s="31" t="str">
        <x:v>Leave exactly one object in the bowl.</x:v>
      </x:c>
      <x:c r="M1361" s="31" t="str">
        <x:v>Leave exactly one object in the bowl.</x:v>
      </x:c>
      <x:c r="N1361" s="31" t="str">
        <x:v>C-CF04B: bowl=[airplane toy without propellers, blue pen] (2); table=[yellow block, green pencil sharpener]; robot home; acceptable action=add either table object.</x:v>
      </x:c>
      <x:c r="O1361" s="31" t="str">
        <x:v>REMOVE one bowl object</x:v>
      </x:c>
      <x:c r="P1361" s="31" t="str"/>
      <x:c r="Q1361" s="31" t="str"/>
      <x:c r="R1361" s="31" t="str"/>
      <x:c r="S1361" s="31" t="str">
        <x:f>IF('Blind Scoring'!I1361="","",'Blind Scoring'!I1361)</x:f>
      </x:c>
      <x:c r="T1361" s="31" t="str">
        <x:f>'Blind Scoring'!J1361</x:f>
        <x:v>No</x:v>
      </x:c>
      <x:c r="U1361" s="31" t="str">
        <x:f>IF('Blind Scoring'!L1361="","",'Blind Scoring'!L1361)</x:f>
      </x:c>
    </x:row>
    <x:row r="1362" ht="44" customHeight="1">
      <x:c r="A1362" s="35" t="str">
        <x:v>Not Started</x:v>
      </x:c>
      <x:c r="B1362" s="35" t="n">
        <x:v>1360</x:v>
      </x:c>
      <x:c r="C1362" s="35" t="str">
        <x:v>P22</x:v>
      </x:c>
      <x:c r="D1362" s="35" t="n">
        <x:v>59</x:v>
      </x:c>
      <x:c r="E1362" s="35" t="str">
        <x:v>Primary VLA</x:v>
      </x:c>
      <x:c r="F1362" s="35" t="str">
        <x:v>π0.5</x:v>
      </x:c>
      <x:c r="G1362" s="35" t="n">
        <x:v>3</x:v>
      </x:c>
      <x:c r="H1362" s="35" t="str">
        <x:v>Counting</x:v>
      </x:c>
      <x:c r="I1362" s="35" t="str">
        <x:v>Main held-out transfer</x:v>
      </x:c>
      <x:c r="J1362" s="35" t="str">
        <x:v>PVLA-CT-TR-01</x:v>
      </x:c>
      <x:c r="K1362" s="35" t="str">
        <x:v>C-CF01-A</x:v>
      </x:c>
      <x:c r="L1362" s="31" t="str">
        <x:v>Leave exactly one object in the bowl.</x:v>
      </x:c>
      <x:c r="M1362" s="31" t="str">
        <x:v>Leave exactly one object in the bowl.</x:v>
      </x:c>
      <x:c r="N1362" s="31" t="str">
        <x:v>C-CF01A: bowl=[blue pen, yellow block] (2); table=[green pencil sharpener, airplane toy without propellers]; robot home; acceptable action=remove either bowl object.</x:v>
      </x:c>
      <x:c r="O1362" s="31" t="str">
        <x:v>REMOVE one bowl object</x:v>
      </x:c>
      <x:c r="P1362" s="31" t="str"/>
      <x:c r="Q1362" s="31" t="str"/>
      <x:c r="R1362" s="31" t="str"/>
      <x:c r="S1362" s="31" t="str">
        <x:f>IF('Blind Scoring'!I1362="","",'Blind Scoring'!I1362)</x:f>
      </x:c>
      <x:c r="T1362" s="31" t="str">
        <x:f>'Blind Scoring'!J1362</x:f>
        <x:v>No</x:v>
      </x:c>
      <x:c r="U1362" s="31" t="str">
        <x:f>IF('Blind Scoring'!L1362="","",'Blind Scoring'!L1362)</x:f>
      </x:c>
    </x:row>
    <x:row r="1363" ht="44" customHeight="1">
      <x:c r="A1363" s="35" t="str">
        <x:v>Not Started</x:v>
      </x:c>
      <x:c r="B1363" s="35" t="n">
        <x:v>1361</x:v>
      </x:c>
      <x:c r="C1363" s="35" t="str">
        <x:v>P22</x:v>
      </x:c>
      <x:c r="D1363" s="35" t="n">
        <x:v>60</x:v>
      </x:c>
      <x:c r="E1363" s="35" t="str">
        <x:v>Primary VLA</x:v>
      </x:c>
      <x:c r="F1363" s="35" t="str">
        <x:v>π0.5</x:v>
      </x:c>
      <x:c r="G1363" s="35" t="n">
        <x:v>3</x:v>
      </x:c>
      <x:c r="H1363" s="35" t="str">
        <x:v>Counting</x:v>
      </x:c>
      <x:c r="I1363" s="35" t="str">
        <x:v>Language ablation — counterfactual</x:v>
      </x:c>
      <x:c r="J1363" s="35" t="str">
        <x:v>PVLA-CT-ABL-CF-03</x:v>
      </x:c>
      <x:c r="K1363" s="35" t="str">
        <x:v>C-CF06-A</x:v>
      </x:c>
      <x:c r="L1363" s="31" t="str">
        <x:v>Leave exactly three objects in the bowl.</x:v>
      </x:c>
      <x:c r="M1363" s="31" t="str">
        <x:v>Leave exactly three objects in the bowl.</x:v>
      </x:c>
      <x:c r="N1363" s="31" t="str">
        <x:v>C-CF06A: bowl=[yellow block, green pencil sharpener] (2); table=[airplane toy without propellers, blue pen]; robot home; acceptable action=remove either bowl object.</x:v>
      </x:c>
      <x:c r="O1363" s="31" t="str">
        <x:v>ADD one table object</x:v>
      </x:c>
      <x:c r="P1363" s="31" t="str"/>
      <x:c r="Q1363" s="31" t="str"/>
      <x:c r="R1363" s="31" t="str"/>
      <x:c r="S1363" s="31" t="str">
        <x:f>IF('Blind Scoring'!I1363="","",'Blind Scoring'!I1363)</x:f>
      </x:c>
      <x:c r="T1363" s="31" t="str">
        <x:f>'Blind Scoring'!J1363</x:f>
        <x:v>No</x:v>
      </x:c>
      <x:c r="U1363" s="31" t="str">
        <x:f>IF('Blind Scoring'!L1363="","",'Blind Scoring'!L1363)</x:f>
      </x:c>
    </x:row>
    <x:row r="1364" ht="44" customHeight="1">
      <x:c r="A1364" s="35" t="str">
        <x:v>Not Started</x:v>
      </x:c>
      <x:c r="B1364" s="35" t="n">
        <x:v>1362</x:v>
      </x:c>
      <x:c r="C1364" s="35" t="str">
        <x:v>P22</x:v>
      </x:c>
      <x:c r="D1364" s="35" t="n">
        <x:v>61</x:v>
      </x:c>
      <x:c r="E1364" s="35" t="str">
        <x:v>Primary VLA</x:v>
      </x:c>
      <x:c r="F1364" s="35" t="str">
        <x:v>π0.5</x:v>
      </x:c>
      <x:c r="G1364" s="35" t="n">
        <x:v>3</x:v>
      </x:c>
      <x:c r="H1364" s="35" t="str">
        <x:v>Counting</x:v>
      </x:c>
      <x:c r="I1364" s="35" t="str">
        <x:v>Main held-out transfer</x:v>
      </x:c>
      <x:c r="J1364" s="35" t="str">
        <x:v>PVLA-CT-TR-16</x:v>
      </x:c>
      <x:c r="K1364" s="35" t="str">
        <x:v>C-CF12-B</x:v>
      </x:c>
      <x:c r="L1364" s="31" t="str">
        <x:v>Leave exactly three objects in the bowl.</x:v>
      </x:c>
      <x:c r="M1364" s="31" t="str">
        <x:v>Leave exactly three objects in the bowl.</x:v>
      </x:c>
      <x:c r="N1364" s="31" t="str">
        <x:v>C-CF12B: bowl=[airplane toy without propellers, blue pen] (2); table=[yellow block, green pencil sharpener]; robot home; acceptable action=add either table object.</x:v>
      </x:c>
      <x:c r="O1364" s="31" t="str">
        <x:v>ADD one table object</x:v>
      </x:c>
      <x:c r="P1364" s="31" t="str"/>
      <x:c r="Q1364" s="31" t="str"/>
      <x:c r="R1364" s="31" t="str"/>
      <x:c r="S1364" s="31" t="str">
        <x:f>IF('Blind Scoring'!I1364="","",'Blind Scoring'!I1364)</x:f>
      </x:c>
      <x:c r="T1364" s="31" t="str">
        <x:f>'Blind Scoring'!J1364</x:f>
        <x:v>No</x:v>
      </x:c>
      <x:c r="U1364" s="31" t="str">
        <x:f>IF('Blind Scoring'!L1364="","",'Blind Scoring'!L1364)</x:f>
      </x:c>
    </x:row>
    <x:row r="1365" ht="44" customHeight="1">
      <x:c r="A1365" s="35" t="str">
        <x:v>Not Started</x:v>
      </x:c>
      <x:c r="B1365" s="35" t="n">
        <x:v>1363</x:v>
      </x:c>
      <x:c r="C1365" s="35" t="str">
        <x:v>P22</x:v>
      </x:c>
      <x:c r="D1365" s="35" t="n">
        <x:v>62</x:v>
      </x:c>
      <x:c r="E1365" s="35" t="str">
        <x:v>Primary VLA</x:v>
      </x:c>
      <x:c r="F1365" s="35" t="str">
        <x:v>π0.5</x:v>
      </x:c>
      <x:c r="G1365" s="35" t="n">
        <x:v>3</x:v>
      </x:c>
      <x:c r="H1365" s="35" t="str">
        <x:v>Counting</x:v>
      </x:c>
      <x:c r="I1365" s="35" t="str">
        <x:v>Main matched control</x:v>
      </x:c>
      <x:c r="J1365" s="35" t="str">
        <x:v>PVLA-CT-CTL-08</x:v>
      </x:c>
      <x:c r="K1365" s="35" t="str">
        <x:v>C-CF06-B</x:v>
      </x:c>
      <x:c r="L1365" s="31" t="str">
        <x:v>Put the airplane toy without propellers in the bowl.</x:v>
      </x:c>
      <x:c r="M1365" s="31" t="str">
        <x:v>Put the airplane toy without propellers in the bowl.</x:v>
      </x:c>
      <x:c r="N1365" s="31" t="str">
        <x:v>C-CF06-CB: bowl=[yellow block, green pencil sharpener] (2); table=[airplane toy without propellers, blue pen]; robot home; acceptable action=add either table object.</x:v>
      </x:c>
      <x:c r="O1365" s="31" t="str">
        <x:v>ADD airplane toy without propellers</x:v>
      </x:c>
      <x:c r="P1365" s="31" t="str"/>
      <x:c r="Q1365" s="31" t="str"/>
      <x:c r="R1365" s="31" t="str"/>
      <x:c r="S1365" s="31" t="str">
        <x:f>IF('Blind Scoring'!I1365="","",'Blind Scoring'!I1365)</x:f>
      </x:c>
      <x:c r="T1365" s="31" t="str">
        <x:f>'Blind Scoring'!J1365</x:f>
        <x:v>No</x:v>
      </x:c>
      <x:c r="U1365" s="31" t="str">
        <x:f>IF('Blind Scoring'!L1365="","",'Blind Scoring'!L1365)</x:f>
      </x:c>
    </x:row>
    <x:row r="1366" ht="44" customHeight="1">
      <x:c r="A1366" s="35" t="str">
        <x:v>Not Started</x:v>
      </x:c>
      <x:c r="B1366" s="35" t="n">
        <x:v>1364</x:v>
      </x:c>
      <x:c r="C1366" s="35" t="str">
        <x:v>P23</x:v>
      </x:c>
      <x:c r="D1366" s="35" t="n">
        <x:v>1</x:v>
      </x:c>
      <x:c r="E1366" s="35" t="str">
        <x:v>Primary VLA</x:v>
      </x:c>
      <x:c r="F1366" s="35" t="str">
        <x:v>π0.5</x:v>
      </x:c>
      <x:c r="G1366" s="35" t="n">
        <x:v>3</x:v>
      </x:c>
      <x:c r="H1366" s="35" t="str">
        <x:v>State Recognition</x:v>
      </x:c>
      <x:c r="I1366" s="35" t="str">
        <x:v>Main held-out transfer</x:v>
      </x:c>
      <x:c r="J1366" s="35" t="str">
        <x:v>PVLA-ST-TR-11</x:v>
      </x:c>
      <x:c r="K1366" s="35" t="str">
        <x:v>S-CF20</x:v>
      </x:c>
      <x:c r="L1366" s="31" t="str">
        <x:v>Place the upright white cup in the bowl.</x:v>
      </x:c>
      <x:c r="M1366" s="31" t="str">
        <x:v>Place the upright white cup in the bowl.</x:v>
      </x:c>
      <x:c r="N1366" s="31" t="str">
        <x:v>S-CF20-HELD: P1 white cup A=C/UD [COMPETITOR]; P2 yellow-white striped cup B=O/UR; P3 brown cup A=O/UD; P4 white cup B=C/UR [TARGET].</x:v>
      </x:c>
      <x:c r="O1366" s="31" t="str">
        <x:v>white cup B</x:v>
      </x:c>
      <x:c r="P1366" s="31" t="str"/>
      <x:c r="Q1366" s="31" t="str"/>
      <x:c r="R1366" s="31" t="str"/>
      <x:c r="S1366" s="31" t="str">
        <x:f>IF('Blind Scoring'!I1366="","",'Blind Scoring'!I1366)</x:f>
      </x:c>
      <x:c r="T1366" s="31" t="str">
        <x:f>'Blind Scoring'!J1366</x:f>
        <x:v>No</x:v>
      </x:c>
      <x:c r="U1366" s="31" t="str">
        <x:f>IF('Blind Scoring'!L1366="","",'Blind Scoring'!L1366)</x:f>
      </x:c>
    </x:row>
    <x:row r="1367" ht="44" customHeight="1">
      <x:c r="A1367" s="35" t="str">
        <x:v>Not Started</x:v>
      </x:c>
      <x:c r="B1367" s="35" t="n">
        <x:v>1365</x:v>
      </x:c>
      <x:c r="C1367" s="35" t="str">
        <x:v>P23</x:v>
      </x:c>
      <x:c r="D1367" s="35" t="n">
        <x:v>2</x:v>
      </x:c>
      <x:c r="E1367" s="35" t="str">
        <x:v>Primary VLA</x:v>
      </x:c>
      <x:c r="F1367" s="35" t="str">
        <x:v>π0.5</x:v>
      </x:c>
      <x:c r="G1367" s="35" t="n">
        <x:v>3</x:v>
      </x:c>
      <x:c r="H1367" s="35" t="str">
        <x:v>State Recognition</x:v>
      </x:c>
      <x:c r="I1367" s="35" t="str">
        <x:v>Exact-scene paraphrase</x:v>
      </x:c>
      <x:c r="J1367" s="35" t="str">
        <x:v>PVLA-ST-PAR-02</x:v>
      </x:c>
      <x:c r="K1367" s="35" t="str">
        <x:v>S-CF04</x:v>
      </x:c>
      <x:c r="L1367" s="31" t="str">
        <x:v>Put the inverted white cup into the bowl.</x:v>
      </x:c>
      <x:c r="M1367" s="31" t="str">
        <x:v>Put the inverted white cup into the bowl.</x:v>
      </x:c>
      <x:c r="N1367" s="31" t="str">
        <x:v>S-CF04-PARA: P1 white cup A=C/UD [COMPETITOR]; P2 yellow-white striped cup B=O/UR; P3 brown cup A=O/UD; P4 white cup B=C/UR [TARGET].</x:v>
      </x:c>
      <x:c r="O1367" s="31" t="str">
        <x:v>white cup A</x:v>
      </x:c>
      <x:c r="P1367" s="31" t="str"/>
      <x:c r="Q1367" s="31" t="str"/>
      <x:c r="R1367" s="31" t="str"/>
      <x:c r="S1367" s="31" t="str">
        <x:f>IF('Blind Scoring'!I1367="","",'Blind Scoring'!I1367)</x:f>
      </x:c>
      <x:c r="T1367" s="31" t="str">
        <x:f>'Blind Scoring'!J1367</x:f>
        <x:v>No</x:v>
      </x:c>
      <x:c r="U1367" s="31" t="str">
        <x:f>IF('Blind Scoring'!L1367="","",'Blind Scoring'!L1367)</x:f>
      </x:c>
    </x:row>
    <x:row r="1368" ht="44" customHeight="1">
      <x:c r="A1368" s="35" t="str">
        <x:v>Not Started</x:v>
      </x:c>
      <x:c r="B1368" s="35" t="n">
        <x:v>1366</x:v>
      </x:c>
      <x:c r="C1368" s="35" t="str">
        <x:v>P23</x:v>
      </x:c>
      <x:c r="D1368" s="35" t="n">
        <x:v>3</x:v>
      </x:c>
      <x:c r="E1368" s="35" t="str">
        <x:v>Primary VLA</x:v>
      </x:c>
      <x:c r="F1368" s="35" t="str">
        <x:v>π0.5</x:v>
      </x:c>
      <x:c r="G1368" s="35" t="n">
        <x:v>3</x:v>
      </x:c>
      <x:c r="H1368" s="35" t="str">
        <x:v>State Recognition</x:v>
      </x:c>
      <x:c r="I1368" s="35" t="str">
        <x:v>Novel layout + seen language</x:v>
      </x:c>
      <x:c r="J1368" s="35" t="str">
        <x:v>PVLA-ST-NOV-05</x:v>
      </x:c>
      <x:c r="K1368" s="35" t="str">
        <x:v>S-CF12</x:v>
      </x:c>
      <x:c r="L1368" s="31" t="str">
        <x:v>Place the upside-down white cup in the bowl.</x:v>
      </x:c>
      <x:c r="M1368" s="31" t="str">
        <x:v>Place the upside-down white cup in the bowl.</x:v>
      </x:c>
      <x:c r="N1368" s="31" t="str">
        <x:v>S-CF12-SEEN: P1 white cup A=C/UD [COMPETITOR]; P2 yellow-white striped cup B=O/UR; P3 brown cup A=O/UD; P4 white cup B=C/UR [TARGET].</x:v>
      </x:c>
      <x:c r="O1368" s="31" t="str">
        <x:v>white cup A</x:v>
      </x:c>
      <x:c r="P1368" s="31" t="str"/>
      <x:c r="Q1368" s="31" t="str"/>
      <x:c r="R1368" s="31" t="str"/>
      <x:c r="S1368" s="31" t="str">
        <x:f>IF('Blind Scoring'!I1368="","",'Blind Scoring'!I1368)</x:f>
      </x:c>
      <x:c r="T1368" s="31" t="str">
        <x:f>'Blind Scoring'!J1368</x:f>
        <x:v>No</x:v>
      </x:c>
      <x:c r="U1368" s="31" t="str">
        <x:f>IF('Blind Scoring'!L1368="","",'Blind Scoring'!L1368)</x:f>
      </x:c>
    </x:row>
    <x:row r="1369" ht="44" customHeight="1">
      <x:c r="A1369" s="35" t="str">
        <x:v>Not Started</x:v>
      </x:c>
      <x:c r="B1369" s="35" t="n">
        <x:v>1367</x:v>
      </x:c>
      <x:c r="C1369" s="35" t="str">
        <x:v>P23</x:v>
      </x:c>
      <x:c r="D1369" s="35" t="n">
        <x:v>4</x:v>
      </x:c>
      <x:c r="E1369" s="35" t="str">
        <x:v>Primary VLA</x:v>
      </x:c>
      <x:c r="F1369" s="35" t="str">
        <x:v>π0.5</x:v>
      </x:c>
      <x:c r="G1369" s="35" t="n">
        <x:v>3</x:v>
      </x:c>
      <x:c r="H1369" s="35" t="str">
        <x:v>State Recognition</x:v>
      </x:c>
      <x:c r="I1369" s="35" t="str">
        <x:v>Exact-scene paraphrase</x:v>
      </x:c>
      <x:c r="J1369" s="35" t="str">
        <x:v>PVLA-ST-PAR-05</x:v>
      </x:c>
      <x:c r="K1369" s="35" t="str">
        <x:v>S-CF12</x:v>
      </x:c>
      <x:c r="L1369" s="31" t="str">
        <x:v>Move the overturned white cup into the bowl.</x:v>
      </x:c>
      <x:c r="M1369" s="31" t="str">
        <x:v>Move the overturned white cup into the bowl.</x:v>
      </x:c>
      <x:c r="N1369" s="31" t="str">
        <x:v>S-CF12-PARA: P1 white cup A=C/UD [COMPETITOR]; P2 yellow-white striped cup B=O/UR; P3 brown cup A=O/UD; P4 white cup B=C/UR [TARGET].</x:v>
      </x:c>
      <x:c r="O1369" s="31" t="str">
        <x:v>white cup A</x:v>
      </x:c>
      <x:c r="P1369" s="31" t="str"/>
      <x:c r="Q1369" s="31" t="str"/>
      <x:c r="R1369" s="31" t="str"/>
      <x:c r="S1369" s="31" t="str">
        <x:f>IF('Blind Scoring'!I1369="","",'Blind Scoring'!I1369)</x:f>
      </x:c>
      <x:c r="T1369" s="31" t="str">
        <x:f>'Blind Scoring'!J1369</x:f>
        <x:v>No</x:v>
      </x:c>
      <x:c r="U1369" s="31" t="str">
        <x:f>IF('Blind Scoring'!L1369="","",'Blind Scoring'!L1369)</x:f>
      </x:c>
    </x:row>
    <x:row r="1370" ht="44" customHeight="1">
      <x:c r="A1370" s="35" t="str">
        <x:v>Not Started</x:v>
      </x:c>
      <x:c r="B1370" s="35" t="n">
        <x:v>1368</x:v>
      </x:c>
      <x:c r="C1370" s="35" t="str">
        <x:v>P23</x:v>
      </x:c>
      <x:c r="D1370" s="35" t="n">
        <x:v>5</x:v>
      </x:c>
      <x:c r="E1370" s="35" t="str">
        <x:v>Primary VLA</x:v>
      </x:c>
      <x:c r="F1370" s="35" t="str">
        <x:v>π0.5</x:v>
      </x:c>
      <x:c r="G1370" s="35" t="n">
        <x:v>3</x:v>
      </x:c>
      <x:c r="H1370" s="35" t="str">
        <x:v>State Recognition</x:v>
      </x:c>
      <x:c r="I1370" s="35" t="str">
        <x:v>Main held-out transfer</x:v>
      </x:c>
      <x:c r="J1370" s="35" t="str">
        <x:v>PVLA-ST-TR-07</x:v>
      </x:c>
      <x:c r="K1370" s="35" t="str">
        <x:v>S-CF13</x:v>
      </x:c>
      <x:c r="L1370" s="31" t="str">
        <x:v>Place the closed brown cup in the bowl.</x:v>
      </x:c>
      <x:c r="M1370" s="31" t="str">
        <x:v>Place the closed brown cup in the bowl.</x:v>
      </x:c>
      <x:c r="N1370" s="31" t="str">
        <x:v>S-CF13-HELD: P1 brown cup A=C/UR [TARGET]; P2 brown cup B=O/UR [COMPETITOR]; P3 glass spice container A=C/UD; P4 white cup B=O/UD.</x:v>
      </x:c>
      <x:c r="O1370" s="31" t="str">
        <x:v>brown cup A</x:v>
      </x:c>
      <x:c r="P1370" s="31" t="str"/>
      <x:c r="Q1370" s="31" t="str"/>
      <x:c r="R1370" s="31" t="str"/>
      <x:c r="S1370" s="31" t="str">
        <x:f>IF('Blind Scoring'!I1370="","",'Blind Scoring'!I1370)</x:f>
      </x:c>
      <x:c r="T1370" s="31" t="str">
        <x:f>'Blind Scoring'!J1370</x:f>
        <x:v>No</x:v>
      </x:c>
      <x:c r="U1370" s="31" t="str">
        <x:f>IF('Blind Scoring'!L1370="","",'Blind Scoring'!L1370)</x:f>
      </x:c>
    </x:row>
    <x:row r="1371" ht="44" customHeight="1">
      <x:c r="A1371" s="35" t="str">
        <x:v>Not Started</x:v>
      </x:c>
      <x:c r="B1371" s="35" t="n">
        <x:v>1369</x:v>
      </x:c>
      <x:c r="C1371" s="35" t="str">
        <x:v>P23</x:v>
      </x:c>
      <x:c r="D1371" s="35" t="n">
        <x:v>6</x:v>
      </x:c>
      <x:c r="E1371" s="35" t="str">
        <x:v>Primary VLA</x:v>
      </x:c>
      <x:c r="F1371" s="35" t="str">
        <x:v>π0.5</x:v>
      </x:c>
      <x:c r="G1371" s="35" t="n">
        <x:v>3</x:v>
      </x:c>
      <x:c r="H1371" s="35" t="str">
        <x:v>State Recognition</x:v>
      </x:c>
      <x:c r="I1371" s="35" t="str">
        <x:v>Main held-out transfer</x:v>
      </x:c>
      <x:c r="J1371" s="35" t="str">
        <x:v>PVLA-ST-TR-14</x:v>
      </x:c>
      <x:c r="K1371" s="35" t="str">
        <x:v>S-CF26</x:v>
      </x:c>
      <x:c r="L1371" s="31" t="str">
        <x:v>Place the upright yellow-white striped cup in the bowl.</x:v>
      </x:c>
      <x:c r="M1371" s="31" t="str">
        <x:v>Place the upright yellow-white striped cup in the bowl.</x:v>
      </x:c>
      <x:c r="N1371" s="31" t="str">
        <x:v>S-CF26-HELD: P1 brown cup B=C/UR; P2 yellow-white striped cup B=O/UR [TARGET]; P3 yellow-white striped cup A=O/UD [COMPETITOR]; P4 glass spice container B=C/UD.</x:v>
      </x:c>
      <x:c r="O1371" s="31" t="str">
        <x:v>yellow-white striped cup B</x:v>
      </x:c>
      <x:c r="P1371" s="31" t="str"/>
      <x:c r="Q1371" s="31" t="str"/>
      <x:c r="R1371" s="31" t="str"/>
      <x:c r="S1371" s="31" t="str">
        <x:f>IF('Blind Scoring'!I1371="","",'Blind Scoring'!I1371)</x:f>
      </x:c>
      <x:c r="T1371" s="31" t="str">
        <x:f>'Blind Scoring'!J1371</x:f>
        <x:v>No</x:v>
      </x:c>
      <x:c r="U1371" s="31" t="str">
        <x:f>IF('Blind Scoring'!L1371="","",'Blind Scoring'!L1371)</x:f>
      </x:c>
    </x:row>
    <x:row r="1372" ht="44" customHeight="1">
      <x:c r="A1372" s="35" t="str">
        <x:v>Not Started</x:v>
      </x:c>
      <x:c r="B1372" s="35" t="n">
        <x:v>1370</x:v>
      </x:c>
      <x:c r="C1372" s="35" t="str">
        <x:v>P23</x:v>
      </x:c>
      <x:c r="D1372" s="35" t="n">
        <x:v>7</x:v>
      </x:c>
      <x:c r="E1372" s="35" t="str">
        <x:v>Primary VLA</x:v>
      </x:c>
      <x:c r="F1372" s="35" t="str">
        <x:v>π0.5</x:v>
      </x:c>
      <x:c r="G1372" s="35" t="n">
        <x:v>3</x:v>
      </x:c>
      <x:c r="H1372" s="35" t="str">
        <x:v>State Recognition</x:v>
      </x:c>
      <x:c r="I1372" s="35" t="str">
        <x:v>Main matched control</x:v>
      </x:c>
      <x:c r="J1372" s="35" t="str">
        <x:v>PVLA-ST-CTL-02</x:v>
      </x:c>
      <x:c r="K1372" s="35" t="str">
        <x:v>S-CF03</x:v>
      </x:c>
      <x:c r="L1372" s="31" t="str">
        <x:v>Place a glass spice container in the bowl.</x:v>
      </x:c>
      <x:c r="M1372" s="31" t="str">
        <x:v>Place a glass spice container in the bowl.</x:v>
      </x:c>
      <x:c r="N1372" s="31" t="str">
        <x:v>S-CF03-CTRL: P1 white cup A=C/UR; P2 yellow-white striped cup A=O/UR; P3 glass spice container B=C/UD [TARGET].</x:v>
      </x:c>
      <x:c r="O1372" s="31" t="str">
        <x:v>glass spice container B</x:v>
      </x:c>
      <x:c r="P1372" s="31" t="str"/>
      <x:c r="Q1372" s="31" t="str"/>
      <x:c r="R1372" s="31" t="str"/>
      <x:c r="S1372" s="31" t="str">
        <x:f>IF('Blind Scoring'!I1372="","",'Blind Scoring'!I1372)</x:f>
      </x:c>
      <x:c r="T1372" s="31" t="str">
        <x:f>'Blind Scoring'!J1372</x:f>
        <x:v>No</x:v>
      </x:c>
      <x:c r="U1372" s="31" t="str">
        <x:f>IF('Blind Scoring'!L1372="","",'Blind Scoring'!L1372)</x:f>
      </x:c>
    </x:row>
    <x:row r="1373" ht="44" customHeight="1">
      <x:c r="A1373" s="35" t="str">
        <x:v>Not Started</x:v>
      </x:c>
      <x:c r="B1373" s="35" t="n">
        <x:v>1371</x:v>
      </x:c>
      <x:c r="C1373" s="35" t="str">
        <x:v>P23</x:v>
      </x:c>
      <x:c r="D1373" s="35" t="n">
        <x:v>8</x:v>
      </x:c>
      <x:c r="E1373" s="35" t="str">
        <x:v>Primary VLA</x:v>
      </x:c>
      <x:c r="F1373" s="35" t="str">
        <x:v>π0.5</x:v>
      </x:c>
      <x:c r="G1373" s="35" t="n">
        <x:v>3</x:v>
      </x:c>
      <x:c r="H1373" s="35" t="str">
        <x:v>State Recognition</x:v>
      </x:c>
      <x:c r="I1373" s="35" t="str">
        <x:v>Main held-out transfer</x:v>
      </x:c>
      <x:c r="J1373" s="35" t="str">
        <x:v>PVLA-ST-TR-04</x:v>
      </x:c>
      <x:c r="K1373" s="35" t="str">
        <x:v>S-CF07</x:v>
      </x:c>
      <x:c r="L1373" s="31" t="str">
        <x:v>Place the closed yellow-white striped cup in the bowl.</x:v>
      </x:c>
      <x:c r="M1373" s="31" t="str">
        <x:v>Place the closed yellow-white striped cup in the bowl.</x:v>
      </x:c>
      <x:c r="N1373" s="31" t="str">
        <x:v>S-CF07-HELD: P1 brown cup A=C/UR; P2 glass spice container A=O/UR; P3 yellow-white striped cup A=C/UD [TARGET]; P4 yellow-white striped cup B=O/UD [COMPETITOR].</x:v>
      </x:c>
      <x:c r="O1373" s="31" t="str">
        <x:v>yellow-white striped cup A</x:v>
      </x:c>
      <x:c r="P1373" s="31" t="str"/>
      <x:c r="Q1373" s="31" t="str"/>
      <x:c r="R1373" s="31" t="str"/>
      <x:c r="S1373" s="31" t="str">
        <x:f>IF('Blind Scoring'!I1373="","",'Blind Scoring'!I1373)</x:f>
      </x:c>
      <x:c r="T1373" s="31" t="str">
        <x:f>'Blind Scoring'!J1373</x:f>
        <x:v>No</x:v>
      </x:c>
      <x:c r="U1373" s="31" t="str">
        <x:f>IF('Blind Scoring'!L1373="","",'Blind Scoring'!L1373)</x:f>
      </x:c>
    </x:row>
    <x:row r="1374" ht="44" customHeight="1">
      <x:c r="A1374" s="35" t="str">
        <x:v>Not Started</x:v>
      </x:c>
      <x:c r="B1374" s="35" t="n">
        <x:v>1372</x:v>
      </x:c>
      <x:c r="C1374" s="35" t="str">
        <x:v>P23</x:v>
      </x:c>
      <x:c r="D1374" s="35" t="n">
        <x:v>9</x:v>
      </x:c>
      <x:c r="E1374" s="35" t="str">
        <x:v>Primary VLA</x:v>
      </x:c>
      <x:c r="F1374" s="35" t="str">
        <x:v>π0.5</x:v>
      </x:c>
      <x:c r="G1374" s="35" t="n">
        <x:v>3</x:v>
      </x:c>
      <x:c r="H1374" s="35" t="str">
        <x:v>State Recognition</x:v>
      </x:c>
      <x:c r="I1374" s="35" t="str">
        <x:v>Main held-out transfer</x:v>
      </x:c>
      <x:c r="J1374" s="35" t="str">
        <x:v>PVLA-ST-TR-08</x:v>
      </x:c>
      <x:c r="K1374" s="35" t="str">
        <x:v>S-CF15</x:v>
      </x:c>
      <x:c r="L1374" s="31" t="str">
        <x:v>Place the closed yellow-white striped cup in the bowl.</x:v>
      </x:c>
      <x:c r="M1374" s="31" t="str">
        <x:v>Place the closed yellow-white striped cup in the bowl.</x:v>
      </x:c>
      <x:c r="N1374" s="31" t="str">
        <x:v>S-CF15-HELD: P1 brown cup A=C/UR; P2 glass spice container A=O/UR; P3 yellow-white striped cup A=C/UD [TARGET]; P4 yellow-white striped cup B=O/UD [COMPETITOR].</x:v>
      </x:c>
      <x:c r="O1374" s="31" t="str">
        <x:v>yellow-white striped cup A</x:v>
      </x:c>
      <x:c r="P1374" s="31" t="str"/>
      <x:c r="Q1374" s="31" t="str"/>
      <x:c r="R1374" s="31" t="str"/>
      <x:c r="S1374" s="31" t="str">
        <x:f>IF('Blind Scoring'!I1374="","",'Blind Scoring'!I1374)</x:f>
      </x:c>
      <x:c r="T1374" s="31" t="str">
        <x:f>'Blind Scoring'!J1374</x:f>
        <x:v>No</x:v>
      </x:c>
      <x:c r="U1374" s="31" t="str">
        <x:f>IF('Blind Scoring'!L1374="","",'Blind Scoring'!L1374)</x:f>
      </x:c>
    </x:row>
    <x:row r="1375" ht="44" customHeight="1">
      <x:c r="A1375" s="35" t="str">
        <x:v>Not Started</x:v>
      </x:c>
      <x:c r="B1375" s="35" t="n">
        <x:v>1373</x:v>
      </x:c>
      <x:c r="C1375" s="35" t="str">
        <x:v>P23</x:v>
      </x:c>
      <x:c r="D1375" s="35" t="n">
        <x:v>10</x:v>
      </x:c>
      <x:c r="E1375" s="35" t="str">
        <x:v>Primary VLA</x:v>
      </x:c>
      <x:c r="F1375" s="35" t="str">
        <x:v>π0.5</x:v>
      </x:c>
      <x:c r="G1375" s="35" t="n">
        <x:v>3</x:v>
      </x:c>
      <x:c r="H1375" s="35" t="str">
        <x:v>State Recognition</x:v>
      </x:c>
      <x:c r="I1375" s="35" t="str">
        <x:v>Main held-out transfer</x:v>
      </x:c>
      <x:c r="J1375" s="35" t="str">
        <x:v>PVLA-ST-TR-02</x:v>
      </x:c>
      <x:c r="K1375" s="35" t="str">
        <x:v>S-CF03</x:v>
      </x:c>
      <x:c r="L1375" s="31" t="str">
        <x:v>Place the closed glass spice container in the bowl.</x:v>
      </x:c>
      <x:c r="M1375" s="31" t="str">
        <x:v>Place the closed glass spice container in the bowl.</x:v>
      </x:c>
      <x:c r="N1375" s="31" t="str">
        <x:v>S-CF03-HELD: P1 white cup A=C/UR; P2 yellow-white striped cup A=O/UR; P3 glass spice container B=C/UD [TARGET]; P4 glass spice container A=O/UD [COMPETITOR].</x:v>
      </x:c>
      <x:c r="O1375" s="31" t="str">
        <x:v>glass spice container B</x:v>
      </x:c>
      <x:c r="P1375" s="31" t="str"/>
      <x:c r="Q1375" s="31" t="str"/>
      <x:c r="R1375" s="31" t="str"/>
      <x:c r="S1375" s="31" t="str">
        <x:f>IF('Blind Scoring'!I1375="","",'Blind Scoring'!I1375)</x:f>
      </x:c>
      <x:c r="T1375" s="31" t="str">
        <x:f>'Blind Scoring'!J1375</x:f>
        <x:v>No</x:v>
      </x:c>
      <x:c r="U1375" s="31" t="str">
        <x:f>IF('Blind Scoring'!L1375="","",'Blind Scoring'!L1375)</x:f>
      </x:c>
    </x:row>
    <x:row r="1376" ht="44" customHeight="1">
      <x:c r="A1376" s="35" t="str">
        <x:v>Not Started</x:v>
      </x:c>
      <x:c r="B1376" s="35" t="n">
        <x:v>1374</x:v>
      </x:c>
      <x:c r="C1376" s="35" t="str">
        <x:v>P23</x:v>
      </x:c>
      <x:c r="D1376" s="35" t="n">
        <x:v>11</x:v>
      </x:c>
      <x:c r="E1376" s="35" t="str">
        <x:v>Primary VLA</x:v>
      </x:c>
      <x:c r="F1376" s="35" t="str">
        <x:v>π0.5</x:v>
      </x:c>
      <x:c r="G1376" s="35" t="n">
        <x:v>3</x:v>
      </x:c>
      <x:c r="H1376" s="35" t="str">
        <x:v>State Recognition</x:v>
      </x:c>
      <x:c r="I1376" s="35" t="str">
        <x:v>Main held-out transfer</x:v>
      </x:c>
      <x:c r="J1376" s="35" t="str">
        <x:v>PVLA-ST-TR-06</x:v>
      </x:c>
      <x:c r="K1376" s="35" t="str">
        <x:v>S-CF11</x:v>
      </x:c>
      <x:c r="L1376" s="31" t="str">
        <x:v>Place the closed glass spice container in the bowl.</x:v>
      </x:c>
      <x:c r="M1376" s="31" t="str">
        <x:v>Place the closed glass spice container in the bowl.</x:v>
      </x:c>
      <x:c r="N1376" s="31" t="str">
        <x:v>S-CF11-HELD: P1 white cup A=C/UR; P2 yellow-white striped cup A=O/UR; P3 glass spice container B=C/UD [TARGET]; P4 glass spice container A=O/UD [COMPETITOR].</x:v>
      </x:c>
      <x:c r="O1376" s="31" t="str">
        <x:v>glass spice container B</x:v>
      </x:c>
      <x:c r="P1376" s="31" t="str"/>
      <x:c r="Q1376" s="31" t="str"/>
      <x:c r="R1376" s="31" t="str"/>
      <x:c r="S1376" s="31" t="str">
        <x:f>IF('Blind Scoring'!I1376="","",'Blind Scoring'!I1376)</x:f>
      </x:c>
      <x:c r="T1376" s="31" t="str">
        <x:f>'Blind Scoring'!J1376</x:f>
        <x:v>No</x:v>
      </x:c>
      <x:c r="U1376" s="31" t="str">
        <x:f>IF('Blind Scoring'!L1376="","",'Blind Scoring'!L1376)</x:f>
      </x:c>
    </x:row>
    <x:row r="1377" ht="44" customHeight="1">
      <x:c r="A1377" s="35" t="str">
        <x:v>Not Started</x:v>
      </x:c>
      <x:c r="B1377" s="35" t="n">
        <x:v>1375</x:v>
      </x:c>
      <x:c r="C1377" s="35" t="str">
        <x:v>P23</x:v>
      </x:c>
      <x:c r="D1377" s="35" t="n">
        <x:v>12</x:v>
      </x:c>
      <x:c r="E1377" s="35" t="str">
        <x:v>Primary VLA</x:v>
      </x:c>
      <x:c r="F1377" s="35" t="str">
        <x:v>π0.5</x:v>
      </x:c>
      <x:c r="G1377" s="35" t="n">
        <x:v>3</x:v>
      </x:c>
      <x:c r="H1377" s="35" t="str">
        <x:v>State Recognition</x:v>
      </x:c>
      <x:c r="I1377" s="35" t="str">
        <x:v>Novel layout + seen language</x:v>
      </x:c>
      <x:c r="J1377" s="35" t="str">
        <x:v>PVLA-ST-NOV-07</x:v>
      </x:c>
      <x:c r="K1377" s="35" t="str">
        <x:v>S-CF17</x:v>
      </x:c>
      <x:c r="L1377" s="31" t="str">
        <x:v>Place the open white cup in the bowl.</x:v>
      </x:c>
      <x:c r="M1377" s="31" t="str">
        <x:v>Place the open white cup in the bowl.</x:v>
      </x:c>
      <x:c r="N1377" s="31" t="str">
        <x:v>S-CF17-SEEN: P1 white cup A=C/UR [TARGET]; P2 white cup B=O/UR [COMPETITOR]; P3 yellow-white striped cup A=C/UD; P4 brown cup B=O/UD.</x:v>
      </x:c>
      <x:c r="O1377" s="31" t="str">
        <x:v>white cup B</x:v>
      </x:c>
      <x:c r="P1377" s="31" t="str"/>
      <x:c r="Q1377" s="31" t="str"/>
      <x:c r="R1377" s="31" t="str"/>
      <x:c r="S1377" s="31" t="str">
        <x:f>IF('Blind Scoring'!I1377="","",'Blind Scoring'!I1377)</x:f>
      </x:c>
      <x:c r="T1377" s="31" t="str">
        <x:f>'Blind Scoring'!J1377</x:f>
        <x:v>No</x:v>
      </x:c>
      <x:c r="U1377" s="31" t="str">
        <x:f>IF('Blind Scoring'!L1377="","",'Blind Scoring'!L1377)</x:f>
      </x:c>
    </x:row>
    <x:row r="1378" ht="44" customHeight="1">
      <x:c r="A1378" s="35" t="str">
        <x:v>Not Started</x:v>
      </x:c>
      <x:c r="B1378" s="35" t="n">
        <x:v>1376</x:v>
      </x:c>
      <x:c r="C1378" s="35" t="str">
        <x:v>P23</x:v>
      </x:c>
      <x:c r="D1378" s="35" t="n">
        <x:v>13</x:v>
      </x:c>
      <x:c r="E1378" s="35" t="str">
        <x:v>Primary VLA</x:v>
      </x:c>
      <x:c r="F1378" s="35" t="str">
        <x:v>π0.5</x:v>
      </x:c>
      <x:c r="G1378" s="35" t="n">
        <x:v>3</x:v>
      </x:c>
      <x:c r="H1378" s="35" t="str">
        <x:v>State Recognition</x:v>
      </x:c>
      <x:c r="I1378" s="35" t="str">
        <x:v>Novel layout + seen language</x:v>
      </x:c>
      <x:c r="J1378" s="35" t="str">
        <x:v>PVLA-ST-NOV-08</x:v>
      </x:c>
      <x:c r="K1378" s="35" t="str">
        <x:v>S-CF20</x:v>
      </x:c>
      <x:c r="L1378" s="31" t="str">
        <x:v>Place the upside-down white cup in the bowl.</x:v>
      </x:c>
      <x:c r="M1378" s="31" t="str">
        <x:v>Place the upside-down white cup in the bowl.</x:v>
      </x:c>
      <x:c r="N1378" s="31" t="str">
        <x:v>S-CF20-SEEN: P1 white cup A=C/UD [COMPETITOR]; P2 yellow-white striped cup B=O/UR; P3 brown cup A=O/UD; P4 white cup B=C/UR [TARGET].</x:v>
      </x:c>
      <x:c r="O1378" s="31" t="str">
        <x:v>white cup A</x:v>
      </x:c>
      <x:c r="P1378" s="31" t="str"/>
      <x:c r="Q1378" s="31" t="str"/>
      <x:c r="R1378" s="31" t="str"/>
      <x:c r="S1378" s="31" t="str">
        <x:f>IF('Blind Scoring'!I1378="","",'Blind Scoring'!I1378)</x:f>
      </x:c>
      <x:c r="T1378" s="31" t="str">
        <x:f>'Blind Scoring'!J1378</x:f>
        <x:v>No</x:v>
      </x:c>
      <x:c r="U1378" s="31" t="str">
        <x:f>IF('Blind Scoring'!L1378="","",'Blind Scoring'!L1378)</x:f>
      </x:c>
    </x:row>
    <x:row r="1379" ht="44" customHeight="1">
      <x:c r="A1379" s="35" t="str">
        <x:v>Not Started</x:v>
      </x:c>
      <x:c r="B1379" s="35" t="n">
        <x:v>1377</x:v>
      </x:c>
      <x:c r="C1379" s="35" t="str">
        <x:v>P23</x:v>
      </x:c>
      <x:c r="D1379" s="35" t="n">
        <x:v>14</x:v>
      </x:c>
      <x:c r="E1379" s="35" t="str">
        <x:v>Primary VLA</x:v>
      </x:c>
      <x:c r="F1379" s="35" t="str">
        <x:v>π0.5</x:v>
      </x:c>
      <x:c r="G1379" s="35" t="n">
        <x:v>3</x:v>
      </x:c>
      <x:c r="H1379" s="35" t="str">
        <x:v>State Recognition</x:v>
      </x:c>
      <x:c r="I1379" s="35" t="str">
        <x:v>Main matched control</x:v>
      </x:c>
      <x:c r="J1379" s="35" t="str">
        <x:v>PVLA-ST-CTL-15</x:v>
      </x:c>
      <x:c r="K1379" s="35" t="str">
        <x:v>S-CF28</x:v>
      </x:c>
      <x:c r="L1379" s="31" t="str">
        <x:v>Place a white cup in the bowl.</x:v>
      </x:c>
      <x:c r="M1379" s="31" t="str">
        <x:v>Place a white cup in the bowl.</x:v>
      </x:c>
      <x:c r="N1379" s="31" t="str">
        <x:v>S-CF28-CTRL: P2 yellow-white striped cup B=O/UR; P3 brown cup A=O/UD; P4 white cup B=C/UR [TARGET].</x:v>
      </x:c>
      <x:c r="O1379" s="31" t="str">
        <x:v>white cup B</x:v>
      </x:c>
      <x:c r="P1379" s="31" t="str"/>
      <x:c r="Q1379" s="31" t="str"/>
      <x:c r="R1379" s="31" t="str"/>
      <x:c r="S1379" s="31" t="str">
        <x:f>IF('Blind Scoring'!I1379="","",'Blind Scoring'!I1379)</x:f>
      </x:c>
      <x:c r="T1379" s="31" t="str">
        <x:f>'Blind Scoring'!J1379</x:f>
        <x:v>No</x:v>
      </x:c>
      <x:c r="U1379" s="31" t="str">
        <x:f>IF('Blind Scoring'!L1379="","",'Blind Scoring'!L1379)</x:f>
      </x:c>
    </x:row>
    <x:row r="1380" ht="44" customHeight="1">
      <x:c r="A1380" s="35" t="str">
        <x:v>Not Started</x:v>
      </x:c>
      <x:c r="B1380" s="35" t="n">
        <x:v>1378</x:v>
      </x:c>
      <x:c r="C1380" s="35" t="str">
        <x:v>P23</x:v>
      </x:c>
      <x:c r="D1380" s="35" t="n">
        <x:v>15</x:v>
      </x:c>
      <x:c r="E1380" s="35" t="str">
        <x:v>Primary VLA</x:v>
      </x:c>
      <x:c r="F1380" s="35" t="str">
        <x:v>π0.5</x:v>
      </x:c>
      <x:c r="G1380" s="35" t="n">
        <x:v>3</x:v>
      </x:c>
      <x:c r="H1380" s="35" t="str">
        <x:v>State Recognition</x:v>
      </x:c>
      <x:c r="I1380" s="35" t="str">
        <x:v>Exact-scene paraphrase</x:v>
      </x:c>
      <x:c r="J1380" s="35" t="str">
        <x:v>PVLA-ST-PAR-08</x:v>
      </x:c>
      <x:c r="K1380" s="35" t="str">
        <x:v>S-CF20</x:v>
      </x:c>
      <x:c r="L1380" s="31" t="str">
        <x:v>Find the white cup that is turned upside down and move it into the bowl.</x:v>
      </x:c>
      <x:c r="M1380" s="31" t="str">
        <x:v>Find the white cup that is turned upside down and move it into the bowl.</x:v>
      </x:c>
      <x:c r="N1380" s="31" t="str">
        <x:v>S-CF20-PARA: P1 white cup A=C/UD [COMPETITOR]; P2 yellow-white striped cup B=O/UR; P3 brown cup A=O/UD; P4 white cup B=C/UR [TARGET].</x:v>
      </x:c>
      <x:c r="O1380" s="31" t="str">
        <x:v>white cup A</x:v>
      </x:c>
      <x:c r="P1380" s="31" t="str"/>
      <x:c r="Q1380" s="31" t="str"/>
      <x:c r="R1380" s="31" t="str"/>
      <x:c r="S1380" s="31" t="str">
        <x:f>IF('Blind Scoring'!I1380="","",'Blind Scoring'!I1380)</x:f>
      </x:c>
      <x:c r="T1380" s="31" t="str">
        <x:f>'Blind Scoring'!J1380</x:f>
        <x:v>No</x:v>
      </x:c>
      <x:c r="U1380" s="31" t="str">
        <x:f>IF('Blind Scoring'!L1380="","",'Blind Scoring'!L1380)</x:f>
      </x:c>
    </x:row>
    <x:row r="1381" ht="44" customHeight="1">
      <x:c r="A1381" s="35" t="str">
        <x:v>Not Started</x:v>
      </x:c>
      <x:c r="B1381" s="35" t="n">
        <x:v>1379</x:v>
      </x:c>
      <x:c r="C1381" s="35" t="str">
        <x:v>P23</x:v>
      </x:c>
      <x:c r="D1381" s="35" t="n">
        <x:v>16</x:v>
      </x:c>
      <x:c r="E1381" s="35" t="str">
        <x:v>Primary VLA</x:v>
      </x:c>
      <x:c r="F1381" s="35" t="str">
        <x:v>π0.5</x:v>
      </x:c>
      <x:c r="G1381" s="35" t="n">
        <x:v>3</x:v>
      </x:c>
      <x:c r="H1381" s="35" t="str">
        <x:v>State Recognition</x:v>
      </x:c>
      <x:c r="I1381" s="35" t="str">
        <x:v>Exact-scene paraphrase</x:v>
      </x:c>
      <x:c r="J1381" s="35" t="str">
        <x:v>PVLA-ST-PAR-04</x:v>
      </x:c>
      <x:c r="K1381" s="35" t="str">
        <x:v>S-CF09</x:v>
      </x:c>
      <x:c r="L1381" s="31" t="str">
        <x:v>Move the white cup that is open into the bowl.</x:v>
      </x:c>
      <x:c r="M1381" s="31" t="str">
        <x:v>Move the white cup that is open into the bowl.</x:v>
      </x:c>
      <x:c r="N1381" s="31" t="str">
        <x:v>S-CF09-PARA: P1 white cup A=C/UR [TARGET]; P2 white cup B=O/UR [COMPETITOR]; P3 yellow-white striped cup A=C/UD; P4 brown cup B=O/UD.</x:v>
      </x:c>
      <x:c r="O1381" s="31" t="str">
        <x:v>white cup B</x:v>
      </x:c>
      <x:c r="P1381" s="31" t="str"/>
      <x:c r="Q1381" s="31" t="str"/>
      <x:c r="R1381" s="31" t="str"/>
      <x:c r="S1381" s="31" t="str">
        <x:f>IF('Blind Scoring'!I1381="","",'Blind Scoring'!I1381)</x:f>
      </x:c>
      <x:c r="T1381" s="31" t="str">
        <x:f>'Blind Scoring'!J1381</x:f>
        <x:v>No</x:v>
      </x:c>
      <x:c r="U1381" s="31" t="str">
        <x:f>IF('Blind Scoring'!L1381="","",'Blind Scoring'!L1381)</x:f>
      </x:c>
    </x:row>
    <x:row r="1382" ht="44" customHeight="1">
      <x:c r="A1382" s="35" t="str">
        <x:v>Not Started</x:v>
      </x:c>
      <x:c r="B1382" s="35" t="n">
        <x:v>1380</x:v>
      </x:c>
      <x:c r="C1382" s="35" t="str">
        <x:v>P23</x:v>
      </x:c>
      <x:c r="D1382" s="35" t="n">
        <x:v>17</x:v>
      </x:c>
      <x:c r="E1382" s="35" t="str">
        <x:v>Primary VLA</x:v>
      </x:c>
      <x:c r="F1382" s="35" t="str">
        <x:v>π0.5</x:v>
      </x:c>
      <x:c r="G1382" s="35" t="n">
        <x:v>3</x:v>
      </x:c>
      <x:c r="H1382" s="35" t="str">
        <x:v>State Recognition</x:v>
      </x:c>
      <x:c r="I1382" s="35" t="str">
        <x:v>Novel layout + seen language</x:v>
      </x:c>
      <x:c r="J1382" s="35" t="str">
        <x:v>PVLA-ST-NOV-04</x:v>
      </x:c>
      <x:c r="K1382" s="35" t="str">
        <x:v>S-CF09</x:v>
      </x:c>
      <x:c r="L1382" s="31" t="str">
        <x:v>Place the open white cup in the bowl.</x:v>
      </x:c>
      <x:c r="M1382" s="31" t="str">
        <x:v>Place the open white cup in the bowl.</x:v>
      </x:c>
      <x:c r="N1382" s="31" t="str">
        <x:v>S-CF09-SEEN: P1 white cup A=C/UR [TARGET]; P2 white cup B=O/UR [COMPETITOR]; P3 yellow-white striped cup A=C/UD; P4 brown cup B=O/UD.</x:v>
      </x:c>
      <x:c r="O1382" s="31" t="str">
        <x:v>white cup B</x:v>
      </x:c>
      <x:c r="P1382" s="31" t="str"/>
      <x:c r="Q1382" s="31" t="str"/>
      <x:c r="R1382" s="31" t="str"/>
      <x:c r="S1382" s="31" t="str">
        <x:f>IF('Blind Scoring'!I1382="","",'Blind Scoring'!I1382)</x:f>
      </x:c>
      <x:c r="T1382" s="31" t="str">
        <x:f>'Blind Scoring'!J1382</x:f>
        <x:v>No</x:v>
      </x:c>
      <x:c r="U1382" s="31" t="str">
        <x:f>IF('Blind Scoring'!L1382="","",'Blind Scoring'!L1382)</x:f>
      </x:c>
    </x:row>
    <x:row r="1383" ht="44" customHeight="1">
      <x:c r="A1383" s="35" t="str">
        <x:v>Not Started</x:v>
      </x:c>
      <x:c r="B1383" s="35" t="n">
        <x:v>1381</x:v>
      </x:c>
      <x:c r="C1383" s="35" t="str">
        <x:v>P23</x:v>
      </x:c>
      <x:c r="D1383" s="35" t="n">
        <x:v>18</x:v>
      </x:c>
      <x:c r="E1383" s="35" t="str">
        <x:v>Primary VLA</x:v>
      </x:c>
      <x:c r="F1383" s="35" t="str">
        <x:v>π0.5</x:v>
      </x:c>
      <x:c r="G1383" s="35" t="n">
        <x:v>3</x:v>
      </x:c>
      <x:c r="H1383" s="35" t="str">
        <x:v>State Recognition</x:v>
      </x:c>
      <x:c r="I1383" s="35" t="str">
        <x:v>Exact-scene paraphrase</x:v>
      </x:c>
      <x:c r="J1383" s="35" t="str">
        <x:v>PVLA-ST-PAR-06</x:v>
      </x:c>
      <x:c r="K1383" s="35" t="str">
        <x:v>S-CF15</x:v>
      </x:c>
      <x:c r="L1383" s="31" t="str">
        <x:v>Move the yellow-white striped cup that is open into the bowl.</x:v>
      </x:c>
      <x:c r="M1383" s="31" t="str">
        <x:v>Move the yellow-white striped cup that is open into the bowl.</x:v>
      </x:c>
      <x:c r="N1383" s="31" t="str">
        <x:v>S-CF15-PARA: P1 brown cup A=C/UR; P2 glass spice container A=O/UR; P3 yellow-white striped cup A=C/UD [TARGET]; P4 yellow-white striped cup B=O/UD [COMPETITOR].</x:v>
      </x:c>
      <x:c r="O1383" s="31" t="str">
        <x:v>yellow-white striped cup B</x:v>
      </x:c>
      <x:c r="P1383" s="31" t="str"/>
      <x:c r="Q1383" s="31" t="str"/>
      <x:c r="R1383" s="31" t="str"/>
      <x:c r="S1383" s="31" t="str">
        <x:f>IF('Blind Scoring'!I1383="","",'Blind Scoring'!I1383)</x:f>
      </x:c>
      <x:c r="T1383" s="31" t="str">
        <x:f>'Blind Scoring'!J1383</x:f>
        <x:v>No</x:v>
      </x:c>
      <x:c r="U1383" s="31" t="str">
        <x:f>IF('Blind Scoring'!L1383="","",'Blind Scoring'!L1383)</x:f>
      </x:c>
    </x:row>
    <x:row r="1384" ht="44" customHeight="1">
      <x:c r="A1384" s="35" t="str">
        <x:v>Not Started</x:v>
      </x:c>
      <x:c r="B1384" s="35" t="n">
        <x:v>1382</x:v>
      </x:c>
      <x:c r="C1384" s="35" t="str">
        <x:v>P23</x:v>
      </x:c>
      <x:c r="D1384" s="35" t="n">
        <x:v>19</x:v>
      </x:c>
      <x:c r="E1384" s="35" t="str">
        <x:v>Primary VLA</x:v>
      </x:c>
      <x:c r="F1384" s="35" t="str">
        <x:v>π0.5</x:v>
      </x:c>
      <x:c r="G1384" s="35" t="n">
        <x:v>3</x:v>
      </x:c>
      <x:c r="H1384" s="35" t="str">
        <x:v>State Recognition</x:v>
      </x:c>
      <x:c r="I1384" s="35" t="str">
        <x:v>Main matched control</x:v>
      </x:c>
      <x:c r="J1384" s="35" t="str">
        <x:v>PVLA-ST-CTL-07</x:v>
      </x:c>
      <x:c r="K1384" s="35" t="str">
        <x:v>S-CF13</x:v>
      </x:c>
      <x:c r="L1384" s="31" t="str">
        <x:v>Place a brown cup in the bowl.</x:v>
      </x:c>
      <x:c r="M1384" s="31" t="str">
        <x:v>Place a brown cup in the bowl.</x:v>
      </x:c>
      <x:c r="N1384" s="31" t="str">
        <x:v>S-CF13-CTRL: P1 brown cup A=C/UR [TARGET]; P3 glass spice container A=C/UD; P4 white cup B=O/UD.</x:v>
      </x:c>
      <x:c r="O1384" s="31" t="str">
        <x:v>brown cup A</x:v>
      </x:c>
      <x:c r="P1384" s="31" t="str"/>
      <x:c r="Q1384" s="31" t="str"/>
      <x:c r="R1384" s="31" t="str"/>
      <x:c r="S1384" s="31" t="str">
        <x:f>IF('Blind Scoring'!I1384="","",'Blind Scoring'!I1384)</x:f>
      </x:c>
      <x:c r="T1384" s="31" t="str">
        <x:f>'Blind Scoring'!J1384</x:f>
        <x:v>No</x:v>
      </x:c>
      <x:c r="U1384" s="31" t="str">
        <x:f>IF('Blind Scoring'!L1384="","",'Blind Scoring'!L1384)</x:f>
      </x:c>
    </x:row>
    <x:row r="1385" ht="44" customHeight="1">
      <x:c r="A1385" s="35" t="str">
        <x:v>Not Started</x:v>
      </x:c>
      <x:c r="B1385" s="35" t="n">
        <x:v>1383</x:v>
      </x:c>
      <x:c r="C1385" s="35" t="str">
        <x:v>P23</x:v>
      </x:c>
      <x:c r="D1385" s="35" t="n">
        <x:v>20</x:v>
      </x:c>
      <x:c r="E1385" s="35" t="str">
        <x:v>Primary VLA</x:v>
      </x:c>
      <x:c r="F1385" s="35" t="str">
        <x:v>π0.5</x:v>
      </x:c>
      <x:c r="G1385" s="35" t="n">
        <x:v>3</x:v>
      </x:c>
      <x:c r="H1385" s="35" t="str">
        <x:v>State Recognition</x:v>
      </x:c>
      <x:c r="I1385" s="35" t="str">
        <x:v>Main matched control</x:v>
      </x:c>
      <x:c r="J1385" s="35" t="str">
        <x:v>PVLA-ST-CTL-14</x:v>
      </x:c>
      <x:c r="K1385" s="35" t="str">
        <x:v>S-CF26</x:v>
      </x:c>
      <x:c r="L1385" s="31" t="str">
        <x:v>Place a yellow-white striped cup in the bowl.</x:v>
      </x:c>
      <x:c r="M1385" s="31" t="str">
        <x:v>Place a yellow-white striped cup in the bowl.</x:v>
      </x:c>
      <x:c r="N1385" s="31" t="str">
        <x:v>S-CF26-CTRL: P1 brown cup B=C/UR; P2 yellow-white striped cup B=O/UR [TARGET]; P4 glass spice container B=C/UD.</x:v>
      </x:c>
      <x:c r="O1385" s="31" t="str">
        <x:v>yellow-white striped cup B</x:v>
      </x:c>
      <x:c r="P1385" s="31" t="str"/>
      <x:c r="Q1385" s="31" t="str"/>
      <x:c r="R1385" s="31" t="str"/>
      <x:c r="S1385" s="31" t="str">
        <x:f>IF('Blind Scoring'!I1385="","",'Blind Scoring'!I1385)</x:f>
      </x:c>
      <x:c r="T1385" s="31" t="str">
        <x:f>'Blind Scoring'!J1385</x:f>
        <x:v>No</x:v>
      </x:c>
      <x:c r="U1385" s="31" t="str">
        <x:f>IF('Blind Scoring'!L1385="","",'Blind Scoring'!L1385)</x:f>
      </x:c>
    </x:row>
    <x:row r="1386" ht="44" customHeight="1">
      <x:c r="A1386" s="35" t="str">
        <x:v>Not Started</x:v>
      </x:c>
      <x:c r="B1386" s="35" t="n">
        <x:v>1384</x:v>
      </x:c>
      <x:c r="C1386" s="35" t="str">
        <x:v>P23</x:v>
      </x:c>
      <x:c r="D1386" s="35" t="n">
        <x:v>21</x:v>
      </x:c>
      <x:c r="E1386" s="35" t="str">
        <x:v>Primary VLA</x:v>
      </x:c>
      <x:c r="F1386" s="35" t="str">
        <x:v>π0.5</x:v>
      </x:c>
      <x:c r="G1386" s="35" t="n">
        <x:v>3</x:v>
      </x:c>
      <x:c r="H1386" s="35" t="str">
        <x:v>State Recognition</x:v>
      </x:c>
      <x:c r="I1386" s="35" t="str">
        <x:v>Main matched control</x:v>
      </x:c>
      <x:c r="J1386" s="35" t="str">
        <x:v>PVLA-ST-CTL-11</x:v>
      </x:c>
      <x:c r="K1386" s="35" t="str">
        <x:v>S-CF20</x:v>
      </x:c>
      <x:c r="L1386" s="31" t="str">
        <x:v>Place a white cup in the bowl.</x:v>
      </x:c>
      <x:c r="M1386" s="31" t="str">
        <x:v>Place a white cup in the bowl.</x:v>
      </x:c>
      <x:c r="N1386" s="31" t="str">
        <x:v>S-CF20-CTRL: P2 yellow-white striped cup B=O/UR; P3 brown cup A=O/UD; P4 white cup B=C/UR [TARGET].</x:v>
      </x:c>
      <x:c r="O1386" s="31" t="str">
        <x:v>white cup B</x:v>
      </x:c>
      <x:c r="P1386" s="31" t="str"/>
      <x:c r="Q1386" s="31" t="str"/>
      <x:c r="R1386" s="31" t="str"/>
      <x:c r="S1386" s="31" t="str">
        <x:f>IF('Blind Scoring'!I1386="","",'Blind Scoring'!I1386)</x:f>
      </x:c>
      <x:c r="T1386" s="31" t="str">
        <x:f>'Blind Scoring'!J1386</x:f>
        <x:v>No</x:v>
      </x:c>
      <x:c r="U1386" s="31" t="str">
        <x:f>IF('Blind Scoring'!L1386="","",'Blind Scoring'!L1386)</x:f>
      </x:c>
    </x:row>
    <x:row r="1387" ht="44" customHeight="1">
      <x:c r="A1387" s="35" t="str">
        <x:v>Not Started</x:v>
      </x:c>
      <x:c r="B1387" s="35" t="n">
        <x:v>1385</x:v>
      </x:c>
      <x:c r="C1387" s="35" t="str">
        <x:v>P23</x:v>
      </x:c>
      <x:c r="D1387" s="35" t="n">
        <x:v>22</x:v>
      </x:c>
      <x:c r="E1387" s="35" t="str">
        <x:v>Primary VLA</x:v>
      </x:c>
      <x:c r="F1387" s="35" t="str">
        <x:v>π0.5</x:v>
      </x:c>
      <x:c r="G1387" s="35" t="n">
        <x:v>3</x:v>
      </x:c>
      <x:c r="H1387" s="35" t="str">
        <x:v>State Recognition</x:v>
      </x:c>
      <x:c r="I1387" s="35" t="str">
        <x:v>Main matched control</x:v>
      </x:c>
      <x:c r="J1387" s="35" t="str">
        <x:v>PVLA-ST-CTL-16</x:v>
      </x:c>
      <x:c r="K1387" s="35" t="str">
        <x:v>S-CF30</x:v>
      </x:c>
      <x:c r="L1387" s="31" t="str">
        <x:v>Place a glass spice container in the bowl.</x:v>
      </x:c>
      <x:c r="M1387" s="31" t="str">
        <x:v>Place a glass spice container in the bowl.</x:v>
      </x:c>
      <x:c r="N1387" s="31" t="str">
        <x:v>S-CF30-CTRL: P1 white cup B=C/UR; P2 glass spice container A=O/UR [TARGET]; P4 yellow-white striped cup B=C/UD.</x:v>
      </x:c>
      <x:c r="O1387" s="31" t="str">
        <x:v>glass spice container A</x:v>
      </x:c>
      <x:c r="P1387" s="31" t="str"/>
      <x:c r="Q1387" s="31" t="str"/>
      <x:c r="R1387" s="31" t="str"/>
      <x:c r="S1387" s="31" t="str">
        <x:f>IF('Blind Scoring'!I1387="","",'Blind Scoring'!I1387)</x:f>
      </x:c>
      <x:c r="T1387" s="31" t="str">
        <x:f>'Blind Scoring'!J1387</x:f>
        <x:v>No</x:v>
      </x:c>
      <x:c r="U1387" s="31" t="str">
        <x:f>IF('Blind Scoring'!L1387="","",'Blind Scoring'!L1387)</x:f>
      </x:c>
    </x:row>
    <x:row r="1388" ht="44" customHeight="1">
      <x:c r="A1388" s="35" t="str">
        <x:v>Not Started</x:v>
      </x:c>
      <x:c r="B1388" s="35" t="n">
        <x:v>1386</x:v>
      </x:c>
      <x:c r="C1388" s="35" t="str">
        <x:v>P23</x:v>
      </x:c>
      <x:c r="D1388" s="35" t="n">
        <x:v>23</x:v>
      </x:c>
      <x:c r="E1388" s="35" t="str">
        <x:v>Primary VLA</x:v>
      </x:c>
      <x:c r="F1388" s="35" t="str">
        <x:v>π0.5</x:v>
      </x:c>
      <x:c r="G1388" s="35" t="n">
        <x:v>3</x:v>
      </x:c>
      <x:c r="H1388" s="35" t="str">
        <x:v>State Recognition</x:v>
      </x:c>
      <x:c r="I1388" s="35" t="str">
        <x:v>Training reconstruction</x:v>
      </x:c>
      <x:c r="J1388" s="35" t="str">
        <x:v>PVLA-ST-REC-04</x:v>
      </x:c>
      <x:c r="K1388" s="35" t="str"/>
      <x:c r="L1388" s="31" t="str">
        <x:v>Move the open brown cup into the bowl.</x:v>
      </x:c>
      <x:c r="M1388" s="31" t="str">
        <x:v>Move the open brown cup into the bowl.</x:v>
      </x:c>
      <x:c r="N1388" s="31" t="str">
        <x:v>Reconstruct planned final training episode 104: brown cup B, brown cup A, glass spice container A; start=Recovery. Match camera, calibration, bowl pose, and object geometry exactly.</x:v>
      </x:c>
      <x:c r="O1388" s="31" t="str">
        <x:v>brown cup B</x:v>
      </x:c>
      <x:c r="P1388" s="31" t="str"/>
      <x:c r="Q1388" s="31" t="str"/>
      <x:c r="R1388" s="31" t="str"/>
      <x:c r="S1388" s="31" t="str">
        <x:f>IF('Blind Scoring'!I1388="","",'Blind Scoring'!I1388)</x:f>
      </x:c>
      <x:c r="T1388" s="31" t="str">
        <x:f>'Blind Scoring'!J1388</x:f>
        <x:v>No</x:v>
      </x:c>
      <x:c r="U1388" s="31" t="str">
        <x:f>IF('Blind Scoring'!L1388="","",'Blind Scoring'!L1388)</x:f>
      </x:c>
    </x:row>
    <x:row r="1389" ht="44" customHeight="1">
      <x:c r="A1389" s="35" t="str">
        <x:v>Not Started</x:v>
      </x:c>
      <x:c r="B1389" s="35" t="n">
        <x:v>1387</x:v>
      </x:c>
      <x:c r="C1389" s="35" t="str">
        <x:v>P23</x:v>
      </x:c>
      <x:c r="D1389" s="35" t="n">
        <x:v>24</x:v>
      </x:c>
      <x:c r="E1389" s="35" t="str">
        <x:v>Primary VLA</x:v>
      </x:c>
      <x:c r="F1389" s="35" t="str">
        <x:v>π0.5</x:v>
      </x:c>
      <x:c r="G1389" s="35" t="n">
        <x:v>3</x:v>
      </x:c>
      <x:c r="H1389" s="35" t="str">
        <x:v>State Recognition</x:v>
      </x:c>
      <x:c r="I1389" s="35" t="str">
        <x:v>Novel layout + seen language</x:v>
      </x:c>
      <x:c r="J1389" s="35" t="str">
        <x:v>PVLA-ST-NOV-03</x:v>
      </x:c>
      <x:c r="K1389" s="35" t="str">
        <x:v>S-CF06</x:v>
      </x:c>
      <x:c r="L1389" s="31" t="str">
        <x:v>Place the upside-down glass spice container in the bowl.</x:v>
      </x:c>
      <x:c r="M1389" s="31" t="str">
        <x:v>Place the upside-down glass spice container in the bowl.</x:v>
      </x:c>
      <x:c r="N1389" s="31" t="str">
        <x:v>S-CF06-SEEN: P1 white cup B=C/UR; P2 glass spice container A=O/UR [TARGET]; P3 glass spice container B=O/UD [COMPETITOR]; P4 yellow-white striped cup B=C/UD.</x:v>
      </x:c>
      <x:c r="O1389" s="31" t="str">
        <x:v>glass spice container B</x:v>
      </x:c>
      <x:c r="P1389" s="31" t="str"/>
      <x:c r="Q1389" s="31" t="str"/>
      <x:c r="R1389" s="31" t="str"/>
      <x:c r="S1389" s="31" t="str">
        <x:f>IF('Blind Scoring'!I1389="","",'Blind Scoring'!I1389)</x:f>
      </x:c>
      <x:c r="T1389" s="31" t="str">
        <x:f>'Blind Scoring'!J1389</x:f>
        <x:v>No</x:v>
      </x:c>
      <x:c r="U1389" s="31" t="str">
        <x:f>IF('Blind Scoring'!L1389="","",'Blind Scoring'!L1389)</x:f>
      </x:c>
    </x:row>
    <x:row r="1390" ht="44" customHeight="1">
      <x:c r="A1390" s="35" t="str">
        <x:v>Not Started</x:v>
      </x:c>
      <x:c r="B1390" s="35" t="n">
        <x:v>1388</x:v>
      </x:c>
      <x:c r="C1390" s="35" t="str">
        <x:v>P23</x:v>
      </x:c>
      <x:c r="D1390" s="35" t="n">
        <x:v>25</x:v>
      </x:c>
      <x:c r="E1390" s="35" t="str">
        <x:v>Primary VLA</x:v>
      </x:c>
      <x:c r="F1390" s="35" t="str">
        <x:v>π0.5</x:v>
      </x:c>
      <x:c r="G1390" s="35" t="n">
        <x:v>3</x:v>
      </x:c>
      <x:c r="H1390" s="35" t="str">
        <x:v>State Recognition</x:v>
      </x:c>
      <x:c r="I1390" s="35" t="str">
        <x:v>Main held-out transfer</x:v>
      </x:c>
      <x:c r="J1390" s="35" t="str">
        <x:v>PVLA-ST-TR-12</x:v>
      </x:c>
      <x:c r="K1390" s="35" t="str">
        <x:v>S-CF22</x:v>
      </x:c>
      <x:c r="L1390" s="31" t="str">
        <x:v>Place the upright glass spice container in the bowl.</x:v>
      </x:c>
      <x:c r="M1390" s="31" t="str">
        <x:v>Place the upright glass spice container in the bowl.</x:v>
      </x:c>
      <x:c r="N1390" s="31" t="str">
        <x:v>S-CF22-HELD: P1 white cup B=C/UR; P2 glass spice container A=O/UR [TARGET]; P3 glass spice container B=O/UD [COMPETITOR]; P4 yellow-white striped cup B=C/UD.</x:v>
      </x:c>
      <x:c r="O1390" s="31" t="str">
        <x:v>glass spice container A</x:v>
      </x:c>
      <x:c r="P1390" s="31" t="str"/>
      <x:c r="Q1390" s="31" t="str"/>
      <x:c r="R1390" s="31" t="str"/>
      <x:c r="S1390" s="31" t="str">
        <x:f>IF('Blind Scoring'!I1390="","",'Blind Scoring'!I1390)</x:f>
      </x:c>
      <x:c r="T1390" s="31" t="str">
        <x:f>'Blind Scoring'!J1390</x:f>
        <x:v>No</x:v>
      </x:c>
      <x:c r="U1390" s="31" t="str">
        <x:f>IF('Blind Scoring'!L1390="","",'Blind Scoring'!L1390)</x:f>
      </x:c>
    </x:row>
    <x:row r="1391" ht="44" customHeight="1">
      <x:c r="A1391" s="35" t="str">
        <x:v>Not Started</x:v>
      </x:c>
      <x:c r="B1391" s="35" t="n">
        <x:v>1389</x:v>
      </x:c>
      <x:c r="C1391" s="35" t="str">
        <x:v>P23</x:v>
      </x:c>
      <x:c r="D1391" s="35" t="n">
        <x:v>26</x:v>
      </x:c>
      <x:c r="E1391" s="35" t="str">
        <x:v>Primary VLA</x:v>
      </x:c>
      <x:c r="F1391" s="35" t="str">
        <x:v>π0.5</x:v>
      </x:c>
      <x:c r="G1391" s="35" t="n">
        <x:v>3</x:v>
      </x:c>
      <x:c r="H1391" s="35" t="str">
        <x:v>State Recognition</x:v>
      </x:c>
      <x:c r="I1391" s="35" t="str">
        <x:v>Main matched control</x:v>
      </x:c>
      <x:c r="J1391" s="35" t="str">
        <x:v>PVLA-ST-CTL-04</x:v>
      </x:c>
      <x:c r="K1391" s="35" t="str">
        <x:v>S-CF07</x:v>
      </x:c>
      <x:c r="L1391" s="31" t="str">
        <x:v>Place a yellow-white striped cup in the bowl.</x:v>
      </x:c>
      <x:c r="M1391" s="31" t="str">
        <x:v>Place a yellow-white striped cup in the bowl.</x:v>
      </x:c>
      <x:c r="N1391" s="31" t="str">
        <x:v>S-CF07-CTRL: P1 brown cup A=C/UR; P2 glass spice container A=O/UR; P3 yellow-white striped cup A=C/UD [TARGET].</x:v>
      </x:c>
      <x:c r="O1391" s="31" t="str">
        <x:v>yellow-white striped cup A</x:v>
      </x:c>
      <x:c r="P1391" s="31" t="str"/>
      <x:c r="Q1391" s="31" t="str"/>
      <x:c r="R1391" s="31" t="str"/>
      <x:c r="S1391" s="31" t="str">
        <x:f>IF('Blind Scoring'!I1391="","",'Blind Scoring'!I1391)</x:f>
      </x:c>
      <x:c r="T1391" s="31" t="str">
        <x:f>'Blind Scoring'!J1391</x:f>
        <x:v>No</x:v>
      </x:c>
      <x:c r="U1391" s="31" t="str">
        <x:f>IF('Blind Scoring'!L1391="","",'Blind Scoring'!L1391)</x:f>
      </x:c>
    </x:row>
    <x:row r="1392" ht="44" customHeight="1">
      <x:c r="A1392" s="35" t="str">
        <x:v>Not Started</x:v>
      </x:c>
      <x:c r="B1392" s="35" t="n">
        <x:v>1390</x:v>
      </x:c>
      <x:c r="C1392" s="35" t="str">
        <x:v>P23</x:v>
      </x:c>
      <x:c r="D1392" s="35" t="n">
        <x:v>27</x:v>
      </x:c>
      <x:c r="E1392" s="35" t="str">
        <x:v>Primary VLA</x:v>
      </x:c>
      <x:c r="F1392" s="35" t="str">
        <x:v>π0.5</x:v>
      </x:c>
      <x:c r="G1392" s="35" t="n">
        <x:v>3</x:v>
      </x:c>
      <x:c r="H1392" s="35" t="str">
        <x:v>State Recognition</x:v>
      </x:c>
      <x:c r="I1392" s="35" t="str">
        <x:v>Training reconstruction</x:v>
      </x:c>
      <x:c r="J1392" s="35" t="str">
        <x:v>PVLA-ST-REC-06</x:v>
      </x:c>
      <x:c r="K1392" s="35" t="str"/>
      <x:c r="L1392" s="31" t="str">
        <x:v>Move a glass spice container into the bowl.</x:v>
      </x:c>
      <x:c r="M1392" s="31" t="str">
        <x:v>Move a glass spice container into the bowl.</x:v>
      </x:c>
      <x:c r="N1392" s="31" t="str">
        <x:v>Reconstruct planned final training episode 191: glass spice container A, brown cup A, white cup B; start=Home. Match camera, calibration, bowl pose, and object geometry exactly.</x:v>
      </x:c>
      <x:c r="O1392" s="31" t="str">
        <x:v>glass spice container A</x:v>
      </x:c>
      <x:c r="P1392" s="31" t="str"/>
      <x:c r="Q1392" s="31" t="str"/>
      <x:c r="R1392" s="31" t="str"/>
      <x:c r="S1392" s="31" t="str">
        <x:f>IF('Blind Scoring'!I1392="","",'Blind Scoring'!I1392)</x:f>
      </x:c>
      <x:c r="T1392" s="31" t="str">
        <x:f>'Blind Scoring'!J1392</x:f>
        <x:v>No</x:v>
      </x:c>
      <x:c r="U1392" s="31" t="str">
        <x:f>IF('Blind Scoring'!L1392="","",'Blind Scoring'!L1392)</x:f>
      </x:c>
    </x:row>
    <x:row r="1393" ht="44" customHeight="1">
      <x:c r="A1393" s="35" t="str">
        <x:v>Not Started</x:v>
      </x:c>
      <x:c r="B1393" s="35" t="n">
        <x:v>1391</x:v>
      </x:c>
      <x:c r="C1393" s="35" t="str">
        <x:v>P23</x:v>
      </x:c>
      <x:c r="D1393" s="35" t="n">
        <x:v>28</x:v>
      </x:c>
      <x:c r="E1393" s="35" t="str">
        <x:v>Primary VLA</x:v>
      </x:c>
      <x:c r="F1393" s="35" t="str">
        <x:v>π0.5</x:v>
      </x:c>
      <x:c r="G1393" s="35" t="n">
        <x:v>3</x:v>
      </x:c>
      <x:c r="H1393" s="35" t="str">
        <x:v>State Recognition</x:v>
      </x:c>
      <x:c r="I1393" s="35" t="str">
        <x:v>Main held-out transfer</x:v>
      </x:c>
      <x:c r="J1393" s="35" t="str">
        <x:v>PVLA-ST-TR-16</x:v>
      </x:c>
      <x:c r="K1393" s="35" t="str">
        <x:v>S-CF30</x:v>
      </x:c>
      <x:c r="L1393" s="31" t="str">
        <x:v>Place the upright glass spice container in the bowl.</x:v>
      </x:c>
      <x:c r="M1393" s="31" t="str">
        <x:v>Place the upright glass spice container in the bowl.</x:v>
      </x:c>
      <x:c r="N1393" s="31" t="str">
        <x:v>S-CF30-HELD: P1 white cup B=C/UR; P2 glass spice container A=O/UR [TARGET]; P3 glass spice container B=O/UD [COMPETITOR]; P4 yellow-white striped cup B=C/UD.</x:v>
      </x:c>
      <x:c r="O1393" s="31" t="str">
        <x:v>glass spice container A</x:v>
      </x:c>
      <x:c r="P1393" s="31" t="str"/>
      <x:c r="Q1393" s="31" t="str"/>
      <x:c r="R1393" s="31" t="str"/>
      <x:c r="S1393" s="31" t="str">
        <x:f>IF('Blind Scoring'!I1393="","",'Blind Scoring'!I1393)</x:f>
      </x:c>
      <x:c r="T1393" s="31" t="str">
        <x:f>'Blind Scoring'!J1393</x:f>
        <x:v>No</x:v>
      </x:c>
      <x:c r="U1393" s="31" t="str">
        <x:f>IF('Blind Scoring'!L1393="","",'Blind Scoring'!L1393)</x:f>
      </x:c>
    </x:row>
    <x:row r="1394" ht="44" customHeight="1">
      <x:c r="A1394" s="35" t="str">
        <x:v>Not Started</x:v>
      </x:c>
      <x:c r="B1394" s="35" t="n">
        <x:v>1392</x:v>
      </x:c>
      <x:c r="C1394" s="35" t="str">
        <x:v>P23</x:v>
      </x:c>
      <x:c r="D1394" s="35" t="n">
        <x:v>29</x:v>
      </x:c>
      <x:c r="E1394" s="35" t="str">
        <x:v>Primary VLA</x:v>
      </x:c>
      <x:c r="F1394" s="35" t="str">
        <x:v>π0.5</x:v>
      </x:c>
      <x:c r="G1394" s="35" t="n">
        <x:v>3</x:v>
      </x:c>
      <x:c r="H1394" s="35" t="str">
        <x:v>State Recognition</x:v>
      </x:c>
      <x:c r="I1394" s="35" t="str">
        <x:v>Main matched control</x:v>
      </x:c>
      <x:c r="J1394" s="35" t="str">
        <x:v>PVLA-ST-CTL-10</x:v>
      </x:c>
      <x:c r="K1394" s="35" t="str">
        <x:v>S-CF18</x:v>
      </x:c>
      <x:c r="L1394" s="31" t="str">
        <x:v>Place a yellow-white striped cup in the bowl.</x:v>
      </x:c>
      <x:c r="M1394" s="31" t="str">
        <x:v>Place a yellow-white striped cup in the bowl.</x:v>
      </x:c>
      <x:c r="N1394" s="31" t="str">
        <x:v>S-CF18-CTRL: P1 brown cup B=C/UR; P2 yellow-white striped cup B=O/UR [TARGET]; P4 glass spice container B=C/UD.</x:v>
      </x:c>
      <x:c r="O1394" s="31" t="str">
        <x:v>yellow-white striped cup B</x:v>
      </x:c>
      <x:c r="P1394" s="31" t="str"/>
      <x:c r="Q1394" s="31" t="str"/>
      <x:c r="R1394" s="31" t="str"/>
      <x:c r="S1394" s="31" t="str">
        <x:f>IF('Blind Scoring'!I1394="","",'Blind Scoring'!I1394)</x:f>
      </x:c>
      <x:c r="T1394" s="31" t="str">
        <x:f>'Blind Scoring'!J1394</x:f>
        <x:v>No</x:v>
      </x:c>
      <x:c r="U1394" s="31" t="str">
        <x:f>IF('Blind Scoring'!L1394="","",'Blind Scoring'!L1394)</x:f>
      </x:c>
    </x:row>
    <x:row r="1395" ht="44" customHeight="1">
      <x:c r="A1395" s="35" t="str">
        <x:v>Not Started</x:v>
      </x:c>
      <x:c r="B1395" s="35" t="n">
        <x:v>1393</x:v>
      </x:c>
      <x:c r="C1395" s="35" t="str">
        <x:v>P23</x:v>
      </x:c>
      <x:c r="D1395" s="35" t="n">
        <x:v>30</x:v>
      </x:c>
      <x:c r="E1395" s="35" t="str">
        <x:v>Primary VLA</x:v>
      </x:c>
      <x:c r="F1395" s="35" t="str">
        <x:v>π0.5</x:v>
      </x:c>
      <x:c r="G1395" s="35" t="n">
        <x:v>3</x:v>
      </x:c>
      <x:c r="H1395" s="35" t="str">
        <x:v>State Recognition</x:v>
      </x:c>
      <x:c r="I1395" s="35" t="str">
        <x:v>Main matched control</x:v>
      </x:c>
      <x:c r="J1395" s="35" t="str">
        <x:v>PVLA-ST-CTL-13</x:v>
      </x:c>
      <x:c r="K1395" s="35" t="str">
        <x:v>S-CF24</x:v>
      </x:c>
      <x:c r="L1395" s="31" t="str">
        <x:v>Place a brown cup in the bowl.</x:v>
      </x:c>
      <x:c r="M1395" s="31" t="str">
        <x:v>Place a brown cup in the bowl.</x:v>
      </x:c>
      <x:c r="N1395" s="31" t="str">
        <x:v>S-CF24-CTRL: P2 glass spice container B=O/UR; P3 white cup A=O/UD; P4 brown cup B=C/UR [TARGET].</x:v>
      </x:c>
      <x:c r="O1395" s="31" t="str">
        <x:v>brown cup B</x:v>
      </x:c>
      <x:c r="P1395" s="31" t="str"/>
      <x:c r="Q1395" s="31" t="str"/>
      <x:c r="R1395" s="31" t="str"/>
      <x:c r="S1395" s="31" t="str">
        <x:f>IF('Blind Scoring'!I1395="","",'Blind Scoring'!I1395)</x:f>
      </x:c>
      <x:c r="T1395" s="31" t="str">
        <x:f>'Blind Scoring'!J1395</x:f>
        <x:v>No</x:v>
      </x:c>
      <x:c r="U1395" s="31" t="str">
        <x:f>IF('Blind Scoring'!L1395="","",'Blind Scoring'!L1395)</x:f>
      </x:c>
    </x:row>
    <x:row r="1396" ht="44" customHeight="1">
      <x:c r="A1396" s="35" t="str">
        <x:v>Not Started</x:v>
      </x:c>
      <x:c r="B1396" s="35" t="n">
        <x:v>1394</x:v>
      </x:c>
      <x:c r="C1396" s="35" t="str">
        <x:v>P23</x:v>
      </x:c>
      <x:c r="D1396" s="35" t="n">
        <x:v>31</x:v>
      </x:c>
      <x:c r="E1396" s="35" t="str">
        <x:v>Primary VLA</x:v>
      </x:c>
      <x:c r="F1396" s="35" t="str">
        <x:v>π0.5</x:v>
      </x:c>
      <x:c r="G1396" s="35" t="n">
        <x:v>3</x:v>
      </x:c>
      <x:c r="H1396" s="35" t="str">
        <x:v>State Recognition</x:v>
      </x:c>
      <x:c r="I1396" s="35" t="str">
        <x:v>Language ablation — blank</x:v>
      </x:c>
      <x:c r="J1396" s="35" t="str">
        <x:v>PVLA-ST-ABL-BLK-03</x:v>
      </x:c>
      <x:c r="K1396" s="35" t="str">
        <x:v>S-CF05</x:v>
      </x:c>
      <x:c r="L1396" s="31" t="str">
        <x:v>[EMPTY STRING — provide no instruction tokens]</x:v>
      </x:c>
      <x:c r="M1396" s="31" t="str">
        <x:v>Place the closed brown cup in the bowl.</x:v>
      </x:c>
      <x:c r="N1396" s="31" t="str">
        <x:v>S-CF05-HELD: P1 brown cup A=C/UR [TARGET]; P2 brown cup B=O/UR [COMPETITOR]; P3 glass spice container A=C/UD; P4 white cup B=O/UD.</x:v>
      </x:c>
      <x:c r="O1396" s="31" t="str">
        <x:v>No prespecified task success under blank language; record any action/selected target.</x:v>
      </x:c>
      <x:c r="P1396" s="31" t="str"/>
      <x:c r="Q1396" s="31" t="str"/>
      <x:c r="R1396" s="31" t="str"/>
      <x:c r="S1396" s="31" t="str">
        <x:f>IF('Blind Scoring'!I1396="","",'Blind Scoring'!I1396)</x:f>
      </x:c>
      <x:c r="T1396" s="31" t="str">
        <x:f>'Blind Scoring'!J1396</x:f>
        <x:v>No</x:v>
      </x:c>
      <x:c r="U1396" s="31" t="str">
        <x:f>IF('Blind Scoring'!L1396="","",'Blind Scoring'!L1396)</x:f>
      </x:c>
    </x:row>
    <x:row r="1397" ht="44" customHeight="1">
      <x:c r="A1397" s="35" t="str">
        <x:v>Not Started</x:v>
      </x:c>
      <x:c r="B1397" s="35" t="n">
        <x:v>1395</x:v>
      </x:c>
      <x:c r="C1397" s="35" t="str">
        <x:v>P23</x:v>
      </x:c>
      <x:c r="D1397" s="35" t="n">
        <x:v>32</x:v>
      </x:c>
      <x:c r="E1397" s="35" t="str">
        <x:v>Primary VLA</x:v>
      </x:c>
      <x:c r="F1397" s="35" t="str">
        <x:v>π0.5</x:v>
      </x:c>
      <x:c r="G1397" s="35" t="n">
        <x:v>3</x:v>
      </x:c>
      <x:c r="H1397" s="35" t="str">
        <x:v>State Recognition</x:v>
      </x:c>
      <x:c r="I1397" s="35" t="str">
        <x:v>Language ablation — blank</x:v>
      </x:c>
      <x:c r="J1397" s="35" t="str">
        <x:v>PVLA-ST-ABL-BLK-04</x:v>
      </x:c>
      <x:c r="K1397" s="35" t="str">
        <x:v>S-CF07</x:v>
      </x:c>
      <x:c r="L1397" s="31" t="str">
        <x:v>[EMPTY STRING — provide no instruction tokens]</x:v>
      </x:c>
      <x:c r="M1397" s="31" t="str">
        <x:v>Place the closed yellow-white striped cup in the bowl.</x:v>
      </x:c>
      <x:c r="N1397" s="31" t="str">
        <x:v>S-CF07-HELD: P1 brown cup A=C/UR; P2 glass spice container A=O/UR; P3 yellow-white striped cup A=C/UD [TARGET]; P4 yellow-white striped cup B=O/UD [COMPETITOR].</x:v>
      </x:c>
      <x:c r="O1397" s="31" t="str">
        <x:v>No prespecified task success under blank language; record any action/selected target.</x:v>
      </x:c>
      <x:c r="P1397" s="31" t="str"/>
      <x:c r="Q1397" s="31" t="str"/>
      <x:c r="R1397" s="31" t="str"/>
      <x:c r="S1397" s="31" t="str">
        <x:f>IF('Blind Scoring'!I1397="","",'Blind Scoring'!I1397)</x:f>
      </x:c>
      <x:c r="T1397" s="31" t="str">
        <x:f>'Blind Scoring'!J1397</x:f>
        <x:v>No</x:v>
      </x:c>
      <x:c r="U1397" s="31" t="str">
        <x:f>IF('Blind Scoring'!L1397="","",'Blind Scoring'!L1397)</x:f>
      </x:c>
    </x:row>
    <x:row r="1398" ht="44" customHeight="1">
      <x:c r="A1398" s="35" t="str">
        <x:v>Not Started</x:v>
      </x:c>
      <x:c r="B1398" s="35" t="n">
        <x:v>1396</x:v>
      </x:c>
      <x:c r="C1398" s="35" t="str">
        <x:v>P23</x:v>
      </x:c>
      <x:c r="D1398" s="35" t="n">
        <x:v>33</x:v>
      </x:c>
      <x:c r="E1398" s="35" t="str">
        <x:v>Primary VLA</x:v>
      </x:c>
      <x:c r="F1398" s="35" t="str">
        <x:v>π0.5</x:v>
      </x:c>
      <x:c r="G1398" s="35" t="n">
        <x:v>3</x:v>
      </x:c>
      <x:c r="H1398" s="35" t="str">
        <x:v>State Recognition</x:v>
      </x:c>
      <x:c r="I1398" s="35" t="str">
        <x:v>Language ablation — counterfactual</x:v>
      </x:c>
      <x:c r="J1398" s="35" t="str">
        <x:v>PVLA-ST-ABL-CF-01</x:v>
      </x:c>
      <x:c r="K1398" s="35" t="str">
        <x:v>S-CF09</x:v>
      </x:c>
      <x:c r="L1398" s="31" t="str">
        <x:v>Place the open white cup in the bowl.</x:v>
      </x:c>
      <x:c r="M1398" s="31" t="str">
        <x:v>Place the open white cup in the bowl.</x:v>
      </x:c>
      <x:c r="N1398" s="31" t="str">
        <x:v>S-CF09-HELD: P1 white cup A=C/UR [TARGET]; P2 white cup B=O/UR [COMPETITOR]; P3 yellow-white striped cup A=C/UD; P4 brown cup B=O/UD.</x:v>
      </x:c>
      <x:c r="O1398" s="31" t="str">
        <x:v>white cup B</x:v>
      </x:c>
      <x:c r="P1398" s="31" t="str"/>
      <x:c r="Q1398" s="31" t="str"/>
      <x:c r="R1398" s="31" t="str"/>
      <x:c r="S1398" s="31" t="str">
        <x:f>IF('Blind Scoring'!I1398="","",'Blind Scoring'!I1398)</x:f>
      </x:c>
      <x:c r="T1398" s="31" t="str">
        <x:f>'Blind Scoring'!J1398</x:f>
        <x:v>No</x:v>
      </x:c>
      <x:c r="U1398" s="31" t="str">
        <x:f>IF('Blind Scoring'!L1398="","",'Blind Scoring'!L1398)</x:f>
      </x:c>
    </x:row>
    <x:row r="1399" ht="44" customHeight="1">
      <x:c r="A1399" s="35" t="str">
        <x:v>Not Started</x:v>
      </x:c>
      <x:c r="B1399" s="35" t="n">
        <x:v>1397</x:v>
      </x:c>
      <x:c r="C1399" s="35" t="str">
        <x:v>P23</x:v>
      </x:c>
      <x:c r="D1399" s="35" t="n">
        <x:v>34</x:v>
      </x:c>
      <x:c r="E1399" s="35" t="str">
        <x:v>Primary VLA</x:v>
      </x:c>
      <x:c r="F1399" s="35" t="str">
        <x:v>π0.5</x:v>
      </x:c>
      <x:c r="G1399" s="35" t="n">
        <x:v>3</x:v>
      </x:c>
      <x:c r="H1399" s="35" t="str">
        <x:v>State Recognition</x:v>
      </x:c>
      <x:c r="I1399" s="35" t="str">
        <x:v>Training reconstruction</x:v>
      </x:c>
      <x:c r="J1399" s="35" t="str">
        <x:v>PVLA-ST-REC-05</x:v>
      </x:c>
      <x:c r="K1399" s="35" t="str"/>
      <x:c r="L1399" s="31" t="str">
        <x:v>Put the open glass spice container in the bowl.</x:v>
      </x:c>
      <x:c r="M1399" s="31" t="str">
        <x:v>Put the open glass spice container in the bowl.</x:v>
      </x:c>
      <x:c r="N1399" s="31" t="str">
        <x:v>Reconstruct planned final training episode 160: glass spice container B, glass spice container A, yellow-white striped cup B; start=Home. Match camera, calibration, bowl pose, and object geometry exactly.</x:v>
      </x:c>
      <x:c r="O1399" s="31" t="str">
        <x:v>glass spice container B</x:v>
      </x:c>
      <x:c r="P1399" s="31" t="str"/>
      <x:c r="Q1399" s="31" t="str"/>
      <x:c r="R1399" s="31" t="str"/>
      <x:c r="S1399" s="31" t="str">
        <x:f>IF('Blind Scoring'!I1399="","",'Blind Scoring'!I1399)</x:f>
      </x:c>
      <x:c r="T1399" s="31" t="str">
        <x:f>'Blind Scoring'!J1399</x:f>
        <x:v>No</x:v>
      </x:c>
      <x:c r="U1399" s="31" t="str">
        <x:f>IF('Blind Scoring'!L1399="","",'Blind Scoring'!L1399)</x:f>
      </x:c>
    </x:row>
    <x:row r="1400" ht="44" customHeight="1">
      <x:c r="A1400" s="35" t="str">
        <x:v>Not Started</x:v>
      </x:c>
      <x:c r="B1400" s="35" t="n">
        <x:v>1398</x:v>
      </x:c>
      <x:c r="C1400" s="35" t="str">
        <x:v>P23</x:v>
      </x:c>
      <x:c r="D1400" s="35" t="n">
        <x:v>35</x:v>
      </x:c>
      <x:c r="E1400" s="35" t="str">
        <x:v>Primary VLA</x:v>
      </x:c>
      <x:c r="F1400" s="35" t="str">
        <x:v>π0.5</x:v>
      </x:c>
      <x:c r="G1400" s="35" t="n">
        <x:v>3</x:v>
      </x:c>
      <x:c r="H1400" s="35" t="str">
        <x:v>State Recognition</x:v>
      </x:c>
      <x:c r="I1400" s="35" t="str">
        <x:v>Main held-out transfer</x:v>
      </x:c>
      <x:c r="J1400" s="35" t="str">
        <x:v>PVLA-ST-TR-10</x:v>
      </x:c>
      <x:c r="K1400" s="35" t="str">
        <x:v>S-CF18</x:v>
      </x:c>
      <x:c r="L1400" s="31" t="str">
        <x:v>Place the upright yellow-white striped cup in the bowl.</x:v>
      </x:c>
      <x:c r="M1400" s="31" t="str">
        <x:v>Place the upright yellow-white striped cup in the bowl.</x:v>
      </x:c>
      <x:c r="N1400" s="31" t="str">
        <x:v>S-CF18-HELD: P1 brown cup B=C/UR; P2 yellow-white striped cup B=O/UR [TARGET]; P3 yellow-white striped cup A=O/UD [COMPETITOR]; P4 glass spice container B=C/UD.</x:v>
      </x:c>
      <x:c r="O1400" s="31" t="str">
        <x:v>yellow-white striped cup B</x:v>
      </x:c>
      <x:c r="P1400" s="31" t="str"/>
      <x:c r="Q1400" s="31" t="str"/>
      <x:c r="R1400" s="31" t="str"/>
      <x:c r="S1400" s="31" t="str">
        <x:f>IF('Blind Scoring'!I1400="","",'Blind Scoring'!I1400)</x:f>
      </x:c>
      <x:c r="T1400" s="31" t="str">
        <x:f>'Blind Scoring'!J1400</x:f>
        <x:v>No</x:v>
      </x:c>
      <x:c r="U1400" s="31" t="str">
        <x:f>IF('Blind Scoring'!L1400="","",'Blind Scoring'!L1400)</x:f>
      </x:c>
    </x:row>
    <x:row r="1401" ht="44" customHeight="1">
      <x:c r="A1401" s="35" t="str">
        <x:v>Not Started</x:v>
      </x:c>
      <x:c r="B1401" s="35" t="n">
        <x:v>1399</x:v>
      </x:c>
      <x:c r="C1401" s="35" t="str">
        <x:v>P23</x:v>
      </x:c>
      <x:c r="D1401" s="35" t="n">
        <x:v>36</x:v>
      </x:c>
      <x:c r="E1401" s="35" t="str">
        <x:v>Primary VLA</x:v>
      </x:c>
      <x:c r="F1401" s="35" t="str">
        <x:v>π0.5</x:v>
      </x:c>
      <x:c r="G1401" s="35" t="n">
        <x:v>3</x:v>
      </x:c>
      <x:c r="H1401" s="35" t="str">
        <x:v>State Recognition</x:v>
      </x:c>
      <x:c r="I1401" s="35" t="str">
        <x:v>Main matched control</x:v>
      </x:c>
      <x:c r="J1401" s="35" t="str">
        <x:v>PVLA-ST-CTL-09</x:v>
      </x:c>
      <x:c r="K1401" s="35" t="str">
        <x:v>S-CF16</x:v>
      </x:c>
      <x:c r="L1401" s="31" t="str">
        <x:v>Place a brown cup in the bowl.</x:v>
      </x:c>
      <x:c r="M1401" s="31" t="str">
        <x:v>Place a brown cup in the bowl.</x:v>
      </x:c>
      <x:c r="N1401" s="31" t="str">
        <x:v>S-CF16-CTRL: P2 glass spice container B=O/UR; P3 white cup A=O/UD; P4 brown cup B=C/UR [TARGET].</x:v>
      </x:c>
      <x:c r="O1401" s="31" t="str">
        <x:v>brown cup B</x:v>
      </x:c>
      <x:c r="P1401" s="31" t="str"/>
      <x:c r="Q1401" s="31" t="str"/>
      <x:c r="R1401" s="31" t="str"/>
      <x:c r="S1401" s="31" t="str">
        <x:f>IF('Blind Scoring'!I1401="","",'Blind Scoring'!I1401)</x:f>
      </x:c>
      <x:c r="T1401" s="31" t="str">
        <x:f>'Blind Scoring'!J1401</x:f>
        <x:v>No</x:v>
      </x:c>
      <x:c r="U1401" s="31" t="str">
        <x:f>IF('Blind Scoring'!L1401="","",'Blind Scoring'!L1401)</x:f>
      </x:c>
    </x:row>
    <x:row r="1402" ht="44" customHeight="1">
      <x:c r="A1402" s="35" t="str">
        <x:v>Not Started</x:v>
      </x:c>
      <x:c r="B1402" s="35" t="n">
        <x:v>1400</x:v>
      </x:c>
      <x:c r="C1402" s="35" t="str">
        <x:v>P23</x:v>
      </x:c>
      <x:c r="D1402" s="35" t="n">
        <x:v>37</x:v>
      </x:c>
      <x:c r="E1402" s="35" t="str">
        <x:v>Primary VLA</x:v>
      </x:c>
      <x:c r="F1402" s="35" t="str">
        <x:v>π0.5</x:v>
      </x:c>
      <x:c r="G1402" s="35" t="n">
        <x:v>3</x:v>
      </x:c>
      <x:c r="H1402" s="35" t="str">
        <x:v>State Recognition</x:v>
      </x:c>
      <x:c r="I1402" s="35" t="str">
        <x:v>Main matched control</x:v>
      </x:c>
      <x:c r="J1402" s="35" t="str">
        <x:v>PVLA-ST-CTL-05</x:v>
      </x:c>
      <x:c r="K1402" s="35" t="str">
        <x:v>S-CF09</x:v>
      </x:c>
      <x:c r="L1402" s="31" t="str">
        <x:v>Place a white cup in the bowl.</x:v>
      </x:c>
      <x:c r="M1402" s="31" t="str">
        <x:v>Place a white cup in the bowl.</x:v>
      </x:c>
      <x:c r="N1402" s="31" t="str">
        <x:v>S-CF09-CTRL: P1 white cup A=C/UR [TARGET]; P3 yellow-white striped cup A=C/UD; P4 brown cup B=O/UD.</x:v>
      </x:c>
      <x:c r="O1402" s="31" t="str">
        <x:v>white cup A</x:v>
      </x:c>
      <x:c r="P1402" s="31" t="str"/>
      <x:c r="Q1402" s="31" t="str"/>
      <x:c r="R1402" s="31" t="str"/>
      <x:c r="S1402" s="31" t="str">
        <x:f>IF('Blind Scoring'!I1402="","",'Blind Scoring'!I1402)</x:f>
      </x:c>
      <x:c r="T1402" s="31" t="str">
        <x:f>'Blind Scoring'!J1402</x:f>
        <x:v>No</x:v>
      </x:c>
      <x:c r="U1402" s="31" t="str">
        <x:f>IF('Blind Scoring'!L1402="","",'Blind Scoring'!L1402)</x:f>
      </x:c>
    </x:row>
    <x:row r="1403" ht="44" customHeight="1">
      <x:c r="A1403" s="35" t="str">
        <x:v>Not Started</x:v>
      </x:c>
      <x:c r="B1403" s="35" t="n">
        <x:v>1401</x:v>
      </x:c>
      <x:c r="C1403" s="35" t="str">
        <x:v>P23</x:v>
      </x:c>
      <x:c r="D1403" s="35" t="n">
        <x:v>38</x:v>
      </x:c>
      <x:c r="E1403" s="35" t="str">
        <x:v>Primary VLA</x:v>
      </x:c>
      <x:c r="F1403" s="35" t="str">
        <x:v>π0.5</x:v>
      </x:c>
      <x:c r="G1403" s="35" t="n">
        <x:v>3</x:v>
      </x:c>
      <x:c r="H1403" s="35" t="str">
        <x:v>State Recognition</x:v>
      </x:c>
      <x:c r="I1403" s="35" t="str">
        <x:v>Main held-out transfer</x:v>
      </x:c>
      <x:c r="J1403" s="35" t="str">
        <x:v>PVLA-ST-TR-03</x:v>
      </x:c>
      <x:c r="K1403" s="35" t="str">
        <x:v>S-CF05</x:v>
      </x:c>
      <x:c r="L1403" s="31" t="str">
        <x:v>Place the closed brown cup in the bowl.</x:v>
      </x:c>
      <x:c r="M1403" s="31" t="str">
        <x:v>Place the closed brown cup in the bowl.</x:v>
      </x:c>
      <x:c r="N1403" s="31" t="str">
        <x:v>S-CF05-HELD: P1 brown cup A=C/UR [TARGET]; P2 brown cup B=O/UR [COMPETITOR]; P3 glass spice container A=C/UD; P4 white cup B=O/UD.</x:v>
      </x:c>
      <x:c r="O1403" s="31" t="str">
        <x:v>brown cup A</x:v>
      </x:c>
      <x:c r="P1403" s="31" t="str"/>
      <x:c r="Q1403" s="31" t="str"/>
      <x:c r="R1403" s="31" t="str"/>
      <x:c r="S1403" s="31" t="str">
        <x:f>IF('Blind Scoring'!I1403="","",'Blind Scoring'!I1403)</x:f>
      </x:c>
      <x:c r="T1403" s="31" t="str">
        <x:f>'Blind Scoring'!J1403</x:f>
        <x:v>No</x:v>
      </x:c>
      <x:c r="U1403" s="31" t="str">
        <x:f>IF('Blind Scoring'!L1403="","",'Blind Scoring'!L1403)</x:f>
      </x:c>
    </x:row>
    <x:row r="1404" ht="44" customHeight="1">
      <x:c r="A1404" s="35" t="str">
        <x:v>Not Started</x:v>
      </x:c>
      <x:c r="B1404" s="35" t="n">
        <x:v>1402</x:v>
      </x:c>
      <x:c r="C1404" s="35" t="str">
        <x:v>P23</x:v>
      </x:c>
      <x:c r="D1404" s="35" t="n">
        <x:v>39</x:v>
      </x:c>
      <x:c r="E1404" s="35" t="str">
        <x:v>Primary VLA</x:v>
      </x:c>
      <x:c r="F1404" s="35" t="str">
        <x:v>π0.5</x:v>
      </x:c>
      <x:c r="G1404" s="35" t="n">
        <x:v>3</x:v>
      </x:c>
      <x:c r="H1404" s="35" t="str">
        <x:v>State Recognition</x:v>
      </x:c>
      <x:c r="I1404" s="35" t="str">
        <x:v>Main matched control</x:v>
      </x:c>
      <x:c r="J1404" s="35" t="str">
        <x:v>PVLA-ST-CTL-03</x:v>
      </x:c>
      <x:c r="K1404" s="35" t="str">
        <x:v>S-CF05</x:v>
      </x:c>
      <x:c r="L1404" s="31" t="str">
        <x:v>Place a brown cup in the bowl.</x:v>
      </x:c>
      <x:c r="M1404" s="31" t="str">
        <x:v>Place a brown cup in the bowl.</x:v>
      </x:c>
      <x:c r="N1404" s="31" t="str">
        <x:v>S-CF05-CTRL: P1 brown cup A=C/UR [TARGET]; P3 glass spice container A=C/UD; P4 white cup B=O/UD.</x:v>
      </x:c>
      <x:c r="O1404" s="31" t="str">
        <x:v>brown cup A</x:v>
      </x:c>
      <x:c r="P1404" s="31" t="str"/>
      <x:c r="Q1404" s="31" t="str"/>
      <x:c r="R1404" s="31" t="str"/>
      <x:c r="S1404" s="31" t="str">
        <x:f>IF('Blind Scoring'!I1404="","",'Blind Scoring'!I1404)</x:f>
      </x:c>
      <x:c r="T1404" s="31" t="str">
        <x:f>'Blind Scoring'!J1404</x:f>
        <x:v>No</x:v>
      </x:c>
      <x:c r="U1404" s="31" t="str">
        <x:f>IF('Blind Scoring'!L1404="","",'Blind Scoring'!L1404)</x:f>
      </x:c>
    </x:row>
    <x:row r="1405" ht="44" customHeight="1">
      <x:c r="A1405" s="35" t="str">
        <x:v>Not Started</x:v>
      </x:c>
      <x:c r="B1405" s="35" t="n">
        <x:v>1403</x:v>
      </x:c>
      <x:c r="C1405" s="35" t="str">
        <x:v>P23</x:v>
      </x:c>
      <x:c r="D1405" s="35" t="n">
        <x:v>40</x:v>
      </x:c>
      <x:c r="E1405" s="35" t="str">
        <x:v>Primary VLA</x:v>
      </x:c>
      <x:c r="F1405" s="35" t="str">
        <x:v>π0.5</x:v>
      </x:c>
      <x:c r="G1405" s="35" t="n">
        <x:v>3</x:v>
      </x:c>
      <x:c r="H1405" s="35" t="str">
        <x:v>State Recognition</x:v>
      </x:c>
      <x:c r="I1405" s="35" t="str">
        <x:v>Training reconstruction</x:v>
      </x:c>
      <x:c r="J1405" s="35" t="str">
        <x:v>PVLA-ST-REC-01</x:v>
      </x:c>
      <x:c r="K1405" s="35" t="str"/>
      <x:c r="L1405" s="31" t="str">
        <x:v>Move the open white cup into the bowl.</x:v>
      </x:c>
      <x:c r="M1405" s="31" t="str">
        <x:v>Move the open white cup into the bowl.</x:v>
      </x:c>
      <x:c r="N1405" s="31" t="str">
        <x:v>Reconstruct planned final training episode 2: white cup A, white cup B, glass spice container A, yellow-white striped cup B; start=Home. Match camera, calibration, bowl pose, and object geometry exactly.</x:v>
      </x:c>
      <x:c r="O1405" s="31" t="str">
        <x:v>white cup A</x:v>
      </x:c>
      <x:c r="P1405" s="31" t="str"/>
      <x:c r="Q1405" s="31" t="str"/>
      <x:c r="R1405" s="31" t="str"/>
      <x:c r="S1405" s="31" t="str">
        <x:f>IF('Blind Scoring'!I1405="","",'Blind Scoring'!I1405)</x:f>
      </x:c>
      <x:c r="T1405" s="31" t="str">
        <x:f>'Blind Scoring'!J1405</x:f>
        <x:v>No</x:v>
      </x:c>
      <x:c r="U1405" s="31" t="str">
        <x:f>IF('Blind Scoring'!L1405="","",'Blind Scoring'!L1405)</x:f>
      </x:c>
    </x:row>
    <x:row r="1406" ht="44" customHeight="1">
      <x:c r="A1406" s="35" t="str">
        <x:v>Not Started</x:v>
      </x:c>
      <x:c r="B1406" s="35" t="n">
        <x:v>1404</x:v>
      </x:c>
      <x:c r="C1406" s="35" t="str">
        <x:v>P23</x:v>
      </x:c>
      <x:c r="D1406" s="35" t="n">
        <x:v>41</x:v>
      </x:c>
      <x:c r="E1406" s="35" t="str">
        <x:v>Primary VLA</x:v>
      </x:c>
      <x:c r="F1406" s="35" t="str">
        <x:v>π0.5</x:v>
      </x:c>
      <x:c r="G1406" s="35" t="n">
        <x:v>3</x:v>
      </x:c>
      <x:c r="H1406" s="35" t="str">
        <x:v>State Recognition</x:v>
      </x:c>
      <x:c r="I1406" s="35" t="str">
        <x:v>Language ablation — counterfactual</x:v>
      </x:c>
      <x:c r="J1406" s="35" t="str">
        <x:v>PVLA-ST-ABL-CF-02</x:v>
      </x:c>
      <x:c r="K1406" s="35" t="str">
        <x:v>S-CF11</x:v>
      </x:c>
      <x:c r="L1406" s="31" t="str">
        <x:v>Place the open glass spice container in the bowl.</x:v>
      </x:c>
      <x:c r="M1406" s="31" t="str">
        <x:v>Place the open glass spice container in the bowl.</x:v>
      </x:c>
      <x:c r="N1406" s="31" t="str">
        <x:v>S-CF11-HELD: P1 white cup A=C/UR; P2 yellow-white striped cup A=O/UR; P3 glass spice container B=C/UD [TARGET]; P4 glass spice container A=O/UD [COMPETITOR].</x:v>
      </x:c>
      <x:c r="O1406" s="31" t="str">
        <x:v>glass spice container A</x:v>
      </x:c>
      <x:c r="P1406" s="31" t="str"/>
      <x:c r="Q1406" s="31" t="str"/>
      <x:c r="R1406" s="31" t="str"/>
      <x:c r="S1406" s="31" t="str">
        <x:f>IF('Blind Scoring'!I1406="","",'Blind Scoring'!I1406)</x:f>
      </x:c>
      <x:c r="T1406" s="31" t="str">
        <x:f>'Blind Scoring'!J1406</x:f>
        <x:v>No</x:v>
      </x:c>
      <x:c r="U1406" s="31" t="str">
        <x:f>IF('Blind Scoring'!L1406="","",'Blind Scoring'!L1406)</x:f>
      </x:c>
    </x:row>
    <x:row r="1407" ht="44" customHeight="1">
      <x:c r="A1407" s="35" t="str">
        <x:v>Not Started</x:v>
      </x:c>
      <x:c r="B1407" s="35" t="n">
        <x:v>1405</x:v>
      </x:c>
      <x:c r="C1407" s="35" t="str">
        <x:v>P23</x:v>
      </x:c>
      <x:c r="D1407" s="35" t="n">
        <x:v>42</x:v>
      </x:c>
      <x:c r="E1407" s="35" t="str">
        <x:v>Primary VLA</x:v>
      </x:c>
      <x:c r="F1407" s="35" t="str">
        <x:v>π0.5</x:v>
      </x:c>
      <x:c r="G1407" s="35" t="n">
        <x:v>3</x:v>
      </x:c>
      <x:c r="H1407" s="35" t="str">
        <x:v>State Recognition</x:v>
      </x:c>
      <x:c r="I1407" s="35" t="str">
        <x:v>Main matched control</x:v>
      </x:c>
      <x:c r="J1407" s="35" t="str">
        <x:v>PVLA-ST-CTL-06</x:v>
      </x:c>
      <x:c r="K1407" s="35" t="str">
        <x:v>S-CF11</x:v>
      </x:c>
      <x:c r="L1407" s="31" t="str">
        <x:v>Place a glass spice container in the bowl.</x:v>
      </x:c>
      <x:c r="M1407" s="31" t="str">
        <x:v>Place a glass spice container in the bowl.</x:v>
      </x:c>
      <x:c r="N1407" s="31" t="str">
        <x:v>S-CF11-CTRL: P1 white cup A=C/UR; P2 yellow-white striped cup A=O/UR; P3 glass spice container B=C/UD [TARGET].</x:v>
      </x:c>
      <x:c r="O1407" s="31" t="str">
        <x:v>glass spice container B</x:v>
      </x:c>
      <x:c r="P1407" s="31" t="str"/>
      <x:c r="Q1407" s="31" t="str"/>
      <x:c r="R1407" s="31" t="str"/>
      <x:c r="S1407" s="31" t="str">
        <x:f>IF('Blind Scoring'!I1407="","",'Blind Scoring'!I1407)</x:f>
      </x:c>
      <x:c r="T1407" s="31" t="str">
        <x:f>'Blind Scoring'!J1407</x:f>
        <x:v>No</x:v>
      </x:c>
      <x:c r="U1407" s="31" t="str">
        <x:f>IF('Blind Scoring'!L1407="","",'Blind Scoring'!L1407)</x:f>
      </x:c>
    </x:row>
    <x:row r="1408" ht="44" customHeight="1">
      <x:c r="A1408" s="35" t="str">
        <x:v>Not Started</x:v>
      </x:c>
      <x:c r="B1408" s="35" t="n">
        <x:v>1406</x:v>
      </x:c>
      <x:c r="C1408" s="35" t="str">
        <x:v>P23</x:v>
      </x:c>
      <x:c r="D1408" s="35" t="n">
        <x:v>43</x:v>
      </x:c>
      <x:c r="E1408" s="35" t="str">
        <x:v>Primary VLA</x:v>
      </x:c>
      <x:c r="F1408" s="35" t="str">
        <x:v>π0.5</x:v>
      </x:c>
      <x:c r="G1408" s="35" t="n">
        <x:v>3</x:v>
      </x:c>
      <x:c r="H1408" s="35" t="str">
        <x:v>State Recognition</x:v>
      </x:c>
      <x:c r="I1408" s="35" t="str">
        <x:v>Main matched control</x:v>
      </x:c>
      <x:c r="J1408" s="35" t="str">
        <x:v>PVLA-ST-CTL-12</x:v>
      </x:c>
      <x:c r="K1408" s="35" t="str">
        <x:v>S-CF22</x:v>
      </x:c>
      <x:c r="L1408" s="31" t="str">
        <x:v>Place a glass spice container in the bowl.</x:v>
      </x:c>
      <x:c r="M1408" s="31" t="str">
        <x:v>Place a glass spice container in the bowl.</x:v>
      </x:c>
      <x:c r="N1408" s="31" t="str">
        <x:v>S-CF22-CTRL: P1 white cup B=C/UR; P2 glass spice container A=O/UR [TARGET]; P4 yellow-white striped cup B=C/UD.</x:v>
      </x:c>
      <x:c r="O1408" s="31" t="str">
        <x:v>glass spice container A</x:v>
      </x:c>
      <x:c r="P1408" s="31" t="str"/>
      <x:c r="Q1408" s="31" t="str"/>
      <x:c r="R1408" s="31" t="str"/>
      <x:c r="S1408" s="31" t="str">
        <x:f>IF('Blind Scoring'!I1408="","",'Blind Scoring'!I1408)</x:f>
      </x:c>
      <x:c r="T1408" s="31" t="str">
        <x:f>'Blind Scoring'!J1408</x:f>
        <x:v>No</x:v>
      </x:c>
      <x:c r="U1408" s="31" t="str">
        <x:f>IF('Blind Scoring'!L1408="","",'Blind Scoring'!L1408)</x:f>
      </x:c>
    </x:row>
    <x:row r="1409" ht="44" customHeight="1">
      <x:c r="A1409" s="35" t="str">
        <x:v>Not Started</x:v>
      </x:c>
      <x:c r="B1409" s="35" t="n">
        <x:v>1407</x:v>
      </x:c>
      <x:c r="C1409" s="35" t="str">
        <x:v>P23</x:v>
      </x:c>
      <x:c r="D1409" s="35" t="n">
        <x:v>44</x:v>
      </x:c>
      <x:c r="E1409" s="35" t="str">
        <x:v>Primary VLA</x:v>
      </x:c>
      <x:c r="F1409" s="35" t="str">
        <x:v>π0.5</x:v>
      </x:c>
      <x:c r="G1409" s="35" t="n">
        <x:v>3</x:v>
      </x:c>
      <x:c r="H1409" s="35" t="str">
        <x:v>State Recognition</x:v>
      </x:c>
      <x:c r="I1409" s="35" t="str">
        <x:v>Training reconstruction</x:v>
      </x:c>
      <x:c r="J1409" s="35" t="str">
        <x:v>PVLA-ST-REC-03</x:v>
      </x:c>
      <x:c r="K1409" s="35" t="str"/>
      <x:c r="L1409" s="31" t="str">
        <x:v>Put a brown cup in the bowl.</x:v>
      </x:c>
      <x:c r="M1409" s="31" t="str">
        <x:v>Put a brown cup in the bowl.</x:v>
      </x:c>
      <x:c r="N1409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1409" s="31" t="str">
        <x:v>brown cup B</x:v>
      </x:c>
      <x:c r="P1409" s="31" t="str"/>
      <x:c r="Q1409" s="31" t="str"/>
      <x:c r="R1409" s="31" t="str"/>
      <x:c r="S1409" s="31" t="str">
        <x:f>IF('Blind Scoring'!I1409="","",'Blind Scoring'!I1409)</x:f>
      </x:c>
      <x:c r="T1409" s="31" t="str">
        <x:f>'Blind Scoring'!J1409</x:f>
        <x:v>No</x:v>
      </x:c>
      <x:c r="U1409" s="31" t="str">
        <x:f>IF('Blind Scoring'!L1409="","",'Blind Scoring'!L1409)</x:f>
      </x:c>
    </x:row>
    <x:row r="1410" ht="44" customHeight="1">
      <x:c r="A1410" s="35" t="str">
        <x:v>Not Started</x:v>
      </x:c>
      <x:c r="B1410" s="35" t="n">
        <x:v>1408</x:v>
      </x:c>
      <x:c r="C1410" s="35" t="str">
        <x:v>P23</x:v>
      </x:c>
      <x:c r="D1410" s="35" t="n">
        <x:v>45</x:v>
      </x:c>
      <x:c r="E1410" s="35" t="str">
        <x:v>Primary VLA</x:v>
      </x:c>
      <x:c r="F1410" s="35" t="str">
        <x:v>π0.5</x:v>
      </x:c>
      <x:c r="G1410" s="35" t="n">
        <x:v>3</x:v>
      </x:c>
      <x:c r="H1410" s="35" t="str">
        <x:v>State Recognition</x:v>
      </x:c>
      <x:c r="I1410" s="35" t="str">
        <x:v>Novel layout + seen language</x:v>
      </x:c>
      <x:c r="J1410" s="35" t="str">
        <x:v>PVLA-ST-NOV-01</x:v>
      </x:c>
      <x:c r="K1410" s="35" t="str">
        <x:v>S-CF01</x:v>
      </x:c>
      <x:c r="L1410" s="31" t="str">
        <x:v>Place the open white cup in the bowl.</x:v>
      </x:c>
      <x:c r="M1410" s="31" t="str">
        <x:v>Place the open white cup in the bowl.</x:v>
      </x:c>
      <x:c r="N1410" s="31" t="str">
        <x:v>S-CF01-SEEN: P1 white cup A=C/UR [TARGET]; P2 white cup B=O/UR [COMPETITOR]; P3 yellow-white striped cup A=C/UD; P4 brown cup B=O/UD.</x:v>
      </x:c>
      <x:c r="O1410" s="31" t="str">
        <x:v>white cup B</x:v>
      </x:c>
      <x:c r="P1410" s="31" t="str"/>
      <x:c r="Q1410" s="31" t="str"/>
      <x:c r="R1410" s="31" t="str"/>
      <x:c r="S1410" s="31" t="str">
        <x:f>IF('Blind Scoring'!I1410="","",'Blind Scoring'!I1410)</x:f>
      </x:c>
      <x:c r="T1410" s="31" t="str">
        <x:f>'Blind Scoring'!J1410</x:f>
        <x:v>No</x:v>
      </x:c>
      <x:c r="U1410" s="31" t="str">
        <x:f>IF('Blind Scoring'!L1410="","",'Blind Scoring'!L1410)</x:f>
      </x:c>
    </x:row>
    <x:row r="1411" ht="44" customHeight="1">
      <x:c r="A1411" s="35" t="str">
        <x:v>Not Started</x:v>
      </x:c>
      <x:c r="B1411" s="35" t="n">
        <x:v>1409</x:v>
      </x:c>
      <x:c r="C1411" s="35" t="str">
        <x:v>P23</x:v>
      </x:c>
      <x:c r="D1411" s="35" t="n">
        <x:v>46</x:v>
      </x:c>
      <x:c r="E1411" s="35" t="str">
        <x:v>Primary VLA</x:v>
      </x:c>
      <x:c r="F1411" s="35" t="str">
        <x:v>π0.5</x:v>
      </x:c>
      <x:c r="G1411" s="35" t="n">
        <x:v>3</x:v>
      </x:c>
      <x:c r="H1411" s="35" t="str">
        <x:v>State Recognition</x:v>
      </x:c>
      <x:c r="I1411" s="35" t="str">
        <x:v>Main matched control</x:v>
      </x:c>
      <x:c r="J1411" s="35" t="str">
        <x:v>PVLA-ST-CTL-01</x:v>
      </x:c>
      <x:c r="K1411" s="35" t="str">
        <x:v>S-CF01</x:v>
      </x:c>
      <x:c r="L1411" s="31" t="str">
        <x:v>Place a white cup in the bowl.</x:v>
      </x:c>
      <x:c r="M1411" s="31" t="str">
        <x:v>Place a white cup in the bowl.</x:v>
      </x:c>
      <x:c r="N1411" s="31" t="str">
        <x:v>S-CF01-CTRL: P1 white cup A=C/UR [TARGET]; P3 yellow-white striped cup A=C/UD; P4 brown cup B=O/UD.</x:v>
      </x:c>
      <x:c r="O1411" s="31" t="str">
        <x:v>white cup A</x:v>
      </x:c>
      <x:c r="P1411" s="31" t="str"/>
      <x:c r="Q1411" s="31" t="str"/>
      <x:c r="R1411" s="31" t="str"/>
      <x:c r="S1411" s="31" t="str">
        <x:f>IF('Blind Scoring'!I1411="","",'Blind Scoring'!I1411)</x:f>
      </x:c>
      <x:c r="T1411" s="31" t="str">
        <x:f>'Blind Scoring'!J1411</x:f>
        <x:v>No</x:v>
      </x:c>
      <x:c r="U1411" s="31" t="str">
        <x:f>IF('Blind Scoring'!L1411="","",'Blind Scoring'!L1411)</x:f>
      </x:c>
    </x:row>
    <x:row r="1412" ht="44" customHeight="1">
      <x:c r="A1412" s="35" t="str">
        <x:v>Not Started</x:v>
      </x:c>
      <x:c r="B1412" s="35" t="n">
        <x:v>1410</x:v>
      </x:c>
      <x:c r="C1412" s="35" t="str">
        <x:v>P23</x:v>
      </x:c>
      <x:c r="D1412" s="35" t="n">
        <x:v>47</x:v>
      </x:c>
      <x:c r="E1412" s="35" t="str">
        <x:v>Primary VLA</x:v>
      </x:c>
      <x:c r="F1412" s="35" t="str">
        <x:v>π0.5</x:v>
      </x:c>
      <x:c r="G1412" s="35" t="n">
        <x:v>3</x:v>
      </x:c>
      <x:c r="H1412" s="35" t="str">
        <x:v>State Recognition</x:v>
      </x:c>
      <x:c r="I1412" s="35" t="str">
        <x:v>Novel layout + seen language</x:v>
      </x:c>
      <x:c r="J1412" s="35" t="str">
        <x:v>PVLA-ST-NOV-06</x:v>
      </x:c>
      <x:c r="K1412" s="35" t="str">
        <x:v>S-CF15</x:v>
      </x:c>
      <x:c r="L1412" s="31" t="str">
        <x:v>Place the open yellow-white striped cup in the bowl.</x:v>
      </x:c>
      <x:c r="M1412" s="31" t="str">
        <x:v>Place the open yellow-white striped cup in the bowl.</x:v>
      </x:c>
      <x:c r="N1412" s="31" t="str">
        <x:v>S-CF15-SEEN: P1 brown cup A=C/UR; P2 glass spice container A=O/UR; P3 yellow-white striped cup A=C/UD [TARGET]; P4 yellow-white striped cup B=O/UD [COMPETITOR].</x:v>
      </x:c>
      <x:c r="O1412" s="31" t="str">
        <x:v>yellow-white striped cup B</x:v>
      </x:c>
      <x:c r="P1412" s="31" t="str"/>
      <x:c r="Q1412" s="31" t="str"/>
      <x:c r="R1412" s="31" t="str"/>
      <x:c r="S1412" s="31" t="str">
        <x:f>IF('Blind Scoring'!I1412="","",'Blind Scoring'!I1412)</x:f>
      </x:c>
      <x:c r="T1412" s="31" t="str">
        <x:f>'Blind Scoring'!J1412</x:f>
        <x:v>No</x:v>
      </x:c>
      <x:c r="U1412" s="31" t="str">
        <x:f>IF('Blind Scoring'!L1412="","",'Blind Scoring'!L1412)</x:f>
      </x:c>
    </x:row>
    <x:row r="1413" ht="44" customHeight="1">
      <x:c r="A1413" s="35" t="str">
        <x:v>Not Started</x:v>
      </x:c>
      <x:c r="B1413" s="35" t="n">
        <x:v>1411</x:v>
      </x:c>
      <x:c r="C1413" s="35" t="str">
        <x:v>P23</x:v>
      </x:c>
      <x:c r="D1413" s="35" t="n">
        <x:v>48</x:v>
      </x:c>
      <x:c r="E1413" s="35" t="str">
        <x:v>Primary VLA</x:v>
      </x:c>
      <x:c r="F1413" s="35" t="str">
        <x:v>π0.5</x:v>
      </x:c>
      <x:c r="G1413" s="35" t="n">
        <x:v>3</x:v>
      </x:c>
      <x:c r="H1413" s="35" t="str">
        <x:v>State Recognition</x:v>
      </x:c>
      <x:c r="I1413" s="35" t="str">
        <x:v>Language ablation — blank</x:v>
      </x:c>
      <x:c r="J1413" s="35" t="str">
        <x:v>PVLA-ST-ABL-BLK-02</x:v>
      </x:c>
      <x:c r="K1413" s="35" t="str">
        <x:v>S-CF03</x:v>
      </x:c>
      <x:c r="L1413" s="31" t="str">
        <x:v>[EMPTY STRING — provide no instruction tokens]</x:v>
      </x:c>
      <x:c r="M1413" s="31" t="str">
        <x:v>Place the closed glass spice container in the bowl.</x:v>
      </x:c>
      <x:c r="N1413" s="31" t="str">
        <x:v>S-CF03-HELD: P1 white cup A=C/UR; P2 yellow-white striped cup A=O/UR; P3 glass spice container B=C/UD [TARGET]; P4 glass spice container A=O/UD [COMPETITOR].</x:v>
      </x:c>
      <x:c r="O1413" s="31" t="str">
        <x:v>No prespecified task success under blank language; record any action/selected target.</x:v>
      </x:c>
      <x:c r="P1413" s="31" t="str"/>
      <x:c r="Q1413" s="31" t="str"/>
      <x:c r="R1413" s="31" t="str"/>
      <x:c r="S1413" s="31" t="str">
        <x:f>IF('Blind Scoring'!I1413="","",'Blind Scoring'!I1413)</x:f>
      </x:c>
      <x:c r="T1413" s="31" t="str">
        <x:f>'Blind Scoring'!J1413</x:f>
        <x:v>No</x:v>
      </x:c>
      <x:c r="U1413" s="31" t="str">
        <x:f>IF('Blind Scoring'!L1413="","",'Blind Scoring'!L1413)</x:f>
      </x:c>
    </x:row>
    <x:row r="1414" ht="44" customHeight="1">
      <x:c r="A1414" s="35" t="str">
        <x:v>Not Started</x:v>
      </x:c>
      <x:c r="B1414" s="35" t="n">
        <x:v>1412</x:v>
      </x:c>
      <x:c r="C1414" s="35" t="str">
        <x:v>P23</x:v>
      </x:c>
      <x:c r="D1414" s="35" t="n">
        <x:v>49</x:v>
      </x:c>
      <x:c r="E1414" s="35" t="str">
        <x:v>Primary VLA</x:v>
      </x:c>
      <x:c r="F1414" s="35" t="str">
        <x:v>π0.5</x:v>
      </x:c>
      <x:c r="G1414" s="35" t="n">
        <x:v>3</x:v>
      </x:c>
      <x:c r="H1414" s="35" t="str">
        <x:v>State Recognition</x:v>
      </x:c>
      <x:c r="I1414" s="35" t="str">
        <x:v>Exact-scene paraphrase</x:v>
      </x:c>
      <x:c r="J1414" s="35" t="str">
        <x:v>PVLA-ST-PAR-03</x:v>
      </x:c>
      <x:c r="K1414" s="35" t="str">
        <x:v>S-CF06</x:v>
      </x:c>
      <x:c r="L1414" s="31" t="str">
        <x:v>Move the overturned glass spice container into the bowl.</x:v>
      </x:c>
      <x:c r="M1414" s="31" t="str">
        <x:v>Move the overturned glass spice container into the bowl.</x:v>
      </x:c>
      <x:c r="N1414" s="31" t="str">
        <x:v>S-CF06-PARA: P1 white cup B=C/UR; P2 glass spice container A=O/UR [TARGET]; P3 glass spice container B=O/UD [COMPETITOR]; P4 yellow-white striped cup B=C/UD.</x:v>
      </x:c>
      <x:c r="O1414" s="31" t="str">
        <x:v>glass spice container B</x:v>
      </x:c>
      <x:c r="P1414" s="31" t="str"/>
      <x:c r="Q1414" s="31" t="str"/>
      <x:c r="R1414" s="31" t="str"/>
      <x:c r="S1414" s="31" t="str">
        <x:f>IF('Blind Scoring'!I1414="","",'Blind Scoring'!I1414)</x:f>
      </x:c>
      <x:c r="T1414" s="31" t="str">
        <x:f>'Blind Scoring'!J1414</x:f>
        <x:v>No</x:v>
      </x:c>
      <x:c r="U1414" s="31" t="str">
        <x:f>IF('Blind Scoring'!L1414="","",'Blind Scoring'!L1414)</x:f>
      </x:c>
    </x:row>
    <x:row r="1415" ht="44" customHeight="1">
      <x:c r="A1415" s="35" t="str">
        <x:v>Not Started</x:v>
      </x:c>
      <x:c r="B1415" s="35" t="n">
        <x:v>1413</x:v>
      </x:c>
      <x:c r="C1415" s="35" t="str">
        <x:v>P23</x:v>
      </x:c>
      <x:c r="D1415" s="35" t="n">
        <x:v>50</x:v>
      </x:c>
      <x:c r="E1415" s="35" t="str">
        <x:v>Primary VLA</x:v>
      </x:c>
      <x:c r="F1415" s="35" t="str">
        <x:v>π0.5</x:v>
      </x:c>
      <x:c r="G1415" s="35" t="n">
        <x:v>3</x:v>
      </x:c>
      <x:c r="H1415" s="35" t="str">
        <x:v>State Recognition</x:v>
      </x:c>
      <x:c r="I1415" s="35" t="str">
        <x:v>Exact-scene paraphrase</x:v>
      </x:c>
      <x:c r="J1415" s="35" t="str">
        <x:v>PVLA-ST-PAR-07</x:v>
      </x:c>
      <x:c r="K1415" s="35" t="str">
        <x:v>S-CF17</x:v>
      </x:c>
      <x:c r="L1415" s="31" t="str">
        <x:v>Find the white cup with its opening uncovered and move it into the bowl.</x:v>
      </x:c>
      <x:c r="M1415" s="31" t="str">
        <x:v>Find the white cup with its opening uncovered and move it into the bowl.</x:v>
      </x:c>
      <x:c r="N1415" s="31" t="str">
        <x:v>S-CF17-PARA: P1 white cup A=C/UR [TARGET]; P2 white cup B=O/UR [COMPETITOR]; P3 yellow-white striped cup A=C/UD; P4 brown cup B=O/UD.</x:v>
      </x:c>
      <x:c r="O1415" s="31" t="str">
        <x:v>white cup B</x:v>
      </x:c>
      <x:c r="P1415" s="31" t="str"/>
      <x:c r="Q1415" s="31" t="str"/>
      <x:c r="R1415" s="31" t="str"/>
      <x:c r="S1415" s="31" t="str">
        <x:f>IF('Blind Scoring'!I1415="","",'Blind Scoring'!I1415)</x:f>
      </x:c>
      <x:c r="T1415" s="31" t="str">
        <x:f>'Blind Scoring'!J1415</x:f>
        <x:v>No</x:v>
      </x:c>
      <x:c r="U1415" s="31" t="str">
        <x:f>IF('Blind Scoring'!L1415="","",'Blind Scoring'!L1415)</x:f>
      </x:c>
    </x:row>
    <x:row r="1416" ht="44" customHeight="1">
      <x:c r="A1416" s="35" t="str">
        <x:v>Not Started</x:v>
      </x:c>
      <x:c r="B1416" s="35" t="n">
        <x:v>1414</x:v>
      </x:c>
      <x:c r="C1416" s="35" t="str">
        <x:v>P23</x:v>
      </x:c>
      <x:c r="D1416" s="35" t="n">
        <x:v>51</x:v>
      </x:c>
      <x:c r="E1416" s="35" t="str">
        <x:v>Primary VLA</x:v>
      </x:c>
      <x:c r="F1416" s="35" t="str">
        <x:v>π0.5</x:v>
      </x:c>
      <x:c r="G1416" s="35" t="n">
        <x:v>3</x:v>
      </x:c>
      <x:c r="H1416" s="35" t="str">
        <x:v>State Recognition</x:v>
      </x:c>
      <x:c r="I1416" s="35" t="str">
        <x:v>Main held-out transfer</x:v>
      </x:c>
      <x:c r="J1416" s="35" t="str">
        <x:v>PVLA-ST-TR-01</x:v>
      </x:c>
      <x:c r="K1416" s="35" t="str">
        <x:v>S-CF01</x:v>
      </x:c>
      <x:c r="L1416" s="31" t="str">
        <x:v>Place the closed white cup in the bowl.</x:v>
      </x:c>
      <x:c r="M1416" s="31" t="str">
        <x:v>Place the closed white cup in the bowl.</x:v>
      </x:c>
      <x:c r="N1416" s="31" t="str">
        <x:v>S-CF01-HELD: P1 white cup A=C/UR [TARGET]; P2 white cup B=O/UR [COMPETITOR]; P3 yellow-white striped cup A=C/UD; P4 brown cup B=O/UD.</x:v>
      </x:c>
      <x:c r="O1416" s="31" t="str">
        <x:v>white cup A</x:v>
      </x:c>
      <x:c r="P1416" s="31" t="str"/>
      <x:c r="Q1416" s="31" t="str"/>
      <x:c r="R1416" s="31" t="str"/>
      <x:c r="S1416" s="31" t="str">
        <x:f>IF('Blind Scoring'!I1416="","",'Blind Scoring'!I1416)</x:f>
      </x:c>
      <x:c r="T1416" s="31" t="str">
        <x:f>'Blind Scoring'!J1416</x:f>
        <x:v>No</x:v>
      </x:c>
      <x:c r="U1416" s="31" t="str">
        <x:f>IF('Blind Scoring'!L1416="","",'Blind Scoring'!L1416)</x:f>
      </x:c>
    </x:row>
    <x:row r="1417" ht="44" customHeight="1">
      <x:c r="A1417" s="35" t="str">
        <x:v>Not Started</x:v>
      </x:c>
      <x:c r="B1417" s="35" t="n">
        <x:v>1415</x:v>
      </x:c>
      <x:c r="C1417" s="35" t="str">
        <x:v>P23</x:v>
      </x:c>
      <x:c r="D1417" s="35" t="n">
        <x:v>52</x:v>
      </x:c>
      <x:c r="E1417" s="35" t="str">
        <x:v>Primary VLA</x:v>
      </x:c>
      <x:c r="F1417" s="35" t="str">
        <x:v>π0.5</x:v>
      </x:c>
      <x:c r="G1417" s="35" t="n">
        <x:v>3</x:v>
      </x:c>
      <x:c r="H1417" s="35" t="str">
        <x:v>State Recognition</x:v>
      </x:c>
      <x:c r="I1417" s="35" t="str">
        <x:v>Exact-scene paraphrase</x:v>
      </x:c>
      <x:c r="J1417" s="35" t="str">
        <x:v>PVLA-ST-PAR-01</x:v>
      </x:c>
      <x:c r="K1417" s="35" t="str">
        <x:v>S-CF01</x:v>
      </x:c>
      <x:c r="L1417" s="31" t="str">
        <x:v>Put the open white cup in the bowl.</x:v>
      </x:c>
      <x:c r="M1417" s="31" t="str">
        <x:v>Put the open white cup in the bowl.</x:v>
      </x:c>
      <x:c r="N1417" s="31" t="str">
        <x:v>S-CF01-PARA: P1 white cup A=C/UR [TARGET]; P2 white cup B=O/UR [COMPETITOR]; P3 yellow-white striped cup A=C/UD; P4 brown cup B=O/UD.</x:v>
      </x:c>
      <x:c r="O1417" s="31" t="str">
        <x:v>white cup B</x:v>
      </x:c>
      <x:c r="P1417" s="31" t="str"/>
      <x:c r="Q1417" s="31" t="str"/>
      <x:c r="R1417" s="31" t="str"/>
      <x:c r="S1417" s="31" t="str">
        <x:f>IF('Blind Scoring'!I1417="","",'Blind Scoring'!I1417)</x:f>
      </x:c>
      <x:c r="T1417" s="31" t="str">
        <x:f>'Blind Scoring'!J1417</x:f>
        <x:v>No</x:v>
      </x:c>
      <x:c r="U1417" s="31" t="str">
        <x:f>IF('Blind Scoring'!L1417="","",'Blind Scoring'!L1417)</x:f>
      </x:c>
    </x:row>
    <x:row r="1418" ht="44" customHeight="1">
      <x:c r="A1418" s="35" t="str">
        <x:v>Not Started</x:v>
      </x:c>
      <x:c r="B1418" s="35" t="n">
        <x:v>1416</x:v>
      </x:c>
      <x:c r="C1418" s="35" t="str">
        <x:v>P23</x:v>
      </x:c>
      <x:c r="D1418" s="35" t="n">
        <x:v>53</x:v>
      </x:c>
      <x:c r="E1418" s="35" t="str">
        <x:v>Primary VLA</x:v>
      </x:c>
      <x:c r="F1418" s="35" t="str">
        <x:v>π0.5</x:v>
      </x:c>
      <x:c r="G1418" s="35" t="n">
        <x:v>3</x:v>
      </x:c>
      <x:c r="H1418" s="35" t="str">
        <x:v>State Recognition</x:v>
      </x:c>
      <x:c r="I1418" s="35" t="str">
        <x:v>Language ablation — counterfactual</x:v>
      </x:c>
      <x:c r="J1418" s="35" t="str">
        <x:v>PVLA-ST-ABL-CF-03</x:v>
      </x:c>
      <x:c r="K1418" s="35" t="str">
        <x:v>S-CF13</x:v>
      </x:c>
      <x:c r="L1418" s="31" t="str">
        <x:v>Place the open brown cup in the bowl.</x:v>
      </x:c>
      <x:c r="M1418" s="31" t="str">
        <x:v>Place the open brown cup in the bowl.</x:v>
      </x:c>
      <x:c r="N1418" s="31" t="str">
        <x:v>S-CF13-HELD: P1 brown cup A=C/UR [TARGET]; P2 brown cup B=O/UR [COMPETITOR]; P3 glass spice container A=C/UD; P4 white cup B=O/UD.</x:v>
      </x:c>
      <x:c r="O1418" s="31" t="str">
        <x:v>brown cup B</x:v>
      </x:c>
      <x:c r="P1418" s="31" t="str"/>
      <x:c r="Q1418" s="31" t="str"/>
      <x:c r="R1418" s="31" t="str"/>
      <x:c r="S1418" s="31" t="str">
        <x:f>IF('Blind Scoring'!I1418="","",'Blind Scoring'!I1418)</x:f>
      </x:c>
      <x:c r="T1418" s="31" t="str">
        <x:f>'Blind Scoring'!J1418</x:f>
        <x:v>No</x:v>
      </x:c>
      <x:c r="U1418" s="31" t="str">
        <x:f>IF('Blind Scoring'!L1418="","",'Blind Scoring'!L1418)</x:f>
      </x:c>
    </x:row>
    <x:row r="1419" ht="44" customHeight="1">
      <x:c r="A1419" s="35" t="str">
        <x:v>Not Started</x:v>
      </x:c>
      <x:c r="B1419" s="35" t="n">
        <x:v>1417</x:v>
      </x:c>
      <x:c r="C1419" s="35" t="str">
        <x:v>P23</x:v>
      </x:c>
      <x:c r="D1419" s="35" t="n">
        <x:v>54</x:v>
      </x:c>
      <x:c r="E1419" s="35" t="str">
        <x:v>Primary VLA</x:v>
      </x:c>
      <x:c r="F1419" s="35" t="str">
        <x:v>π0.5</x:v>
      </x:c>
      <x:c r="G1419" s="35" t="n">
        <x:v>3</x:v>
      </x:c>
      <x:c r="H1419" s="35" t="str">
        <x:v>State Recognition</x:v>
      </x:c>
      <x:c r="I1419" s="35" t="str">
        <x:v>Language ablation — blank</x:v>
      </x:c>
      <x:c r="J1419" s="35" t="str">
        <x:v>PVLA-ST-ABL-BLK-01</x:v>
      </x:c>
      <x:c r="K1419" s="35" t="str">
        <x:v>S-CF01</x:v>
      </x:c>
      <x:c r="L1419" s="31" t="str">
        <x:v>[EMPTY STRING — provide no instruction tokens]</x:v>
      </x:c>
      <x:c r="M1419" s="31" t="str">
        <x:v>Place the closed white cup in the bowl.</x:v>
      </x:c>
      <x:c r="N1419" s="31" t="str">
        <x:v>S-CF01-HELD: P1 white cup A=C/UR [TARGET]; P2 white cup B=O/UR [COMPETITOR]; P3 yellow-white striped cup A=C/UD; P4 brown cup B=O/UD.</x:v>
      </x:c>
      <x:c r="O1419" s="31" t="str">
        <x:v>No prespecified task success under blank language; record any action/selected target.</x:v>
      </x:c>
      <x:c r="P1419" s="31" t="str"/>
      <x:c r="Q1419" s="31" t="str"/>
      <x:c r="R1419" s="31" t="str"/>
      <x:c r="S1419" s="31" t="str">
        <x:f>IF('Blind Scoring'!I1419="","",'Blind Scoring'!I1419)</x:f>
      </x:c>
      <x:c r="T1419" s="31" t="str">
        <x:f>'Blind Scoring'!J1419</x:f>
        <x:v>No</x:v>
      </x:c>
      <x:c r="U1419" s="31" t="str">
        <x:f>IF('Blind Scoring'!L1419="","",'Blind Scoring'!L1419)</x:f>
      </x:c>
    </x:row>
    <x:row r="1420" ht="44" customHeight="1">
      <x:c r="A1420" s="35" t="str">
        <x:v>Not Started</x:v>
      </x:c>
      <x:c r="B1420" s="35" t="n">
        <x:v>1418</x:v>
      </x:c>
      <x:c r="C1420" s="35" t="str">
        <x:v>P23</x:v>
      </x:c>
      <x:c r="D1420" s="35" t="n">
        <x:v>55</x:v>
      </x:c>
      <x:c r="E1420" s="35" t="str">
        <x:v>Primary VLA</x:v>
      </x:c>
      <x:c r="F1420" s="35" t="str">
        <x:v>π0.5</x:v>
      </x:c>
      <x:c r="G1420" s="35" t="n">
        <x:v>3</x:v>
      </x:c>
      <x:c r="H1420" s="35" t="str">
        <x:v>State Recognition</x:v>
      </x:c>
      <x:c r="I1420" s="35" t="str">
        <x:v>Language ablation — counterfactual</x:v>
      </x:c>
      <x:c r="J1420" s="35" t="str">
        <x:v>PVLA-ST-ABL-CF-04</x:v>
      </x:c>
      <x:c r="K1420" s="35" t="str">
        <x:v>S-CF15</x:v>
      </x:c>
      <x:c r="L1420" s="31" t="str">
        <x:v>Place the open yellow-white striped cup in the bowl.</x:v>
      </x:c>
      <x:c r="M1420" s="31" t="str">
        <x:v>Place the open yellow-white striped cup in the bowl.</x:v>
      </x:c>
      <x:c r="N1420" s="31" t="str">
        <x:v>S-CF15-HELD: P1 brown cup A=C/UR; P2 glass spice container A=O/UR; P3 yellow-white striped cup A=C/UD [TARGET]; P4 yellow-white striped cup B=O/UD [COMPETITOR].</x:v>
      </x:c>
      <x:c r="O1420" s="31" t="str">
        <x:v>yellow-white striped cup B</x:v>
      </x:c>
      <x:c r="P1420" s="31" t="str"/>
      <x:c r="Q1420" s="31" t="str"/>
      <x:c r="R1420" s="31" t="str"/>
      <x:c r="S1420" s="31" t="str">
        <x:f>IF('Blind Scoring'!I1420="","",'Blind Scoring'!I1420)</x:f>
      </x:c>
      <x:c r="T1420" s="31" t="str">
        <x:f>'Blind Scoring'!J1420</x:f>
        <x:v>No</x:v>
      </x:c>
      <x:c r="U1420" s="31" t="str">
        <x:f>IF('Blind Scoring'!L1420="","",'Blind Scoring'!L1420)</x:f>
      </x:c>
    </x:row>
    <x:row r="1421" ht="44" customHeight="1">
      <x:c r="A1421" s="35" t="str">
        <x:v>Not Started</x:v>
      </x:c>
      <x:c r="B1421" s="35" t="n">
        <x:v>1419</x:v>
      </x:c>
      <x:c r="C1421" s="35" t="str">
        <x:v>P23</x:v>
      </x:c>
      <x:c r="D1421" s="35" t="n">
        <x:v>56</x:v>
      </x:c>
      <x:c r="E1421" s="35" t="str">
        <x:v>Primary VLA</x:v>
      </x:c>
      <x:c r="F1421" s="35" t="str">
        <x:v>π0.5</x:v>
      </x:c>
      <x:c r="G1421" s="35" t="n">
        <x:v>3</x:v>
      </x:c>
      <x:c r="H1421" s="35" t="str">
        <x:v>State Recognition</x:v>
      </x:c>
      <x:c r="I1421" s="35" t="str">
        <x:v>Main held-out transfer</x:v>
      </x:c>
      <x:c r="J1421" s="35" t="str">
        <x:v>PVLA-ST-TR-05</x:v>
      </x:c>
      <x:c r="K1421" s="35" t="str">
        <x:v>S-CF09</x:v>
      </x:c>
      <x:c r="L1421" s="31" t="str">
        <x:v>Place the closed white cup in the bowl.</x:v>
      </x:c>
      <x:c r="M1421" s="31" t="str">
        <x:v>Place the closed white cup in the bowl.</x:v>
      </x:c>
      <x:c r="N1421" s="31" t="str">
        <x:v>S-CF09-HELD: P1 white cup A=C/UR [TARGET]; P2 white cup B=O/UR [COMPETITOR]; P3 yellow-white striped cup A=C/UD; P4 brown cup B=O/UD.</x:v>
      </x:c>
      <x:c r="O1421" s="31" t="str">
        <x:v>white cup A</x:v>
      </x:c>
      <x:c r="P1421" s="31" t="str"/>
      <x:c r="Q1421" s="31" t="str"/>
      <x:c r="R1421" s="31" t="str"/>
      <x:c r="S1421" s="31" t="str">
        <x:f>IF('Blind Scoring'!I1421="","",'Blind Scoring'!I1421)</x:f>
      </x:c>
      <x:c r="T1421" s="31" t="str">
        <x:f>'Blind Scoring'!J1421</x:f>
        <x:v>No</x:v>
      </x:c>
      <x:c r="U1421" s="31" t="str">
        <x:f>IF('Blind Scoring'!L1421="","",'Blind Scoring'!L1421)</x:f>
      </x:c>
    </x:row>
    <x:row r="1422" ht="44" customHeight="1">
      <x:c r="A1422" s="35" t="str">
        <x:v>Not Started</x:v>
      </x:c>
      <x:c r="B1422" s="35" t="n">
        <x:v>1420</x:v>
      </x:c>
      <x:c r="C1422" s="35" t="str">
        <x:v>P23</x:v>
      </x:c>
      <x:c r="D1422" s="35" t="n">
        <x:v>57</x:v>
      </x:c>
      <x:c r="E1422" s="35" t="str">
        <x:v>Primary VLA</x:v>
      </x:c>
      <x:c r="F1422" s="35" t="str">
        <x:v>π0.5</x:v>
      </x:c>
      <x:c r="G1422" s="35" t="n">
        <x:v>3</x:v>
      </x:c>
      <x:c r="H1422" s="35" t="str">
        <x:v>State Recognition</x:v>
      </x:c>
      <x:c r="I1422" s="35" t="str">
        <x:v>Novel layout + seen language</x:v>
      </x:c>
      <x:c r="J1422" s="35" t="str">
        <x:v>PVLA-ST-NOV-02</x:v>
      </x:c>
      <x:c r="K1422" s="35" t="str">
        <x:v>S-CF04</x:v>
      </x:c>
      <x:c r="L1422" s="31" t="str">
        <x:v>Place the upside-down white cup in the bowl.</x:v>
      </x:c>
      <x:c r="M1422" s="31" t="str">
        <x:v>Place the upside-down white cup in the bowl.</x:v>
      </x:c>
      <x:c r="N1422" s="31" t="str">
        <x:v>S-CF04-SEEN: P1 white cup A=C/UD [COMPETITOR]; P2 yellow-white striped cup B=O/UR; P3 brown cup A=O/UD; P4 white cup B=C/UR [TARGET].</x:v>
      </x:c>
      <x:c r="O1422" s="31" t="str">
        <x:v>white cup A</x:v>
      </x:c>
      <x:c r="P1422" s="31" t="str"/>
      <x:c r="Q1422" s="31" t="str"/>
      <x:c r="R1422" s="31" t="str"/>
      <x:c r="S1422" s="31" t="str">
        <x:f>IF('Blind Scoring'!I1422="","",'Blind Scoring'!I1422)</x:f>
      </x:c>
      <x:c r="T1422" s="31" t="str">
        <x:f>'Blind Scoring'!J1422</x:f>
        <x:v>No</x:v>
      </x:c>
      <x:c r="U1422" s="31" t="str">
        <x:f>IF('Blind Scoring'!L1422="","",'Blind Scoring'!L1422)</x:f>
      </x:c>
    </x:row>
    <x:row r="1423" ht="44" customHeight="1">
      <x:c r="A1423" s="35" t="str">
        <x:v>Not Started</x:v>
      </x:c>
      <x:c r="B1423" s="35" t="n">
        <x:v>1421</x:v>
      </x:c>
      <x:c r="C1423" s="35" t="str">
        <x:v>P23</x:v>
      </x:c>
      <x:c r="D1423" s="35" t="n">
        <x:v>58</x:v>
      </x:c>
      <x:c r="E1423" s="35" t="str">
        <x:v>Primary VLA</x:v>
      </x:c>
      <x:c r="F1423" s="35" t="str">
        <x:v>π0.5</x:v>
      </x:c>
      <x:c r="G1423" s="35" t="n">
        <x:v>3</x:v>
      </x:c>
      <x:c r="H1423" s="35" t="str">
        <x:v>State Recognition</x:v>
      </x:c>
      <x:c r="I1423" s="35" t="str">
        <x:v>Main held-out transfer</x:v>
      </x:c>
      <x:c r="J1423" s="35" t="str">
        <x:v>PVLA-ST-TR-15</x:v>
      </x:c>
      <x:c r="K1423" s="35" t="str">
        <x:v>S-CF28</x:v>
      </x:c>
      <x:c r="L1423" s="31" t="str">
        <x:v>Place the upright white cup in the bowl.</x:v>
      </x:c>
      <x:c r="M1423" s="31" t="str">
        <x:v>Place the upright white cup in the bowl.</x:v>
      </x:c>
      <x:c r="N1423" s="31" t="str">
        <x:v>S-CF28-HELD: P1 white cup A=C/UD [COMPETITOR]; P2 yellow-white striped cup B=O/UR; P3 brown cup A=O/UD; P4 white cup B=C/UR [TARGET].</x:v>
      </x:c>
      <x:c r="O1423" s="31" t="str">
        <x:v>white cup B</x:v>
      </x:c>
      <x:c r="P1423" s="31" t="str"/>
      <x:c r="Q1423" s="31" t="str"/>
      <x:c r="R1423" s="31" t="str"/>
      <x:c r="S1423" s="31" t="str">
        <x:f>IF('Blind Scoring'!I1423="","",'Blind Scoring'!I1423)</x:f>
      </x:c>
      <x:c r="T1423" s="31" t="str">
        <x:f>'Blind Scoring'!J1423</x:f>
        <x:v>No</x:v>
      </x:c>
      <x:c r="U1423" s="31" t="str">
        <x:f>IF('Blind Scoring'!L1423="","",'Blind Scoring'!L1423)</x:f>
      </x:c>
    </x:row>
    <x:row r="1424" ht="44" customHeight="1">
      <x:c r="A1424" s="35" t="str">
        <x:v>Not Started</x:v>
      </x:c>
      <x:c r="B1424" s="35" t="n">
        <x:v>1422</x:v>
      </x:c>
      <x:c r="C1424" s="35" t="str">
        <x:v>P23</x:v>
      </x:c>
      <x:c r="D1424" s="35" t="n">
        <x:v>59</x:v>
      </x:c>
      <x:c r="E1424" s="35" t="str">
        <x:v>Primary VLA</x:v>
      </x:c>
      <x:c r="F1424" s="35" t="str">
        <x:v>π0.5</x:v>
      </x:c>
      <x:c r="G1424" s="35" t="n">
        <x:v>3</x:v>
      </x:c>
      <x:c r="H1424" s="35" t="str">
        <x:v>State Recognition</x:v>
      </x:c>
      <x:c r="I1424" s="35" t="str">
        <x:v>Main held-out transfer</x:v>
      </x:c>
      <x:c r="J1424" s="35" t="str">
        <x:v>PVLA-ST-TR-09</x:v>
      </x:c>
      <x:c r="K1424" s="35" t="str">
        <x:v>S-CF16</x:v>
      </x:c>
      <x:c r="L1424" s="31" t="str">
        <x:v>Place the upright brown cup in the bowl.</x:v>
      </x:c>
      <x:c r="M1424" s="31" t="str">
        <x:v>Place the upright brown cup in the bowl.</x:v>
      </x:c>
      <x:c r="N1424" s="31" t="str">
        <x:v>S-CF16-HELD: P1 brown cup A=C/UD [COMPETITOR]; P2 glass spice container B=O/UR; P3 white cup A=O/UD; P4 brown cup B=C/UR [TARGET].</x:v>
      </x:c>
      <x:c r="O1424" s="31" t="str">
        <x:v>brown cup B</x:v>
      </x:c>
      <x:c r="P1424" s="31" t="str"/>
      <x:c r="Q1424" s="31" t="str"/>
      <x:c r="R1424" s="31" t="str"/>
      <x:c r="S1424" s="31" t="str">
        <x:f>IF('Blind Scoring'!I1424="","",'Blind Scoring'!I1424)</x:f>
      </x:c>
      <x:c r="T1424" s="31" t="str">
        <x:f>'Blind Scoring'!J1424</x:f>
        <x:v>No</x:v>
      </x:c>
      <x:c r="U1424" s="31" t="str">
        <x:f>IF('Blind Scoring'!L1424="","",'Blind Scoring'!L1424)</x:f>
      </x:c>
    </x:row>
    <x:row r="1425" ht="44" customHeight="1">
      <x:c r="A1425" s="35" t="str">
        <x:v>Not Started</x:v>
      </x:c>
      <x:c r="B1425" s="35" t="n">
        <x:v>1423</x:v>
      </x:c>
      <x:c r="C1425" s="35" t="str">
        <x:v>P23</x:v>
      </x:c>
      <x:c r="D1425" s="35" t="n">
        <x:v>60</x:v>
      </x:c>
      <x:c r="E1425" s="35" t="str">
        <x:v>Primary VLA</x:v>
      </x:c>
      <x:c r="F1425" s="35" t="str">
        <x:v>π0.5</x:v>
      </x:c>
      <x:c r="G1425" s="35" t="n">
        <x:v>3</x:v>
      </x:c>
      <x:c r="H1425" s="35" t="str">
        <x:v>State Recognition</x:v>
      </x:c>
      <x:c r="I1425" s="35" t="str">
        <x:v>Main matched control</x:v>
      </x:c>
      <x:c r="J1425" s="35" t="str">
        <x:v>PVLA-ST-CTL-08</x:v>
      </x:c>
      <x:c r="K1425" s="35" t="str">
        <x:v>S-CF15</x:v>
      </x:c>
      <x:c r="L1425" s="31" t="str">
        <x:v>Place a yellow-white striped cup in the bowl.</x:v>
      </x:c>
      <x:c r="M1425" s="31" t="str">
        <x:v>Place a yellow-white striped cup in the bowl.</x:v>
      </x:c>
      <x:c r="N1425" s="31" t="str">
        <x:v>S-CF15-CTRL: P1 brown cup A=C/UR; P2 glass spice container A=O/UR; P3 yellow-white striped cup A=C/UD [TARGET].</x:v>
      </x:c>
      <x:c r="O1425" s="31" t="str">
        <x:v>yellow-white striped cup A</x:v>
      </x:c>
      <x:c r="P1425" s="31" t="str"/>
      <x:c r="Q1425" s="31" t="str"/>
      <x:c r="R1425" s="31" t="str"/>
      <x:c r="S1425" s="31" t="str">
        <x:f>IF('Blind Scoring'!I1425="","",'Blind Scoring'!I1425)</x:f>
      </x:c>
      <x:c r="T1425" s="31" t="str">
        <x:f>'Blind Scoring'!J1425</x:f>
        <x:v>No</x:v>
      </x:c>
      <x:c r="U1425" s="31" t="str">
        <x:f>IF('Blind Scoring'!L1425="","",'Blind Scoring'!L1425)</x:f>
      </x:c>
    </x:row>
    <x:row r="1426" ht="44" customHeight="1">
      <x:c r="A1426" s="35" t="str">
        <x:v>Not Started</x:v>
      </x:c>
      <x:c r="B1426" s="35" t="n">
        <x:v>1424</x:v>
      </x:c>
      <x:c r="C1426" s="35" t="str">
        <x:v>P23</x:v>
      </x:c>
      <x:c r="D1426" s="35" t="n">
        <x:v>61</x:v>
      </x:c>
      <x:c r="E1426" s="35" t="str">
        <x:v>Primary VLA</x:v>
      </x:c>
      <x:c r="F1426" s="35" t="str">
        <x:v>π0.5</x:v>
      </x:c>
      <x:c r="G1426" s="35" t="n">
        <x:v>3</x:v>
      </x:c>
      <x:c r="H1426" s="35" t="str">
        <x:v>State Recognition</x:v>
      </x:c>
      <x:c r="I1426" s="35" t="str">
        <x:v>Training reconstruction</x:v>
      </x:c>
      <x:c r="J1426" s="35" t="str">
        <x:v>PVLA-ST-REC-02</x:v>
      </x:c>
      <x:c r="K1426" s="35" t="str"/>
      <x:c r="L1426" s="31" t="str">
        <x:v>Put a yellow-white striped cup in the bowl.</x:v>
      </x:c>
      <x:c r="M1426" s="31" t="str">
        <x:v>Put a yellow-white striped cup in the bowl.</x:v>
      </x:c>
      <x:c r="N1426" s="31" t="str">
        <x:v>Reconstruct planned final training episode 52: yellow-white striped cup A, white cup A, brown cup B; start=Home. Match camera, calibration, bowl pose, and object geometry exactly.</x:v>
      </x:c>
      <x:c r="O1426" s="31" t="str">
        <x:v>yellow-white striped cup A</x:v>
      </x:c>
      <x:c r="P1426" s="31" t="str"/>
      <x:c r="Q1426" s="31" t="str"/>
      <x:c r="R1426" s="31" t="str"/>
      <x:c r="S1426" s="31" t="str">
        <x:f>IF('Blind Scoring'!I1426="","",'Blind Scoring'!I1426)</x:f>
      </x:c>
      <x:c r="T1426" s="31" t="str">
        <x:f>'Blind Scoring'!J1426</x:f>
        <x:v>No</x:v>
      </x:c>
      <x:c r="U1426" s="31" t="str">
        <x:f>IF('Blind Scoring'!L1426="","",'Blind Scoring'!L1426)</x:f>
      </x:c>
    </x:row>
    <x:row r="1427" ht="44" customHeight="1">
      <x:c r="A1427" s="35" t="str">
        <x:v>Not Started</x:v>
      </x:c>
      <x:c r="B1427" s="35" t="n">
        <x:v>1425</x:v>
      </x:c>
      <x:c r="C1427" s="35" t="str">
        <x:v>P23</x:v>
      </x:c>
      <x:c r="D1427" s="35" t="n">
        <x:v>62</x:v>
      </x:c>
      <x:c r="E1427" s="35" t="str">
        <x:v>Primary VLA</x:v>
      </x:c>
      <x:c r="F1427" s="35" t="str">
        <x:v>π0.5</x:v>
      </x:c>
      <x:c r="G1427" s="35" t="n">
        <x:v>3</x:v>
      </x:c>
      <x:c r="H1427" s="35" t="str">
        <x:v>State Recognition</x:v>
      </x:c>
      <x:c r="I1427" s="35" t="str">
        <x:v>Main held-out transfer</x:v>
      </x:c>
      <x:c r="J1427" s="35" t="str">
        <x:v>PVLA-ST-TR-13</x:v>
      </x:c>
      <x:c r="K1427" s="35" t="str">
        <x:v>S-CF24</x:v>
      </x:c>
      <x:c r="L1427" s="31" t="str">
        <x:v>Place the upright brown cup in the bowl.</x:v>
      </x:c>
      <x:c r="M1427" s="31" t="str">
        <x:v>Place the upright brown cup in the bowl.</x:v>
      </x:c>
      <x:c r="N1427" s="31" t="str">
        <x:v>S-CF24-HELD: P1 brown cup A=C/UD [COMPETITOR]; P2 glass spice container B=O/UR; P3 white cup A=O/UD; P4 brown cup B=C/UR [TARGET].</x:v>
      </x:c>
      <x:c r="O1427" s="31" t="str">
        <x:v>brown cup B</x:v>
      </x:c>
      <x:c r="P1427" s="31" t="str"/>
      <x:c r="Q1427" s="31" t="str"/>
      <x:c r="R1427" s="31" t="str"/>
      <x:c r="S1427" s="31" t="str">
        <x:f>IF('Blind Scoring'!I1427="","",'Blind Scoring'!I1427)</x:f>
      </x:c>
      <x:c r="T1427" s="31" t="str">
        <x:f>'Blind Scoring'!J1427</x:f>
        <x:v>No</x:v>
      </x:c>
      <x:c r="U1427" s="31" t="str">
        <x:f>IF('Blind Scoring'!L1427="","",'Blind Scoring'!L1427)</x:f>
      </x:c>
    </x:row>
    <x:row r="1428" ht="44" customHeight="1">
      <x:c r="A1428" s="35" t="str">
        <x:v>Not Started</x:v>
      </x:c>
      <x:c r="B1428" s="35" t="n">
        <x:v>1426</x:v>
      </x:c>
      <x:c r="C1428" s="35" t="str">
        <x:v>P24</x:v>
      </x:c>
      <x:c r="D1428" s="35" t="n">
        <x:v>1</x:v>
      </x:c>
      <x:c r="E1428" s="35" t="str">
        <x:v>Primary VLA</x:v>
      </x:c>
      <x:c r="F1428" s="35" t="str">
        <x:v>π0.5</x:v>
      </x:c>
      <x:c r="G1428" s="35" t="n">
        <x:v>3</x:v>
      </x:c>
      <x:c r="H1428" s="35" t="str">
        <x:v>Relational Placement</x:v>
      </x:c>
      <x:c r="I1428" s="35" t="str">
        <x:v>Exact-scene paraphrase</x:v>
      </x:c>
      <x:c r="J1428" s="35" t="str">
        <x:v>PVLA-RP-PAR-03</x:v>
      </x:c>
      <x:c r="K1428" s="35" t="str"/>
      <x:c r="L1428" s="31" t="str">
        <x:v>Move the red block to the side of the pink marker facing the robot.</x:v>
      </x:c>
      <x:c r="M1428" s="31" t="str">
        <x:v>Move the red block to the side of the pink marker facing the robot.</x:v>
      </x:c>
      <x:c r="N1428" s="31" t="str">
        <x:v>R-P01: pink marker at center [REFERENCE]; red block starts 21 cm behind the reference [TARGET START]; remaining objects are distractors with ≥12 cm clearance from the target path and commanded goal sector.</x:v>
      </x:c>
      <x:c r="O1428" s="31" t="str">
        <x:v>red block</x:v>
      </x:c>
      <x:c r="P1428" s="31" t="str"/>
      <x:c r="Q1428" s="31" t="str"/>
      <x:c r="R1428" s="31" t="str"/>
      <x:c r="S1428" s="31" t="str">
        <x:f>IF('Blind Scoring'!I1428="","",'Blind Scoring'!I1428)</x:f>
      </x:c>
      <x:c r="T1428" s="31" t="str">
        <x:f>'Blind Scoring'!J1428</x:f>
        <x:v>No</x:v>
      </x:c>
      <x:c r="U1428" s="31" t="str">
        <x:f>IF('Blind Scoring'!L1428="","",'Blind Scoring'!L1428)</x:f>
      </x:c>
    </x:row>
    <x:row r="1429" ht="44" customHeight="1">
      <x:c r="A1429" s="35" t="str">
        <x:v>Not Started</x:v>
      </x:c>
      <x:c r="B1429" s="35" t="n">
        <x:v>1427</x:v>
      </x:c>
      <x:c r="C1429" s="35" t="str">
        <x:v>P24</x:v>
      </x:c>
      <x:c r="D1429" s="35" t="n">
        <x:v>2</x:v>
      </x:c>
      <x:c r="E1429" s="35" t="str">
        <x:v>Primary VLA</x:v>
      </x:c>
      <x:c r="F1429" s="35" t="str">
        <x:v>π0.5</x:v>
      </x:c>
      <x:c r="G1429" s="35" t="n">
        <x:v>3</x:v>
      </x:c>
      <x:c r="H1429" s="35" t="str">
        <x:v>Relational Placement</x:v>
      </x:c>
      <x:c r="I1429" s="35" t="str">
        <x:v>Main matched control</x:v>
      </x:c>
      <x:c r="J1429" s="35" t="str">
        <x:v>PVLA-RP-CTL-16</x:v>
      </x:c>
      <x:c r="K1429" s="35" t="str">
        <x:v>R-CF30</x:v>
      </x:c>
      <x:c r="L1429" s="31" t="str">
        <x:v>Place the red block beside the green pen.</x:v>
      </x:c>
      <x:c r="M1429" s="31" t="str">
        <x:v>Place the red block beside the green pen.</x:v>
      </x:c>
      <x:c r="N1429" s="31" t="str">
        <x:v>R-CF30-CTRL: green pen at front-right [REFERENCE]; red block starts 24 cm to the left of the reference [TARGET START]; blue block and pink marker are distractors outside the commanded goal sector.</x:v>
      </x:c>
      <x:c r="O1429" s="31" t="str">
        <x:v>red block near green pen</x:v>
      </x:c>
      <x:c r="P1429" s="31" t="str"/>
      <x:c r="Q1429" s="31" t="str"/>
      <x:c r="R1429" s="31" t="str"/>
      <x:c r="S1429" s="31" t="str">
        <x:f>IF('Blind Scoring'!I1429="","",'Blind Scoring'!I1429)</x:f>
      </x:c>
      <x:c r="T1429" s="31" t="str">
        <x:f>'Blind Scoring'!J1429</x:f>
        <x:v>No</x:v>
      </x:c>
      <x:c r="U1429" s="31" t="str">
        <x:f>IF('Blind Scoring'!L1429="","",'Blind Scoring'!L1429)</x:f>
      </x:c>
    </x:row>
    <x:row r="1430" ht="44" customHeight="1">
      <x:c r="A1430" s="35" t="str">
        <x:v>Not Started</x:v>
      </x:c>
      <x:c r="B1430" s="35" t="n">
        <x:v>1428</x:v>
      </x:c>
      <x:c r="C1430" s="35" t="str">
        <x:v>P24</x:v>
      </x:c>
      <x:c r="D1430" s="35" t="n">
        <x:v>3</x:v>
      </x:c>
      <x:c r="E1430" s="35" t="str">
        <x:v>Primary VLA</x:v>
      </x:c>
      <x:c r="F1430" s="35" t="str">
        <x:v>π0.5</x:v>
      </x:c>
      <x:c r="G1430" s="35" t="n">
        <x:v>3</x:v>
      </x:c>
      <x:c r="H1430" s="35" t="str">
        <x:v>Relational Placement</x:v>
      </x:c>
      <x:c r="I1430" s="35" t="str">
        <x:v>Main held-out transfer</x:v>
      </x:c>
      <x:c r="J1430" s="35" t="str">
        <x:v>PVLA-RP-TR-06</x:v>
      </x:c>
      <x:c r="K1430" s="35" t="str">
        <x:v>R-CF11</x:v>
      </x:c>
      <x:c r="L1430" s="31" t="str">
        <x:v>Place the green pen to the right of the red block.</x:v>
      </x:c>
      <x:c r="M1430" s="31" t="str">
        <x:v>Place the green pen to the right of the red block.</x:v>
      </x:c>
      <x:c r="N1430" s="31" t="str">
        <x:v>R-CF11-HELD: red block at center [REFERENCE]; green pen starts 21 cm to the left of the reference [TARGET START]; pink marker and blue block are distractors outside the commanded goal sector.</x:v>
      </x:c>
      <x:c r="O1430" s="31" t="str">
        <x:v>green pen → to the right of red block</x:v>
      </x:c>
      <x:c r="P1430" s="31" t="str"/>
      <x:c r="Q1430" s="31" t="str"/>
      <x:c r="R1430" s="31" t="str"/>
      <x:c r="S1430" s="31" t="str">
        <x:f>IF('Blind Scoring'!I1430="","",'Blind Scoring'!I1430)</x:f>
      </x:c>
      <x:c r="T1430" s="31" t="str">
        <x:f>'Blind Scoring'!J1430</x:f>
        <x:v>No</x:v>
      </x:c>
      <x:c r="U1430" s="31" t="str">
        <x:f>IF('Blind Scoring'!L1430="","",'Blind Scoring'!L1430)</x:f>
      </x:c>
    </x:row>
    <x:row r="1431" ht="44" customHeight="1">
      <x:c r="A1431" s="35" t="str">
        <x:v>Not Started</x:v>
      </x:c>
      <x:c r="B1431" s="35" t="n">
        <x:v>1429</x:v>
      </x:c>
      <x:c r="C1431" s="35" t="str">
        <x:v>P24</x:v>
      </x:c>
      <x:c r="D1431" s="35" t="n">
        <x:v>4</x:v>
      </x:c>
      <x:c r="E1431" s="35" t="str">
        <x:v>Primary VLA</x:v>
      </x:c>
      <x:c r="F1431" s="35" t="str">
        <x:v>π0.5</x:v>
      </x:c>
      <x:c r="G1431" s="35" t="n">
        <x:v>3</x:v>
      </x:c>
      <x:c r="H1431" s="35" t="str">
        <x:v>Relational Placement</x:v>
      </x:c>
      <x:c r="I1431" s="35" t="str">
        <x:v>Main held-out transfer</x:v>
      </x:c>
      <x:c r="J1431" s="35" t="str">
        <x:v>PVLA-RP-TR-08</x:v>
      </x:c>
      <x:c r="K1431" s="35" t="str">
        <x:v>R-CF15</x:v>
      </x:c>
      <x:c r="L1431" s="31" t="str">
        <x:v>Place the green pen behind the red block.</x:v>
      </x:c>
      <x:c r="M1431" s="31" t="str">
        <x:v>Place the green pen behind the red block.</x:v>
      </x:c>
      <x:c r="N1431" s="31" t="str">
        <x:v>R-CF15-HELD: red block at front-right [REFERENCE]; green pen starts 24 cm in front of the reference [TARGET START]; pink marker and blue block are distractors outside the commanded goal sector.</x:v>
      </x:c>
      <x:c r="O1431" s="31" t="str">
        <x:v>green pen → behind red block</x:v>
      </x:c>
      <x:c r="P1431" s="31" t="str"/>
      <x:c r="Q1431" s="31" t="str"/>
      <x:c r="R1431" s="31" t="str"/>
      <x:c r="S1431" s="31" t="str">
        <x:f>IF('Blind Scoring'!I1431="","",'Blind Scoring'!I1431)</x:f>
      </x:c>
      <x:c r="T1431" s="31" t="str">
        <x:f>'Blind Scoring'!J1431</x:f>
        <x:v>No</x:v>
      </x:c>
      <x:c r="U1431" s="31" t="str">
        <x:f>IF('Blind Scoring'!L1431="","",'Blind Scoring'!L1431)</x:f>
      </x:c>
    </x:row>
    <x:row r="1432" ht="44" customHeight="1">
      <x:c r="A1432" s="35" t="str">
        <x:v>Not Started</x:v>
      </x:c>
      <x:c r="B1432" s="35" t="n">
        <x:v>1430</x:v>
      </x:c>
      <x:c r="C1432" s="35" t="str">
        <x:v>P24</x:v>
      </x:c>
      <x:c r="D1432" s="35" t="n">
        <x:v>5</x:v>
      </x:c>
      <x:c r="E1432" s="35" t="str">
        <x:v>Primary VLA</x:v>
      </x:c>
      <x:c r="F1432" s="35" t="str">
        <x:v>π0.5</x:v>
      </x:c>
      <x:c r="G1432" s="35" t="n">
        <x:v>3</x:v>
      </x:c>
      <x:c r="H1432" s="35" t="str">
        <x:v>Relational Placement</x:v>
      </x:c>
      <x:c r="I1432" s="35" t="str">
        <x:v>Language ablation — counterfactual</x:v>
      </x:c>
      <x:c r="J1432" s="35" t="str">
        <x:v>PVLA-RP-ABL-CF-03</x:v>
      </x:c>
      <x:c r="K1432" s="35" t="str">
        <x:v>R-CF13</x:v>
      </x:c>
      <x:c r="L1432" s="31" t="str">
        <x:v>Place the green pen to the right of the red block.</x:v>
      </x:c>
      <x:c r="M1432" s="31" t="str">
        <x:v>Place the green pen to the right of the red block.</x:v>
      </x:c>
      <x:c r="N1432" s="31" t="str">
        <x:v>R-CF13-HELD: red block at back-right [REFERENCE]; green pen starts 18 cm to the right of the reference [TARGET START]; pink marker and blue block are distractors outside the commanded goal sector.</x:v>
      </x:c>
      <x:c r="O1432" s="31" t="str">
        <x:v>green pen → to the right of red block</x:v>
      </x:c>
      <x:c r="P1432" s="31" t="str"/>
      <x:c r="Q1432" s="31" t="str"/>
      <x:c r="R1432" s="31" t="str"/>
      <x:c r="S1432" s="31" t="str">
        <x:f>IF('Blind Scoring'!I1432="","",'Blind Scoring'!I1432)</x:f>
      </x:c>
      <x:c r="T1432" s="31" t="str">
        <x:f>'Blind Scoring'!J1432</x:f>
        <x:v>No</x:v>
      </x:c>
      <x:c r="U1432" s="31" t="str">
        <x:f>IF('Blind Scoring'!L1432="","",'Blind Scoring'!L1432)</x:f>
      </x:c>
    </x:row>
    <x:row r="1433" ht="44" customHeight="1">
      <x:c r="A1433" s="35" t="str">
        <x:v>Not Started</x:v>
      </x:c>
      <x:c r="B1433" s="35" t="n">
        <x:v>1431</x:v>
      </x:c>
      <x:c r="C1433" s="35" t="str">
        <x:v>P24</x:v>
      </x:c>
      <x:c r="D1433" s="35" t="n">
        <x:v>6</x:v>
      </x:c>
      <x:c r="E1433" s="35" t="str">
        <x:v>Primary VLA</x:v>
      </x:c>
      <x:c r="F1433" s="35" t="str">
        <x:v>π0.5</x:v>
      </x:c>
      <x:c r="G1433" s="35" t="n">
        <x:v>3</x:v>
      </x:c>
      <x:c r="H1433" s="35" t="str">
        <x:v>Relational Placement</x:v>
      </x:c>
      <x:c r="I1433" s="35" t="str">
        <x:v>Exact-scene paraphrase</x:v>
      </x:c>
      <x:c r="J1433" s="35" t="str">
        <x:v>PVLA-RP-PAR-07</x:v>
      </x:c>
      <x:c r="K1433" s="35" t="str"/>
      <x:c r="L1433" s="31" t="str">
        <x:v>Move the red block to the side of the pink marker facing the robot.</x:v>
      </x:c>
      <x:c r="M1433" s="31" t="str">
        <x:v>Move the red block to the side of the pink marker facing the robot.</x:v>
      </x:c>
      <x:c r="N1433" s="31" t="str">
        <x:v>R-P01: pink marker at center [REFERENCE]; red block starts 21 cm behind the reference [TARGET START]; remaining objects are distractors with ≥12 cm clearance from the target path and commanded goal sector.</x:v>
      </x:c>
      <x:c r="O1433" s="31" t="str">
        <x:v>red block</x:v>
      </x:c>
      <x:c r="P1433" s="31" t="str"/>
      <x:c r="Q1433" s="31" t="str"/>
      <x:c r="R1433" s="31" t="str"/>
      <x:c r="S1433" s="31" t="str">
        <x:f>IF('Blind Scoring'!I1433="","",'Blind Scoring'!I1433)</x:f>
      </x:c>
      <x:c r="T1433" s="31" t="str">
        <x:f>'Blind Scoring'!J1433</x:f>
        <x:v>No</x:v>
      </x:c>
      <x:c r="U1433" s="31" t="str">
        <x:f>IF('Blind Scoring'!L1433="","",'Blind Scoring'!L1433)</x:f>
      </x:c>
    </x:row>
    <x:row r="1434" ht="44" customHeight="1">
      <x:c r="A1434" s="35" t="str">
        <x:v>Not Started</x:v>
      </x:c>
      <x:c r="B1434" s="35" t="n">
        <x:v>1432</x:v>
      </x:c>
      <x:c r="C1434" s="35" t="str">
        <x:v>P24</x:v>
      </x:c>
      <x:c r="D1434" s="35" t="n">
        <x:v>7</x:v>
      </x:c>
      <x:c r="E1434" s="35" t="str">
        <x:v>Primary VLA</x:v>
      </x:c>
      <x:c r="F1434" s="35" t="str">
        <x:v>π0.5</x:v>
      </x:c>
      <x:c r="G1434" s="35" t="n">
        <x:v>3</x:v>
      </x:c>
      <x:c r="H1434" s="35" t="str">
        <x:v>Relational Placement</x:v>
      </x:c>
      <x:c r="I1434" s="35" t="str">
        <x:v>Main matched control</x:v>
      </x:c>
      <x:c r="J1434" s="35" t="str">
        <x:v>PVLA-RP-CTL-01</x:v>
      </x:c>
      <x:c r="K1434" s="35" t="str">
        <x:v>R-CF01</x:v>
      </x:c>
      <x:c r="L1434" s="31" t="str">
        <x:v>Place the green pen near the red block.</x:v>
      </x:c>
      <x:c r="M1434" s="31" t="str">
        <x:v>Place the green pen near the red block.</x:v>
      </x:c>
      <x:c r="N1434" s="31" t="str">
        <x:v>R-CF01-CTRL: red block at center [REFERENCE]; green pen starts 18 cm behind the reference [TARGET START]; pink marker and blue block are distractors outside the commanded goal sector.</x:v>
      </x:c>
      <x:c r="O1434" s="31" t="str">
        <x:v>green pen near red block</x:v>
      </x:c>
      <x:c r="P1434" s="31" t="str"/>
      <x:c r="Q1434" s="31" t="str"/>
      <x:c r="R1434" s="31" t="str"/>
      <x:c r="S1434" s="31" t="str">
        <x:f>IF('Blind Scoring'!I1434="","",'Blind Scoring'!I1434)</x:f>
      </x:c>
      <x:c r="T1434" s="31" t="str">
        <x:f>'Blind Scoring'!J1434</x:f>
        <x:v>No</x:v>
      </x:c>
      <x:c r="U1434" s="31" t="str">
        <x:f>IF('Blind Scoring'!L1434="","",'Blind Scoring'!L1434)</x:f>
      </x:c>
    </x:row>
    <x:row r="1435" ht="44" customHeight="1">
      <x:c r="A1435" s="35" t="str">
        <x:v>Not Started</x:v>
      </x:c>
      <x:c r="B1435" s="35" t="n">
        <x:v>1433</x:v>
      </x:c>
      <x:c r="C1435" s="35" t="str">
        <x:v>P24</x:v>
      </x:c>
      <x:c r="D1435" s="35" t="n">
        <x:v>8</x:v>
      </x:c>
      <x:c r="E1435" s="35" t="str">
        <x:v>Primary VLA</x:v>
      </x:c>
      <x:c r="F1435" s="35" t="str">
        <x:v>π0.5</x:v>
      </x:c>
      <x:c r="G1435" s="35" t="n">
        <x:v>3</x:v>
      </x:c>
      <x:c r="H1435" s="35" t="str">
        <x:v>Relational Placement</x:v>
      </x:c>
      <x:c r="I1435" s="35" t="str">
        <x:v>Main held-out transfer</x:v>
      </x:c>
      <x:c r="J1435" s="35" t="str">
        <x:v>PVLA-RP-TR-12</x:v>
      </x:c>
      <x:c r="K1435" s="35" t="str">
        <x:v>R-CF22</x:v>
      </x:c>
      <x:c r="L1435" s="31" t="str">
        <x:v>Place the red block to the right of the green pen.</x:v>
      </x:c>
      <x:c r="M1435" s="31" t="str">
        <x:v>Place the red block to the right of the green pen.</x:v>
      </x:c>
      <x:c r="N1435" s="31" t="str">
        <x:v>R-CF22-HELD: green pen at back-left [REFERENCE]; red block starts 18 cm to the left of the reference [TARGET START]; blue block and pink marker are distractors outside the commanded goal sector.</x:v>
      </x:c>
      <x:c r="O1435" s="31" t="str">
        <x:v>red block → to the right of green pen</x:v>
      </x:c>
      <x:c r="P1435" s="31" t="str"/>
      <x:c r="Q1435" s="31" t="str"/>
      <x:c r="R1435" s="31" t="str"/>
      <x:c r="S1435" s="31" t="str">
        <x:f>IF('Blind Scoring'!I1435="","",'Blind Scoring'!I1435)</x:f>
      </x:c>
      <x:c r="T1435" s="31" t="str">
        <x:f>'Blind Scoring'!J1435</x:f>
        <x:v>No</x:v>
      </x:c>
      <x:c r="U1435" s="31" t="str">
        <x:f>IF('Blind Scoring'!L1435="","",'Blind Scoring'!L1435)</x:f>
      </x:c>
    </x:row>
    <x:row r="1436" ht="44" customHeight="1">
      <x:c r="A1436" s="35" t="str">
        <x:v>Not Started</x:v>
      </x:c>
      <x:c r="B1436" s="35" t="n">
        <x:v>1434</x:v>
      </x:c>
      <x:c r="C1436" s="35" t="str">
        <x:v>P24</x:v>
      </x:c>
      <x:c r="D1436" s="35" t="n">
        <x:v>9</x:v>
      </x:c>
      <x:c r="E1436" s="35" t="str">
        <x:v>Primary VLA</x:v>
      </x:c>
      <x:c r="F1436" s="35" t="str">
        <x:v>π0.5</x:v>
      </x:c>
      <x:c r="G1436" s="35" t="n">
        <x:v>3</x:v>
      </x:c>
      <x:c r="H1436" s="35" t="str">
        <x:v>Relational Placement</x:v>
      </x:c>
      <x:c r="I1436" s="35" t="str">
        <x:v>Exact-scene paraphrase</x:v>
      </x:c>
      <x:c r="J1436" s="35" t="str">
        <x:v>PVLA-RP-PAR-08</x:v>
      </x:c>
      <x:c r="K1436" s="35" t="str"/>
      <x:c r="L1436" s="31" t="str">
        <x:v>Move the red block to the side of the pink marker facing the robot.</x:v>
      </x:c>
      <x:c r="M1436" s="31" t="str">
        <x:v>Move the red block to the side of the pink marker facing the robot.</x:v>
      </x:c>
      <x:c r="N1436" s="31" t="str">
        <x:v>R-P01: pink marker at center [REFERENCE]; red block starts 21 cm behind the reference [TARGET START]; remaining objects are distractors with ≥12 cm clearance from the target path and commanded goal sector.</x:v>
      </x:c>
      <x:c r="O1436" s="31" t="str">
        <x:v>red block</x:v>
      </x:c>
      <x:c r="P1436" s="31" t="str"/>
      <x:c r="Q1436" s="31" t="str"/>
      <x:c r="R1436" s="31" t="str"/>
      <x:c r="S1436" s="31" t="str">
        <x:f>IF('Blind Scoring'!I1436="","",'Blind Scoring'!I1436)</x:f>
      </x:c>
      <x:c r="T1436" s="31" t="str">
        <x:f>'Blind Scoring'!J1436</x:f>
        <x:v>No</x:v>
      </x:c>
      <x:c r="U1436" s="31" t="str">
        <x:f>IF('Blind Scoring'!L1436="","",'Blind Scoring'!L1436)</x:f>
      </x:c>
    </x:row>
    <x:row r="1437" ht="44" customHeight="1">
      <x:c r="A1437" s="35" t="str">
        <x:v>Not Started</x:v>
      </x:c>
      <x:c r="B1437" s="35" t="n">
        <x:v>1435</x:v>
      </x:c>
      <x:c r="C1437" s="35" t="str">
        <x:v>P24</x:v>
      </x:c>
      <x:c r="D1437" s="35" t="n">
        <x:v>10</x:v>
      </x:c>
      <x:c r="E1437" s="35" t="str">
        <x:v>Primary VLA</x:v>
      </x:c>
      <x:c r="F1437" s="35" t="str">
        <x:v>π0.5</x:v>
      </x:c>
      <x:c r="G1437" s="35" t="n">
        <x:v>3</x:v>
      </x:c>
      <x:c r="H1437" s="35" t="str">
        <x:v>Relational Placement</x:v>
      </x:c>
      <x:c r="I1437" s="35" t="str">
        <x:v>Main matched control</x:v>
      </x:c>
      <x:c r="J1437" s="35" t="str">
        <x:v>PVLA-RP-CTL-13</x:v>
      </x:c>
      <x:c r="K1437" s="35" t="str">
        <x:v>R-CF24</x:v>
      </x:c>
      <x:c r="L1437" s="31" t="str">
        <x:v>Place the red block beside the green pen.</x:v>
      </x:c>
      <x:c r="M1437" s="31" t="str">
        <x:v>Place the red block beside the green pen.</x:v>
      </x:c>
      <x:c r="N1437" s="31" t="str">
        <x:v>R-CF24-CTRL: green pen at front-left [REFERENCE]; red block starts 24 cm to the right of the reference [TARGET START]; blue block and pink marker are distractors outside the commanded goal sector.</x:v>
      </x:c>
      <x:c r="O1437" s="31" t="str">
        <x:v>red block near green pen</x:v>
      </x:c>
      <x:c r="P1437" s="31" t="str"/>
      <x:c r="Q1437" s="31" t="str"/>
      <x:c r="R1437" s="31" t="str"/>
      <x:c r="S1437" s="31" t="str">
        <x:f>IF('Blind Scoring'!I1437="","",'Blind Scoring'!I1437)</x:f>
      </x:c>
      <x:c r="T1437" s="31" t="str">
        <x:f>'Blind Scoring'!J1437</x:f>
        <x:v>No</x:v>
      </x:c>
      <x:c r="U1437" s="31" t="str">
        <x:f>IF('Blind Scoring'!L1437="","",'Blind Scoring'!L1437)</x:f>
      </x:c>
    </x:row>
    <x:row r="1438" ht="44" customHeight="1">
      <x:c r="A1438" s="35" t="str">
        <x:v>Not Started</x:v>
      </x:c>
      <x:c r="B1438" s="35" t="n">
        <x:v>1436</x:v>
      </x:c>
      <x:c r="C1438" s="35" t="str">
        <x:v>P24</x:v>
      </x:c>
      <x:c r="D1438" s="35" t="n">
        <x:v>11</x:v>
      </x:c>
      <x:c r="E1438" s="35" t="str">
        <x:v>Primary VLA</x:v>
      </x:c>
      <x:c r="F1438" s="35" t="str">
        <x:v>π0.5</x:v>
      </x:c>
      <x:c r="G1438" s="35" t="n">
        <x:v>3</x:v>
      </x:c>
      <x:c r="H1438" s="35" t="str">
        <x:v>Relational Placement</x:v>
      </x:c>
      <x:c r="I1438" s="35" t="str">
        <x:v>Novel layout + seen language</x:v>
      </x:c>
      <x:c r="J1438" s="35" t="str">
        <x:v>PVLA-RP-NOV-01</x:v>
      </x:c>
      <x:c r="K1438" s="35" t="str"/>
      <x:c r="L1438" s="31" t="str">
        <x:v>Place the blue block in front of the green pen.</x:v>
      </x:c>
      <x:c r="M1438" s="31" t="str">
        <x:v>Place the blue block in front of the green pen.</x:v>
      </x:c>
      <x:c r="N1438" s="31" t="str">
        <x:v>R-S01: green pen at center [REFERENCE]; blue block starts 24 cm behind the reference [TARGET START]; remaining objects are distractors with ≥12 cm clearance from the target path and commanded goal sector.</x:v>
      </x:c>
      <x:c r="O1438" s="31" t="str">
        <x:v>blue block</x:v>
      </x:c>
      <x:c r="P1438" s="31" t="str"/>
      <x:c r="Q1438" s="31" t="str"/>
      <x:c r="R1438" s="31" t="str"/>
      <x:c r="S1438" s="31" t="str">
        <x:f>IF('Blind Scoring'!I1438="","",'Blind Scoring'!I1438)</x:f>
      </x:c>
      <x:c r="T1438" s="31" t="str">
        <x:f>'Blind Scoring'!J1438</x:f>
        <x:v>No</x:v>
      </x:c>
      <x:c r="U1438" s="31" t="str">
        <x:f>IF('Blind Scoring'!L1438="","",'Blind Scoring'!L1438)</x:f>
      </x:c>
    </x:row>
    <x:row r="1439" ht="44" customHeight="1">
      <x:c r="A1439" s="35" t="str">
        <x:v>Not Started</x:v>
      </x:c>
      <x:c r="B1439" s="35" t="n">
        <x:v>1437</x:v>
      </x:c>
      <x:c r="C1439" s="35" t="str">
        <x:v>P24</x:v>
      </x:c>
      <x:c r="D1439" s="35" t="n">
        <x:v>12</x:v>
      </x:c>
      <x:c r="E1439" s="35" t="str">
        <x:v>Primary VLA</x:v>
      </x:c>
      <x:c r="F1439" s="35" t="str">
        <x:v>π0.5</x:v>
      </x:c>
      <x:c r="G1439" s="35" t="n">
        <x:v>3</x:v>
      </x:c>
      <x:c r="H1439" s="35" t="str">
        <x:v>Relational Placement</x:v>
      </x:c>
      <x:c r="I1439" s="35" t="str">
        <x:v>Main held-out transfer</x:v>
      </x:c>
      <x:c r="J1439" s="35" t="str">
        <x:v>PVLA-RP-TR-03</x:v>
      </x:c>
      <x:c r="K1439" s="35" t="str">
        <x:v>R-CF05</x:v>
      </x:c>
      <x:c r="L1439" s="31" t="str">
        <x:v>Place the green pen to the left of the red block.</x:v>
      </x:c>
      <x:c r="M1439" s="31" t="str">
        <x:v>Place the green pen to the left of the red block.</x:v>
      </x:c>
      <x:c r="N1439" s="31" t="str">
        <x:v>R-CF05-HELD: red block at front-right [REFERENCE]; green pen starts 21 cm to the right of the reference [TARGET START]; pink marker and blue block are distractors outside the commanded goal sector.</x:v>
      </x:c>
      <x:c r="O1439" s="31" t="str">
        <x:v>green pen → to the left of red block</x:v>
      </x:c>
      <x:c r="P1439" s="31" t="str"/>
      <x:c r="Q1439" s="31" t="str"/>
      <x:c r="R1439" s="31" t="str"/>
      <x:c r="S1439" s="31" t="str">
        <x:f>IF('Blind Scoring'!I1439="","",'Blind Scoring'!I1439)</x:f>
      </x:c>
      <x:c r="T1439" s="31" t="str">
        <x:f>'Blind Scoring'!J1439</x:f>
        <x:v>No</x:v>
      </x:c>
      <x:c r="U1439" s="31" t="str">
        <x:f>IF('Blind Scoring'!L1439="","",'Blind Scoring'!L1439)</x:f>
      </x:c>
    </x:row>
    <x:row r="1440" ht="44" customHeight="1">
      <x:c r="A1440" s="35" t="str">
        <x:v>Not Started</x:v>
      </x:c>
      <x:c r="B1440" s="35" t="n">
        <x:v>1438</x:v>
      </x:c>
      <x:c r="C1440" s="35" t="str">
        <x:v>P24</x:v>
      </x:c>
      <x:c r="D1440" s="35" t="n">
        <x:v>13</x:v>
      </x:c>
      <x:c r="E1440" s="35" t="str">
        <x:v>Primary VLA</x:v>
      </x:c>
      <x:c r="F1440" s="35" t="str">
        <x:v>π0.5</x:v>
      </x:c>
      <x:c r="G1440" s="35" t="n">
        <x:v>3</x:v>
      </x:c>
      <x:c r="H1440" s="35" t="str">
        <x:v>Relational Placement</x:v>
      </x:c>
      <x:c r="I1440" s="35" t="str">
        <x:v>Main matched control</x:v>
      </x:c>
      <x:c r="J1440" s="35" t="str">
        <x:v>PVLA-RP-CTL-15</x:v>
      </x:c>
      <x:c r="K1440" s="35" t="str">
        <x:v>R-CF28</x:v>
      </x:c>
      <x:c r="L1440" s="31" t="str">
        <x:v>Place the red block near the green pen.</x:v>
      </x:c>
      <x:c r="M1440" s="31" t="str">
        <x:v>Place the red block near the green pen.</x:v>
      </x:c>
      <x:c r="N1440" s="31" t="str">
        <x:v>R-CF28-CTRL: green pen at back-right [REFERENCE]; red block starts 18 cm behind the reference [TARGET START]; blue block and pink marker are distractors outside the commanded goal sector.</x:v>
      </x:c>
      <x:c r="O1440" s="31" t="str">
        <x:v>red block near green pen</x:v>
      </x:c>
      <x:c r="P1440" s="31" t="str"/>
      <x:c r="Q1440" s="31" t="str"/>
      <x:c r="R1440" s="31" t="str"/>
      <x:c r="S1440" s="31" t="str">
        <x:f>IF('Blind Scoring'!I1440="","",'Blind Scoring'!I1440)</x:f>
      </x:c>
      <x:c r="T1440" s="31" t="str">
        <x:f>'Blind Scoring'!J1440</x:f>
        <x:v>No</x:v>
      </x:c>
      <x:c r="U1440" s="31" t="str">
        <x:f>IF('Blind Scoring'!L1440="","",'Blind Scoring'!L1440)</x:f>
      </x:c>
    </x:row>
    <x:row r="1441" ht="44" customHeight="1">
      <x:c r="A1441" s="35" t="str">
        <x:v>Not Started</x:v>
      </x:c>
      <x:c r="B1441" s="35" t="n">
        <x:v>1439</x:v>
      </x:c>
      <x:c r="C1441" s="35" t="str">
        <x:v>P24</x:v>
      </x:c>
      <x:c r="D1441" s="35" t="n">
        <x:v>14</x:v>
      </x:c>
      <x:c r="E1441" s="35" t="str">
        <x:v>Primary VLA</x:v>
      </x:c>
      <x:c r="F1441" s="35" t="str">
        <x:v>π0.5</x:v>
      </x:c>
      <x:c r="G1441" s="35" t="n">
        <x:v>3</x:v>
      </x:c>
      <x:c r="H1441" s="35" t="str">
        <x:v>Relational Placement</x:v>
      </x:c>
      <x:c r="I1441" s="35" t="str">
        <x:v>Main held-out transfer</x:v>
      </x:c>
      <x:c r="J1441" s="35" t="str">
        <x:v>PVLA-RP-TR-14</x:v>
      </x:c>
      <x:c r="K1441" s="35" t="str">
        <x:v>R-CF26</x:v>
      </x:c>
      <x:c r="L1441" s="31" t="str">
        <x:v>Place the red block behind the green pen.</x:v>
      </x:c>
      <x:c r="M1441" s="31" t="str">
        <x:v>Place the red block behind the green pen.</x:v>
      </x:c>
      <x:c r="N1441" s="31" t="str">
        <x:v>R-CF26-HELD: green pen at center [REFERENCE]; red block starts 21 cm in front of the reference [TARGET START]; blue block and pink marker are distractors outside the commanded goal sector.</x:v>
      </x:c>
      <x:c r="O1441" s="31" t="str">
        <x:v>red block → behind green pen</x:v>
      </x:c>
      <x:c r="P1441" s="31" t="str"/>
      <x:c r="Q1441" s="31" t="str"/>
      <x:c r="R1441" s="31" t="str"/>
      <x:c r="S1441" s="31" t="str">
        <x:f>IF('Blind Scoring'!I1441="","",'Blind Scoring'!I1441)</x:f>
      </x:c>
      <x:c r="T1441" s="31" t="str">
        <x:f>'Blind Scoring'!J1441</x:f>
        <x:v>No</x:v>
      </x:c>
      <x:c r="U1441" s="31" t="str">
        <x:f>IF('Blind Scoring'!L1441="","",'Blind Scoring'!L1441)</x:f>
      </x:c>
    </x:row>
    <x:row r="1442" ht="44" customHeight="1">
      <x:c r="A1442" s="35" t="str">
        <x:v>Not Started</x:v>
      </x:c>
      <x:c r="B1442" s="35" t="n">
        <x:v>1440</x:v>
      </x:c>
      <x:c r="C1442" s="35" t="str">
        <x:v>P24</x:v>
      </x:c>
      <x:c r="D1442" s="35" t="n">
        <x:v>15</x:v>
      </x:c>
      <x:c r="E1442" s="35" t="str">
        <x:v>Primary VLA</x:v>
      </x:c>
      <x:c r="F1442" s="35" t="str">
        <x:v>π0.5</x:v>
      </x:c>
      <x:c r="G1442" s="35" t="n">
        <x:v>3</x:v>
      </x:c>
      <x:c r="H1442" s="35" t="str">
        <x:v>Relational Placement</x:v>
      </x:c>
      <x:c r="I1442" s="35" t="str">
        <x:v>Training reconstruction</x:v>
      </x:c>
      <x:c r="J1442" s="35" t="str">
        <x:v>PVLA-RP-REC-01</x:v>
      </x:c>
      <x:c r="K1442" s="35" t="str"/>
      <x:c r="L1442" s="31" t="str">
        <x:v>Move the green pen to the front of the pink marker.</x:v>
      </x:c>
      <x:c r="M1442" s="31" t="str">
        <x:v>Move the green pen to the front of the pink marker.</x:v>
      </x:c>
      <x:c r="N1442" s="31" t="str">
        <x:v>Reconstruct planned final training episode 204: green pen, pink marker; start=Home. Match camera, calibration, bowl pose, and object geometry exactly.</x:v>
      </x:c>
      <x:c r="O1442" s="31" t="str">
        <x:v>green pen</x:v>
      </x:c>
      <x:c r="P1442" s="31" t="str"/>
      <x:c r="Q1442" s="31" t="str"/>
      <x:c r="R1442" s="31" t="str"/>
      <x:c r="S1442" s="31" t="str">
        <x:f>IF('Blind Scoring'!I1442="","",'Blind Scoring'!I1442)</x:f>
      </x:c>
      <x:c r="T1442" s="31" t="str">
        <x:f>'Blind Scoring'!J1442</x:f>
        <x:v>No</x:v>
      </x:c>
      <x:c r="U1442" s="31" t="str">
        <x:f>IF('Blind Scoring'!L1442="","",'Blind Scoring'!L1442)</x:f>
      </x:c>
    </x:row>
    <x:row r="1443" ht="44" customHeight="1">
      <x:c r="A1443" s="35" t="str">
        <x:v>Not Started</x:v>
      </x:c>
      <x:c r="B1443" s="35" t="n">
        <x:v>1441</x:v>
      </x:c>
      <x:c r="C1443" s="35" t="str">
        <x:v>P24</x:v>
      </x:c>
      <x:c r="D1443" s="35" t="n">
        <x:v>16</x:v>
      </x:c>
      <x:c r="E1443" s="35" t="str">
        <x:v>Primary VLA</x:v>
      </x:c>
      <x:c r="F1443" s="35" t="str">
        <x:v>π0.5</x:v>
      </x:c>
      <x:c r="G1443" s="35" t="n">
        <x:v>3</x:v>
      </x:c>
      <x:c r="H1443" s="35" t="str">
        <x:v>Relational Placement</x:v>
      </x:c>
      <x:c r="I1443" s="35" t="str">
        <x:v>Main matched control</x:v>
      </x:c>
      <x:c r="J1443" s="35" t="str">
        <x:v>PVLA-RP-CTL-04</x:v>
      </x:c>
      <x:c r="K1443" s="35" t="str">
        <x:v>R-CF07</x:v>
      </x:c>
      <x:c r="L1443" s="31" t="str">
        <x:v>Place the green pen near the red block.</x:v>
      </x:c>
      <x:c r="M1443" s="31" t="str">
        <x:v>Place the green pen near the red block.</x:v>
      </x:c>
      <x:c r="N1443" s="31" t="str">
        <x:v>R-CF07-CTRL: red block at back-left [REFERENCE]; green pen starts 18 cm in front of the reference [TARGET START]; pink marker and blue block are distractors outside the commanded goal sector.</x:v>
      </x:c>
      <x:c r="O1443" s="31" t="str">
        <x:v>green pen near red block</x:v>
      </x:c>
      <x:c r="P1443" s="31" t="str"/>
      <x:c r="Q1443" s="31" t="str"/>
      <x:c r="R1443" s="31" t="str"/>
      <x:c r="S1443" s="31" t="str">
        <x:f>IF('Blind Scoring'!I1443="","",'Blind Scoring'!I1443)</x:f>
      </x:c>
      <x:c r="T1443" s="31" t="str">
        <x:f>'Blind Scoring'!J1443</x:f>
        <x:v>No</x:v>
      </x:c>
      <x:c r="U1443" s="31" t="str">
        <x:f>IF('Blind Scoring'!L1443="","",'Blind Scoring'!L1443)</x:f>
      </x:c>
    </x:row>
    <x:row r="1444" ht="44" customHeight="1">
      <x:c r="A1444" s="35" t="str">
        <x:v>Not Started</x:v>
      </x:c>
      <x:c r="B1444" s="35" t="n">
        <x:v>1442</x:v>
      </x:c>
      <x:c r="C1444" s="35" t="str">
        <x:v>P24</x:v>
      </x:c>
      <x:c r="D1444" s="35" t="n">
        <x:v>17</x:v>
      </x:c>
      <x:c r="E1444" s="35" t="str">
        <x:v>Primary VLA</x:v>
      </x:c>
      <x:c r="F1444" s="35" t="str">
        <x:v>π0.5</x:v>
      </x:c>
      <x:c r="G1444" s="35" t="n">
        <x:v>3</x:v>
      </x:c>
      <x:c r="H1444" s="35" t="str">
        <x:v>Relational Placement</x:v>
      </x:c>
      <x:c r="I1444" s="35" t="str">
        <x:v>Language ablation — blank</x:v>
      </x:c>
      <x:c r="J1444" s="35" t="str">
        <x:v>PVLA-RP-ABL-BLK-03</x:v>
      </x:c>
      <x:c r="K1444" s="35" t="str">
        <x:v>R-CF05</x:v>
      </x:c>
      <x:c r="L1444" s="31" t="str">
        <x:v>[EMPTY STRING — provide no instruction tokens]</x:v>
      </x:c>
      <x:c r="M1444" s="31" t="str">
        <x:v>Place the green pen to the left of the red block.</x:v>
      </x:c>
      <x:c r="N1444" s="31" t="str">
        <x:v>R-CF05-HELD: red block at front-right [REFERENCE]; green pen starts 21 cm to the right of the reference [TARGET START]; pink marker and blue block are distractors outside the commanded goal sector.</x:v>
      </x:c>
      <x:c r="O1444" s="31" t="str">
        <x:v>No prespecified task success under blank language; record any action/selected target.</x:v>
      </x:c>
      <x:c r="P1444" s="31" t="str"/>
      <x:c r="Q1444" s="31" t="str"/>
      <x:c r="R1444" s="31" t="str"/>
      <x:c r="S1444" s="31" t="str">
        <x:f>IF('Blind Scoring'!I1444="","",'Blind Scoring'!I1444)</x:f>
      </x:c>
      <x:c r="T1444" s="31" t="str">
        <x:f>'Blind Scoring'!J1444</x:f>
        <x:v>No</x:v>
      </x:c>
      <x:c r="U1444" s="31" t="str">
        <x:f>IF('Blind Scoring'!L1444="","",'Blind Scoring'!L1444)</x:f>
      </x:c>
    </x:row>
    <x:row r="1445" ht="44" customHeight="1">
      <x:c r="A1445" s="35" t="str">
        <x:v>Not Started</x:v>
      </x:c>
      <x:c r="B1445" s="35" t="n">
        <x:v>1443</x:v>
      </x:c>
      <x:c r="C1445" s="35" t="str">
        <x:v>P24</x:v>
      </x:c>
      <x:c r="D1445" s="35" t="n">
        <x:v>18</x:v>
      </x:c>
      <x:c r="E1445" s="35" t="str">
        <x:v>Primary VLA</x:v>
      </x:c>
      <x:c r="F1445" s="35" t="str">
        <x:v>π0.5</x:v>
      </x:c>
      <x:c r="G1445" s="35" t="n">
        <x:v>3</x:v>
      </x:c>
      <x:c r="H1445" s="35" t="str">
        <x:v>Relational Placement</x:v>
      </x:c>
      <x:c r="I1445" s="35" t="str">
        <x:v>Novel layout + seen language</x:v>
      </x:c>
      <x:c r="J1445" s="35" t="str">
        <x:v>PVLA-RP-NOV-08</x:v>
      </x:c>
      <x:c r="K1445" s="35" t="str"/>
      <x:c r="L1445" s="31" t="str">
        <x:v>Place the red block to the right of the blue block.</x:v>
      </x:c>
      <x:c r="M1445" s="31" t="str">
        <x:v>Place the red block to the right of the blue block.</x:v>
      </x:c>
      <x:c r="N1445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1445" s="31" t="str">
        <x:v>red block</x:v>
      </x:c>
      <x:c r="P1445" s="31" t="str"/>
      <x:c r="Q1445" s="31" t="str"/>
      <x:c r="R1445" s="31" t="str"/>
      <x:c r="S1445" s="31" t="str">
        <x:f>IF('Blind Scoring'!I1445="","",'Blind Scoring'!I1445)</x:f>
      </x:c>
      <x:c r="T1445" s="31" t="str">
        <x:f>'Blind Scoring'!J1445</x:f>
        <x:v>No</x:v>
      </x:c>
      <x:c r="U1445" s="31" t="str">
        <x:f>IF('Blind Scoring'!L1445="","",'Blind Scoring'!L1445)</x:f>
      </x:c>
    </x:row>
    <x:row r="1446" ht="44" customHeight="1">
      <x:c r="A1446" s="35" t="str">
        <x:v>Not Started</x:v>
      </x:c>
      <x:c r="B1446" s="35" t="n">
        <x:v>1444</x:v>
      </x:c>
      <x:c r="C1446" s="35" t="str">
        <x:v>P24</x:v>
      </x:c>
      <x:c r="D1446" s="35" t="n">
        <x:v>19</x:v>
      </x:c>
      <x:c r="E1446" s="35" t="str">
        <x:v>Primary VLA</x:v>
      </x:c>
      <x:c r="F1446" s="35" t="str">
        <x:v>π0.5</x:v>
      </x:c>
      <x:c r="G1446" s="35" t="n">
        <x:v>3</x:v>
      </x:c>
      <x:c r="H1446" s="35" t="str">
        <x:v>Relational Placement</x:v>
      </x:c>
      <x:c r="I1446" s="35" t="str">
        <x:v>Language ablation — counterfactual</x:v>
      </x:c>
      <x:c r="J1446" s="35" t="str">
        <x:v>PVLA-RP-ABL-CF-01</x:v>
      </x:c>
      <x:c r="K1446" s="35" t="str">
        <x:v>R-CF09</x:v>
      </x:c>
      <x:c r="L1446" s="31" t="str">
        <x:v>Place the green pen behind the red block.</x:v>
      </x:c>
      <x:c r="M1446" s="31" t="str">
        <x:v>Place the green pen behind the red block.</x:v>
      </x:c>
      <x:c r="N1446" s="31" t="str">
        <x:v>R-CF09-HELD: red block at front-left [REFERENCE]; green pen starts 24 cm behind the reference [TARGET START]; pink marker and blue block are distractors outside the commanded goal sector.</x:v>
      </x:c>
      <x:c r="O1446" s="31" t="str">
        <x:v>green pen → behind red block</x:v>
      </x:c>
      <x:c r="P1446" s="31" t="str"/>
      <x:c r="Q1446" s="31" t="str"/>
      <x:c r="R1446" s="31" t="str"/>
      <x:c r="S1446" s="31" t="str">
        <x:f>IF('Blind Scoring'!I1446="","",'Blind Scoring'!I1446)</x:f>
      </x:c>
      <x:c r="T1446" s="31" t="str">
        <x:f>'Blind Scoring'!J1446</x:f>
        <x:v>No</x:v>
      </x:c>
      <x:c r="U1446" s="31" t="str">
        <x:f>IF('Blind Scoring'!L1446="","",'Blind Scoring'!L1446)</x:f>
      </x:c>
    </x:row>
    <x:row r="1447" ht="44" customHeight="1">
      <x:c r="A1447" s="35" t="str">
        <x:v>Not Started</x:v>
      </x:c>
      <x:c r="B1447" s="35" t="n">
        <x:v>1445</x:v>
      </x:c>
      <x:c r="C1447" s="35" t="str">
        <x:v>P24</x:v>
      </x:c>
      <x:c r="D1447" s="35" t="n">
        <x:v>20</x:v>
      </x:c>
      <x:c r="E1447" s="35" t="str">
        <x:v>Primary VLA</x:v>
      </x:c>
      <x:c r="F1447" s="35" t="str">
        <x:v>π0.5</x:v>
      </x:c>
      <x:c r="G1447" s="35" t="n">
        <x:v>3</x:v>
      </x:c>
      <x:c r="H1447" s="35" t="str">
        <x:v>Relational Placement</x:v>
      </x:c>
      <x:c r="I1447" s="35" t="str">
        <x:v>Exact-scene paraphrase</x:v>
      </x:c>
      <x:c r="J1447" s="35" t="str">
        <x:v>PVLA-RP-PAR-05</x:v>
      </x:c>
      <x:c r="K1447" s="35" t="str"/>
      <x:c r="L1447" s="31" t="str">
        <x:v>Move the red block to the side of the pink marker facing the robot.</x:v>
      </x:c>
      <x:c r="M1447" s="31" t="str">
        <x:v>Move the red block to the side of the pink marker facing the robot.</x:v>
      </x:c>
      <x:c r="N1447" s="31" t="str">
        <x:v>R-P01: pink marker at center [REFERENCE]; red block starts 21 cm behind the reference [TARGET START]; remaining objects are distractors with ≥12 cm clearance from the target path and commanded goal sector.</x:v>
      </x:c>
      <x:c r="O1447" s="31" t="str">
        <x:v>red block</x:v>
      </x:c>
      <x:c r="P1447" s="31" t="str"/>
      <x:c r="Q1447" s="31" t="str"/>
      <x:c r="R1447" s="31" t="str"/>
      <x:c r="S1447" s="31" t="str">
        <x:f>IF('Blind Scoring'!I1447="","",'Blind Scoring'!I1447)</x:f>
      </x:c>
      <x:c r="T1447" s="31" t="str">
        <x:f>'Blind Scoring'!J1447</x:f>
        <x:v>No</x:v>
      </x:c>
      <x:c r="U1447" s="31" t="str">
        <x:f>IF('Blind Scoring'!L1447="","",'Blind Scoring'!L1447)</x:f>
      </x:c>
    </x:row>
    <x:row r="1448" ht="44" customHeight="1">
      <x:c r="A1448" s="35" t="str">
        <x:v>Not Started</x:v>
      </x:c>
      <x:c r="B1448" s="35" t="n">
        <x:v>1446</x:v>
      </x:c>
      <x:c r="C1448" s="35" t="str">
        <x:v>P24</x:v>
      </x:c>
      <x:c r="D1448" s="35" t="n">
        <x:v>21</x:v>
      </x:c>
      <x:c r="E1448" s="35" t="str">
        <x:v>Primary VLA</x:v>
      </x:c>
      <x:c r="F1448" s="35" t="str">
        <x:v>π0.5</x:v>
      </x:c>
      <x:c r="G1448" s="35" t="n">
        <x:v>3</x:v>
      </x:c>
      <x:c r="H1448" s="35" t="str">
        <x:v>Relational Placement</x:v>
      </x:c>
      <x:c r="I1448" s="35" t="str">
        <x:v>Main held-out transfer</x:v>
      </x:c>
      <x:c r="J1448" s="35" t="str">
        <x:v>PVLA-RP-TR-02</x:v>
      </x:c>
      <x:c r="K1448" s="35" t="str">
        <x:v>R-CF03</x:v>
      </x:c>
      <x:c r="L1448" s="31" t="str">
        <x:v>Place the green pen to the right of the red block.</x:v>
      </x:c>
      <x:c r="M1448" s="31" t="str">
        <x:v>Place the green pen to the right of the red block.</x:v>
      </x:c>
      <x:c r="N1448" s="31" t="str">
        <x:v>R-CF03-HELD: red block at back-right [REFERENCE]; green pen starts 24 cm to the left of the reference [TARGET START]; pink marker and blue block are distractors outside the commanded goal sector.</x:v>
      </x:c>
      <x:c r="O1448" s="31" t="str">
        <x:v>green pen → to the right of red block</x:v>
      </x:c>
      <x:c r="P1448" s="31" t="str"/>
      <x:c r="Q1448" s="31" t="str"/>
      <x:c r="R1448" s="31" t="str"/>
      <x:c r="S1448" s="31" t="str">
        <x:f>IF('Blind Scoring'!I1448="","",'Blind Scoring'!I1448)</x:f>
      </x:c>
      <x:c r="T1448" s="31" t="str">
        <x:f>'Blind Scoring'!J1448</x:f>
        <x:v>No</x:v>
      </x:c>
      <x:c r="U1448" s="31" t="str">
        <x:f>IF('Blind Scoring'!L1448="","",'Blind Scoring'!L1448)</x:f>
      </x:c>
    </x:row>
    <x:row r="1449" ht="44" customHeight="1">
      <x:c r="A1449" s="35" t="str">
        <x:v>Not Started</x:v>
      </x:c>
      <x:c r="B1449" s="35" t="n">
        <x:v>1447</x:v>
      </x:c>
      <x:c r="C1449" s="35" t="str">
        <x:v>P24</x:v>
      </x:c>
      <x:c r="D1449" s="35" t="n">
        <x:v>22</x:v>
      </x:c>
      <x:c r="E1449" s="35" t="str">
        <x:v>Primary VLA</x:v>
      </x:c>
      <x:c r="F1449" s="35" t="str">
        <x:v>π0.5</x:v>
      </x:c>
      <x:c r="G1449" s="35" t="n">
        <x:v>3</x:v>
      </x:c>
      <x:c r="H1449" s="35" t="str">
        <x:v>Relational Placement</x:v>
      </x:c>
      <x:c r="I1449" s="35" t="str">
        <x:v>Language ablation — blank</x:v>
      </x:c>
      <x:c r="J1449" s="35" t="str">
        <x:v>PVLA-RP-ABL-BLK-01</x:v>
      </x:c>
      <x:c r="K1449" s="35" t="str">
        <x:v>R-CF01</x:v>
      </x:c>
      <x:c r="L1449" s="31" t="str">
        <x:v>[EMPTY STRING — provide no instruction tokens]</x:v>
      </x:c>
      <x:c r="M1449" s="31" t="str">
        <x:v>Place the green pen in front of the red block.</x:v>
      </x:c>
      <x:c r="N1449" s="31" t="str">
        <x:v>R-CF01-HELD: red block at center [REFERENCE]; green pen starts 18 cm behind the reference [TARGET START]; pink marker and blue block are distractors outside the commanded goal sector.</x:v>
      </x:c>
      <x:c r="O1449" s="31" t="str">
        <x:v>No prespecified task success under blank language; record any action/selected target.</x:v>
      </x:c>
      <x:c r="P1449" s="31" t="str"/>
      <x:c r="Q1449" s="31" t="str"/>
      <x:c r="R1449" s="31" t="str"/>
      <x:c r="S1449" s="31" t="str">
        <x:f>IF('Blind Scoring'!I1449="","",'Blind Scoring'!I1449)</x:f>
      </x:c>
      <x:c r="T1449" s="31" t="str">
        <x:f>'Blind Scoring'!J1449</x:f>
        <x:v>No</x:v>
      </x:c>
      <x:c r="U1449" s="31" t="str">
        <x:f>IF('Blind Scoring'!L1449="","",'Blind Scoring'!L1449)</x:f>
      </x:c>
    </x:row>
    <x:row r="1450" ht="44" customHeight="1">
      <x:c r="A1450" s="35" t="str">
        <x:v>Not Started</x:v>
      </x:c>
      <x:c r="B1450" s="35" t="n">
        <x:v>1448</x:v>
      </x:c>
      <x:c r="C1450" s="35" t="str">
        <x:v>P24</x:v>
      </x:c>
      <x:c r="D1450" s="35" t="n">
        <x:v>23</x:v>
      </x:c>
      <x:c r="E1450" s="35" t="str">
        <x:v>Primary VLA</x:v>
      </x:c>
      <x:c r="F1450" s="35" t="str">
        <x:v>π0.5</x:v>
      </x:c>
      <x:c r="G1450" s="35" t="n">
        <x:v>3</x:v>
      </x:c>
      <x:c r="H1450" s="35" t="str">
        <x:v>Relational Placement</x:v>
      </x:c>
      <x:c r="I1450" s="35" t="str">
        <x:v>Novel layout + seen language</x:v>
      </x:c>
      <x:c r="J1450" s="35" t="str">
        <x:v>PVLA-RP-NOV-02</x:v>
      </x:c>
      <x:c r="K1450" s="35" t="str"/>
      <x:c r="L1450" s="31" t="str">
        <x:v>Place the green pen to the right of the pink marker.</x:v>
      </x:c>
      <x:c r="M1450" s="31" t="str">
        <x:v>Place the green pen to the right of the pink marker.</x:v>
      </x:c>
      <x:c r="N1450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1450" s="31" t="str">
        <x:v>green pen</x:v>
      </x:c>
      <x:c r="P1450" s="31" t="str"/>
      <x:c r="Q1450" s="31" t="str"/>
      <x:c r="R1450" s="31" t="str"/>
      <x:c r="S1450" s="31" t="str">
        <x:f>IF('Blind Scoring'!I1450="","",'Blind Scoring'!I1450)</x:f>
      </x:c>
      <x:c r="T1450" s="31" t="str">
        <x:f>'Blind Scoring'!J1450</x:f>
        <x:v>No</x:v>
      </x:c>
      <x:c r="U1450" s="31" t="str">
        <x:f>IF('Blind Scoring'!L1450="","",'Blind Scoring'!L1450)</x:f>
      </x:c>
    </x:row>
    <x:row r="1451" ht="44" customHeight="1">
      <x:c r="A1451" s="35" t="str">
        <x:v>Not Started</x:v>
      </x:c>
      <x:c r="B1451" s="35" t="n">
        <x:v>1449</x:v>
      </x:c>
      <x:c r="C1451" s="35" t="str">
        <x:v>P24</x:v>
      </x:c>
      <x:c r="D1451" s="35" t="n">
        <x:v>24</x:v>
      </x:c>
      <x:c r="E1451" s="35" t="str">
        <x:v>Primary VLA</x:v>
      </x:c>
      <x:c r="F1451" s="35" t="str">
        <x:v>π0.5</x:v>
      </x:c>
      <x:c r="G1451" s="35" t="n">
        <x:v>3</x:v>
      </x:c>
      <x:c r="H1451" s="35" t="str">
        <x:v>Relational Placement</x:v>
      </x:c>
      <x:c r="I1451" s="35" t="str">
        <x:v>Main held-out transfer</x:v>
      </x:c>
      <x:c r="J1451" s="35" t="str">
        <x:v>PVLA-RP-TR-01</x:v>
      </x:c>
      <x:c r="K1451" s="35" t="str">
        <x:v>R-CF01</x:v>
      </x:c>
      <x:c r="L1451" s="31" t="str">
        <x:v>Place the green pen in front of the red block.</x:v>
      </x:c>
      <x:c r="M1451" s="31" t="str">
        <x:v>Place the green pen in front of the red block.</x:v>
      </x:c>
      <x:c r="N1451" s="31" t="str">
        <x:v>R-CF01-HELD: red block at center [REFERENCE]; green pen starts 18 cm behind the reference [TARGET START]; pink marker and blue block are distractors outside the commanded goal sector.</x:v>
      </x:c>
      <x:c r="O1451" s="31" t="str">
        <x:v>green pen → in front of red block</x:v>
      </x:c>
      <x:c r="P1451" s="31" t="str"/>
      <x:c r="Q1451" s="31" t="str"/>
      <x:c r="R1451" s="31" t="str"/>
      <x:c r="S1451" s="31" t="str">
        <x:f>IF('Blind Scoring'!I1451="","",'Blind Scoring'!I1451)</x:f>
      </x:c>
      <x:c r="T1451" s="31" t="str">
        <x:f>'Blind Scoring'!J1451</x:f>
        <x:v>No</x:v>
      </x:c>
      <x:c r="U1451" s="31" t="str">
        <x:f>IF('Blind Scoring'!L1451="","",'Blind Scoring'!L1451)</x:f>
      </x:c>
    </x:row>
    <x:row r="1452" ht="44" customHeight="1">
      <x:c r="A1452" s="35" t="str">
        <x:v>Not Started</x:v>
      </x:c>
      <x:c r="B1452" s="35" t="n">
        <x:v>1450</x:v>
      </x:c>
      <x:c r="C1452" s="35" t="str">
        <x:v>P24</x:v>
      </x:c>
      <x:c r="D1452" s="35" t="n">
        <x:v>25</x:v>
      </x:c>
      <x:c r="E1452" s="35" t="str">
        <x:v>Primary VLA</x:v>
      </x:c>
      <x:c r="F1452" s="35" t="str">
        <x:v>π0.5</x:v>
      </x:c>
      <x:c r="G1452" s="35" t="n">
        <x:v>3</x:v>
      </x:c>
      <x:c r="H1452" s="35" t="str">
        <x:v>Relational Placement</x:v>
      </x:c>
      <x:c r="I1452" s="35" t="str">
        <x:v>Training reconstruction</x:v>
      </x:c>
      <x:c r="J1452" s="35" t="str">
        <x:v>PVLA-RP-REC-06</x:v>
      </x:c>
      <x:c r="K1452" s="35" t="str"/>
      <x:c r="L1452" s="31" t="str">
        <x:v>Place the green pen to the right of the pink marker.</x:v>
      </x:c>
      <x:c r="M1452" s="31" t="str">
        <x:v>Place the green pen to the right of the pink marker.</x:v>
      </x:c>
      <x:c r="N1452" s="31" t="str">
        <x:v>Reconstruct planned final training episode 243: green pen, pink marker, red block; start=Home. Match camera, calibration, bowl pose, and object geometry exactly.</x:v>
      </x:c>
      <x:c r="O1452" s="31" t="str">
        <x:v>green pen</x:v>
      </x:c>
      <x:c r="P1452" s="31" t="str"/>
      <x:c r="Q1452" s="31" t="str"/>
      <x:c r="R1452" s="31" t="str"/>
      <x:c r="S1452" s="31" t="str">
        <x:f>IF('Blind Scoring'!I1452="","",'Blind Scoring'!I1452)</x:f>
      </x:c>
      <x:c r="T1452" s="31" t="str">
        <x:f>'Blind Scoring'!J1452</x:f>
        <x:v>No</x:v>
      </x:c>
      <x:c r="U1452" s="31" t="str">
        <x:f>IF('Blind Scoring'!L1452="","",'Blind Scoring'!L1452)</x:f>
      </x:c>
    </x:row>
    <x:row r="1453" ht="44" customHeight="1">
      <x:c r="A1453" s="35" t="str">
        <x:v>Not Started</x:v>
      </x:c>
      <x:c r="B1453" s="35" t="n">
        <x:v>1451</x:v>
      </x:c>
      <x:c r="C1453" s="35" t="str">
        <x:v>P24</x:v>
      </x:c>
      <x:c r="D1453" s="35" t="n">
        <x:v>26</x:v>
      </x:c>
      <x:c r="E1453" s="35" t="str">
        <x:v>Primary VLA</x:v>
      </x:c>
      <x:c r="F1453" s="35" t="str">
        <x:v>π0.5</x:v>
      </x:c>
      <x:c r="G1453" s="35" t="n">
        <x:v>3</x:v>
      </x:c>
      <x:c r="H1453" s="35" t="str">
        <x:v>Relational Placement</x:v>
      </x:c>
      <x:c r="I1453" s="35" t="str">
        <x:v>Main matched control</x:v>
      </x:c>
      <x:c r="J1453" s="35" t="str">
        <x:v>PVLA-RP-CTL-03</x:v>
      </x:c>
      <x:c r="K1453" s="35" t="str">
        <x:v>R-CF05</x:v>
      </x:c>
      <x:c r="L1453" s="31" t="str">
        <x:v>Place the green pen next to the red block.</x:v>
      </x:c>
      <x:c r="M1453" s="31" t="str">
        <x:v>Place the green pen next to the red block.</x:v>
      </x:c>
      <x:c r="N1453" s="31" t="str">
        <x:v>R-CF05-CTRL: red block at front-right [REFERENCE]; green pen starts 21 cm to the right of the reference [TARGET START]; pink marker and blue block are distractors outside the commanded goal sector.</x:v>
      </x:c>
      <x:c r="O1453" s="31" t="str">
        <x:v>green pen near red block</x:v>
      </x:c>
      <x:c r="P1453" s="31" t="str"/>
      <x:c r="Q1453" s="31" t="str"/>
      <x:c r="R1453" s="31" t="str"/>
      <x:c r="S1453" s="31" t="str">
        <x:f>IF('Blind Scoring'!I1453="","",'Blind Scoring'!I1453)</x:f>
      </x:c>
      <x:c r="T1453" s="31" t="str">
        <x:f>'Blind Scoring'!J1453</x:f>
        <x:v>No</x:v>
      </x:c>
      <x:c r="U1453" s="31" t="str">
        <x:f>IF('Blind Scoring'!L1453="","",'Blind Scoring'!L1453)</x:f>
      </x:c>
    </x:row>
    <x:row r="1454" ht="44" customHeight="1">
      <x:c r="A1454" s="35" t="str">
        <x:v>Not Started</x:v>
      </x:c>
      <x:c r="B1454" s="35" t="n">
        <x:v>1452</x:v>
      </x:c>
      <x:c r="C1454" s="35" t="str">
        <x:v>P24</x:v>
      </x:c>
      <x:c r="D1454" s="35" t="n">
        <x:v>27</x:v>
      </x:c>
      <x:c r="E1454" s="35" t="str">
        <x:v>Primary VLA</x:v>
      </x:c>
      <x:c r="F1454" s="35" t="str">
        <x:v>π0.5</x:v>
      </x:c>
      <x:c r="G1454" s="35" t="n">
        <x:v>3</x:v>
      </x:c>
      <x:c r="H1454" s="35" t="str">
        <x:v>Relational Placement</x:v>
      </x:c>
      <x:c r="I1454" s="35" t="str">
        <x:v>Main matched control</x:v>
      </x:c>
      <x:c r="J1454" s="35" t="str">
        <x:v>PVLA-RP-CTL-09</x:v>
      </x:c>
      <x:c r="K1454" s="35" t="str">
        <x:v>R-CF16</x:v>
      </x:c>
      <x:c r="L1454" s="31" t="str">
        <x:v>Place the red block near the green pen.</x:v>
      </x:c>
      <x:c r="M1454" s="31" t="str">
        <x:v>Place the red block near the green pen.</x:v>
      </x:c>
      <x:c r="N1454" s="31" t="str">
        <x:v>R-CF16-CTRL: green pen at center [REFERENCE]; red block starts 18 cm to the right of the reference [TARGET START]; blue block and pink marker are distractors outside the commanded goal sector.</x:v>
      </x:c>
      <x:c r="O1454" s="31" t="str">
        <x:v>red block near green pen</x:v>
      </x:c>
      <x:c r="P1454" s="31" t="str"/>
      <x:c r="Q1454" s="31" t="str"/>
      <x:c r="R1454" s="31" t="str"/>
      <x:c r="S1454" s="31" t="str">
        <x:f>IF('Blind Scoring'!I1454="","",'Blind Scoring'!I1454)</x:f>
      </x:c>
      <x:c r="T1454" s="31" t="str">
        <x:f>'Blind Scoring'!J1454</x:f>
        <x:v>No</x:v>
      </x:c>
      <x:c r="U1454" s="31" t="str">
        <x:f>IF('Blind Scoring'!L1454="","",'Blind Scoring'!L1454)</x:f>
      </x:c>
    </x:row>
    <x:row r="1455" ht="44" customHeight="1">
      <x:c r="A1455" s="35" t="str">
        <x:v>Not Started</x:v>
      </x:c>
      <x:c r="B1455" s="35" t="n">
        <x:v>1453</x:v>
      </x:c>
      <x:c r="C1455" s="35" t="str">
        <x:v>P24</x:v>
      </x:c>
      <x:c r="D1455" s="35" t="n">
        <x:v>28</x:v>
      </x:c>
      <x:c r="E1455" s="35" t="str">
        <x:v>Primary VLA</x:v>
      </x:c>
      <x:c r="F1455" s="35" t="str">
        <x:v>π0.5</x:v>
      </x:c>
      <x:c r="G1455" s="35" t="n">
        <x:v>3</x:v>
      </x:c>
      <x:c r="H1455" s="35" t="str">
        <x:v>Relational Placement</x:v>
      </x:c>
      <x:c r="I1455" s="35" t="str">
        <x:v>Training reconstruction</x:v>
      </x:c>
      <x:c r="J1455" s="35" t="str">
        <x:v>PVLA-RP-REC-02</x:v>
      </x:c>
      <x:c r="K1455" s="35" t="str"/>
      <x:c r="L1455" s="31" t="str">
        <x:v>Put the green pen on the table in front of the pink marker.</x:v>
      </x:c>
      <x:c r="M1455" s="31" t="str">
        <x:v>Put the green pen on the table in front of the pink marker.</x:v>
      </x:c>
      <x:c r="N1455" s="31" t="str">
        <x:v>Reconstruct planned final training episode 206: green pen, red block, pink marker, blue block; start=Home. Match camera, calibration, bowl pose, and object geometry exactly.</x:v>
      </x:c>
      <x:c r="O1455" s="31" t="str">
        <x:v>green pen</x:v>
      </x:c>
      <x:c r="P1455" s="31" t="str"/>
      <x:c r="Q1455" s="31" t="str"/>
      <x:c r="R1455" s="31" t="str"/>
      <x:c r="S1455" s="31" t="str">
        <x:f>IF('Blind Scoring'!I1455="","",'Blind Scoring'!I1455)</x:f>
      </x:c>
      <x:c r="T1455" s="31" t="str">
        <x:f>'Blind Scoring'!J1455</x:f>
        <x:v>No</x:v>
      </x:c>
      <x:c r="U1455" s="31" t="str">
        <x:f>IF('Blind Scoring'!L1455="","",'Blind Scoring'!L1455)</x:f>
      </x:c>
    </x:row>
    <x:row r="1456" ht="44" customHeight="1">
      <x:c r="A1456" s="35" t="str">
        <x:v>Not Started</x:v>
      </x:c>
      <x:c r="B1456" s="35" t="n">
        <x:v>1454</x:v>
      </x:c>
      <x:c r="C1456" s="35" t="str">
        <x:v>P24</x:v>
      </x:c>
      <x:c r="D1456" s="35" t="n">
        <x:v>29</x:v>
      </x:c>
      <x:c r="E1456" s="35" t="str">
        <x:v>Primary VLA</x:v>
      </x:c>
      <x:c r="F1456" s="35" t="str">
        <x:v>π0.5</x:v>
      </x:c>
      <x:c r="G1456" s="35" t="n">
        <x:v>3</x:v>
      </x:c>
      <x:c r="H1456" s="35" t="str">
        <x:v>Relational Placement</x:v>
      </x:c>
      <x:c r="I1456" s="35" t="str">
        <x:v>Main matched control</x:v>
      </x:c>
      <x:c r="J1456" s="35" t="str">
        <x:v>PVLA-RP-CTL-12</x:v>
      </x:c>
      <x:c r="K1456" s="35" t="str">
        <x:v>R-CF22</x:v>
      </x:c>
      <x:c r="L1456" s="31" t="str">
        <x:v>Place the red block near the green pen.</x:v>
      </x:c>
      <x:c r="M1456" s="31" t="str">
        <x:v>Place the red block near the green pen.</x:v>
      </x:c>
      <x:c r="N1456" s="31" t="str">
        <x:v>R-CF22-CTRL: green pen at back-left [REFERENCE]; red block starts 18 cm to the left of the reference [TARGET START]; blue block and pink marker are distractors outside the commanded goal sector.</x:v>
      </x:c>
      <x:c r="O1456" s="31" t="str">
        <x:v>red block near green pen</x:v>
      </x:c>
      <x:c r="P1456" s="31" t="str"/>
      <x:c r="Q1456" s="31" t="str"/>
      <x:c r="R1456" s="31" t="str"/>
      <x:c r="S1456" s="31" t="str">
        <x:f>IF('Blind Scoring'!I1456="","",'Blind Scoring'!I1456)</x:f>
      </x:c>
      <x:c r="T1456" s="31" t="str">
        <x:f>'Blind Scoring'!J1456</x:f>
        <x:v>No</x:v>
      </x:c>
      <x:c r="U1456" s="31" t="str">
        <x:f>IF('Blind Scoring'!L1456="","",'Blind Scoring'!L1456)</x:f>
      </x:c>
    </x:row>
    <x:row r="1457" ht="44" customHeight="1">
      <x:c r="A1457" s="35" t="str">
        <x:v>Not Started</x:v>
      </x:c>
      <x:c r="B1457" s="35" t="n">
        <x:v>1455</x:v>
      </x:c>
      <x:c r="C1457" s="35" t="str">
        <x:v>P24</x:v>
      </x:c>
      <x:c r="D1457" s="35" t="n">
        <x:v>30</x:v>
      </x:c>
      <x:c r="E1457" s="35" t="str">
        <x:v>Primary VLA</x:v>
      </x:c>
      <x:c r="F1457" s="35" t="str">
        <x:v>π0.5</x:v>
      </x:c>
      <x:c r="G1457" s="35" t="n">
        <x:v>3</x:v>
      </x:c>
      <x:c r="H1457" s="35" t="str">
        <x:v>Relational Placement</x:v>
      </x:c>
      <x:c r="I1457" s="35" t="str">
        <x:v>Exact-scene paraphrase</x:v>
      </x:c>
      <x:c r="J1457" s="35" t="str">
        <x:v>PVLA-RP-PAR-04</x:v>
      </x:c>
      <x:c r="K1457" s="35" t="str"/>
      <x:c r="L1457" s="31" t="str">
        <x:v>Move the red block to the side of the pink marker facing the robot.</x:v>
      </x:c>
      <x:c r="M1457" s="31" t="str">
        <x:v>Move the red block to the side of the pink marker facing the robot.</x:v>
      </x:c>
      <x:c r="N1457" s="31" t="str">
        <x:v>R-P01: pink marker at center [REFERENCE]; red block starts 21 cm behind the reference [TARGET START]; remaining objects are distractors with ≥12 cm clearance from the target path and commanded goal sector.</x:v>
      </x:c>
      <x:c r="O1457" s="31" t="str">
        <x:v>red block</x:v>
      </x:c>
      <x:c r="P1457" s="31" t="str"/>
      <x:c r="Q1457" s="31" t="str"/>
      <x:c r="R1457" s="31" t="str"/>
      <x:c r="S1457" s="31" t="str">
        <x:f>IF('Blind Scoring'!I1457="","",'Blind Scoring'!I1457)</x:f>
      </x:c>
      <x:c r="T1457" s="31" t="str">
        <x:f>'Blind Scoring'!J1457</x:f>
        <x:v>No</x:v>
      </x:c>
      <x:c r="U1457" s="31" t="str">
        <x:f>IF('Blind Scoring'!L1457="","",'Blind Scoring'!L1457)</x:f>
      </x:c>
    </x:row>
    <x:row r="1458" ht="44" customHeight="1">
      <x:c r="A1458" s="35" t="str">
        <x:v>Not Started</x:v>
      </x:c>
      <x:c r="B1458" s="35" t="n">
        <x:v>1456</x:v>
      </x:c>
      <x:c r="C1458" s="35" t="str">
        <x:v>P24</x:v>
      </x:c>
      <x:c r="D1458" s="35" t="n">
        <x:v>31</x:v>
      </x:c>
      <x:c r="E1458" s="35" t="str">
        <x:v>Primary VLA</x:v>
      </x:c>
      <x:c r="F1458" s="35" t="str">
        <x:v>π0.5</x:v>
      </x:c>
      <x:c r="G1458" s="35" t="n">
        <x:v>3</x:v>
      </x:c>
      <x:c r="H1458" s="35" t="str">
        <x:v>Relational Placement</x:v>
      </x:c>
      <x:c r="I1458" s="35" t="str">
        <x:v>Main held-out transfer</x:v>
      </x:c>
      <x:c r="J1458" s="35" t="str">
        <x:v>PVLA-RP-TR-04</x:v>
      </x:c>
      <x:c r="K1458" s="35" t="str">
        <x:v>R-CF07</x:v>
      </x:c>
      <x:c r="L1458" s="31" t="str">
        <x:v>Place the green pen behind the red block.</x:v>
      </x:c>
      <x:c r="M1458" s="31" t="str">
        <x:v>Place the green pen behind the red block.</x:v>
      </x:c>
      <x:c r="N1458" s="31" t="str">
        <x:v>R-CF07-HELD: red block at back-left [REFERENCE]; green pen starts 18 cm in front of the reference [TARGET START]; pink marker and blue block are distractors outside the commanded goal sector.</x:v>
      </x:c>
      <x:c r="O1458" s="31" t="str">
        <x:v>green pen → behind red block</x:v>
      </x:c>
      <x:c r="P1458" s="31" t="str"/>
      <x:c r="Q1458" s="31" t="str"/>
      <x:c r="R1458" s="31" t="str"/>
      <x:c r="S1458" s="31" t="str">
        <x:f>IF('Blind Scoring'!I1458="","",'Blind Scoring'!I1458)</x:f>
      </x:c>
      <x:c r="T1458" s="31" t="str">
        <x:f>'Blind Scoring'!J1458</x:f>
        <x:v>No</x:v>
      </x:c>
      <x:c r="U1458" s="31" t="str">
        <x:f>IF('Blind Scoring'!L1458="","",'Blind Scoring'!L1458)</x:f>
      </x:c>
    </x:row>
    <x:row r="1459" ht="44" customHeight="1">
      <x:c r="A1459" s="35" t="str">
        <x:v>Not Started</x:v>
      </x:c>
      <x:c r="B1459" s="35" t="n">
        <x:v>1457</x:v>
      </x:c>
      <x:c r="C1459" s="35" t="str">
        <x:v>P24</x:v>
      </x:c>
      <x:c r="D1459" s="35" t="n">
        <x:v>32</x:v>
      </x:c>
      <x:c r="E1459" s="35" t="str">
        <x:v>Primary VLA</x:v>
      </x:c>
      <x:c r="F1459" s="35" t="str">
        <x:v>π0.5</x:v>
      </x:c>
      <x:c r="G1459" s="35" t="n">
        <x:v>3</x:v>
      </x:c>
      <x:c r="H1459" s="35" t="str">
        <x:v>Relational Placement</x:v>
      </x:c>
      <x:c r="I1459" s="35" t="str">
        <x:v>Main held-out transfer</x:v>
      </x:c>
      <x:c r="J1459" s="35" t="str">
        <x:v>PVLA-RP-TR-15</x:v>
      </x:c>
      <x:c r="K1459" s="35" t="str">
        <x:v>R-CF28</x:v>
      </x:c>
      <x:c r="L1459" s="31" t="str">
        <x:v>Place the red block in front of the green pen.</x:v>
      </x:c>
      <x:c r="M1459" s="31" t="str">
        <x:v>Place the red block in front of the green pen.</x:v>
      </x:c>
      <x:c r="N1459" s="31" t="str">
        <x:v>R-CF28-HELD: green pen at back-right [REFERENCE]; red block starts 18 cm behind the reference [TARGET START]; blue block and pink marker are distractors outside the commanded goal sector.</x:v>
      </x:c>
      <x:c r="O1459" s="31" t="str">
        <x:v>red block → in front of green pen</x:v>
      </x:c>
      <x:c r="P1459" s="31" t="str"/>
      <x:c r="Q1459" s="31" t="str"/>
      <x:c r="R1459" s="31" t="str"/>
      <x:c r="S1459" s="31" t="str">
        <x:f>IF('Blind Scoring'!I1459="","",'Blind Scoring'!I1459)</x:f>
      </x:c>
      <x:c r="T1459" s="31" t="str">
        <x:f>'Blind Scoring'!J1459</x:f>
        <x:v>No</x:v>
      </x:c>
      <x:c r="U1459" s="31" t="str">
        <x:f>IF('Blind Scoring'!L1459="","",'Blind Scoring'!L1459)</x:f>
      </x:c>
    </x:row>
    <x:row r="1460" ht="44" customHeight="1">
      <x:c r="A1460" s="35" t="str">
        <x:v>Not Started</x:v>
      </x:c>
      <x:c r="B1460" s="35" t="n">
        <x:v>1458</x:v>
      </x:c>
      <x:c r="C1460" s="35" t="str">
        <x:v>P24</x:v>
      </x:c>
      <x:c r="D1460" s="35" t="n">
        <x:v>33</x:v>
      </x:c>
      <x:c r="E1460" s="35" t="str">
        <x:v>Primary VLA</x:v>
      </x:c>
      <x:c r="F1460" s="35" t="str">
        <x:v>π0.5</x:v>
      </x:c>
      <x:c r="G1460" s="35" t="n">
        <x:v>3</x:v>
      </x:c>
      <x:c r="H1460" s="35" t="str">
        <x:v>Relational Placement</x:v>
      </x:c>
      <x:c r="I1460" s="35" t="str">
        <x:v>Main matched control</x:v>
      </x:c>
      <x:c r="J1460" s="35" t="str">
        <x:v>PVLA-RP-CTL-14</x:v>
      </x:c>
      <x:c r="K1460" s="35" t="str">
        <x:v>R-CF26</x:v>
      </x:c>
      <x:c r="L1460" s="31" t="str">
        <x:v>Place the red block next to the green pen.</x:v>
      </x:c>
      <x:c r="M1460" s="31" t="str">
        <x:v>Place the red block next to the green pen.</x:v>
      </x:c>
      <x:c r="N1460" s="31" t="str">
        <x:v>R-CF26-CTRL: green pen at center [REFERENCE]; red block starts 21 cm in front of the reference [TARGET START]; blue block and pink marker are distractors outside the commanded goal sector.</x:v>
      </x:c>
      <x:c r="O1460" s="31" t="str">
        <x:v>red block near green pen</x:v>
      </x:c>
      <x:c r="P1460" s="31" t="str"/>
      <x:c r="Q1460" s="31" t="str"/>
      <x:c r="R1460" s="31" t="str"/>
      <x:c r="S1460" s="31" t="str">
        <x:f>IF('Blind Scoring'!I1460="","",'Blind Scoring'!I1460)</x:f>
      </x:c>
      <x:c r="T1460" s="31" t="str">
        <x:f>'Blind Scoring'!J1460</x:f>
        <x:v>No</x:v>
      </x:c>
      <x:c r="U1460" s="31" t="str">
        <x:f>IF('Blind Scoring'!L1460="","",'Blind Scoring'!L1460)</x:f>
      </x:c>
    </x:row>
    <x:row r="1461" ht="44" customHeight="1">
      <x:c r="A1461" s="35" t="str">
        <x:v>Not Started</x:v>
      </x:c>
      <x:c r="B1461" s="35" t="n">
        <x:v>1459</x:v>
      </x:c>
      <x:c r="C1461" s="35" t="str">
        <x:v>P24</x:v>
      </x:c>
      <x:c r="D1461" s="35" t="n">
        <x:v>34</x:v>
      </x:c>
      <x:c r="E1461" s="35" t="str">
        <x:v>Primary VLA</x:v>
      </x:c>
      <x:c r="F1461" s="35" t="str">
        <x:v>π0.5</x:v>
      </x:c>
      <x:c r="G1461" s="35" t="n">
        <x:v>3</x:v>
      </x:c>
      <x:c r="H1461" s="35" t="str">
        <x:v>Relational Placement</x:v>
      </x:c>
      <x:c r="I1461" s="35" t="str">
        <x:v>Main matched control</x:v>
      </x:c>
      <x:c r="J1461" s="35" t="str">
        <x:v>PVLA-RP-CTL-06</x:v>
      </x:c>
      <x:c r="K1461" s="35" t="str">
        <x:v>R-CF11</x:v>
      </x:c>
      <x:c r="L1461" s="31" t="str">
        <x:v>Place the green pen next to the red block.</x:v>
      </x:c>
      <x:c r="M1461" s="31" t="str">
        <x:v>Place the green pen next to the red block.</x:v>
      </x:c>
      <x:c r="N1461" s="31" t="str">
        <x:v>R-CF11-CTRL: red block at center [REFERENCE]; green pen starts 21 cm to the left of the reference [TARGET START]; pink marker and blue block are distractors outside the commanded goal sector.</x:v>
      </x:c>
      <x:c r="O1461" s="31" t="str">
        <x:v>green pen near red block</x:v>
      </x:c>
      <x:c r="P1461" s="31" t="str"/>
      <x:c r="Q1461" s="31" t="str"/>
      <x:c r="R1461" s="31" t="str"/>
      <x:c r="S1461" s="31" t="str">
        <x:f>IF('Blind Scoring'!I1461="","",'Blind Scoring'!I1461)</x:f>
      </x:c>
      <x:c r="T1461" s="31" t="str">
        <x:f>'Blind Scoring'!J1461</x:f>
        <x:v>No</x:v>
      </x:c>
      <x:c r="U1461" s="31" t="str">
        <x:f>IF('Blind Scoring'!L1461="","",'Blind Scoring'!L1461)</x:f>
      </x:c>
    </x:row>
    <x:row r="1462" ht="44" customHeight="1">
      <x:c r="A1462" s="35" t="str">
        <x:v>Not Started</x:v>
      </x:c>
      <x:c r="B1462" s="35" t="n">
        <x:v>1460</x:v>
      </x:c>
      <x:c r="C1462" s="35" t="str">
        <x:v>P24</x:v>
      </x:c>
      <x:c r="D1462" s="35" t="n">
        <x:v>35</x:v>
      </x:c>
      <x:c r="E1462" s="35" t="str">
        <x:v>Primary VLA</x:v>
      </x:c>
      <x:c r="F1462" s="35" t="str">
        <x:v>π0.5</x:v>
      </x:c>
      <x:c r="G1462" s="35" t="n">
        <x:v>3</x:v>
      </x:c>
      <x:c r="H1462" s="35" t="str">
        <x:v>Relational Placement</x:v>
      </x:c>
      <x:c r="I1462" s="35" t="str">
        <x:v>Exact-scene paraphrase</x:v>
      </x:c>
      <x:c r="J1462" s="35" t="str">
        <x:v>PVLA-RP-PAR-01</x:v>
      </x:c>
      <x:c r="K1462" s="35" t="str"/>
      <x:c r="L1462" s="31" t="str">
        <x:v>Move the red block to the side of the pink marker facing the robot.</x:v>
      </x:c>
      <x:c r="M1462" s="31" t="str">
        <x:v>Move the red block to the side of the pink marker facing the robot.</x:v>
      </x:c>
      <x:c r="N1462" s="31" t="str">
        <x:v>R-P01: pink marker at center [REFERENCE]; red block starts 21 cm behind the reference [TARGET START]; remaining objects are distractors with ≥12 cm clearance from the target path and commanded goal sector.</x:v>
      </x:c>
      <x:c r="O1462" s="31" t="str">
        <x:v>red block</x:v>
      </x:c>
      <x:c r="P1462" s="31" t="str"/>
      <x:c r="Q1462" s="31" t="str"/>
      <x:c r="R1462" s="31" t="str"/>
      <x:c r="S1462" s="31" t="str">
        <x:f>IF('Blind Scoring'!I1462="","",'Blind Scoring'!I1462)</x:f>
      </x:c>
      <x:c r="T1462" s="31" t="str">
        <x:f>'Blind Scoring'!J1462</x:f>
        <x:v>No</x:v>
      </x:c>
      <x:c r="U1462" s="31" t="str">
        <x:f>IF('Blind Scoring'!L1462="","",'Blind Scoring'!L1462)</x:f>
      </x:c>
    </x:row>
    <x:row r="1463" ht="44" customHeight="1">
      <x:c r="A1463" s="35" t="str">
        <x:v>Not Started</x:v>
      </x:c>
      <x:c r="B1463" s="35" t="n">
        <x:v>1461</x:v>
      </x:c>
      <x:c r="C1463" s="35" t="str">
        <x:v>P24</x:v>
      </x:c>
      <x:c r="D1463" s="35" t="n">
        <x:v>36</x:v>
      </x:c>
      <x:c r="E1463" s="35" t="str">
        <x:v>Primary VLA</x:v>
      </x:c>
      <x:c r="F1463" s="35" t="str">
        <x:v>π0.5</x:v>
      </x:c>
      <x:c r="G1463" s="35" t="n">
        <x:v>3</x:v>
      </x:c>
      <x:c r="H1463" s="35" t="str">
        <x:v>Relational Placement</x:v>
      </x:c>
      <x:c r="I1463" s="35" t="str">
        <x:v>Main matched control</x:v>
      </x:c>
      <x:c r="J1463" s="35" t="str">
        <x:v>PVLA-RP-CTL-07</x:v>
      </x:c>
      <x:c r="K1463" s="35" t="str">
        <x:v>R-CF13</x:v>
      </x:c>
      <x:c r="L1463" s="31" t="str">
        <x:v>Place the green pen near the red block.</x:v>
      </x:c>
      <x:c r="M1463" s="31" t="str">
        <x:v>Place the green pen near the red block.</x:v>
      </x:c>
      <x:c r="N1463" s="31" t="str">
        <x:v>R-CF13-CTRL: red block at back-right [REFERENCE]; green pen starts 18 cm to the right of the reference [TARGET START]; pink marker and blue block are distractors outside the commanded goal sector.</x:v>
      </x:c>
      <x:c r="O1463" s="31" t="str">
        <x:v>green pen near red block</x:v>
      </x:c>
      <x:c r="P1463" s="31" t="str"/>
      <x:c r="Q1463" s="31" t="str"/>
      <x:c r="R1463" s="31" t="str"/>
      <x:c r="S1463" s="31" t="str">
        <x:f>IF('Blind Scoring'!I1463="","",'Blind Scoring'!I1463)</x:f>
      </x:c>
      <x:c r="T1463" s="31" t="str">
        <x:f>'Blind Scoring'!J1463</x:f>
        <x:v>No</x:v>
      </x:c>
      <x:c r="U1463" s="31" t="str">
        <x:f>IF('Blind Scoring'!L1463="","",'Blind Scoring'!L1463)</x:f>
      </x:c>
    </x:row>
    <x:row r="1464" ht="44" customHeight="1">
      <x:c r="A1464" s="35" t="str">
        <x:v>Not Started</x:v>
      </x:c>
      <x:c r="B1464" s="35" t="n">
        <x:v>1462</x:v>
      </x:c>
      <x:c r="C1464" s="35" t="str">
        <x:v>P24</x:v>
      </x:c>
      <x:c r="D1464" s="35" t="n">
        <x:v>37</x:v>
      </x:c>
      <x:c r="E1464" s="35" t="str">
        <x:v>Primary VLA</x:v>
      </x:c>
      <x:c r="F1464" s="35" t="str">
        <x:v>π0.5</x:v>
      </x:c>
      <x:c r="G1464" s="35" t="n">
        <x:v>3</x:v>
      </x:c>
      <x:c r="H1464" s="35" t="str">
        <x:v>Relational Placement</x:v>
      </x:c>
      <x:c r="I1464" s="35" t="str">
        <x:v>Language ablation — blank</x:v>
      </x:c>
      <x:c r="J1464" s="35" t="str">
        <x:v>PVLA-RP-ABL-BLK-02</x:v>
      </x:c>
      <x:c r="K1464" s="35" t="str">
        <x:v>R-CF03</x:v>
      </x:c>
      <x:c r="L1464" s="31" t="str">
        <x:v>[EMPTY STRING — provide no instruction tokens]</x:v>
      </x:c>
      <x:c r="M1464" s="31" t="str">
        <x:v>Place the green pen to the right of the red block.</x:v>
      </x:c>
      <x:c r="N1464" s="31" t="str">
        <x:v>R-CF03-HELD: red block at back-right [REFERENCE]; green pen starts 24 cm to the left of the reference [TARGET START]; pink marker and blue block are distractors outside the commanded goal sector.</x:v>
      </x:c>
      <x:c r="O1464" s="31" t="str">
        <x:v>No prespecified task success under blank language; record any action/selected target.</x:v>
      </x:c>
      <x:c r="P1464" s="31" t="str"/>
      <x:c r="Q1464" s="31" t="str"/>
      <x:c r="R1464" s="31" t="str"/>
      <x:c r="S1464" s="31" t="str">
        <x:f>IF('Blind Scoring'!I1464="","",'Blind Scoring'!I1464)</x:f>
      </x:c>
      <x:c r="T1464" s="31" t="str">
        <x:f>'Blind Scoring'!J1464</x:f>
        <x:v>No</x:v>
      </x:c>
      <x:c r="U1464" s="31" t="str">
        <x:f>IF('Blind Scoring'!L1464="","",'Blind Scoring'!L1464)</x:f>
      </x:c>
    </x:row>
    <x:row r="1465" ht="44" customHeight="1">
      <x:c r="A1465" s="35" t="str">
        <x:v>Not Started</x:v>
      </x:c>
      <x:c r="B1465" s="35" t="n">
        <x:v>1463</x:v>
      </x:c>
      <x:c r="C1465" s="35" t="str">
        <x:v>P24</x:v>
      </x:c>
      <x:c r="D1465" s="35" t="n">
        <x:v>38</x:v>
      </x:c>
      <x:c r="E1465" s="35" t="str">
        <x:v>Primary VLA</x:v>
      </x:c>
      <x:c r="F1465" s="35" t="str">
        <x:v>π0.5</x:v>
      </x:c>
      <x:c r="G1465" s="35" t="n">
        <x:v>3</x:v>
      </x:c>
      <x:c r="H1465" s="35" t="str">
        <x:v>Relational Placement</x:v>
      </x:c>
      <x:c r="I1465" s="35" t="str">
        <x:v>Main held-out transfer</x:v>
      </x:c>
      <x:c r="J1465" s="35" t="str">
        <x:v>PVLA-RP-TR-10</x:v>
      </x:c>
      <x:c r="K1465" s="35" t="str">
        <x:v>R-CF18</x:v>
      </x:c>
      <x:c r="L1465" s="31" t="str">
        <x:v>Place the red block behind the green pen.</x:v>
      </x:c>
      <x:c r="M1465" s="31" t="str">
        <x:v>Place the red block behind the green pen.</x:v>
      </x:c>
      <x:c r="N1465" s="31" t="str">
        <x:v>R-CF18-HELD: green pen at back-right [REFERENCE]; red block starts 24 cm in front of the reference [TARGET START]; blue block and pink marker are distractors outside the commanded goal sector.</x:v>
      </x:c>
      <x:c r="O1465" s="31" t="str">
        <x:v>red block → behind green pen</x:v>
      </x:c>
      <x:c r="P1465" s="31" t="str"/>
      <x:c r="Q1465" s="31" t="str"/>
      <x:c r="R1465" s="31" t="str"/>
      <x:c r="S1465" s="31" t="str">
        <x:f>IF('Blind Scoring'!I1465="","",'Blind Scoring'!I1465)</x:f>
      </x:c>
      <x:c r="T1465" s="31" t="str">
        <x:f>'Blind Scoring'!J1465</x:f>
        <x:v>No</x:v>
      </x:c>
      <x:c r="U1465" s="31" t="str">
        <x:f>IF('Blind Scoring'!L1465="","",'Blind Scoring'!L1465)</x:f>
      </x:c>
    </x:row>
    <x:row r="1466" ht="44" customHeight="1">
      <x:c r="A1466" s="35" t="str">
        <x:v>Not Started</x:v>
      </x:c>
      <x:c r="B1466" s="35" t="n">
        <x:v>1464</x:v>
      </x:c>
      <x:c r="C1466" s="35" t="str">
        <x:v>P24</x:v>
      </x:c>
      <x:c r="D1466" s="35" t="n">
        <x:v>39</x:v>
      </x:c>
      <x:c r="E1466" s="35" t="str">
        <x:v>Primary VLA</x:v>
      </x:c>
      <x:c r="F1466" s="35" t="str">
        <x:v>π0.5</x:v>
      </x:c>
      <x:c r="G1466" s="35" t="n">
        <x:v>3</x:v>
      </x:c>
      <x:c r="H1466" s="35" t="str">
        <x:v>Relational Placement</x:v>
      </x:c>
      <x:c r="I1466" s="35" t="str">
        <x:v>Main matched control</x:v>
      </x:c>
      <x:c r="J1466" s="35" t="str">
        <x:v>PVLA-RP-CTL-08</x:v>
      </x:c>
      <x:c r="K1466" s="35" t="str">
        <x:v>R-CF15</x:v>
      </x:c>
      <x:c r="L1466" s="31" t="str">
        <x:v>Place the green pen beside the red block.</x:v>
      </x:c>
      <x:c r="M1466" s="31" t="str">
        <x:v>Place the green pen beside the red block.</x:v>
      </x:c>
      <x:c r="N1466" s="31" t="str">
        <x:v>R-CF15-CTRL: red block at front-right [REFERENCE]; green pen starts 24 cm in front of the reference [TARGET START]; pink marker and blue block are distractors outside the commanded goal sector.</x:v>
      </x:c>
      <x:c r="O1466" s="31" t="str">
        <x:v>green pen near red block</x:v>
      </x:c>
      <x:c r="P1466" s="31" t="str"/>
      <x:c r="Q1466" s="31" t="str"/>
      <x:c r="R1466" s="31" t="str"/>
      <x:c r="S1466" s="31" t="str">
        <x:f>IF('Blind Scoring'!I1466="","",'Blind Scoring'!I1466)</x:f>
      </x:c>
      <x:c r="T1466" s="31" t="str">
        <x:f>'Blind Scoring'!J1466</x:f>
        <x:v>No</x:v>
      </x:c>
      <x:c r="U1466" s="31" t="str">
        <x:f>IF('Blind Scoring'!L1466="","",'Blind Scoring'!L1466)</x:f>
      </x:c>
    </x:row>
    <x:row r="1467" ht="44" customHeight="1">
      <x:c r="A1467" s="35" t="str">
        <x:v>Not Started</x:v>
      </x:c>
      <x:c r="B1467" s="35" t="n">
        <x:v>1465</x:v>
      </x:c>
      <x:c r="C1467" s="35" t="str">
        <x:v>P24</x:v>
      </x:c>
      <x:c r="D1467" s="35" t="n">
        <x:v>40</x:v>
      </x:c>
      <x:c r="E1467" s="35" t="str">
        <x:v>Primary VLA</x:v>
      </x:c>
      <x:c r="F1467" s="35" t="str">
        <x:v>π0.5</x:v>
      </x:c>
      <x:c r="G1467" s="35" t="n">
        <x:v>3</x:v>
      </x:c>
      <x:c r="H1467" s="35" t="str">
        <x:v>Relational Placement</x:v>
      </x:c>
      <x:c r="I1467" s="35" t="str">
        <x:v>Main matched control</x:v>
      </x:c>
      <x:c r="J1467" s="35" t="str">
        <x:v>PVLA-RP-CTL-11</x:v>
      </x:c>
      <x:c r="K1467" s="35" t="str">
        <x:v>R-CF20</x:v>
      </x:c>
      <x:c r="L1467" s="31" t="str">
        <x:v>Place the red block next to the green pen.</x:v>
      </x:c>
      <x:c r="M1467" s="31" t="str">
        <x:v>Place the red block next to the green pen.</x:v>
      </x:c>
      <x:c r="N1467" s="31" t="str">
        <x:v>R-CF20-CTRL: green pen at front-right [REFERENCE]; red block starts 21 cm behind the reference [TARGET START]; blue block and pink marker are distractors outside the commanded goal sector.</x:v>
      </x:c>
      <x:c r="O1467" s="31" t="str">
        <x:v>red block near green pen</x:v>
      </x:c>
      <x:c r="P1467" s="31" t="str"/>
      <x:c r="Q1467" s="31" t="str"/>
      <x:c r="R1467" s="31" t="str"/>
      <x:c r="S1467" s="31" t="str">
        <x:f>IF('Blind Scoring'!I1467="","",'Blind Scoring'!I1467)</x:f>
      </x:c>
      <x:c r="T1467" s="31" t="str">
        <x:f>'Blind Scoring'!J1467</x:f>
        <x:v>No</x:v>
      </x:c>
      <x:c r="U1467" s="31" t="str">
        <x:f>IF('Blind Scoring'!L1467="","",'Blind Scoring'!L1467)</x:f>
      </x:c>
    </x:row>
    <x:row r="1468" ht="44" customHeight="1">
      <x:c r="A1468" s="35" t="str">
        <x:v>Not Started</x:v>
      </x:c>
      <x:c r="B1468" s="35" t="n">
        <x:v>1466</x:v>
      </x:c>
      <x:c r="C1468" s="35" t="str">
        <x:v>P24</x:v>
      </x:c>
      <x:c r="D1468" s="35" t="n">
        <x:v>41</x:v>
      </x:c>
      <x:c r="E1468" s="35" t="str">
        <x:v>Primary VLA</x:v>
      </x:c>
      <x:c r="F1468" s="35" t="str">
        <x:v>π0.5</x:v>
      </x:c>
      <x:c r="G1468" s="35" t="n">
        <x:v>3</x:v>
      </x:c>
      <x:c r="H1468" s="35" t="str">
        <x:v>Relational Placement</x:v>
      </x:c>
      <x:c r="I1468" s="35" t="str">
        <x:v>Training reconstruction</x:v>
      </x:c>
      <x:c r="J1468" s="35" t="str">
        <x:v>PVLA-RP-REC-03</x:v>
      </x:c>
      <x:c r="K1468" s="35" t="str"/>
      <x:c r="L1468" s="31" t="str">
        <x:v>Place the green pen behind the pink marker.</x:v>
      </x:c>
      <x:c r="M1468" s="31" t="str">
        <x:v>Place the green pen behind the pink marker.</x:v>
      </x:c>
      <x:c r="N1468" s="31" t="str">
        <x:v>Reconstruct planned final training episode 218: green pen, pink marker, red block; start=Home. Match camera, calibration, bowl pose, and object geometry exactly.</x:v>
      </x:c>
      <x:c r="O1468" s="31" t="str">
        <x:v>green pen</x:v>
      </x:c>
      <x:c r="P1468" s="31" t="str"/>
      <x:c r="Q1468" s="31" t="str"/>
      <x:c r="R1468" s="31" t="str"/>
      <x:c r="S1468" s="31" t="str">
        <x:f>IF('Blind Scoring'!I1468="","",'Blind Scoring'!I1468)</x:f>
      </x:c>
      <x:c r="T1468" s="31" t="str">
        <x:f>'Blind Scoring'!J1468</x:f>
        <x:v>No</x:v>
      </x:c>
      <x:c r="U1468" s="31" t="str">
        <x:f>IF('Blind Scoring'!L1468="","",'Blind Scoring'!L1468)</x:f>
      </x:c>
    </x:row>
    <x:row r="1469" ht="44" customHeight="1">
      <x:c r="A1469" s="35" t="str">
        <x:v>Not Started</x:v>
      </x:c>
      <x:c r="B1469" s="35" t="n">
        <x:v>1467</x:v>
      </x:c>
      <x:c r="C1469" s="35" t="str">
        <x:v>P24</x:v>
      </x:c>
      <x:c r="D1469" s="35" t="n">
        <x:v>42</x:v>
      </x:c>
      <x:c r="E1469" s="35" t="str">
        <x:v>Primary VLA</x:v>
      </x:c>
      <x:c r="F1469" s="35" t="str">
        <x:v>π0.5</x:v>
      </x:c>
      <x:c r="G1469" s="35" t="n">
        <x:v>3</x:v>
      </x:c>
      <x:c r="H1469" s="35" t="str">
        <x:v>Relational Placement</x:v>
      </x:c>
      <x:c r="I1469" s="35" t="str">
        <x:v>Novel layout + seen language</x:v>
      </x:c>
      <x:c r="J1469" s="35" t="str">
        <x:v>PVLA-RP-NOV-06</x:v>
      </x:c>
      <x:c r="K1469" s="35" t="str"/>
      <x:c r="L1469" s="31" t="str">
        <x:v>Place the red block to the left of the blue block.</x:v>
      </x:c>
      <x:c r="M1469" s="31" t="str">
        <x:v>Place the red block to the left of the blue block.</x:v>
      </x:c>
      <x:c r="N1469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1469" s="31" t="str">
        <x:v>red block</x:v>
      </x:c>
      <x:c r="P1469" s="31" t="str"/>
      <x:c r="Q1469" s="31" t="str"/>
      <x:c r="R1469" s="31" t="str"/>
      <x:c r="S1469" s="31" t="str">
        <x:f>IF('Blind Scoring'!I1469="","",'Blind Scoring'!I1469)</x:f>
      </x:c>
      <x:c r="T1469" s="31" t="str">
        <x:f>'Blind Scoring'!J1469</x:f>
        <x:v>No</x:v>
      </x:c>
      <x:c r="U1469" s="31" t="str">
        <x:f>IF('Blind Scoring'!L1469="","",'Blind Scoring'!L1469)</x:f>
      </x:c>
    </x:row>
    <x:row r="1470" ht="44" customHeight="1">
      <x:c r="A1470" s="35" t="str">
        <x:v>Not Started</x:v>
      </x:c>
      <x:c r="B1470" s="35" t="n">
        <x:v>1468</x:v>
      </x:c>
      <x:c r="C1470" s="35" t="str">
        <x:v>P24</x:v>
      </x:c>
      <x:c r="D1470" s="35" t="n">
        <x:v>43</x:v>
      </x:c>
      <x:c r="E1470" s="35" t="str">
        <x:v>Primary VLA</x:v>
      </x:c>
      <x:c r="F1470" s="35" t="str">
        <x:v>π0.5</x:v>
      </x:c>
      <x:c r="G1470" s="35" t="n">
        <x:v>3</x:v>
      </x:c>
      <x:c r="H1470" s="35" t="str">
        <x:v>Relational Placement</x:v>
      </x:c>
      <x:c r="I1470" s="35" t="str">
        <x:v>Main held-out transfer</x:v>
      </x:c>
      <x:c r="J1470" s="35" t="str">
        <x:v>PVLA-RP-TR-11</x:v>
      </x:c>
      <x:c r="K1470" s="35" t="str">
        <x:v>R-CF20</x:v>
      </x:c>
      <x:c r="L1470" s="31" t="str">
        <x:v>Place the red block in front of the green pen.</x:v>
      </x:c>
      <x:c r="M1470" s="31" t="str">
        <x:v>Place the red block in front of the green pen.</x:v>
      </x:c>
      <x:c r="N1470" s="31" t="str">
        <x:v>R-CF20-HELD: green pen at front-right [REFERENCE]; red block starts 21 cm behind the reference [TARGET START]; blue block and pink marker are distractors outside the commanded goal sector.</x:v>
      </x:c>
      <x:c r="O1470" s="31" t="str">
        <x:v>red block → in front of green pen</x:v>
      </x:c>
      <x:c r="P1470" s="31" t="str"/>
      <x:c r="Q1470" s="31" t="str"/>
      <x:c r="R1470" s="31" t="str"/>
      <x:c r="S1470" s="31" t="str">
        <x:f>IF('Blind Scoring'!I1470="","",'Blind Scoring'!I1470)</x:f>
      </x:c>
      <x:c r="T1470" s="31" t="str">
        <x:f>'Blind Scoring'!J1470</x:f>
        <x:v>No</x:v>
      </x:c>
      <x:c r="U1470" s="31" t="str">
        <x:f>IF('Blind Scoring'!L1470="","",'Blind Scoring'!L1470)</x:f>
      </x:c>
    </x:row>
    <x:row r="1471" ht="44" customHeight="1">
      <x:c r="A1471" s="35" t="str">
        <x:v>Not Started</x:v>
      </x:c>
      <x:c r="B1471" s="35" t="n">
        <x:v>1469</x:v>
      </x:c>
      <x:c r="C1471" s="35" t="str">
        <x:v>P24</x:v>
      </x:c>
      <x:c r="D1471" s="35" t="n">
        <x:v>44</x:v>
      </x:c>
      <x:c r="E1471" s="35" t="str">
        <x:v>Primary VLA</x:v>
      </x:c>
      <x:c r="F1471" s="35" t="str">
        <x:v>π0.5</x:v>
      </x:c>
      <x:c r="G1471" s="35" t="n">
        <x:v>3</x:v>
      </x:c>
      <x:c r="H1471" s="35" t="str">
        <x:v>Relational Placement</x:v>
      </x:c>
      <x:c r="I1471" s="35" t="str">
        <x:v>Training reconstruction</x:v>
      </x:c>
      <x:c r="J1471" s="35" t="str">
        <x:v>PVLA-RP-REC-04</x:v>
      </x:c>
      <x:c r="K1471" s="35" t="str"/>
      <x:c r="L1471" s="31" t="str">
        <x:v>Place the green pen behind the pink marker.</x:v>
      </x:c>
      <x:c r="M1471" s="31" t="str">
        <x:v>Place the green pen behind the pink marker.</x:v>
      </x:c>
      <x:c r="N1471" s="31" t="str">
        <x:v>Reconstruct planned final training episode 219: green pen, red block, pink marker, blue block; start=Home. Match camera, calibration, bowl pose, and object geometry exactly.</x:v>
      </x:c>
      <x:c r="O1471" s="31" t="str">
        <x:v>green pen</x:v>
      </x:c>
      <x:c r="P1471" s="31" t="str"/>
      <x:c r="Q1471" s="31" t="str"/>
      <x:c r="R1471" s="31" t="str"/>
      <x:c r="S1471" s="31" t="str">
        <x:f>IF('Blind Scoring'!I1471="","",'Blind Scoring'!I1471)</x:f>
      </x:c>
      <x:c r="T1471" s="31" t="str">
        <x:f>'Blind Scoring'!J1471</x:f>
        <x:v>No</x:v>
      </x:c>
      <x:c r="U1471" s="31" t="str">
        <x:f>IF('Blind Scoring'!L1471="","",'Blind Scoring'!L1471)</x:f>
      </x:c>
    </x:row>
    <x:row r="1472" ht="44" customHeight="1">
      <x:c r="A1472" s="35" t="str">
        <x:v>Not Started</x:v>
      </x:c>
      <x:c r="B1472" s="35" t="n">
        <x:v>1470</x:v>
      </x:c>
      <x:c r="C1472" s="35" t="str">
        <x:v>P24</x:v>
      </x:c>
      <x:c r="D1472" s="35" t="n">
        <x:v>45</x:v>
      </x:c>
      <x:c r="E1472" s="35" t="str">
        <x:v>Primary VLA</x:v>
      </x:c>
      <x:c r="F1472" s="35" t="str">
        <x:v>π0.5</x:v>
      </x:c>
      <x:c r="G1472" s="35" t="n">
        <x:v>3</x:v>
      </x:c>
      <x:c r="H1472" s="35" t="str">
        <x:v>Relational Placement</x:v>
      </x:c>
      <x:c r="I1472" s="35" t="str">
        <x:v>Training reconstruction</x:v>
      </x:c>
      <x:c r="J1472" s="35" t="str">
        <x:v>PVLA-RP-REC-05</x:v>
      </x:c>
      <x:c r="K1472" s="35" t="str"/>
      <x:c r="L1472" s="31" t="str">
        <x:v>Place the green pen to the left of the pink marker.</x:v>
      </x:c>
      <x:c r="M1472" s="31" t="str">
        <x:v>Place the green pen to the left of the pink marker.</x:v>
      </x:c>
      <x:c r="N1472" s="31" t="str">
        <x:v>Reconstruct planned final training episode 230: green pen, pink marker, red block; start=Home. Match camera, calibration, bowl pose, and object geometry exactly.</x:v>
      </x:c>
      <x:c r="O1472" s="31" t="str">
        <x:v>green pen</x:v>
      </x:c>
      <x:c r="P1472" s="31" t="str"/>
      <x:c r="Q1472" s="31" t="str"/>
      <x:c r="R1472" s="31" t="str"/>
      <x:c r="S1472" s="31" t="str">
        <x:f>IF('Blind Scoring'!I1472="","",'Blind Scoring'!I1472)</x:f>
      </x:c>
      <x:c r="T1472" s="31" t="str">
        <x:f>'Blind Scoring'!J1472</x:f>
        <x:v>No</x:v>
      </x:c>
      <x:c r="U1472" s="31" t="str">
        <x:f>IF('Blind Scoring'!L1472="","",'Blind Scoring'!L1472)</x:f>
      </x:c>
    </x:row>
    <x:row r="1473" ht="44" customHeight="1">
      <x:c r="A1473" s="35" t="str">
        <x:v>Not Started</x:v>
      </x:c>
      <x:c r="B1473" s="35" t="n">
        <x:v>1471</x:v>
      </x:c>
      <x:c r="C1473" s="35" t="str">
        <x:v>P24</x:v>
      </x:c>
      <x:c r="D1473" s="35" t="n">
        <x:v>46</x:v>
      </x:c>
      <x:c r="E1473" s="35" t="str">
        <x:v>Primary VLA</x:v>
      </x:c>
      <x:c r="F1473" s="35" t="str">
        <x:v>π0.5</x:v>
      </x:c>
      <x:c r="G1473" s="35" t="n">
        <x:v>3</x:v>
      </x:c>
      <x:c r="H1473" s="35" t="str">
        <x:v>Relational Placement</x:v>
      </x:c>
      <x:c r="I1473" s="35" t="str">
        <x:v>Novel layout + seen language</x:v>
      </x:c>
      <x:c r="J1473" s="35" t="str">
        <x:v>PVLA-RP-NOV-04</x:v>
      </x:c>
      <x:c r="K1473" s="35" t="str"/>
      <x:c r="L1473" s="31" t="str">
        <x:v>Place the green pen in front of the pink marker.</x:v>
      </x:c>
      <x:c r="M1473" s="31" t="str">
        <x:v>Place the green pen in front of the pink marker.</x:v>
      </x:c>
      <x:c r="N1473" s="31" t="str">
        <x:v>R-S09: pink marker at center [REFERENCE]; green pen starts 21 cm behind the reference [TARGET START]; remaining objects are distractors with ≥12 cm clearance from the target path and commanded goal sector.</x:v>
      </x:c>
      <x:c r="O1473" s="31" t="str">
        <x:v>green pen</x:v>
      </x:c>
      <x:c r="P1473" s="31" t="str"/>
      <x:c r="Q1473" s="31" t="str"/>
      <x:c r="R1473" s="31" t="str"/>
      <x:c r="S1473" s="31" t="str">
        <x:f>IF('Blind Scoring'!I1473="","",'Blind Scoring'!I1473)</x:f>
      </x:c>
      <x:c r="T1473" s="31" t="str">
        <x:f>'Blind Scoring'!J1473</x:f>
        <x:v>No</x:v>
      </x:c>
      <x:c r="U1473" s="31" t="str">
        <x:f>IF('Blind Scoring'!L1473="","",'Blind Scoring'!L1473)</x:f>
      </x:c>
    </x:row>
    <x:row r="1474" ht="44" customHeight="1">
      <x:c r="A1474" s="35" t="str">
        <x:v>Not Started</x:v>
      </x:c>
      <x:c r="B1474" s="35" t="n">
        <x:v>1472</x:v>
      </x:c>
      <x:c r="C1474" s="35" t="str">
        <x:v>P24</x:v>
      </x:c>
      <x:c r="D1474" s="35" t="n">
        <x:v>47</x:v>
      </x:c>
      <x:c r="E1474" s="35" t="str">
        <x:v>Primary VLA</x:v>
      </x:c>
      <x:c r="F1474" s="35" t="str">
        <x:v>π0.5</x:v>
      </x:c>
      <x:c r="G1474" s="35" t="n">
        <x:v>3</x:v>
      </x:c>
      <x:c r="H1474" s="35" t="str">
        <x:v>Relational Placement</x:v>
      </x:c>
      <x:c r="I1474" s="35" t="str">
        <x:v>Main held-out transfer</x:v>
      </x:c>
      <x:c r="J1474" s="35" t="str">
        <x:v>PVLA-RP-TR-16</x:v>
      </x:c>
      <x:c r="K1474" s="35" t="str">
        <x:v>R-CF30</x:v>
      </x:c>
      <x:c r="L1474" s="31" t="str">
        <x:v>Place the red block to the right of the green pen.</x:v>
      </x:c>
      <x:c r="M1474" s="31" t="str">
        <x:v>Place the red block to the right of the green pen.</x:v>
      </x:c>
      <x:c r="N1474" s="31" t="str">
        <x:v>R-CF30-HELD: green pen at front-right [REFERENCE]; red block starts 24 cm to the left of the reference [TARGET START]; blue block and pink marker are distractors outside the commanded goal sector.</x:v>
      </x:c>
      <x:c r="O1474" s="31" t="str">
        <x:v>red block → to the right of green pen</x:v>
      </x:c>
      <x:c r="P1474" s="31" t="str"/>
      <x:c r="Q1474" s="31" t="str"/>
      <x:c r="R1474" s="31" t="str"/>
      <x:c r="S1474" s="31" t="str">
        <x:f>IF('Blind Scoring'!I1474="","",'Blind Scoring'!I1474)</x:f>
      </x:c>
      <x:c r="T1474" s="31" t="str">
        <x:f>'Blind Scoring'!J1474</x:f>
        <x:v>No</x:v>
      </x:c>
      <x:c r="U1474" s="31" t="str">
        <x:f>IF('Blind Scoring'!L1474="","",'Blind Scoring'!L1474)</x:f>
      </x:c>
    </x:row>
    <x:row r="1475" ht="44" customHeight="1">
      <x:c r="A1475" s="35" t="str">
        <x:v>Not Started</x:v>
      </x:c>
      <x:c r="B1475" s="35" t="n">
        <x:v>1473</x:v>
      </x:c>
      <x:c r="C1475" s="35" t="str">
        <x:v>P24</x:v>
      </x:c>
      <x:c r="D1475" s="35" t="n">
        <x:v>48</x:v>
      </x:c>
      <x:c r="E1475" s="35" t="str">
        <x:v>Primary VLA</x:v>
      </x:c>
      <x:c r="F1475" s="35" t="str">
        <x:v>π0.5</x:v>
      </x:c>
      <x:c r="G1475" s="35" t="n">
        <x:v>3</x:v>
      </x:c>
      <x:c r="H1475" s="35" t="str">
        <x:v>Relational Placement</x:v>
      </x:c>
      <x:c r="I1475" s="35" t="str">
        <x:v>Main matched control</x:v>
      </x:c>
      <x:c r="J1475" s="35" t="str">
        <x:v>PVLA-RP-CTL-02</x:v>
      </x:c>
      <x:c r="K1475" s="35" t="str">
        <x:v>R-CF03</x:v>
      </x:c>
      <x:c r="L1475" s="31" t="str">
        <x:v>Place the green pen beside the red block.</x:v>
      </x:c>
      <x:c r="M1475" s="31" t="str">
        <x:v>Place the green pen beside the red block.</x:v>
      </x:c>
      <x:c r="N1475" s="31" t="str">
        <x:v>R-CF03-CTRL: red block at back-right [REFERENCE]; green pen starts 24 cm to the left of the reference [TARGET START]; pink marker and blue block are distractors outside the commanded goal sector.</x:v>
      </x:c>
      <x:c r="O1475" s="31" t="str">
        <x:v>green pen near red block</x:v>
      </x:c>
      <x:c r="P1475" s="31" t="str"/>
      <x:c r="Q1475" s="31" t="str"/>
      <x:c r="R1475" s="31" t="str"/>
      <x:c r="S1475" s="31" t="str">
        <x:f>IF('Blind Scoring'!I1475="","",'Blind Scoring'!I1475)</x:f>
      </x:c>
      <x:c r="T1475" s="31" t="str">
        <x:f>'Blind Scoring'!J1475</x:f>
        <x:v>No</x:v>
      </x:c>
      <x:c r="U1475" s="31" t="str">
        <x:f>IF('Blind Scoring'!L1475="","",'Blind Scoring'!L1475)</x:f>
      </x:c>
    </x:row>
    <x:row r="1476" ht="44" customHeight="1">
      <x:c r="A1476" s="35" t="str">
        <x:v>Not Started</x:v>
      </x:c>
      <x:c r="B1476" s="35" t="n">
        <x:v>1474</x:v>
      </x:c>
      <x:c r="C1476" s="35" t="str">
        <x:v>P24</x:v>
      </x:c>
      <x:c r="D1476" s="35" t="n">
        <x:v>49</x:v>
      </x:c>
      <x:c r="E1476" s="35" t="str">
        <x:v>Primary VLA</x:v>
      </x:c>
      <x:c r="F1476" s="35" t="str">
        <x:v>π0.5</x:v>
      </x:c>
      <x:c r="G1476" s="35" t="n">
        <x:v>3</x:v>
      </x:c>
      <x:c r="H1476" s="35" t="str">
        <x:v>Relational Placement</x:v>
      </x:c>
      <x:c r="I1476" s="35" t="str">
        <x:v>Main held-out transfer</x:v>
      </x:c>
      <x:c r="J1476" s="35" t="str">
        <x:v>PVLA-RP-TR-09</x:v>
      </x:c>
      <x:c r="K1476" s="35" t="str">
        <x:v>R-CF16</x:v>
      </x:c>
      <x:c r="L1476" s="31" t="str">
        <x:v>Place the red block to the left of the green pen.</x:v>
      </x:c>
      <x:c r="M1476" s="31" t="str">
        <x:v>Place the red block to the left of the green pen.</x:v>
      </x:c>
      <x:c r="N1476" s="31" t="str">
        <x:v>R-CF16-HELD: green pen at center [REFERENCE]; red block starts 18 cm to the right of the reference [TARGET START]; blue block and pink marker are distractors outside the commanded goal sector.</x:v>
      </x:c>
      <x:c r="O1476" s="31" t="str">
        <x:v>red block → to the left of green pen</x:v>
      </x:c>
      <x:c r="P1476" s="31" t="str"/>
      <x:c r="Q1476" s="31" t="str"/>
      <x:c r="R1476" s="31" t="str"/>
      <x:c r="S1476" s="31" t="str">
        <x:f>IF('Blind Scoring'!I1476="","",'Blind Scoring'!I1476)</x:f>
      </x:c>
      <x:c r="T1476" s="31" t="str">
        <x:f>'Blind Scoring'!J1476</x:f>
        <x:v>No</x:v>
      </x:c>
      <x:c r="U1476" s="31" t="str">
        <x:f>IF('Blind Scoring'!L1476="","",'Blind Scoring'!L1476)</x:f>
      </x:c>
    </x:row>
    <x:row r="1477" ht="44" customHeight="1">
      <x:c r="A1477" s="35" t="str">
        <x:v>Not Started</x:v>
      </x:c>
      <x:c r="B1477" s="35" t="n">
        <x:v>1475</x:v>
      </x:c>
      <x:c r="C1477" s="35" t="str">
        <x:v>P24</x:v>
      </x:c>
      <x:c r="D1477" s="35" t="n">
        <x:v>50</x:v>
      </x:c>
      <x:c r="E1477" s="35" t="str">
        <x:v>Primary VLA</x:v>
      </x:c>
      <x:c r="F1477" s="35" t="str">
        <x:v>π0.5</x:v>
      </x:c>
      <x:c r="G1477" s="35" t="n">
        <x:v>3</x:v>
      </x:c>
      <x:c r="H1477" s="35" t="str">
        <x:v>Relational Placement</x:v>
      </x:c>
      <x:c r="I1477" s="35" t="str">
        <x:v>Exact-scene paraphrase</x:v>
      </x:c>
      <x:c r="J1477" s="35" t="str">
        <x:v>PVLA-RP-PAR-06</x:v>
      </x:c>
      <x:c r="K1477" s="35" t="str"/>
      <x:c r="L1477" s="31" t="str">
        <x:v>Move the red block to the side of the pink marker facing the robot.</x:v>
      </x:c>
      <x:c r="M1477" s="31" t="str">
        <x:v>Move the red block to the side of the pink marker facing the robot.</x:v>
      </x:c>
      <x:c r="N1477" s="31" t="str">
        <x:v>R-P01: pink marker at center [REFERENCE]; red block starts 21 cm behind the reference [TARGET START]; remaining objects are distractors with ≥12 cm clearance from the target path and commanded goal sector.</x:v>
      </x:c>
      <x:c r="O1477" s="31" t="str">
        <x:v>red block</x:v>
      </x:c>
      <x:c r="P1477" s="31" t="str"/>
      <x:c r="Q1477" s="31" t="str"/>
      <x:c r="R1477" s="31" t="str"/>
      <x:c r="S1477" s="31" t="str">
        <x:f>IF('Blind Scoring'!I1477="","",'Blind Scoring'!I1477)</x:f>
      </x:c>
      <x:c r="T1477" s="31" t="str">
        <x:f>'Blind Scoring'!J1477</x:f>
        <x:v>No</x:v>
      </x:c>
      <x:c r="U1477" s="31" t="str">
        <x:f>IF('Blind Scoring'!L1477="","",'Blind Scoring'!L1477)</x:f>
      </x:c>
    </x:row>
    <x:row r="1478" ht="44" customHeight="1">
      <x:c r="A1478" s="35" t="str">
        <x:v>Not Started</x:v>
      </x:c>
      <x:c r="B1478" s="35" t="n">
        <x:v>1476</x:v>
      </x:c>
      <x:c r="C1478" s="35" t="str">
        <x:v>P24</x:v>
      </x:c>
      <x:c r="D1478" s="35" t="n">
        <x:v>51</x:v>
      </x:c>
      <x:c r="E1478" s="35" t="str">
        <x:v>Primary VLA</x:v>
      </x:c>
      <x:c r="F1478" s="35" t="str">
        <x:v>π0.5</x:v>
      </x:c>
      <x:c r="G1478" s="35" t="n">
        <x:v>3</x:v>
      </x:c>
      <x:c r="H1478" s="35" t="str">
        <x:v>Relational Placement</x:v>
      </x:c>
      <x:c r="I1478" s="35" t="str">
        <x:v>Main held-out transfer</x:v>
      </x:c>
      <x:c r="J1478" s="35" t="str">
        <x:v>PVLA-RP-TR-13</x:v>
      </x:c>
      <x:c r="K1478" s="35" t="str">
        <x:v>R-CF24</x:v>
      </x:c>
      <x:c r="L1478" s="31" t="str">
        <x:v>Place the red block to the left of the green pen.</x:v>
      </x:c>
      <x:c r="M1478" s="31" t="str">
        <x:v>Place the red block to the left of the green pen.</x:v>
      </x:c>
      <x:c r="N1478" s="31" t="str">
        <x:v>R-CF24-HELD: green pen at front-left [REFERENCE]; red block starts 24 cm to the right of the reference [TARGET START]; blue block and pink marker are distractors outside the commanded goal sector.</x:v>
      </x:c>
      <x:c r="O1478" s="31" t="str">
        <x:v>red block → to the left of green pen</x:v>
      </x:c>
      <x:c r="P1478" s="31" t="str"/>
      <x:c r="Q1478" s="31" t="str"/>
      <x:c r="R1478" s="31" t="str"/>
      <x:c r="S1478" s="31" t="str">
        <x:f>IF('Blind Scoring'!I1478="","",'Blind Scoring'!I1478)</x:f>
      </x:c>
      <x:c r="T1478" s="31" t="str">
        <x:f>'Blind Scoring'!J1478</x:f>
        <x:v>No</x:v>
      </x:c>
      <x:c r="U1478" s="31" t="str">
        <x:f>IF('Blind Scoring'!L1478="","",'Blind Scoring'!L1478)</x:f>
      </x:c>
    </x:row>
    <x:row r="1479" ht="44" customHeight="1">
      <x:c r="A1479" s="35" t="str">
        <x:v>Not Started</x:v>
      </x:c>
      <x:c r="B1479" s="35" t="n">
        <x:v>1477</x:v>
      </x:c>
      <x:c r="C1479" s="35" t="str">
        <x:v>P24</x:v>
      </x:c>
      <x:c r="D1479" s="35" t="n">
        <x:v>52</x:v>
      </x:c>
      <x:c r="E1479" s="35" t="str">
        <x:v>Primary VLA</x:v>
      </x:c>
      <x:c r="F1479" s="35" t="str">
        <x:v>π0.5</x:v>
      </x:c>
      <x:c r="G1479" s="35" t="n">
        <x:v>3</x:v>
      </x:c>
      <x:c r="H1479" s="35" t="str">
        <x:v>Relational Placement</x:v>
      </x:c>
      <x:c r="I1479" s="35" t="str">
        <x:v>Main matched control</x:v>
      </x:c>
      <x:c r="J1479" s="35" t="str">
        <x:v>PVLA-RP-CTL-05</x:v>
      </x:c>
      <x:c r="K1479" s="35" t="str">
        <x:v>R-CF09</x:v>
      </x:c>
      <x:c r="L1479" s="31" t="str">
        <x:v>Place the green pen beside the red block.</x:v>
      </x:c>
      <x:c r="M1479" s="31" t="str">
        <x:v>Place the green pen beside the red block.</x:v>
      </x:c>
      <x:c r="N1479" s="31" t="str">
        <x:v>R-CF09-CTRL: red block at front-left [REFERENCE]; green pen starts 24 cm behind the reference [TARGET START]; pink marker and blue block are distractors outside the commanded goal sector.</x:v>
      </x:c>
      <x:c r="O1479" s="31" t="str">
        <x:v>green pen near red block</x:v>
      </x:c>
      <x:c r="P1479" s="31" t="str"/>
      <x:c r="Q1479" s="31" t="str"/>
      <x:c r="R1479" s="31" t="str"/>
      <x:c r="S1479" s="31" t="str">
        <x:f>IF('Blind Scoring'!I1479="","",'Blind Scoring'!I1479)</x:f>
      </x:c>
      <x:c r="T1479" s="31" t="str">
        <x:f>'Blind Scoring'!J1479</x:f>
        <x:v>No</x:v>
      </x:c>
      <x:c r="U1479" s="31" t="str">
        <x:f>IF('Blind Scoring'!L1479="","",'Blind Scoring'!L1479)</x:f>
      </x:c>
    </x:row>
    <x:row r="1480" ht="44" customHeight="1">
      <x:c r="A1480" s="35" t="str">
        <x:v>Not Started</x:v>
      </x:c>
      <x:c r="B1480" s="35" t="n">
        <x:v>1478</x:v>
      </x:c>
      <x:c r="C1480" s="35" t="str">
        <x:v>P24</x:v>
      </x:c>
      <x:c r="D1480" s="35" t="n">
        <x:v>53</x:v>
      </x:c>
      <x:c r="E1480" s="35" t="str">
        <x:v>Primary VLA</x:v>
      </x:c>
      <x:c r="F1480" s="35" t="str">
        <x:v>π0.5</x:v>
      </x:c>
      <x:c r="G1480" s="35" t="n">
        <x:v>3</x:v>
      </x:c>
      <x:c r="H1480" s="35" t="str">
        <x:v>Relational Placement</x:v>
      </x:c>
      <x:c r="I1480" s="35" t="str">
        <x:v>Language ablation — blank</x:v>
      </x:c>
      <x:c r="J1480" s="35" t="str">
        <x:v>PVLA-RP-ABL-BLK-04</x:v>
      </x:c>
      <x:c r="K1480" s="35" t="str">
        <x:v>R-CF07</x:v>
      </x:c>
      <x:c r="L1480" s="31" t="str">
        <x:v>[EMPTY STRING — provide no instruction tokens]</x:v>
      </x:c>
      <x:c r="M1480" s="31" t="str">
        <x:v>Place the green pen behind the red block.</x:v>
      </x:c>
      <x:c r="N1480" s="31" t="str">
        <x:v>R-CF07-HELD: red block at back-left [REFERENCE]; green pen starts 18 cm in front of the reference [TARGET START]; pink marker and blue block are distractors outside the commanded goal sector.</x:v>
      </x:c>
      <x:c r="O1480" s="31" t="str">
        <x:v>No prespecified task success under blank language; record any action/selected target.</x:v>
      </x:c>
      <x:c r="P1480" s="31" t="str"/>
      <x:c r="Q1480" s="31" t="str"/>
      <x:c r="R1480" s="31" t="str"/>
      <x:c r="S1480" s="31" t="str">
        <x:f>IF('Blind Scoring'!I1480="","",'Blind Scoring'!I1480)</x:f>
      </x:c>
      <x:c r="T1480" s="31" t="str">
        <x:f>'Blind Scoring'!J1480</x:f>
        <x:v>No</x:v>
      </x:c>
      <x:c r="U1480" s="31" t="str">
        <x:f>IF('Blind Scoring'!L1480="","",'Blind Scoring'!L1480)</x:f>
      </x:c>
    </x:row>
    <x:row r="1481" ht="44" customHeight="1">
      <x:c r="A1481" s="35" t="str">
        <x:v>Not Started</x:v>
      </x:c>
      <x:c r="B1481" s="35" t="n">
        <x:v>1479</x:v>
      </x:c>
      <x:c r="C1481" s="35" t="str">
        <x:v>P24</x:v>
      </x:c>
      <x:c r="D1481" s="35" t="n">
        <x:v>54</x:v>
      </x:c>
      <x:c r="E1481" s="35" t="str">
        <x:v>Primary VLA</x:v>
      </x:c>
      <x:c r="F1481" s="35" t="str">
        <x:v>π0.5</x:v>
      </x:c>
      <x:c r="G1481" s="35" t="n">
        <x:v>3</x:v>
      </x:c>
      <x:c r="H1481" s="35" t="str">
        <x:v>Relational Placement</x:v>
      </x:c>
      <x:c r="I1481" s="35" t="str">
        <x:v>Main matched control</x:v>
      </x:c>
      <x:c r="J1481" s="35" t="str">
        <x:v>PVLA-RP-CTL-10</x:v>
      </x:c>
      <x:c r="K1481" s="35" t="str">
        <x:v>R-CF18</x:v>
      </x:c>
      <x:c r="L1481" s="31" t="str">
        <x:v>Place the red block beside the green pen.</x:v>
      </x:c>
      <x:c r="M1481" s="31" t="str">
        <x:v>Place the red block beside the green pen.</x:v>
      </x:c>
      <x:c r="N1481" s="31" t="str">
        <x:v>R-CF18-CTRL: green pen at back-right [REFERENCE]; red block starts 24 cm in front of the reference [TARGET START]; blue block and pink marker are distractors outside the commanded goal sector.</x:v>
      </x:c>
      <x:c r="O1481" s="31" t="str">
        <x:v>red block near green pen</x:v>
      </x:c>
      <x:c r="P1481" s="31" t="str"/>
      <x:c r="Q1481" s="31" t="str"/>
      <x:c r="R1481" s="31" t="str"/>
      <x:c r="S1481" s="31" t="str">
        <x:f>IF('Blind Scoring'!I1481="","",'Blind Scoring'!I1481)</x:f>
      </x:c>
      <x:c r="T1481" s="31" t="str">
        <x:f>'Blind Scoring'!J1481</x:f>
        <x:v>No</x:v>
      </x:c>
      <x:c r="U1481" s="31" t="str">
        <x:f>IF('Blind Scoring'!L1481="","",'Blind Scoring'!L1481)</x:f>
      </x:c>
    </x:row>
    <x:row r="1482" ht="44" customHeight="1">
      <x:c r="A1482" s="35" t="str">
        <x:v>Not Started</x:v>
      </x:c>
      <x:c r="B1482" s="35" t="n">
        <x:v>1480</x:v>
      </x:c>
      <x:c r="C1482" s="35" t="str">
        <x:v>P24</x:v>
      </x:c>
      <x:c r="D1482" s="35" t="n">
        <x:v>55</x:v>
      </x:c>
      <x:c r="E1482" s="35" t="str">
        <x:v>Primary VLA</x:v>
      </x:c>
      <x:c r="F1482" s="35" t="str">
        <x:v>π0.5</x:v>
      </x:c>
      <x:c r="G1482" s="35" t="n">
        <x:v>3</x:v>
      </x:c>
      <x:c r="H1482" s="35" t="str">
        <x:v>Relational Placement</x:v>
      </x:c>
      <x:c r="I1482" s="35" t="str">
        <x:v>Exact-scene paraphrase</x:v>
      </x:c>
      <x:c r="J1482" s="35" t="str">
        <x:v>PVLA-RP-PAR-02</x:v>
      </x:c>
      <x:c r="K1482" s="35" t="str"/>
      <x:c r="L1482" s="31" t="str">
        <x:v>Move the red block to the side of the pink marker facing the robot.</x:v>
      </x:c>
      <x:c r="M1482" s="31" t="str">
        <x:v>Move the red block to the side of the pink marker facing the robot.</x:v>
      </x:c>
      <x:c r="N1482" s="31" t="str">
        <x:v>R-P01: pink marker at center [REFERENCE]; red block starts 21 cm behind the reference [TARGET START]; remaining objects are distractors with ≥12 cm clearance from the target path and commanded goal sector.</x:v>
      </x:c>
      <x:c r="O1482" s="31" t="str">
        <x:v>red block</x:v>
      </x:c>
      <x:c r="P1482" s="31" t="str"/>
      <x:c r="Q1482" s="31" t="str"/>
      <x:c r="R1482" s="31" t="str"/>
      <x:c r="S1482" s="31" t="str">
        <x:f>IF('Blind Scoring'!I1482="","",'Blind Scoring'!I1482)</x:f>
      </x:c>
      <x:c r="T1482" s="31" t="str">
        <x:f>'Blind Scoring'!J1482</x:f>
        <x:v>No</x:v>
      </x:c>
      <x:c r="U1482" s="31" t="str">
        <x:f>IF('Blind Scoring'!L1482="","",'Blind Scoring'!L1482)</x:f>
      </x:c>
    </x:row>
    <x:row r="1483" ht="44" customHeight="1">
      <x:c r="A1483" s="35" t="str">
        <x:v>Not Started</x:v>
      </x:c>
      <x:c r="B1483" s="35" t="n">
        <x:v>1481</x:v>
      </x:c>
      <x:c r="C1483" s="35" t="str">
        <x:v>P24</x:v>
      </x:c>
      <x:c r="D1483" s="35" t="n">
        <x:v>56</x:v>
      </x:c>
      <x:c r="E1483" s="35" t="str">
        <x:v>Primary VLA</x:v>
      </x:c>
      <x:c r="F1483" s="35" t="str">
        <x:v>π0.5</x:v>
      </x:c>
      <x:c r="G1483" s="35" t="n">
        <x:v>3</x:v>
      </x:c>
      <x:c r="H1483" s="35" t="str">
        <x:v>Relational Placement</x:v>
      </x:c>
      <x:c r="I1483" s="35" t="str">
        <x:v>Novel layout + seen language</x:v>
      </x:c>
      <x:c r="J1483" s="35" t="str">
        <x:v>PVLA-RP-NOV-07</x:v>
      </x:c>
      <x:c r="K1483" s="35" t="str"/>
      <x:c r="L1483" s="31" t="str">
        <x:v>Place the pink marker in front of the blue block.</x:v>
      </x:c>
      <x:c r="M1483" s="31" t="str">
        <x:v>Place the pink marker in front of the blue block.</x:v>
      </x:c>
      <x:c r="N1483" s="31" t="str">
        <x:v>R-S17: blue block at center [REFERENCE]; pink marker starts 18 cm behind the reference [TARGET START]; remaining objects are distractors with ≥12 cm clearance from the target path and commanded goal sector.</x:v>
      </x:c>
      <x:c r="O1483" s="31" t="str">
        <x:v>pink marker</x:v>
      </x:c>
      <x:c r="P1483" s="31" t="str"/>
      <x:c r="Q1483" s="31" t="str"/>
      <x:c r="R1483" s="31" t="str"/>
      <x:c r="S1483" s="31" t="str">
        <x:f>IF('Blind Scoring'!I1483="","",'Blind Scoring'!I1483)</x:f>
      </x:c>
      <x:c r="T1483" s="31" t="str">
        <x:f>'Blind Scoring'!J1483</x:f>
        <x:v>No</x:v>
      </x:c>
      <x:c r="U1483" s="31" t="str">
        <x:f>IF('Blind Scoring'!L1483="","",'Blind Scoring'!L1483)</x:f>
      </x:c>
    </x:row>
    <x:row r="1484" ht="44" customHeight="1">
      <x:c r="A1484" s="35" t="str">
        <x:v>Not Started</x:v>
      </x:c>
      <x:c r="B1484" s="35" t="n">
        <x:v>1482</x:v>
      </x:c>
      <x:c r="C1484" s="35" t="str">
        <x:v>P24</x:v>
      </x:c>
      <x:c r="D1484" s="35" t="n">
        <x:v>57</x:v>
      </x:c>
      <x:c r="E1484" s="35" t="str">
        <x:v>Primary VLA</x:v>
      </x:c>
      <x:c r="F1484" s="35" t="str">
        <x:v>π0.5</x:v>
      </x:c>
      <x:c r="G1484" s="35" t="n">
        <x:v>3</x:v>
      </x:c>
      <x:c r="H1484" s="35" t="str">
        <x:v>Relational Placement</x:v>
      </x:c>
      <x:c r="I1484" s="35" t="str">
        <x:v>Main held-out transfer</x:v>
      </x:c>
      <x:c r="J1484" s="35" t="str">
        <x:v>PVLA-RP-TR-07</x:v>
      </x:c>
      <x:c r="K1484" s="35" t="str">
        <x:v>R-CF13</x:v>
      </x:c>
      <x:c r="L1484" s="31" t="str">
        <x:v>Place the green pen to the left of the red block.</x:v>
      </x:c>
      <x:c r="M1484" s="31" t="str">
        <x:v>Place the green pen to the left of the red block.</x:v>
      </x:c>
      <x:c r="N1484" s="31" t="str">
        <x:v>R-CF13-HELD: red block at back-right [REFERENCE]; green pen starts 18 cm to the right of the reference [TARGET START]; pink marker and blue block are distractors outside the commanded goal sector.</x:v>
      </x:c>
      <x:c r="O1484" s="31" t="str">
        <x:v>green pen → to the left of red block</x:v>
      </x:c>
      <x:c r="P1484" s="31" t="str"/>
      <x:c r="Q1484" s="31" t="str"/>
      <x:c r="R1484" s="31" t="str"/>
      <x:c r="S1484" s="31" t="str">
        <x:f>IF('Blind Scoring'!I1484="","",'Blind Scoring'!I1484)</x:f>
      </x:c>
      <x:c r="T1484" s="31" t="str">
        <x:f>'Blind Scoring'!J1484</x:f>
        <x:v>No</x:v>
      </x:c>
      <x:c r="U1484" s="31" t="str">
        <x:f>IF('Blind Scoring'!L1484="","",'Blind Scoring'!L1484)</x:f>
      </x:c>
    </x:row>
    <x:row r="1485" ht="44" customHeight="1">
      <x:c r="A1485" s="35" t="str">
        <x:v>Not Started</x:v>
      </x:c>
      <x:c r="B1485" s="35" t="n">
        <x:v>1483</x:v>
      </x:c>
      <x:c r="C1485" s="35" t="str">
        <x:v>P24</x:v>
      </x:c>
      <x:c r="D1485" s="35" t="n">
        <x:v>58</x:v>
      </x:c>
      <x:c r="E1485" s="35" t="str">
        <x:v>Primary VLA</x:v>
      </x:c>
      <x:c r="F1485" s="35" t="str">
        <x:v>π0.5</x:v>
      </x:c>
      <x:c r="G1485" s="35" t="n">
        <x:v>3</x:v>
      </x:c>
      <x:c r="H1485" s="35" t="str">
        <x:v>Relational Placement</x:v>
      </x:c>
      <x:c r="I1485" s="35" t="str">
        <x:v>Novel layout + seen language</x:v>
      </x:c>
      <x:c r="J1485" s="35" t="str">
        <x:v>PVLA-RP-NOV-05</x:v>
      </x:c>
      <x:c r="K1485" s="35" t="str"/>
      <x:c r="L1485" s="31" t="str">
        <x:v>Place the pink marker to the right of the blue block.</x:v>
      </x:c>
      <x:c r="M1485" s="31" t="str">
        <x:v>Place the pink marker to the right of the blue block.</x:v>
      </x:c>
      <x:c r="N1485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1485" s="31" t="str">
        <x:v>pink marker</x:v>
      </x:c>
      <x:c r="P1485" s="31" t="str"/>
      <x:c r="Q1485" s="31" t="str"/>
      <x:c r="R1485" s="31" t="str"/>
      <x:c r="S1485" s="31" t="str">
        <x:f>IF('Blind Scoring'!I1485="","",'Blind Scoring'!I1485)</x:f>
      </x:c>
      <x:c r="T1485" s="31" t="str">
        <x:f>'Blind Scoring'!J1485</x:f>
        <x:v>No</x:v>
      </x:c>
      <x:c r="U1485" s="31" t="str">
        <x:f>IF('Blind Scoring'!L1485="","",'Blind Scoring'!L1485)</x:f>
      </x:c>
    </x:row>
    <x:row r="1486" ht="44" customHeight="1">
      <x:c r="A1486" s="35" t="str">
        <x:v>Not Started</x:v>
      </x:c>
      <x:c r="B1486" s="35" t="n">
        <x:v>1484</x:v>
      </x:c>
      <x:c r="C1486" s="35" t="str">
        <x:v>P24</x:v>
      </x:c>
      <x:c r="D1486" s="35" t="n">
        <x:v>59</x:v>
      </x:c>
      <x:c r="E1486" s="35" t="str">
        <x:v>Primary VLA</x:v>
      </x:c>
      <x:c r="F1486" s="35" t="str">
        <x:v>π0.5</x:v>
      </x:c>
      <x:c r="G1486" s="35" t="n">
        <x:v>3</x:v>
      </x:c>
      <x:c r="H1486" s="35" t="str">
        <x:v>Relational Placement</x:v>
      </x:c>
      <x:c r="I1486" s="35" t="str">
        <x:v>Main held-out transfer</x:v>
      </x:c>
      <x:c r="J1486" s="35" t="str">
        <x:v>PVLA-RP-TR-05</x:v>
      </x:c>
      <x:c r="K1486" s="35" t="str">
        <x:v>R-CF09</x:v>
      </x:c>
      <x:c r="L1486" s="31" t="str">
        <x:v>Place the green pen in front of the red block.</x:v>
      </x:c>
      <x:c r="M1486" s="31" t="str">
        <x:v>Place the green pen in front of the red block.</x:v>
      </x:c>
      <x:c r="N1486" s="31" t="str">
        <x:v>R-CF09-HELD: red block at front-left [REFERENCE]; green pen starts 24 cm behind the reference [TARGET START]; pink marker and blue block are distractors outside the commanded goal sector.</x:v>
      </x:c>
      <x:c r="O1486" s="31" t="str">
        <x:v>green pen → in front of red block</x:v>
      </x:c>
      <x:c r="P1486" s="31" t="str"/>
      <x:c r="Q1486" s="31" t="str"/>
      <x:c r="R1486" s="31" t="str"/>
      <x:c r="S1486" s="31" t="str">
        <x:f>IF('Blind Scoring'!I1486="","",'Blind Scoring'!I1486)</x:f>
      </x:c>
      <x:c r="T1486" s="31" t="str">
        <x:f>'Blind Scoring'!J1486</x:f>
        <x:v>No</x:v>
      </x:c>
      <x:c r="U1486" s="31" t="str">
        <x:f>IF('Blind Scoring'!L1486="","",'Blind Scoring'!L1486)</x:f>
      </x:c>
    </x:row>
    <x:row r="1487" ht="44" customHeight="1">
      <x:c r="A1487" s="35" t="str">
        <x:v>Not Started</x:v>
      </x:c>
      <x:c r="B1487" s="35" t="n">
        <x:v>1485</x:v>
      </x:c>
      <x:c r="C1487" s="35" t="str">
        <x:v>P24</x:v>
      </x:c>
      <x:c r="D1487" s="35" t="n">
        <x:v>60</x:v>
      </x:c>
      <x:c r="E1487" s="35" t="str">
        <x:v>Primary VLA</x:v>
      </x:c>
      <x:c r="F1487" s="35" t="str">
        <x:v>π0.5</x:v>
      </x:c>
      <x:c r="G1487" s="35" t="n">
        <x:v>3</x:v>
      </x:c>
      <x:c r="H1487" s="35" t="str">
        <x:v>Relational Placement</x:v>
      </x:c>
      <x:c r="I1487" s="35" t="str">
        <x:v>Language ablation — counterfactual</x:v>
      </x:c>
      <x:c r="J1487" s="35" t="str">
        <x:v>PVLA-RP-ABL-CF-04</x:v>
      </x:c>
      <x:c r="K1487" s="35" t="str">
        <x:v>R-CF15</x:v>
      </x:c>
      <x:c r="L1487" s="31" t="str">
        <x:v>Place the green pen in front of the red block.</x:v>
      </x:c>
      <x:c r="M1487" s="31" t="str">
        <x:v>Place the green pen in front of the red block.</x:v>
      </x:c>
      <x:c r="N1487" s="31" t="str">
        <x:v>R-CF15-HELD: red block at front-right [REFERENCE]; green pen starts 24 cm in front of the reference [TARGET START]; pink marker and blue block are distractors outside the commanded goal sector.</x:v>
      </x:c>
      <x:c r="O1487" s="31" t="str">
        <x:v>green pen → in front of red block</x:v>
      </x:c>
      <x:c r="P1487" s="31" t="str"/>
      <x:c r="Q1487" s="31" t="str"/>
      <x:c r="R1487" s="31" t="str"/>
      <x:c r="S1487" s="31" t="str">
        <x:f>IF('Blind Scoring'!I1487="","",'Blind Scoring'!I1487)</x:f>
      </x:c>
      <x:c r="T1487" s="31" t="str">
        <x:f>'Blind Scoring'!J1487</x:f>
        <x:v>No</x:v>
      </x:c>
      <x:c r="U1487" s="31" t="str">
        <x:f>IF('Blind Scoring'!L1487="","",'Blind Scoring'!L1487)</x:f>
      </x:c>
    </x:row>
    <x:row r="1488" ht="44" customHeight="1">
      <x:c r="A1488" s="35" t="str">
        <x:v>Not Started</x:v>
      </x:c>
      <x:c r="B1488" s="35" t="n">
        <x:v>1486</x:v>
      </x:c>
      <x:c r="C1488" s="35" t="str">
        <x:v>P24</x:v>
      </x:c>
      <x:c r="D1488" s="35" t="n">
        <x:v>61</x:v>
      </x:c>
      <x:c r="E1488" s="35" t="str">
        <x:v>Primary VLA</x:v>
      </x:c>
      <x:c r="F1488" s="35" t="str">
        <x:v>π0.5</x:v>
      </x:c>
      <x:c r="G1488" s="35" t="n">
        <x:v>3</x:v>
      </x:c>
      <x:c r="H1488" s="35" t="str">
        <x:v>Relational Placement</x:v>
      </x:c>
      <x:c r="I1488" s="35" t="str">
        <x:v>Novel layout + seen language</x:v>
      </x:c>
      <x:c r="J1488" s="35" t="str">
        <x:v>PVLA-RP-NOV-03</x:v>
      </x:c>
      <x:c r="K1488" s="35" t="str"/>
      <x:c r="L1488" s="31" t="str">
        <x:v>Place the blue block behind the green pen.</x:v>
      </x:c>
      <x:c r="M1488" s="31" t="str">
        <x:v>Place the blue block behind the green pen.</x:v>
      </x:c>
      <x:c r="N1488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1488" s="31" t="str">
        <x:v>blue block</x:v>
      </x:c>
      <x:c r="P1488" s="31" t="str"/>
      <x:c r="Q1488" s="31" t="str"/>
      <x:c r="R1488" s="31" t="str"/>
      <x:c r="S1488" s="31" t="str">
        <x:f>IF('Blind Scoring'!I1488="","",'Blind Scoring'!I1488)</x:f>
      </x:c>
      <x:c r="T1488" s="31" t="str">
        <x:f>'Blind Scoring'!J1488</x:f>
        <x:v>No</x:v>
      </x:c>
      <x:c r="U1488" s="31" t="str">
        <x:f>IF('Blind Scoring'!L1488="","",'Blind Scoring'!L1488)</x:f>
      </x:c>
    </x:row>
    <x:row r="1489" ht="44" customHeight="1">
      <x:c r="A1489" s="35" t="str">
        <x:v>Not Started</x:v>
      </x:c>
      <x:c r="B1489" s="35" t="n">
        <x:v>1487</x:v>
      </x:c>
      <x:c r="C1489" s="35" t="str">
        <x:v>P24</x:v>
      </x:c>
      <x:c r="D1489" s="35" t="n">
        <x:v>62</x:v>
      </x:c>
      <x:c r="E1489" s="35" t="str">
        <x:v>Primary VLA</x:v>
      </x:c>
      <x:c r="F1489" s="35" t="str">
        <x:v>π0.5</x:v>
      </x:c>
      <x:c r="G1489" s="35" t="n">
        <x:v>3</x:v>
      </x:c>
      <x:c r="H1489" s="35" t="str">
        <x:v>Relational Placement</x:v>
      </x:c>
      <x:c r="I1489" s="35" t="str">
        <x:v>Language ablation — counterfactual</x:v>
      </x:c>
      <x:c r="J1489" s="35" t="str">
        <x:v>PVLA-RP-ABL-CF-02</x:v>
      </x:c>
      <x:c r="K1489" s="35" t="str">
        <x:v>R-CF11</x:v>
      </x:c>
      <x:c r="L1489" s="31" t="str">
        <x:v>Place the green pen to the left of the red block.</x:v>
      </x:c>
      <x:c r="M1489" s="31" t="str">
        <x:v>Place the green pen to the left of the red block.</x:v>
      </x:c>
      <x:c r="N1489" s="31" t="str">
        <x:v>R-CF11-HELD: red block at center [REFERENCE]; green pen starts 21 cm to the left of the reference [TARGET START]; pink marker and blue block are distractors outside the commanded goal sector.</x:v>
      </x:c>
      <x:c r="O1489" s="31" t="str">
        <x:v>green pen → to the left of red block</x:v>
      </x:c>
      <x:c r="P1489" s="31" t="str"/>
      <x:c r="Q1489" s="31" t="str"/>
      <x:c r="R1489" s="31" t="str"/>
      <x:c r="S1489" s="31" t="str">
        <x:f>IF('Blind Scoring'!I1489="","",'Blind Scoring'!I1489)</x:f>
      </x:c>
      <x:c r="T1489" s="31" t="str">
        <x:f>'Blind Scoring'!J1489</x:f>
        <x:v>No</x:v>
      </x:c>
      <x:c r="U1489" s="31" t="str">
        <x:f>IF('Blind Scoring'!L1489="","",'Blind Scoring'!L1489)</x:f>
      </x:c>
    </x:row>
    <x:row r="1490" ht="44" customHeight="1">
      <x:c r="A1490" s="35" t="str">
        <x:v>Not Started</x:v>
      </x:c>
      <x:c r="B1490" s="35" t="n">
        <x:v>1488</x:v>
      </x:c>
      <x:c r="C1490" s="35" t="str">
        <x:v>P25</x:v>
      </x:c>
      <x:c r="D1490" s="35" t="n">
        <x:v>1</x:v>
      </x:c>
      <x:c r="E1490" s="35" t="str">
        <x:v>Primary VLA</x:v>
      </x:c>
      <x:c r="F1490" s="35" t="str">
        <x:v>VLA-0</x:v>
      </x:c>
      <x:c r="G1490" s="35" t="n">
        <x:v>3</x:v>
      </x:c>
      <x:c r="H1490" s="35" t="str">
        <x:v>State Recognition</x:v>
      </x:c>
      <x:c r="I1490" s="35" t="str">
        <x:v>Main matched control</x:v>
      </x:c>
      <x:c r="J1490" s="35" t="str">
        <x:v>PVLA-ST-CTL-15</x:v>
      </x:c>
      <x:c r="K1490" s="35" t="str">
        <x:v>S-CF28</x:v>
      </x:c>
      <x:c r="L1490" s="31" t="str">
        <x:v>Place a white cup in the bowl.</x:v>
      </x:c>
      <x:c r="M1490" s="31" t="str">
        <x:v>Place a white cup in the bowl.</x:v>
      </x:c>
      <x:c r="N1490" s="31" t="str">
        <x:v>S-CF28-CTRL: P2 yellow-white striped cup B=O/UR; P3 brown cup A=O/UD; P4 white cup B=C/UR [TARGET].</x:v>
      </x:c>
      <x:c r="O1490" s="31" t="str">
        <x:v>white cup B</x:v>
      </x:c>
      <x:c r="P1490" s="31" t="str"/>
      <x:c r="Q1490" s="31" t="str"/>
      <x:c r="R1490" s="31" t="str"/>
      <x:c r="S1490" s="31" t="str">
        <x:f>IF('Blind Scoring'!I1490="","",'Blind Scoring'!I1490)</x:f>
      </x:c>
      <x:c r="T1490" s="31" t="str">
        <x:f>'Blind Scoring'!J1490</x:f>
        <x:v>No</x:v>
      </x:c>
      <x:c r="U1490" s="31" t="str">
        <x:f>IF('Blind Scoring'!L1490="","",'Blind Scoring'!L1490)</x:f>
      </x:c>
    </x:row>
    <x:row r="1491" ht="44" customHeight="1">
      <x:c r="A1491" s="35" t="str">
        <x:v>Not Started</x:v>
      </x:c>
      <x:c r="B1491" s="35" t="n">
        <x:v>1489</x:v>
      </x:c>
      <x:c r="C1491" s="35" t="str">
        <x:v>P25</x:v>
      </x:c>
      <x:c r="D1491" s="35" t="n">
        <x:v>2</x:v>
      </x:c>
      <x:c r="E1491" s="35" t="str">
        <x:v>Primary VLA</x:v>
      </x:c>
      <x:c r="F1491" s="35" t="str">
        <x:v>VLA-0</x:v>
      </x:c>
      <x:c r="G1491" s="35" t="n">
        <x:v>3</x:v>
      </x:c>
      <x:c r="H1491" s="35" t="str">
        <x:v>State Recognition</x:v>
      </x:c>
      <x:c r="I1491" s="35" t="str">
        <x:v>Novel layout + seen language</x:v>
      </x:c>
      <x:c r="J1491" s="35" t="str">
        <x:v>PVLA-ST-NOV-02</x:v>
      </x:c>
      <x:c r="K1491" s="35" t="str">
        <x:v>S-CF04</x:v>
      </x:c>
      <x:c r="L1491" s="31" t="str">
        <x:v>Place the upside-down white cup in the bowl.</x:v>
      </x:c>
      <x:c r="M1491" s="31" t="str">
        <x:v>Place the upside-down white cup in the bowl.</x:v>
      </x:c>
      <x:c r="N1491" s="31" t="str">
        <x:v>S-CF04-SEEN: P1 white cup A=C/UD [COMPETITOR]; P2 yellow-white striped cup B=O/UR; P3 brown cup A=O/UD; P4 white cup B=C/UR [TARGET].</x:v>
      </x:c>
      <x:c r="O1491" s="31" t="str">
        <x:v>white cup A</x:v>
      </x:c>
      <x:c r="P1491" s="31" t="str"/>
      <x:c r="Q1491" s="31" t="str"/>
      <x:c r="R1491" s="31" t="str"/>
      <x:c r="S1491" s="31" t="str">
        <x:f>IF('Blind Scoring'!I1491="","",'Blind Scoring'!I1491)</x:f>
      </x:c>
      <x:c r="T1491" s="31" t="str">
        <x:f>'Blind Scoring'!J1491</x:f>
        <x:v>No</x:v>
      </x:c>
      <x:c r="U1491" s="31" t="str">
        <x:f>IF('Blind Scoring'!L1491="","",'Blind Scoring'!L1491)</x:f>
      </x:c>
    </x:row>
    <x:row r="1492" ht="44" customHeight="1">
      <x:c r="A1492" s="35" t="str">
        <x:v>Not Started</x:v>
      </x:c>
      <x:c r="B1492" s="35" t="n">
        <x:v>1490</x:v>
      </x:c>
      <x:c r="C1492" s="35" t="str">
        <x:v>P25</x:v>
      </x:c>
      <x:c r="D1492" s="35" t="n">
        <x:v>3</x:v>
      </x:c>
      <x:c r="E1492" s="35" t="str">
        <x:v>Primary VLA</x:v>
      </x:c>
      <x:c r="F1492" s="35" t="str">
        <x:v>VLA-0</x:v>
      </x:c>
      <x:c r="G1492" s="35" t="n">
        <x:v>3</x:v>
      </x:c>
      <x:c r="H1492" s="35" t="str">
        <x:v>State Recognition</x:v>
      </x:c>
      <x:c r="I1492" s="35" t="str">
        <x:v>Main held-out transfer</x:v>
      </x:c>
      <x:c r="J1492" s="35" t="str">
        <x:v>PVLA-ST-TR-02</x:v>
      </x:c>
      <x:c r="K1492" s="35" t="str">
        <x:v>S-CF03</x:v>
      </x:c>
      <x:c r="L1492" s="31" t="str">
        <x:v>Place the closed glass spice container in the bowl.</x:v>
      </x:c>
      <x:c r="M1492" s="31" t="str">
        <x:v>Place the closed glass spice container in the bowl.</x:v>
      </x:c>
      <x:c r="N1492" s="31" t="str">
        <x:v>S-CF03-HELD: P1 white cup A=C/UR; P2 yellow-white striped cup A=O/UR; P3 glass spice container B=C/UD [TARGET]; P4 glass spice container A=O/UD [COMPETITOR].</x:v>
      </x:c>
      <x:c r="O1492" s="31" t="str">
        <x:v>glass spice container B</x:v>
      </x:c>
      <x:c r="P1492" s="31" t="str"/>
      <x:c r="Q1492" s="31" t="str"/>
      <x:c r="R1492" s="31" t="str"/>
      <x:c r="S1492" s="31" t="str">
        <x:f>IF('Blind Scoring'!I1492="","",'Blind Scoring'!I1492)</x:f>
      </x:c>
      <x:c r="T1492" s="31" t="str">
        <x:f>'Blind Scoring'!J1492</x:f>
        <x:v>No</x:v>
      </x:c>
      <x:c r="U1492" s="31" t="str">
        <x:f>IF('Blind Scoring'!L1492="","",'Blind Scoring'!L1492)</x:f>
      </x:c>
    </x:row>
    <x:row r="1493" ht="44" customHeight="1">
      <x:c r="A1493" s="35" t="str">
        <x:v>Not Started</x:v>
      </x:c>
      <x:c r="B1493" s="35" t="n">
        <x:v>1491</x:v>
      </x:c>
      <x:c r="C1493" s="35" t="str">
        <x:v>P25</x:v>
      </x:c>
      <x:c r="D1493" s="35" t="n">
        <x:v>4</x:v>
      </x:c>
      <x:c r="E1493" s="35" t="str">
        <x:v>Primary VLA</x:v>
      </x:c>
      <x:c r="F1493" s="35" t="str">
        <x:v>VLA-0</x:v>
      </x:c>
      <x:c r="G1493" s="35" t="n">
        <x:v>3</x:v>
      </x:c>
      <x:c r="H1493" s="35" t="str">
        <x:v>State Recognition</x:v>
      </x:c>
      <x:c r="I1493" s="35" t="str">
        <x:v>Language ablation — counterfactual</x:v>
      </x:c>
      <x:c r="J1493" s="35" t="str">
        <x:v>PVLA-ST-ABL-CF-02</x:v>
      </x:c>
      <x:c r="K1493" s="35" t="str">
        <x:v>S-CF11</x:v>
      </x:c>
      <x:c r="L1493" s="31" t="str">
        <x:v>Place the open glass spice container in the bowl.</x:v>
      </x:c>
      <x:c r="M1493" s="31" t="str">
        <x:v>Place the open glass spice container in the bowl.</x:v>
      </x:c>
      <x:c r="N1493" s="31" t="str">
        <x:v>S-CF11-HELD: P1 white cup A=C/UR; P2 yellow-white striped cup A=O/UR; P3 glass spice container B=C/UD [TARGET]; P4 glass spice container A=O/UD [COMPETITOR].</x:v>
      </x:c>
      <x:c r="O1493" s="31" t="str">
        <x:v>glass spice container A</x:v>
      </x:c>
      <x:c r="P1493" s="31" t="str"/>
      <x:c r="Q1493" s="31" t="str"/>
      <x:c r="R1493" s="31" t="str"/>
      <x:c r="S1493" s="31" t="str">
        <x:f>IF('Blind Scoring'!I1493="","",'Blind Scoring'!I1493)</x:f>
      </x:c>
      <x:c r="T1493" s="31" t="str">
        <x:f>'Blind Scoring'!J1493</x:f>
        <x:v>No</x:v>
      </x:c>
      <x:c r="U1493" s="31" t="str">
        <x:f>IF('Blind Scoring'!L1493="","",'Blind Scoring'!L1493)</x:f>
      </x:c>
    </x:row>
    <x:row r="1494" ht="44" customHeight="1">
      <x:c r="A1494" s="35" t="str">
        <x:v>Not Started</x:v>
      </x:c>
      <x:c r="B1494" s="35" t="n">
        <x:v>1492</x:v>
      </x:c>
      <x:c r="C1494" s="35" t="str">
        <x:v>P25</x:v>
      </x:c>
      <x:c r="D1494" s="35" t="n">
        <x:v>5</x:v>
      </x:c>
      <x:c r="E1494" s="35" t="str">
        <x:v>Primary VLA</x:v>
      </x:c>
      <x:c r="F1494" s="35" t="str">
        <x:v>VLA-0</x:v>
      </x:c>
      <x:c r="G1494" s="35" t="n">
        <x:v>3</x:v>
      </x:c>
      <x:c r="H1494" s="35" t="str">
        <x:v>State Recognition</x:v>
      </x:c>
      <x:c r="I1494" s="35" t="str">
        <x:v>Novel layout + seen language</x:v>
      </x:c>
      <x:c r="J1494" s="35" t="str">
        <x:v>PVLA-ST-NOV-05</x:v>
      </x:c>
      <x:c r="K1494" s="35" t="str">
        <x:v>S-CF12</x:v>
      </x:c>
      <x:c r="L1494" s="31" t="str">
        <x:v>Place the upside-down white cup in the bowl.</x:v>
      </x:c>
      <x:c r="M1494" s="31" t="str">
        <x:v>Place the upside-down white cup in the bowl.</x:v>
      </x:c>
      <x:c r="N1494" s="31" t="str">
        <x:v>S-CF12-SEEN: P1 white cup A=C/UD [COMPETITOR]; P2 yellow-white striped cup B=O/UR; P3 brown cup A=O/UD; P4 white cup B=C/UR [TARGET].</x:v>
      </x:c>
      <x:c r="O1494" s="31" t="str">
        <x:v>white cup A</x:v>
      </x:c>
      <x:c r="P1494" s="31" t="str"/>
      <x:c r="Q1494" s="31" t="str"/>
      <x:c r="R1494" s="31" t="str"/>
      <x:c r="S1494" s="31" t="str">
        <x:f>IF('Blind Scoring'!I1494="","",'Blind Scoring'!I1494)</x:f>
      </x:c>
      <x:c r="T1494" s="31" t="str">
        <x:f>'Blind Scoring'!J1494</x:f>
        <x:v>No</x:v>
      </x:c>
      <x:c r="U1494" s="31" t="str">
        <x:f>IF('Blind Scoring'!L1494="","",'Blind Scoring'!L1494)</x:f>
      </x:c>
    </x:row>
    <x:row r="1495" ht="44" customHeight="1">
      <x:c r="A1495" s="35" t="str">
        <x:v>Not Started</x:v>
      </x:c>
      <x:c r="B1495" s="35" t="n">
        <x:v>1493</x:v>
      </x:c>
      <x:c r="C1495" s="35" t="str">
        <x:v>P25</x:v>
      </x:c>
      <x:c r="D1495" s="35" t="n">
        <x:v>6</x:v>
      </x:c>
      <x:c r="E1495" s="35" t="str">
        <x:v>Primary VLA</x:v>
      </x:c>
      <x:c r="F1495" s="35" t="str">
        <x:v>VLA-0</x:v>
      </x:c>
      <x:c r="G1495" s="35" t="n">
        <x:v>3</x:v>
      </x:c>
      <x:c r="H1495" s="35" t="str">
        <x:v>State Recognition</x:v>
      </x:c>
      <x:c r="I1495" s="35" t="str">
        <x:v>Exact-scene paraphrase</x:v>
      </x:c>
      <x:c r="J1495" s="35" t="str">
        <x:v>PVLA-ST-PAR-03</x:v>
      </x:c>
      <x:c r="K1495" s="35" t="str">
        <x:v>S-CF06</x:v>
      </x:c>
      <x:c r="L1495" s="31" t="str">
        <x:v>Move the overturned glass spice container into the bowl.</x:v>
      </x:c>
      <x:c r="M1495" s="31" t="str">
        <x:v>Move the overturned glass spice container into the bowl.</x:v>
      </x:c>
      <x:c r="N1495" s="31" t="str">
        <x:v>S-CF06-PARA: P1 white cup B=C/UR; P2 glass spice container A=O/UR [TARGET]; P3 glass spice container B=O/UD [COMPETITOR]; P4 yellow-white striped cup B=C/UD.</x:v>
      </x:c>
      <x:c r="O1495" s="31" t="str">
        <x:v>glass spice container B</x:v>
      </x:c>
      <x:c r="P1495" s="31" t="str"/>
      <x:c r="Q1495" s="31" t="str"/>
      <x:c r="R1495" s="31" t="str"/>
      <x:c r="S1495" s="31" t="str">
        <x:f>IF('Blind Scoring'!I1495="","",'Blind Scoring'!I1495)</x:f>
      </x:c>
      <x:c r="T1495" s="31" t="str">
        <x:f>'Blind Scoring'!J1495</x:f>
        <x:v>No</x:v>
      </x:c>
      <x:c r="U1495" s="31" t="str">
        <x:f>IF('Blind Scoring'!L1495="","",'Blind Scoring'!L1495)</x:f>
      </x:c>
    </x:row>
    <x:row r="1496" ht="44" customHeight="1">
      <x:c r="A1496" s="35" t="str">
        <x:v>Not Started</x:v>
      </x:c>
      <x:c r="B1496" s="35" t="n">
        <x:v>1494</x:v>
      </x:c>
      <x:c r="C1496" s="35" t="str">
        <x:v>P25</x:v>
      </x:c>
      <x:c r="D1496" s="35" t="n">
        <x:v>7</x:v>
      </x:c>
      <x:c r="E1496" s="35" t="str">
        <x:v>Primary VLA</x:v>
      </x:c>
      <x:c r="F1496" s="35" t="str">
        <x:v>VLA-0</x:v>
      </x:c>
      <x:c r="G1496" s="35" t="n">
        <x:v>3</x:v>
      </x:c>
      <x:c r="H1496" s="35" t="str">
        <x:v>State Recognition</x:v>
      </x:c>
      <x:c r="I1496" s="35" t="str">
        <x:v>Exact-scene paraphrase</x:v>
      </x:c>
      <x:c r="J1496" s="35" t="str">
        <x:v>PVLA-ST-PAR-08</x:v>
      </x:c>
      <x:c r="K1496" s="35" t="str">
        <x:v>S-CF20</x:v>
      </x:c>
      <x:c r="L1496" s="31" t="str">
        <x:v>Find the white cup that is turned upside down and move it into the bowl.</x:v>
      </x:c>
      <x:c r="M1496" s="31" t="str">
        <x:v>Find the white cup that is turned upside down and move it into the bowl.</x:v>
      </x:c>
      <x:c r="N1496" s="31" t="str">
        <x:v>S-CF20-PARA: P1 white cup A=C/UD [COMPETITOR]; P2 yellow-white striped cup B=O/UR; P3 brown cup A=O/UD; P4 white cup B=C/UR [TARGET].</x:v>
      </x:c>
      <x:c r="O1496" s="31" t="str">
        <x:v>white cup A</x:v>
      </x:c>
      <x:c r="P1496" s="31" t="str"/>
      <x:c r="Q1496" s="31" t="str"/>
      <x:c r="R1496" s="31" t="str"/>
      <x:c r="S1496" s="31" t="str">
        <x:f>IF('Blind Scoring'!I1496="","",'Blind Scoring'!I1496)</x:f>
      </x:c>
      <x:c r="T1496" s="31" t="str">
        <x:f>'Blind Scoring'!J1496</x:f>
        <x:v>No</x:v>
      </x:c>
      <x:c r="U1496" s="31" t="str">
        <x:f>IF('Blind Scoring'!L1496="","",'Blind Scoring'!L1496)</x:f>
      </x:c>
    </x:row>
    <x:row r="1497" ht="44" customHeight="1">
      <x:c r="A1497" s="35" t="str">
        <x:v>Not Started</x:v>
      </x:c>
      <x:c r="B1497" s="35" t="n">
        <x:v>1495</x:v>
      </x:c>
      <x:c r="C1497" s="35" t="str">
        <x:v>P25</x:v>
      </x:c>
      <x:c r="D1497" s="35" t="n">
        <x:v>8</x:v>
      </x:c>
      <x:c r="E1497" s="35" t="str">
        <x:v>Primary VLA</x:v>
      </x:c>
      <x:c r="F1497" s="35" t="str">
        <x:v>VLA-0</x:v>
      </x:c>
      <x:c r="G1497" s="35" t="n">
        <x:v>3</x:v>
      </x:c>
      <x:c r="H1497" s="35" t="str">
        <x:v>State Recognition</x:v>
      </x:c>
      <x:c r="I1497" s="35" t="str">
        <x:v>Exact-scene paraphrase</x:v>
      </x:c>
      <x:c r="J1497" s="35" t="str">
        <x:v>PVLA-ST-PAR-06</x:v>
      </x:c>
      <x:c r="K1497" s="35" t="str">
        <x:v>S-CF15</x:v>
      </x:c>
      <x:c r="L1497" s="31" t="str">
        <x:v>Move the yellow-white striped cup that is open into the bowl.</x:v>
      </x:c>
      <x:c r="M1497" s="31" t="str">
        <x:v>Move the yellow-white striped cup that is open into the bowl.</x:v>
      </x:c>
      <x:c r="N1497" s="31" t="str">
        <x:v>S-CF15-PARA: P1 brown cup A=C/UR; P2 glass spice container A=O/UR; P3 yellow-white striped cup A=C/UD [TARGET]; P4 yellow-white striped cup B=O/UD [COMPETITOR].</x:v>
      </x:c>
      <x:c r="O1497" s="31" t="str">
        <x:v>yellow-white striped cup B</x:v>
      </x:c>
      <x:c r="P1497" s="31" t="str"/>
      <x:c r="Q1497" s="31" t="str"/>
      <x:c r="R1497" s="31" t="str"/>
      <x:c r="S1497" s="31" t="str">
        <x:f>IF('Blind Scoring'!I1497="","",'Blind Scoring'!I1497)</x:f>
      </x:c>
      <x:c r="T1497" s="31" t="str">
        <x:f>'Blind Scoring'!J1497</x:f>
        <x:v>No</x:v>
      </x:c>
      <x:c r="U1497" s="31" t="str">
        <x:f>IF('Blind Scoring'!L1497="","",'Blind Scoring'!L1497)</x:f>
      </x:c>
    </x:row>
    <x:row r="1498" ht="44" customHeight="1">
      <x:c r="A1498" s="35" t="str">
        <x:v>Not Started</x:v>
      </x:c>
      <x:c r="B1498" s="35" t="n">
        <x:v>1496</x:v>
      </x:c>
      <x:c r="C1498" s="35" t="str">
        <x:v>P25</x:v>
      </x:c>
      <x:c r="D1498" s="35" t="n">
        <x:v>9</x:v>
      </x:c>
      <x:c r="E1498" s="35" t="str">
        <x:v>Primary VLA</x:v>
      </x:c>
      <x:c r="F1498" s="35" t="str">
        <x:v>VLA-0</x:v>
      </x:c>
      <x:c r="G1498" s="35" t="n">
        <x:v>3</x:v>
      </x:c>
      <x:c r="H1498" s="35" t="str">
        <x:v>State Recognition</x:v>
      </x:c>
      <x:c r="I1498" s="35" t="str">
        <x:v>Exact-scene paraphrase</x:v>
      </x:c>
      <x:c r="J1498" s="35" t="str">
        <x:v>PVLA-ST-PAR-07</x:v>
      </x:c>
      <x:c r="K1498" s="35" t="str">
        <x:v>S-CF17</x:v>
      </x:c>
      <x:c r="L1498" s="31" t="str">
        <x:v>Find the white cup with its opening uncovered and move it into the bowl.</x:v>
      </x:c>
      <x:c r="M1498" s="31" t="str">
        <x:v>Find the white cup with its opening uncovered and move it into the bowl.</x:v>
      </x:c>
      <x:c r="N1498" s="31" t="str">
        <x:v>S-CF17-PARA: P1 white cup A=C/UR [TARGET]; P2 white cup B=O/UR [COMPETITOR]; P3 yellow-white striped cup A=C/UD; P4 brown cup B=O/UD.</x:v>
      </x:c>
      <x:c r="O1498" s="31" t="str">
        <x:v>white cup B</x:v>
      </x:c>
      <x:c r="P1498" s="31" t="str"/>
      <x:c r="Q1498" s="31" t="str"/>
      <x:c r="R1498" s="31" t="str"/>
      <x:c r="S1498" s="31" t="str">
        <x:f>IF('Blind Scoring'!I1498="","",'Blind Scoring'!I1498)</x:f>
      </x:c>
      <x:c r="T1498" s="31" t="str">
        <x:f>'Blind Scoring'!J1498</x:f>
        <x:v>No</x:v>
      </x:c>
      <x:c r="U1498" s="31" t="str">
        <x:f>IF('Blind Scoring'!L1498="","",'Blind Scoring'!L1498)</x:f>
      </x:c>
    </x:row>
    <x:row r="1499" ht="44" customHeight="1">
      <x:c r="A1499" s="35" t="str">
        <x:v>Not Started</x:v>
      </x:c>
      <x:c r="B1499" s="35" t="n">
        <x:v>1497</x:v>
      </x:c>
      <x:c r="C1499" s="35" t="str">
        <x:v>P25</x:v>
      </x:c>
      <x:c r="D1499" s="35" t="n">
        <x:v>10</x:v>
      </x:c>
      <x:c r="E1499" s="35" t="str">
        <x:v>Primary VLA</x:v>
      </x:c>
      <x:c r="F1499" s="35" t="str">
        <x:v>VLA-0</x:v>
      </x:c>
      <x:c r="G1499" s="35" t="n">
        <x:v>3</x:v>
      </x:c>
      <x:c r="H1499" s="35" t="str">
        <x:v>State Recognition</x:v>
      </x:c>
      <x:c r="I1499" s="35" t="str">
        <x:v>Main matched control</x:v>
      </x:c>
      <x:c r="J1499" s="35" t="str">
        <x:v>PVLA-ST-CTL-06</x:v>
      </x:c>
      <x:c r="K1499" s="35" t="str">
        <x:v>S-CF11</x:v>
      </x:c>
      <x:c r="L1499" s="31" t="str">
        <x:v>Place a glass spice container in the bowl.</x:v>
      </x:c>
      <x:c r="M1499" s="31" t="str">
        <x:v>Place a glass spice container in the bowl.</x:v>
      </x:c>
      <x:c r="N1499" s="31" t="str">
        <x:v>S-CF11-CTRL: P1 white cup A=C/UR; P2 yellow-white striped cup A=O/UR; P3 glass spice container B=C/UD [TARGET].</x:v>
      </x:c>
      <x:c r="O1499" s="31" t="str">
        <x:v>glass spice container B</x:v>
      </x:c>
      <x:c r="P1499" s="31" t="str"/>
      <x:c r="Q1499" s="31" t="str"/>
      <x:c r="R1499" s="31" t="str"/>
      <x:c r="S1499" s="31" t="str">
        <x:f>IF('Blind Scoring'!I1499="","",'Blind Scoring'!I1499)</x:f>
      </x:c>
      <x:c r="T1499" s="31" t="str">
        <x:f>'Blind Scoring'!J1499</x:f>
        <x:v>No</x:v>
      </x:c>
      <x:c r="U1499" s="31" t="str">
        <x:f>IF('Blind Scoring'!L1499="","",'Blind Scoring'!L1499)</x:f>
      </x:c>
    </x:row>
    <x:row r="1500" ht="44" customHeight="1">
      <x:c r="A1500" s="35" t="str">
        <x:v>Not Started</x:v>
      </x:c>
      <x:c r="B1500" s="35" t="n">
        <x:v>1498</x:v>
      </x:c>
      <x:c r="C1500" s="35" t="str">
        <x:v>P25</x:v>
      </x:c>
      <x:c r="D1500" s="35" t="n">
        <x:v>11</x:v>
      </x:c>
      <x:c r="E1500" s="35" t="str">
        <x:v>Primary VLA</x:v>
      </x:c>
      <x:c r="F1500" s="35" t="str">
        <x:v>VLA-0</x:v>
      </x:c>
      <x:c r="G1500" s="35" t="n">
        <x:v>3</x:v>
      </x:c>
      <x:c r="H1500" s="35" t="str">
        <x:v>State Recognition</x:v>
      </x:c>
      <x:c r="I1500" s="35" t="str">
        <x:v>Main held-out transfer</x:v>
      </x:c>
      <x:c r="J1500" s="35" t="str">
        <x:v>PVLA-ST-TR-13</x:v>
      </x:c>
      <x:c r="K1500" s="35" t="str">
        <x:v>S-CF24</x:v>
      </x:c>
      <x:c r="L1500" s="31" t="str">
        <x:v>Place the upright brown cup in the bowl.</x:v>
      </x:c>
      <x:c r="M1500" s="31" t="str">
        <x:v>Place the upright brown cup in the bowl.</x:v>
      </x:c>
      <x:c r="N1500" s="31" t="str">
        <x:v>S-CF24-HELD: P1 brown cup A=C/UD [COMPETITOR]; P2 glass spice container B=O/UR; P3 white cup A=O/UD; P4 brown cup B=C/UR [TARGET].</x:v>
      </x:c>
      <x:c r="O1500" s="31" t="str">
        <x:v>brown cup B</x:v>
      </x:c>
      <x:c r="P1500" s="31" t="str"/>
      <x:c r="Q1500" s="31" t="str"/>
      <x:c r="R1500" s="31" t="str"/>
      <x:c r="S1500" s="31" t="str">
        <x:f>IF('Blind Scoring'!I1500="","",'Blind Scoring'!I1500)</x:f>
      </x:c>
      <x:c r="T1500" s="31" t="str">
        <x:f>'Blind Scoring'!J1500</x:f>
        <x:v>No</x:v>
      </x:c>
      <x:c r="U1500" s="31" t="str">
        <x:f>IF('Blind Scoring'!L1500="","",'Blind Scoring'!L1500)</x:f>
      </x:c>
    </x:row>
    <x:row r="1501" ht="44" customHeight="1">
      <x:c r="A1501" s="35" t="str">
        <x:v>Not Started</x:v>
      </x:c>
      <x:c r="B1501" s="35" t="n">
        <x:v>1499</x:v>
      </x:c>
      <x:c r="C1501" s="35" t="str">
        <x:v>P25</x:v>
      </x:c>
      <x:c r="D1501" s="35" t="n">
        <x:v>12</x:v>
      </x:c>
      <x:c r="E1501" s="35" t="str">
        <x:v>Primary VLA</x:v>
      </x:c>
      <x:c r="F1501" s="35" t="str">
        <x:v>VLA-0</x:v>
      </x:c>
      <x:c r="G1501" s="35" t="n">
        <x:v>3</x:v>
      </x:c>
      <x:c r="H1501" s="35" t="str">
        <x:v>State Recognition</x:v>
      </x:c>
      <x:c r="I1501" s="35" t="str">
        <x:v>Novel layout + seen language</x:v>
      </x:c>
      <x:c r="J1501" s="35" t="str">
        <x:v>PVLA-ST-NOV-04</x:v>
      </x:c>
      <x:c r="K1501" s="35" t="str">
        <x:v>S-CF09</x:v>
      </x:c>
      <x:c r="L1501" s="31" t="str">
        <x:v>Place the open white cup in the bowl.</x:v>
      </x:c>
      <x:c r="M1501" s="31" t="str">
        <x:v>Place the open white cup in the bowl.</x:v>
      </x:c>
      <x:c r="N1501" s="31" t="str">
        <x:v>S-CF09-SEEN: P1 white cup A=C/UR [TARGET]; P2 white cup B=O/UR [COMPETITOR]; P3 yellow-white striped cup A=C/UD; P4 brown cup B=O/UD.</x:v>
      </x:c>
      <x:c r="O1501" s="31" t="str">
        <x:v>white cup B</x:v>
      </x:c>
      <x:c r="P1501" s="31" t="str"/>
      <x:c r="Q1501" s="31" t="str"/>
      <x:c r="R1501" s="31" t="str"/>
      <x:c r="S1501" s="31" t="str">
        <x:f>IF('Blind Scoring'!I1501="","",'Blind Scoring'!I1501)</x:f>
      </x:c>
      <x:c r="T1501" s="31" t="str">
        <x:f>'Blind Scoring'!J1501</x:f>
        <x:v>No</x:v>
      </x:c>
      <x:c r="U1501" s="31" t="str">
        <x:f>IF('Blind Scoring'!L1501="","",'Blind Scoring'!L1501)</x:f>
      </x:c>
    </x:row>
    <x:row r="1502" ht="44" customHeight="1">
      <x:c r="A1502" s="35" t="str">
        <x:v>Not Started</x:v>
      </x:c>
      <x:c r="B1502" s="35" t="n">
        <x:v>1500</x:v>
      </x:c>
      <x:c r="C1502" s="35" t="str">
        <x:v>P25</x:v>
      </x:c>
      <x:c r="D1502" s="35" t="n">
        <x:v>13</x:v>
      </x:c>
      <x:c r="E1502" s="35" t="str">
        <x:v>Primary VLA</x:v>
      </x:c>
      <x:c r="F1502" s="35" t="str">
        <x:v>VLA-0</x:v>
      </x:c>
      <x:c r="G1502" s="35" t="n">
        <x:v>3</x:v>
      </x:c>
      <x:c r="H1502" s="35" t="str">
        <x:v>State Recognition</x:v>
      </x:c>
      <x:c r="I1502" s="35" t="str">
        <x:v>Novel layout + seen language</x:v>
      </x:c>
      <x:c r="J1502" s="35" t="str">
        <x:v>PVLA-ST-NOV-03</x:v>
      </x:c>
      <x:c r="K1502" s="35" t="str">
        <x:v>S-CF06</x:v>
      </x:c>
      <x:c r="L1502" s="31" t="str">
        <x:v>Place the upside-down glass spice container in the bowl.</x:v>
      </x:c>
      <x:c r="M1502" s="31" t="str">
        <x:v>Place the upside-down glass spice container in the bowl.</x:v>
      </x:c>
      <x:c r="N1502" s="31" t="str">
        <x:v>S-CF06-SEEN: P1 white cup B=C/UR; P2 glass spice container A=O/UR [TARGET]; P3 glass spice container B=O/UD [COMPETITOR]; P4 yellow-white striped cup B=C/UD.</x:v>
      </x:c>
      <x:c r="O1502" s="31" t="str">
        <x:v>glass spice container B</x:v>
      </x:c>
      <x:c r="P1502" s="31" t="str"/>
      <x:c r="Q1502" s="31" t="str"/>
      <x:c r="R1502" s="31" t="str"/>
      <x:c r="S1502" s="31" t="str">
        <x:f>IF('Blind Scoring'!I1502="","",'Blind Scoring'!I1502)</x:f>
      </x:c>
      <x:c r="T1502" s="31" t="str">
        <x:f>'Blind Scoring'!J1502</x:f>
        <x:v>No</x:v>
      </x:c>
      <x:c r="U1502" s="31" t="str">
        <x:f>IF('Blind Scoring'!L1502="","",'Blind Scoring'!L1502)</x:f>
      </x:c>
    </x:row>
    <x:row r="1503" ht="44" customHeight="1">
      <x:c r="A1503" s="35" t="str">
        <x:v>Not Started</x:v>
      </x:c>
      <x:c r="B1503" s="35" t="n">
        <x:v>1501</x:v>
      </x:c>
      <x:c r="C1503" s="35" t="str">
        <x:v>P25</x:v>
      </x:c>
      <x:c r="D1503" s="35" t="n">
        <x:v>14</x:v>
      </x:c>
      <x:c r="E1503" s="35" t="str">
        <x:v>Primary VLA</x:v>
      </x:c>
      <x:c r="F1503" s="35" t="str">
        <x:v>VLA-0</x:v>
      </x:c>
      <x:c r="G1503" s="35" t="n">
        <x:v>3</x:v>
      </x:c>
      <x:c r="H1503" s="35" t="str">
        <x:v>State Recognition</x:v>
      </x:c>
      <x:c r="I1503" s="35" t="str">
        <x:v>Exact-scene paraphrase</x:v>
      </x:c>
      <x:c r="J1503" s="35" t="str">
        <x:v>PVLA-ST-PAR-04</x:v>
      </x:c>
      <x:c r="K1503" s="35" t="str">
        <x:v>S-CF09</x:v>
      </x:c>
      <x:c r="L1503" s="31" t="str">
        <x:v>Move the white cup that is open into the bowl.</x:v>
      </x:c>
      <x:c r="M1503" s="31" t="str">
        <x:v>Move the white cup that is open into the bowl.</x:v>
      </x:c>
      <x:c r="N1503" s="31" t="str">
        <x:v>S-CF09-PARA: P1 white cup A=C/UR [TARGET]; P2 white cup B=O/UR [COMPETITOR]; P3 yellow-white striped cup A=C/UD; P4 brown cup B=O/UD.</x:v>
      </x:c>
      <x:c r="O1503" s="31" t="str">
        <x:v>white cup B</x:v>
      </x:c>
      <x:c r="P1503" s="31" t="str"/>
      <x:c r="Q1503" s="31" t="str"/>
      <x:c r="R1503" s="31" t="str"/>
      <x:c r="S1503" s="31" t="str">
        <x:f>IF('Blind Scoring'!I1503="","",'Blind Scoring'!I1503)</x:f>
      </x:c>
      <x:c r="T1503" s="31" t="str">
        <x:f>'Blind Scoring'!J1503</x:f>
        <x:v>No</x:v>
      </x:c>
      <x:c r="U1503" s="31" t="str">
        <x:f>IF('Blind Scoring'!L1503="","",'Blind Scoring'!L1503)</x:f>
      </x:c>
    </x:row>
    <x:row r="1504" ht="44" customHeight="1">
      <x:c r="A1504" s="35" t="str">
        <x:v>Not Started</x:v>
      </x:c>
      <x:c r="B1504" s="35" t="n">
        <x:v>1502</x:v>
      </x:c>
      <x:c r="C1504" s="35" t="str">
        <x:v>P25</x:v>
      </x:c>
      <x:c r="D1504" s="35" t="n">
        <x:v>15</x:v>
      </x:c>
      <x:c r="E1504" s="35" t="str">
        <x:v>Primary VLA</x:v>
      </x:c>
      <x:c r="F1504" s="35" t="str">
        <x:v>VLA-0</x:v>
      </x:c>
      <x:c r="G1504" s="35" t="n">
        <x:v>3</x:v>
      </x:c>
      <x:c r="H1504" s="35" t="str">
        <x:v>State Recognition</x:v>
      </x:c>
      <x:c r="I1504" s="35" t="str">
        <x:v>Main matched control</x:v>
      </x:c>
      <x:c r="J1504" s="35" t="str">
        <x:v>PVLA-ST-CTL-14</x:v>
      </x:c>
      <x:c r="K1504" s="35" t="str">
        <x:v>S-CF26</x:v>
      </x:c>
      <x:c r="L1504" s="31" t="str">
        <x:v>Place a yellow-white striped cup in the bowl.</x:v>
      </x:c>
      <x:c r="M1504" s="31" t="str">
        <x:v>Place a yellow-white striped cup in the bowl.</x:v>
      </x:c>
      <x:c r="N1504" s="31" t="str">
        <x:v>S-CF26-CTRL: P1 brown cup B=C/UR; P2 yellow-white striped cup B=O/UR [TARGET]; P4 glass spice container B=C/UD.</x:v>
      </x:c>
      <x:c r="O1504" s="31" t="str">
        <x:v>yellow-white striped cup B</x:v>
      </x:c>
      <x:c r="P1504" s="31" t="str"/>
      <x:c r="Q1504" s="31" t="str"/>
      <x:c r="R1504" s="31" t="str"/>
      <x:c r="S1504" s="31" t="str">
        <x:f>IF('Blind Scoring'!I1504="","",'Blind Scoring'!I1504)</x:f>
      </x:c>
      <x:c r="T1504" s="31" t="str">
        <x:f>'Blind Scoring'!J1504</x:f>
        <x:v>No</x:v>
      </x:c>
      <x:c r="U1504" s="31" t="str">
        <x:f>IF('Blind Scoring'!L1504="","",'Blind Scoring'!L1504)</x:f>
      </x:c>
    </x:row>
    <x:row r="1505" ht="44" customHeight="1">
      <x:c r="A1505" s="35" t="str">
        <x:v>Not Started</x:v>
      </x:c>
      <x:c r="B1505" s="35" t="n">
        <x:v>1503</x:v>
      </x:c>
      <x:c r="C1505" s="35" t="str">
        <x:v>P25</x:v>
      </x:c>
      <x:c r="D1505" s="35" t="n">
        <x:v>16</x:v>
      </x:c>
      <x:c r="E1505" s="35" t="str">
        <x:v>Primary VLA</x:v>
      </x:c>
      <x:c r="F1505" s="35" t="str">
        <x:v>VLA-0</x:v>
      </x:c>
      <x:c r="G1505" s="35" t="n">
        <x:v>3</x:v>
      </x:c>
      <x:c r="H1505" s="35" t="str">
        <x:v>State Recognition</x:v>
      </x:c>
      <x:c r="I1505" s="35" t="str">
        <x:v>Main matched control</x:v>
      </x:c>
      <x:c r="J1505" s="35" t="str">
        <x:v>PVLA-ST-CTL-13</x:v>
      </x:c>
      <x:c r="K1505" s="35" t="str">
        <x:v>S-CF24</x:v>
      </x:c>
      <x:c r="L1505" s="31" t="str">
        <x:v>Place a brown cup in the bowl.</x:v>
      </x:c>
      <x:c r="M1505" s="31" t="str">
        <x:v>Place a brown cup in the bowl.</x:v>
      </x:c>
      <x:c r="N1505" s="31" t="str">
        <x:v>S-CF24-CTRL: P2 glass spice container B=O/UR; P3 white cup A=O/UD; P4 brown cup B=C/UR [TARGET].</x:v>
      </x:c>
      <x:c r="O1505" s="31" t="str">
        <x:v>brown cup B</x:v>
      </x:c>
      <x:c r="P1505" s="31" t="str"/>
      <x:c r="Q1505" s="31" t="str"/>
      <x:c r="R1505" s="31" t="str"/>
      <x:c r="S1505" s="31" t="str">
        <x:f>IF('Blind Scoring'!I1505="","",'Blind Scoring'!I1505)</x:f>
      </x:c>
      <x:c r="T1505" s="31" t="str">
        <x:f>'Blind Scoring'!J1505</x:f>
        <x:v>No</x:v>
      </x:c>
      <x:c r="U1505" s="31" t="str">
        <x:f>IF('Blind Scoring'!L1505="","",'Blind Scoring'!L1505)</x:f>
      </x:c>
    </x:row>
    <x:row r="1506" ht="44" customHeight="1">
      <x:c r="A1506" s="35" t="str">
        <x:v>Not Started</x:v>
      </x:c>
      <x:c r="B1506" s="35" t="n">
        <x:v>1504</x:v>
      </x:c>
      <x:c r="C1506" s="35" t="str">
        <x:v>P25</x:v>
      </x:c>
      <x:c r="D1506" s="35" t="n">
        <x:v>17</x:v>
      </x:c>
      <x:c r="E1506" s="35" t="str">
        <x:v>Primary VLA</x:v>
      </x:c>
      <x:c r="F1506" s="35" t="str">
        <x:v>VLA-0</x:v>
      </x:c>
      <x:c r="G1506" s="35" t="n">
        <x:v>3</x:v>
      </x:c>
      <x:c r="H1506" s="35" t="str">
        <x:v>State Recognition</x:v>
      </x:c>
      <x:c r="I1506" s="35" t="str">
        <x:v>Main matched control</x:v>
      </x:c>
      <x:c r="J1506" s="35" t="str">
        <x:v>PVLA-ST-CTL-01</x:v>
      </x:c>
      <x:c r="K1506" s="35" t="str">
        <x:v>S-CF01</x:v>
      </x:c>
      <x:c r="L1506" s="31" t="str">
        <x:v>Place a white cup in the bowl.</x:v>
      </x:c>
      <x:c r="M1506" s="31" t="str">
        <x:v>Place a white cup in the bowl.</x:v>
      </x:c>
      <x:c r="N1506" s="31" t="str">
        <x:v>S-CF01-CTRL: P1 white cup A=C/UR [TARGET]; P3 yellow-white striped cup A=C/UD; P4 brown cup B=O/UD.</x:v>
      </x:c>
      <x:c r="O1506" s="31" t="str">
        <x:v>white cup A</x:v>
      </x:c>
      <x:c r="P1506" s="31" t="str"/>
      <x:c r="Q1506" s="31" t="str"/>
      <x:c r="R1506" s="31" t="str"/>
      <x:c r="S1506" s="31" t="str">
        <x:f>IF('Blind Scoring'!I1506="","",'Blind Scoring'!I1506)</x:f>
      </x:c>
      <x:c r="T1506" s="31" t="str">
        <x:f>'Blind Scoring'!J1506</x:f>
        <x:v>No</x:v>
      </x:c>
      <x:c r="U1506" s="31" t="str">
        <x:f>IF('Blind Scoring'!L1506="","",'Blind Scoring'!L1506)</x:f>
      </x:c>
    </x:row>
    <x:row r="1507" ht="44" customHeight="1">
      <x:c r="A1507" s="35" t="str">
        <x:v>Not Started</x:v>
      </x:c>
      <x:c r="B1507" s="35" t="n">
        <x:v>1505</x:v>
      </x:c>
      <x:c r="C1507" s="35" t="str">
        <x:v>P25</x:v>
      </x:c>
      <x:c r="D1507" s="35" t="n">
        <x:v>18</x:v>
      </x:c>
      <x:c r="E1507" s="35" t="str">
        <x:v>Primary VLA</x:v>
      </x:c>
      <x:c r="F1507" s="35" t="str">
        <x:v>VLA-0</x:v>
      </x:c>
      <x:c r="G1507" s="35" t="n">
        <x:v>3</x:v>
      </x:c>
      <x:c r="H1507" s="35" t="str">
        <x:v>State Recognition</x:v>
      </x:c>
      <x:c r="I1507" s="35" t="str">
        <x:v>Main matched control</x:v>
      </x:c>
      <x:c r="J1507" s="35" t="str">
        <x:v>PVLA-ST-CTL-07</x:v>
      </x:c>
      <x:c r="K1507" s="35" t="str">
        <x:v>S-CF13</x:v>
      </x:c>
      <x:c r="L1507" s="31" t="str">
        <x:v>Place a brown cup in the bowl.</x:v>
      </x:c>
      <x:c r="M1507" s="31" t="str">
        <x:v>Place a brown cup in the bowl.</x:v>
      </x:c>
      <x:c r="N1507" s="31" t="str">
        <x:v>S-CF13-CTRL: P1 brown cup A=C/UR [TARGET]; P3 glass spice container A=C/UD; P4 white cup B=O/UD.</x:v>
      </x:c>
      <x:c r="O1507" s="31" t="str">
        <x:v>brown cup A</x:v>
      </x:c>
      <x:c r="P1507" s="31" t="str"/>
      <x:c r="Q1507" s="31" t="str"/>
      <x:c r="R1507" s="31" t="str"/>
      <x:c r="S1507" s="31" t="str">
        <x:f>IF('Blind Scoring'!I1507="","",'Blind Scoring'!I1507)</x:f>
      </x:c>
      <x:c r="T1507" s="31" t="str">
        <x:f>'Blind Scoring'!J1507</x:f>
        <x:v>No</x:v>
      </x:c>
      <x:c r="U1507" s="31" t="str">
        <x:f>IF('Blind Scoring'!L1507="","",'Blind Scoring'!L1507)</x:f>
      </x:c>
    </x:row>
    <x:row r="1508" ht="44" customHeight="1">
      <x:c r="A1508" s="35" t="str">
        <x:v>Not Started</x:v>
      </x:c>
      <x:c r="B1508" s="35" t="n">
        <x:v>1506</x:v>
      </x:c>
      <x:c r="C1508" s="35" t="str">
        <x:v>P25</x:v>
      </x:c>
      <x:c r="D1508" s="35" t="n">
        <x:v>19</x:v>
      </x:c>
      <x:c r="E1508" s="35" t="str">
        <x:v>Primary VLA</x:v>
      </x:c>
      <x:c r="F1508" s="35" t="str">
        <x:v>VLA-0</x:v>
      </x:c>
      <x:c r="G1508" s="35" t="n">
        <x:v>3</x:v>
      </x:c>
      <x:c r="H1508" s="35" t="str">
        <x:v>State Recognition</x:v>
      </x:c>
      <x:c r="I1508" s="35" t="str">
        <x:v>Main held-out transfer</x:v>
      </x:c>
      <x:c r="J1508" s="35" t="str">
        <x:v>PVLA-ST-TR-04</x:v>
      </x:c>
      <x:c r="K1508" s="35" t="str">
        <x:v>S-CF07</x:v>
      </x:c>
      <x:c r="L1508" s="31" t="str">
        <x:v>Place the closed yellow-white striped cup in the bowl.</x:v>
      </x:c>
      <x:c r="M1508" s="31" t="str">
        <x:v>Place the closed yellow-white striped cup in the bowl.</x:v>
      </x:c>
      <x:c r="N1508" s="31" t="str">
        <x:v>S-CF07-HELD: P1 brown cup A=C/UR; P2 glass spice container A=O/UR; P3 yellow-white striped cup A=C/UD [TARGET]; P4 yellow-white striped cup B=O/UD [COMPETITOR].</x:v>
      </x:c>
      <x:c r="O1508" s="31" t="str">
        <x:v>yellow-white striped cup A</x:v>
      </x:c>
      <x:c r="P1508" s="31" t="str"/>
      <x:c r="Q1508" s="31" t="str"/>
      <x:c r="R1508" s="31" t="str"/>
      <x:c r="S1508" s="31" t="str">
        <x:f>IF('Blind Scoring'!I1508="","",'Blind Scoring'!I1508)</x:f>
      </x:c>
      <x:c r="T1508" s="31" t="str">
        <x:f>'Blind Scoring'!J1508</x:f>
        <x:v>No</x:v>
      </x:c>
      <x:c r="U1508" s="31" t="str">
        <x:f>IF('Blind Scoring'!L1508="","",'Blind Scoring'!L1508)</x:f>
      </x:c>
    </x:row>
    <x:row r="1509" ht="44" customHeight="1">
      <x:c r="A1509" s="35" t="str">
        <x:v>Not Started</x:v>
      </x:c>
      <x:c r="B1509" s="35" t="n">
        <x:v>1507</x:v>
      </x:c>
      <x:c r="C1509" s="35" t="str">
        <x:v>P25</x:v>
      </x:c>
      <x:c r="D1509" s="35" t="n">
        <x:v>20</x:v>
      </x:c>
      <x:c r="E1509" s="35" t="str">
        <x:v>Primary VLA</x:v>
      </x:c>
      <x:c r="F1509" s="35" t="str">
        <x:v>VLA-0</x:v>
      </x:c>
      <x:c r="G1509" s="35" t="n">
        <x:v>3</x:v>
      </x:c>
      <x:c r="H1509" s="35" t="str">
        <x:v>State Recognition</x:v>
      </x:c>
      <x:c r="I1509" s="35" t="str">
        <x:v>Main held-out transfer</x:v>
      </x:c>
      <x:c r="J1509" s="35" t="str">
        <x:v>PVLA-ST-TR-11</x:v>
      </x:c>
      <x:c r="K1509" s="35" t="str">
        <x:v>S-CF20</x:v>
      </x:c>
      <x:c r="L1509" s="31" t="str">
        <x:v>Place the upright white cup in the bowl.</x:v>
      </x:c>
      <x:c r="M1509" s="31" t="str">
        <x:v>Place the upright white cup in the bowl.</x:v>
      </x:c>
      <x:c r="N1509" s="31" t="str">
        <x:v>S-CF20-HELD: P1 white cup A=C/UD [COMPETITOR]; P2 yellow-white striped cup B=O/UR; P3 brown cup A=O/UD; P4 white cup B=C/UR [TARGET].</x:v>
      </x:c>
      <x:c r="O1509" s="31" t="str">
        <x:v>white cup B</x:v>
      </x:c>
      <x:c r="P1509" s="31" t="str"/>
      <x:c r="Q1509" s="31" t="str"/>
      <x:c r="R1509" s="31" t="str"/>
      <x:c r="S1509" s="31" t="str">
        <x:f>IF('Blind Scoring'!I1509="","",'Blind Scoring'!I1509)</x:f>
      </x:c>
      <x:c r="T1509" s="31" t="str">
        <x:f>'Blind Scoring'!J1509</x:f>
        <x:v>No</x:v>
      </x:c>
      <x:c r="U1509" s="31" t="str">
        <x:f>IF('Blind Scoring'!L1509="","",'Blind Scoring'!L1509)</x:f>
      </x:c>
    </x:row>
    <x:row r="1510" ht="44" customHeight="1">
      <x:c r="A1510" s="35" t="str">
        <x:v>Not Started</x:v>
      </x:c>
      <x:c r="B1510" s="35" t="n">
        <x:v>1508</x:v>
      </x:c>
      <x:c r="C1510" s="35" t="str">
        <x:v>P25</x:v>
      </x:c>
      <x:c r="D1510" s="35" t="n">
        <x:v>21</x:v>
      </x:c>
      <x:c r="E1510" s="35" t="str">
        <x:v>Primary VLA</x:v>
      </x:c>
      <x:c r="F1510" s="35" t="str">
        <x:v>VLA-0</x:v>
      </x:c>
      <x:c r="G1510" s="35" t="n">
        <x:v>3</x:v>
      </x:c>
      <x:c r="H1510" s="35" t="str">
        <x:v>State Recognition</x:v>
      </x:c>
      <x:c r="I1510" s="35" t="str">
        <x:v>Language ablation — counterfactual</x:v>
      </x:c>
      <x:c r="J1510" s="35" t="str">
        <x:v>PVLA-ST-ABL-CF-01</x:v>
      </x:c>
      <x:c r="K1510" s="35" t="str">
        <x:v>S-CF09</x:v>
      </x:c>
      <x:c r="L1510" s="31" t="str">
        <x:v>Place the open white cup in the bowl.</x:v>
      </x:c>
      <x:c r="M1510" s="31" t="str">
        <x:v>Place the open white cup in the bowl.</x:v>
      </x:c>
      <x:c r="N1510" s="31" t="str">
        <x:v>S-CF09-HELD: P1 white cup A=C/UR [TARGET]; P2 white cup B=O/UR [COMPETITOR]; P3 yellow-white striped cup A=C/UD; P4 brown cup B=O/UD.</x:v>
      </x:c>
      <x:c r="O1510" s="31" t="str">
        <x:v>white cup B</x:v>
      </x:c>
      <x:c r="P1510" s="31" t="str"/>
      <x:c r="Q1510" s="31" t="str"/>
      <x:c r="R1510" s="31" t="str"/>
      <x:c r="S1510" s="31" t="str">
        <x:f>IF('Blind Scoring'!I1510="","",'Blind Scoring'!I1510)</x:f>
      </x:c>
      <x:c r="T1510" s="31" t="str">
        <x:f>'Blind Scoring'!J1510</x:f>
        <x:v>No</x:v>
      </x:c>
      <x:c r="U1510" s="31" t="str">
        <x:f>IF('Blind Scoring'!L1510="","",'Blind Scoring'!L1510)</x:f>
      </x:c>
    </x:row>
    <x:row r="1511" ht="44" customHeight="1">
      <x:c r="A1511" s="35" t="str">
        <x:v>Not Started</x:v>
      </x:c>
      <x:c r="B1511" s="35" t="n">
        <x:v>1509</x:v>
      </x:c>
      <x:c r="C1511" s="35" t="str">
        <x:v>P25</x:v>
      </x:c>
      <x:c r="D1511" s="35" t="n">
        <x:v>22</x:v>
      </x:c>
      <x:c r="E1511" s="35" t="str">
        <x:v>Primary VLA</x:v>
      </x:c>
      <x:c r="F1511" s="35" t="str">
        <x:v>VLA-0</x:v>
      </x:c>
      <x:c r="G1511" s="35" t="n">
        <x:v>3</x:v>
      </x:c>
      <x:c r="H1511" s="35" t="str">
        <x:v>State Recognition</x:v>
      </x:c>
      <x:c r="I1511" s="35" t="str">
        <x:v>Main matched control</x:v>
      </x:c>
      <x:c r="J1511" s="35" t="str">
        <x:v>PVLA-ST-CTL-16</x:v>
      </x:c>
      <x:c r="K1511" s="35" t="str">
        <x:v>S-CF30</x:v>
      </x:c>
      <x:c r="L1511" s="31" t="str">
        <x:v>Place a glass spice container in the bowl.</x:v>
      </x:c>
      <x:c r="M1511" s="31" t="str">
        <x:v>Place a glass spice container in the bowl.</x:v>
      </x:c>
      <x:c r="N1511" s="31" t="str">
        <x:v>S-CF30-CTRL: P1 white cup B=C/UR; P2 glass spice container A=O/UR [TARGET]; P4 yellow-white striped cup B=C/UD.</x:v>
      </x:c>
      <x:c r="O1511" s="31" t="str">
        <x:v>glass spice container A</x:v>
      </x:c>
      <x:c r="P1511" s="31" t="str"/>
      <x:c r="Q1511" s="31" t="str"/>
      <x:c r="R1511" s="31" t="str"/>
      <x:c r="S1511" s="31" t="str">
        <x:f>IF('Blind Scoring'!I1511="","",'Blind Scoring'!I1511)</x:f>
      </x:c>
      <x:c r="T1511" s="31" t="str">
        <x:f>'Blind Scoring'!J1511</x:f>
        <x:v>No</x:v>
      </x:c>
      <x:c r="U1511" s="31" t="str">
        <x:f>IF('Blind Scoring'!L1511="","",'Blind Scoring'!L1511)</x:f>
      </x:c>
    </x:row>
    <x:row r="1512" ht="44" customHeight="1">
      <x:c r="A1512" s="35" t="str">
        <x:v>Not Started</x:v>
      </x:c>
      <x:c r="B1512" s="35" t="n">
        <x:v>1510</x:v>
      </x:c>
      <x:c r="C1512" s="35" t="str">
        <x:v>P25</x:v>
      </x:c>
      <x:c r="D1512" s="35" t="n">
        <x:v>23</x:v>
      </x:c>
      <x:c r="E1512" s="35" t="str">
        <x:v>Primary VLA</x:v>
      </x:c>
      <x:c r="F1512" s="35" t="str">
        <x:v>VLA-0</x:v>
      </x:c>
      <x:c r="G1512" s="35" t="n">
        <x:v>3</x:v>
      </x:c>
      <x:c r="H1512" s="35" t="str">
        <x:v>State Recognition</x:v>
      </x:c>
      <x:c r="I1512" s="35" t="str">
        <x:v>Main held-out transfer</x:v>
      </x:c>
      <x:c r="J1512" s="35" t="str">
        <x:v>PVLA-ST-TR-01</x:v>
      </x:c>
      <x:c r="K1512" s="35" t="str">
        <x:v>S-CF01</x:v>
      </x:c>
      <x:c r="L1512" s="31" t="str">
        <x:v>Place the closed white cup in the bowl.</x:v>
      </x:c>
      <x:c r="M1512" s="31" t="str">
        <x:v>Place the closed white cup in the bowl.</x:v>
      </x:c>
      <x:c r="N1512" s="31" t="str">
        <x:v>S-CF01-HELD: P1 white cup A=C/UR [TARGET]; P2 white cup B=O/UR [COMPETITOR]; P3 yellow-white striped cup A=C/UD; P4 brown cup B=O/UD.</x:v>
      </x:c>
      <x:c r="O1512" s="31" t="str">
        <x:v>white cup A</x:v>
      </x:c>
      <x:c r="P1512" s="31" t="str"/>
      <x:c r="Q1512" s="31" t="str"/>
      <x:c r="R1512" s="31" t="str"/>
      <x:c r="S1512" s="31" t="str">
        <x:f>IF('Blind Scoring'!I1512="","",'Blind Scoring'!I1512)</x:f>
      </x:c>
      <x:c r="T1512" s="31" t="str">
        <x:f>'Blind Scoring'!J1512</x:f>
        <x:v>No</x:v>
      </x:c>
      <x:c r="U1512" s="31" t="str">
        <x:f>IF('Blind Scoring'!L1512="","",'Blind Scoring'!L1512)</x:f>
      </x:c>
    </x:row>
    <x:row r="1513" ht="44" customHeight="1">
      <x:c r="A1513" s="35" t="str">
        <x:v>Not Started</x:v>
      </x:c>
      <x:c r="B1513" s="35" t="n">
        <x:v>1511</x:v>
      </x:c>
      <x:c r="C1513" s="35" t="str">
        <x:v>P25</x:v>
      </x:c>
      <x:c r="D1513" s="35" t="n">
        <x:v>24</x:v>
      </x:c>
      <x:c r="E1513" s="35" t="str">
        <x:v>Primary VLA</x:v>
      </x:c>
      <x:c r="F1513" s="35" t="str">
        <x:v>VLA-0</x:v>
      </x:c>
      <x:c r="G1513" s="35" t="n">
        <x:v>3</x:v>
      </x:c>
      <x:c r="H1513" s="35" t="str">
        <x:v>State Recognition</x:v>
      </x:c>
      <x:c r="I1513" s="35" t="str">
        <x:v>Main matched control</x:v>
      </x:c>
      <x:c r="J1513" s="35" t="str">
        <x:v>PVLA-ST-CTL-04</x:v>
      </x:c>
      <x:c r="K1513" s="35" t="str">
        <x:v>S-CF07</x:v>
      </x:c>
      <x:c r="L1513" s="31" t="str">
        <x:v>Place a yellow-white striped cup in the bowl.</x:v>
      </x:c>
      <x:c r="M1513" s="31" t="str">
        <x:v>Place a yellow-white striped cup in the bowl.</x:v>
      </x:c>
      <x:c r="N1513" s="31" t="str">
        <x:v>S-CF07-CTRL: P1 brown cup A=C/UR; P2 glass spice container A=O/UR; P3 yellow-white striped cup A=C/UD [TARGET].</x:v>
      </x:c>
      <x:c r="O1513" s="31" t="str">
        <x:v>yellow-white striped cup A</x:v>
      </x:c>
      <x:c r="P1513" s="31" t="str"/>
      <x:c r="Q1513" s="31" t="str"/>
      <x:c r="R1513" s="31" t="str"/>
      <x:c r="S1513" s="31" t="str">
        <x:f>IF('Blind Scoring'!I1513="","",'Blind Scoring'!I1513)</x:f>
      </x:c>
      <x:c r="T1513" s="31" t="str">
        <x:f>'Blind Scoring'!J1513</x:f>
        <x:v>No</x:v>
      </x:c>
      <x:c r="U1513" s="31" t="str">
        <x:f>IF('Blind Scoring'!L1513="","",'Blind Scoring'!L1513)</x:f>
      </x:c>
    </x:row>
    <x:row r="1514" ht="44" customHeight="1">
      <x:c r="A1514" s="35" t="str">
        <x:v>Not Started</x:v>
      </x:c>
      <x:c r="B1514" s="35" t="n">
        <x:v>1512</x:v>
      </x:c>
      <x:c r="C1514" s="35" t="str">
        <x:v>P25</x:v>
      </x:c>
      <x:c r="D1514" s="35" t="n">
        <x:v>25</x:v>
      </x:c>
      <x:c r="E1514" s="35" t="str">
        <x:v>Primary VLA</x:v>
      </x:c>
      <x:c r="F1514" s="35" t="str">
        <x:v>VLA-0</x:v>
      </x:c>
      <x:c r="G1514" s="35" t="n">
        <x:v>3</x:v>
      </x:c>
      <x:c r="H1514" s="35" t="str">
        <x:v>State Recognition</x:v>
      </x:c>
      <x:c r="I1514" s="35" t="str">
        <x:v>Training reconstruction</x:v>
      </x:c>
      <x:c r="J1514" s="35" t="str">
        <x:v>PVLA-ST-REC-02</x:v>
      </x:c>
      <x:c r="K1514" s="35" t="str"/>
      <x:c r="L1514" s="31" t="str">
        <x:v>Put a yellow-white striped cup in the bowl.</x:v>
      </x:c>
      <x:c r="M1514" s="31" t="str">
        <x:v>Put a yellow-white striped cup in the bowl.</x:v>
      </x:c>
      <x:c r="N1514" s="31" t="str">
        <x:v>Reconstruct planned final training episode 52: yellow-white striped cup A, white cup A, brown cup B; start=Home. Match camera, calibration, bowl pose, and object geometry exactly.</x:v>
      </x:c>
      <x:c r="O1514" s="31" t="str">
        <x:v>yellow-white striped cup A</x:v>
      </x:c>
      <x:c r="P1514" s="31" t="str"/>
      <x:c r="Q1514" s="31" t="str"/>
      <x:c r="R1514" s="31" t="str"/>
      <x:c r="S1514" s="31" t="str">
        <x:f>IF('Blind Scoring'!I1514="","",'Blind Scoring'!I1514)</x:f>
      </x:c>
      <x:c r="T1514" s="31" t="str">
        <x:f>'Blind Scoring'!J1514</x:f>
        <x:v>No</x:v>
      </x:c>
      <x:c r="U1514" s="31" t="str">
        <x:f>IF('Blind Scoring'!L1514="","",'Blind Scoring'!L1514)</x:f>
      </x:c>
    </x:row>
    <x:row r="1515" ht="44" customHeight="1">
      <x:c r="A1515" s="35" t="str">
        <x:v>Not Started</x:v>
      </x:c>
      <x:c r="B1515" s="35" t="n">
        <x:v>1513</x:v>
      </x:c>
      <x:c r="C1515" s="35" t="str">
        <x:v>P25</x:v>
      </x:c>
      <x:c r="D1515" s="35" t="n">
        <x:v>26</x:v>
      </x:c>
      <x:c r="E1515" s="35" t="str">
        <x:v>Primary VLA</x:v>
      </x:c>
      <x:c r="F1515" s="35" t="str">
        <x:v>VLA-0</x:v>
      </x:c>
      <x:c r="G1515" s="35" t="n">
        <x:v>3</x:v>
      </x:c>
      <x:c r="H1515" s="35" t="str">
        <x:v>State Recognition</x:v>
      </x:c>
      <x:c r="I1515" s="35" t="str">
        <x:v>Main held-out transfer</x:v>
      </x:c>
      <x:c r="J1515" s="35" t="str">
        <x:v>PVLA-ST-TR-03</x:v>
      </x:c>
      <x:c r="K1515" s="35" t="str">
        <x:v>S-CF05</x:v>
      </x:c>
      <x:c r="L1515" s="31" t="str">
        <x:v>Place the closed brown cup in the bowl.</x:v>
      </x:c>
      <x:c r="M1515" s="31" t="str">
        <x:v>Place the closed brown cup in the bowl.</x:v>
      </x:c>
      <x:c r="N1515" s="31" t="str">
        <x:v>S-CF05-HELD: P1 brown cup A=C/UR [TARGET]; P2 brown cup B=O/UR [COMPETITOR]; P3 glass spice container A=C/UD; P4 white cup B=O/UD.</x:v>
      </x:c>
      <x:c r="O1515" s="31" t="str">
        <x:v>brown cup A</x:v>
      </x:c>
      <x:c r="P1515" s="31" t="str"/>
      <x:c r="Q1515" s="31" t="str"/>
      <x:c r="R1515" s="31" t="str"/>
      <x:c r="S1515" s="31" t="str">
        <x:f>IF('Blind Scoring'!I1515="","",'Blind Scoring'!I1515)</x:f>
      </x:c>
      <x:c r="T1515" s="31" t="str">
        <x:f>'Blind Scoring'!J1515</x:f>
        <x:v>No</x:v>
      </x:c>
      <x:c r="U1515" s="31" t="str">
        <x:f>IF('Blind Scoring'!L1515="","",'Blind Scoring'!L1515)</x:f>
      </x:c>
    </x:row>
    <x:row r="1516" ht="44" customHeight="1">
      <x:c r="A1516" s="35" t="str">
        <x:v>Not Started</x:v>
      </x:c>
      <x:c r="B1516" s="35" t="n">
        <x:v>1514</x:v>
      </x:c>
      <x:c r="C1516" s="35" t="str">
        <x:v>P25</x:v>
      </x:c>
      <x:c r="D1516" s="35" t="n">
        <x:v>27</x:v>
      </x:c>
      <x:c r="E1516" s="35" t="str">
        <x:v>Primary VLA</x:v>
      </x:c>
      <x:c r="F1516" s="35" t="str">
        <x:v>VLA-0</x:v>
      </x:c>
      <x:c r="G1516" s="35" t="n">
        <x:v>3</x:v>
      </x:c>
      <x:c r="H1516" s="35" t="str">
        <x:v>State Recognition</x:v>
      </x:c>
      <x:c r="I1516" s="35" t="str">
        <x:v>Language ablation — counterfactual</x:v>
      </x:c>
      <x:c r="J1516" s="35" t="str">
        <x:v>PVLA-ST-ABL-CF-04</x:v>
      </x:c>
      <x:c r="K1516" s="35" t="str">
        <x:v>S-CF15</x:v>
      </x:c>
      <x:c r="L1516" s="31" t="str">
        <x:v>Place the open yellow-white striped cup in the bowl.</x:v>
      </x:c>
      <x:c r="M1516" s="31" t="str">
        <x:v>Place the open yellow-white striped cup in the bowl.</x:v>
      </x:c>
      <x:c r="N1516" s="31" t="str">
        <x:v>S-CF15-HELD: P1 brown cup A=C/UR; P2 glass spice container A=O/UR; P3 yellow-white striped cup A=C/UD [TARGET]; P4 yellow-white striped cup B=O/UD [COMPETITOR].</x:v>
      </x:c>
      <x:c r="O1516" s="31" t="str">
        <x:v>yellow-white striped cup B</x:v>
      </x:c>
      <x:c r="P1516" s="31" t="str"/>
      <x:c r="Q1516" s="31" t="str"/>
      <x:c r="R1516" s="31" t="str"/>
      <x:c r="S1516" s="31" t="str">
        <x:f>IF('Blind Scoring'!I1516="","",'Blind Scoring'!I1516)</x:f>
      </x:c>
      <x:c r="T1516" s="31" t="str">
        <x:f>'Blind Scoring'!J1516</x:f>
        <x:v>No</x:v>
      </x:c>
      <x:c r="U1516" s="31" t="str">
        <x:f>IF('Blind Scoring'!L1516="","",'Blind Scoring'!L1516)</x:f>
      </x:c>
    </x:row>
    <x:row r="1517" ht="44" customHeight="1">
      <x:c r="A1517" s="35" t="str">
        <x:v>Not Started</x:v>
      </x:c>
      <x:c r="B1517" s="35" t="n">
        <x:v>1515</x:v>
      </x:c>
      <x:c r="C1517" s="35" t="str">
        <x:v>P25</x:v>
      </x:c>
      <x:c r="D1517" s="35" t="n">
        <x:v>28</x:v>
      </x:c>
      <x:c r="E1517" s="35" t="str">
        <x:v>Primary VLA</x:v>
      </x:c>
      <x:c r="F1517" s="35" t="str">
        <x:v>VLA-0</x:v>
      </x:c>
      <x:c r="G1517" s="35" t="n">
        <x:v>3</x:v>
      </x:c>
      <x:c r="H1517" s="35" t="str">
        <x:v>State Recognition</x:v>
      </x:c>
      <x:c r="I1517" s="35" t="str">
        <x:v>Exact-scene paraphrase</x:v>
      </x:c>
      <x:c r="J1517" s="35" t="str">
        <x:v>PVLA-ST-PAR-02</x:v>
      </x:c>
      <x:c r="K1517" s="35" t="str">
        <x:v>S-CF04</x:v>
      </x:c>
      <x:c r="L1517" s="31" t="str">
        <x:v>Put the inverted white cup into the bowl.</x:v>
      </x:c>
      <x:c r="M1517" s="31" t="str">
        <x:v>Put the inverted white cup into the bowl.</x:v>
      </x:c>
      <x:c r="N1517" s="31" t="str">
        <x:v>S-CF04-PARA: P1 white cup A=C/UD [COMPETITOR]; P2 yellow-white striped cup B=O/UR; P3 brown cup A=O/UD; P4 white cup B=C/UR [TARGET].</x:v>
      </x:c>
      <x:c r="O1517" s="31" t="str">
        <x:v>white cup A</x:v>
      </x:c>
      <x:c r="P1517" s="31" t="str"/>
      <x:c r="Q1517" s="31" t="str"/>
      <x:c r="R1517" s="31" t="str"/>
      <x:c r="S1517" s="31" t="str">
        <x:f>IF('Blind Scoring'!I1517="","",'Blind Scoring'!I1517)</x:f>
      </x:c>
      <x:c r="T1517" s="31" t="str">
        <x:f>'Blind Scoring'!J1517</x:f>
        <x:v>No</x:v>
      </x:c>
      <x:c r="U1517" s="31" t="str">
        <x:f>IF('Blind Scoring'!L1517="","",'Blind Scoring'!L1517)</x:f>
      </x:c>
    </x:row>
    <x:row r="1518" ht="44" customHeight="1">
      <x:c r="A1518" s="35" t="str">
        <x:v>Not Started</x:v>
      </x:c>
      <x:c r="B1518" s="35" t="n">
        <x:v>1516</x:v>
      </x:c>
      <x:c r="C1518" s="35" t="str">
        <x:v>P25</x:v>
      </x:c>
      <x:c r="D1518" s="35" t="n">
        <x:v>29</x:v>
      </x:c>
      <x:c r="E1518" s="35" t="str">
        <x:v>Primary VLA</x:v>
      </x:c>
      <x:c r="F1518" s="35" t="str">
        <x:v>VLA-0</x:v>
      </x:c>
      <x:c r="G1518" s="35" t="n">
        <x:v>3</x:v>
      </x:c>
      <x:c r="H1518" s="35" t="str">
        <x:v>State Recognition</x:v>
      </x:c>
      <x:c r="I1518" s="35" t="str">
        <x:v>Main held-out transfer</x:v>
      </x:c>
      <x:c r="J1518" s="35" t="str">
        <x:v>PVLA-ST-TR-12</x:v>
      </x:c>
      <x:c r="K1518" s="35" t="str">
        <x:v>S-CF22</x:v>
      </x:c>
      <x:c r="L1518" s="31" t="str">
        <x:v>Place the upright glass spice container in the bowl.</x:v>
      </x:c>
      <x:c r="M1518" s="31" t="str">
        <x:v>Place the upright glass spice container in the bowl.</x:v>
      </x:c>
      <x:c r="N1518" s="31" t="str">
        <x:v>S-CF22-HELD: P1 white cup B=C/UR; P2 glass spice container A=O/UR [TARGET]; P3 glass spice container B=O/UD [COMPETITOR]; P4 yellow-white striped cup B=C/UD.</x:v>
      </x:c>
      <x:c r="O1518" s="31" t="str">
        <x:v>glass spice container A</x:v>
      </x:c>
      <x:c r="P1518" s="31" t="str"/>
      <x:c r="Q1518" s="31" t="str"/>
      <x:c r="R1518" s="31" t="str"/>
      <x:c r="S1518" s="31" t="str">
        <x:f>IF('Blind Scoring'!I1518="","",'Blind Scoring'!I1518)</x:f>
      </x:c>
      <x:c r="T1518" s="31" t="str">
        <x:f>'Blind Scoring'!J1518</x:f>
        <x:v>No</x:v>
      </x:c>
      <x:c r="U1518" s="31" t="str">
        <x:f>IF('Blind Scoring'!L1518="","",'Blind Scoring'!L1518)</x:f>
      </x:c>
    </x:row>
    <x:row r="1519" ht="44" customHeight="1">
      <x:c r="A1519" s="35" t="str">
        <x:v>Not Started</x:v>
      </x:c>
      <x:c r="B1519" s="35" t="n">
        <x:v>1517</x:v>
      </x:c>
      <x:c r="C1519" s="35" t="str">
        <x:v>P25</x:v>
      </x:c>
      <x:c r="D1519" s="35" t="n">
        <x:v>30</x:v>
      </x:c>
      <x:c r="E1519" s="35" t="str">
        <x:v>Primary VLA</x:v>
      </x:c>
      <x:c r="F1519" s="35" t="str">
        <x:v>VLA-0</x:v>
      </x:c>
      <x:c r="G1519" s="35" t="n">
        <x:v>3</x:v>
      </x:c>
      <x:c r="H1519" s="35" t="str">
        <x:v>State Recognition</x:v>
      </x:c>
      <x:c r="I1519" s="35" t="str">
        <x:v>Main held-out transfer</x:v>
      </x:c>
      <x:c r="J1519" s="35" t="str">
        <x:v>PVLA-ST-TR-08</x:v>
      </x:c>
      <x:c r="K1519" s="35" t="str">
        <x:v>S-CF15</x:v>
      </x:c>
      <x:c r="L1519" s="31" t="str">
        <x:v>Place the closed yellow-white striped cup in the bowl.</x:v>
      </x:c>
      <x:c r="M1519" s="31" t="str">
        <x:v>Place the closed yellow-white striped cup in the bowl.</x:v>
      </x:c>
      <x:c r="N1519" s="31" t="str">
        <x:v>S-CF15-HELD: P1 brown cup A=C/UR; P2 glass spice container A=O/UR; P3 yellow-white striped cup A=C/UD [TARGET]; P4 yellow-white striped cup B=O/UD [COMPETITOR].</x:v>
      </x:c>
      <x:c r="O1519" s="31" t="str">
        <x:v>yellow-white striped cup A</x:v>
      </x:c>
      <x:c r="P1519" s="31" t="str"/>
      <x:c r="Q1519" s="31" t="str"/>
      <x:c r="R1519" s="31" t="str"/>
      <x:c r="S1519" s="31" t="str">
        <x:f>IF('Blind Scoring'!I1519="","",'Blind Scoring'!I1519)</x:f>
      </x:c>
      <x:c r="T1519" s="31" t="str">
        <x:f>'Blind Scoring'!J1519</x:f>
        <x:v>No</x:v>
      </x:c>
      <x:c r="U1519" s="31" t="str">
        <x:f>IF('Blind Scoring'!L1519="","",'Blind Scoring'!L1519)</x:f>
      </x:c>
    </x:row>
    <x:row r="1520" ht="44" customHeight="1">
      <x:c r="A1520" s="35" t="str">
        <x:v>Not Started</x:v>
      </x:c>
      <x:c r="B1520" s="35" t="n">
        <x:v>1518</x:v>
      </x:c>
      <x:c r="C1520" s="35" t="str">
        <x:v>P25</x:v>
      </x:c>
      <x:c r="D1520" s="35" t="n">
        <x:v>31</x:v>
      </x:c>
      <x:c r="E1520" s="35" t="str">
        <x:v>Primary VLA</x:v>
      </x:c>
      <x:c r="F1520" s="35" t="str">
        <x:v>VLA-0</x:v>
      </x:c>
      <x:c r="G1520" s="35" t="n">
        <x:v>3</x:v>
      </x:c>
      <x:c r="H1520" s="35" t="str">
        <x:v>State Recognition</x:v>
      </x:c>
      <x:c r="I1520" s="35" t="str">
        <x:v>Main matched control</x:v>
      </x:c>
      <x:c r="J1520" s="35" t="str">
        <x:v>PVLA-ST-CTL-05</x:v>
      </x:c>
      <x:c r="K1520" s="35" t="str">
        <x:v>S-CF09</x:v>
      </x:c>
      <x:c r="L1520" s="31" t="str">
        <x:v>Place a white cup in the bowl.</x:v>
      </x:c>
      <x:c r="M1520" s="31" t="str">
        <x:v>Place a white cup in the bowl.</x:v>
      </x:c>
      <x:c r="N1520" s="31" t="str">
        <x:v>S-CF09-CTRL: P1 white cup A=C/UR [TARGET]; P3 yellow-white striped cup A=C/UD; P4 brown cup B=O/UD.</x:v>
      </x:c>
      <x:c r="O1520" s="31" t="str">
        <x:v>white cup A</x:v>
      </x:c>
      <x:c r="P1520" s="31" t="str"/>
      <x:c r="Q1520" s="31" t="str"/>
      <x:c r="R1520" s="31" t="str"/>
      <x:c r="S1520" s="31" t="str">
        <x:f>IF('Blind Scoring'!I1520="","",'Blind Scoring'!I1520)</x:f>
      </x:c>
      <x:c r="T1520" s="31" t="str">
        <x:f>'Blind Scoring'!J1520</x:f>
        <x:v>No</x:v>
      </x:c>
      <x:c r="U1520" s="31" t="str">
        <x:f>IF('Blind Scoring'!L1520="","",'Blind Scoring'!L1520)</x:f>
      </x:c>
    </x:row>
    <x:row r="1521" ht="44" customHeight="1">
      <x:c r="A1521" s="35" t="str">
        <x:v>Not Started</x:v>
      </x:c>
      <x:c r="B1521" s="35" t="n">
        <x:v>1519</x:v>
      </x:c>
      <x:c r="C1521" s="35" t="str">
        <x:v>P25</x:v>
      </x:c>
      <x:c r="D1521" s="35" t="n">
        <x:v>32</x:v>
      </x:c>
      <x:c r="E1521" s="35" t="str">
        <x:v>Primary VLA</x:v>
      </x:c>
      <x:c r="F1521" s="35" t="str">
        <x:v>VLA-0</x:v>
      </x:c>
      <x:c r="G1521" s="35" t="n">
        <x:v>3</x:v>
      </x:c>
      <x:c r="H1521" s="35" t="str">
        <x:v>State Recognition</x:v>
      </x:c>
      <x:c r="I1521" s="35" t="str">
        <x:v>Novel layout + seen language</x:v>
      </x:c>
      <x:c r="J1521" s="35" t="str">
        <x:v>PVLA-ST-NOV-01</x:v>
      </x:c>
      <x:c r="K1521" s="35" t="str">
        <x:v>S-CF01</x:v>
      </x:c>
      <x:c r="L1521" s="31" t="str">
        <x:v>Place the open white cup in the bowl.</x:v>
      </x:c>
      <x:c r="M1521" s="31" t="str">
        <x:v>Place the open white cup in the bowl.</x:v>
      </x:c>
      <x:c r="N1521" s="31" t="str">
        <x:v>S-CF01-SEEN: P1 white cup A=C/UR [TARGET]; P2 white cup B=O/UR [COMPETITOR]; P3 yellow-white striped cup A=C/UD; P4 brown cup B=O/UD.</x:v>
      </x:c>
      <x:c r="O1521" s="31" t="str">
        <x:v>white cup B</x:v>
      </x:c>
      <x:c r="P1521" s="31" t="str"/>
      <x:c r="Q1521" s="31" t="str"/>
      <x:c r="R1521" s="31" t="str"/>
      <x:c r="S1521" s="31" t="str">
        <x:f>IF('Blind Scoring'!I1521="","",'Blind Scoring'!I1521)</x:f>
      </x:c>
      <x:c r="T1521" s="31" t="str">
        <x:f>'Blind Scoring'!J1521</x:f>
        <x:v>No</x:v>
      </x:c>
      <x:c r="U1521" s="31" t="str">
        <x:f>IF('Blind Scoring'!L1521="","",'Blind Scoring'!L1521)</x:f>
      </x:c>
    </x:row>
    <x:row r="1522" ht="44" customHeight="1">
      <x:c r="A1522" s="35" t="str">
        <x:v>Not Started</x:v>
      </x:c>
      <x:c r="B1522" s="35" t="n">
        <x:v>1520</x:v>
      </x:c>
      <x:c r="C1522" s="35" t="str">
        <x:v>P25</x:v>
      </x:c>
      <x:c r="D1522" s="35" t="n">
        <x:v>33</x:v>
      </x:c>
      <x:c r="E1522" s="35" t="str">
        <x:v>Primary VLA</x:v>
      </x:c>
      <x:c r="F1522" s="35" t="str">
        <x:v>VLA-0</x:v>
      </x:c>
      <x:c r="G1522" s="35" t="n">
        <x:v>3</x:v>
      </x:c>
      <x:c r="H1522" s="35" t="str">
        <x:v>State Recognition</x:v>
      </x:c>
      <x:c r="I1522" s="35" t="str">
        <x:v>Exact-scene paraphrase</x:v>
      </x:c>
      <x:c r="J1522" s="35" t="str">
        <x:v>PVLA-ST-PAR-01</x:v>
      </x:c>
      <x:c r="K1522" s="35" t="str">
        <x:v>S-CF01</x:v>
      </x:c>
      <x:c r="L1522" s="31" t="str">
        <x:v>Put the open white cup in the bowl.</x:v>
      </x:c>
      <x:c r="M1522" s="31" t="str">
        <x:v>Put the open white cup in the bowl.</x:v>
      </x:c>
      <x:c r="N1522" s="31" t="str">
        <x:v>S-CF01-PARA: P1 white cup A=C/UR [TARGET]; P2 white cup B=O/UR [COMPETITOR]; P3 yellow-white striped cup A=C/UD; P4 brown cup B=O/UD.</x:v>
      </x:c>
      <x:c r="O1522" s="31" t="str">
        <x:v>white cup B</x:v>
      </x:c>
      <x:c r="P1522" s="31" t="str"/>
      <x:c r="Q1522" s="31" t="str"/>
      <x:c r="R1522" s="31" t="str"/>
      <x:c r="S1522" s="31" t="str">
        <x:f>IF('Blind Scoring'!I1522="","",'Blind Scoring'!I1522)</x:f>
      </x:c>
      <x:c r="T1522" s="31" t="str">
        <x:f>'Blind Scoring'!J1522</x:f>
        <x:v>No</x:v>
      </x:c>
      <x:c r="U1522" s="31" t="str">
        <x:f>IF('Blind Scoring'!L1522="","",'Blind Scoring'!L1522)</x:f>
      </x:c>
    </x:row>
    <x:row r="1523" ht="44" customHeight="1">
      <x:c r="A1523" s="35" t="str">
        <x:v>Not Started</x:v>
      </x:c>
      <x:c r="B1523" s="35" t="n">
        <x:v>1521</x:v>
      </x:c>
      <x:c r="C1523" s="35" t="str">
        <x:v>P25</x:v>
      </x:c>
      <x:c r="D1523" s="35" t="n">
        <x:v>34</x:v>
      </x:c>
      <x:c r="E1523" s="35" t="str">
        <x:v>Primary VLA</x:v>
      </x:c>
      <x:c r="F1523" s="35" t="str">
        <x:v>VLA-0</x:v>
      </x:c>
      <x:c r="G1523" s="35" t="n">
        <x:v>3</x:v>
      </x:c>
      <x:c r="H1523" s="35" t="str">
        <x:v>State Recognition</x:v>
      </x:c>
      <x:c r="I1523" s="35" t="str">
        <x:v>Training reconstruction</x:v>
      </x:c>
      <x:c r="J1523" s="35" t="str">
        <x:v>PVLA-ST-REC-03</x:v>
      </x:c>
      <x:c r="K1523" s="35" t="str"/>
      <x:c r="L1523" s="31" t="str">
        <x:v>Put a brown cup in the bowl.</x:v>
      </x:c>
      <x:c r="M1523" s="31" t="str">
        <x:v>Put a brown cup in the bowl.</x:v>
      </x:c>
      <x:c r="N1523" s="31" t="str">
        <x:v>Reconstruct planned final training episode 100: brown cup B (C, UR) [target, P3]; white cup A (C, UR); yellow-white striped cup B (O, UR); glass spice container A (O, UD); start=Home. Match camera, calibration, bowl pose, and object geometry exactly.</x:v>
      </x:c>
      <x:c r="O1523" s="31" t="str">
        <x:v>brown cup B</x:v>
      </x:c>
      <x:c r="P1523" s="31" t="str"/>
      <x:c r="Q1523" s="31" t="str"/>
      <x:c r="R1523" s="31" t="str"/>
      <x:c r="S1523" s="31" t="str">
        <x:f>IF('Blind Scoring'!I1523="","",'Blind Scoring'!I1523)</x:f>
      </x:c>
      <x:c r="T1523" s="31" t="str">
        <x:f>'Blind Scoring'!J1523</x:f>
        <x:v>No</x:v>
      </x:c>
      <x:c r="U1523" s="31" t="str">
        <x:f>IF('Blind Scoring'!L1523="","",'Blind Scoring'!L1523)</x:f>
      </x:c>
    </x:row>
    <x:row r="1524" ht="44" customHeight="1">
      <x:c r="A1524" s="35" t="str">
        <x:v>Not Started</x:v>
      </x:c>
      <x:c r="B1524" s="35" t="n">
        <x:v>1522</x:v>
      </x:c>
      <x:c r="C1524" s="35" t="str">
        <x:v>P25</x:v>
      </x:c>
      <x:c r="D1524" s="35" t="n">
        <x:v>35</x:v>
      </x:c>
      <x:c r="E1524" s="35" t="str">
        <x:v>Primary VLA</x:v>
      </x:c>
      <x:c r="F1524" s="35" t="str">
        <x:v>VLA-0</x:v>
      </x:c>
      <x:c r="G1524" s="35" t="n">
        <x:v>3</x:v>
      </x:c>
      <x:c r="H1524" s="35" t="str">
        <x:v>State Recognition</x:v>
      </x:c>
      <x:c r="I1524" s="35" t="str">
        <x:v>Training reconstruction</x:v>
      </x:c>
      <x:c r="J1524" s="35" t="str">
        <x:v>PVLA-ST-REC-06</x:v>
      </x:c>
      <x:c r="K1524" s="35" t="str"/>
      <x:c r="L1524" s="31" t="str">
        <x:v>Move a glass spice container into the bowl.</x:v>
      </x:c>
      <x:c r="M1524" s="31" t="str">
        <x:v>Move a glass spice container into the bowl.</x:v>
      </x:c>
      <x:c r="N1524" s="31" t="str">
        <x:v>Reconstruct planned final training episode 191: glass spice container A, brown cup A, white cup B; start=Home. Match camera, calibration, bowl pose, and object geometry exactly.</x:v>
      </x:c>
      <x:c r="O1524" s="31" t="str">
        <x:v>glass spice container A</x:v>
      </x:c>
      <x:c r="P1524" s="31" t="str"/>
      <x:c r="Q1524" s="31" t="str"/>
      <x:c r="R1524" s="31" t="str"/>
      <x:c r="S1524" s="31" t="str">
        <x:f>IF('Blind Scoring'!I1524="","",'Blind Scoring'!I1524)</x:f>
      </x:c>
      <x:c r="T1524" s="31" t="str">
        <x:f>'Blind Scoring'!J1524</x:f>
        <x:v>No</x:v>
      </x:c>
      <x:c r="U1524" s="31" t="str">
        <x:f>IF('Blind Scoring'!L1524="","",'Blind Scoring'!L1524)</x:f>
      </x:c>
    </x:row>
    <x:row r="1525" ht="44" customHeight="1">
      <x:c r="A1525" s="35" t="str">
        <x:v>Not Started</x:v>
      </x:c>
      <x:c r="B1525" s="35" t="n">
        <x:v>1523</x:v>
      </x:c>
      <x:c r="C1525" s="35" t="str">
        <x:v>P25</x:v>
      </x:c>
      <x:c r="D1525" s="35" t="n">
        <x:v>36</x:v>
      </x:c>
      <x:c r="E1525" s="35" t="str">
        <x:v>Primary VLA</x:v>
      </x:c>
      <x:c r="F1525" s="35" t="str">
        <x:v>VLA-0</x:v>
      </x:c>
      <x:c r="G1525" s="35" t="n">
        <x:v>3</x:v>
      </x:c>
      <x:c r="H1525" s="35" t="str">
        <x:v>State Recognition</x:v>
      </x:c>
      <x:c r="I1525" s="35" t="str">
        <x:v>Language ablation — counterfactual</x:v>
      </x:c>
      <x:c r="J1525" s="35" t="str">
        <x:v>PVLA-ST-ABL-CF-03</x:v>
      </x:c>
      <x:c r="K1525" s="35" t="str">
        <x:v>S-CF13</x:v>
      </x:c>
      <x:c r="L1525" s="31" t="str">
        <x:v>Place the open brown cup in the bowl.</x:v>
      </x:c>
      <x:c r="M1525" s="31" t="str">
        <x:v>Place the open brown cup in the bowl.</x:v>
      </x:c>
      <x:c r="N1525" s="31" t="str">
        <x:v>S-CF13-HELD: P1 brown cup A=C/UR [TARGET]; P2 brown cup B=O/UR [COMPETITOR]; P3 glass spice container A=C/UD; P4 white cup B=O/UD.</x:v>
      </x:c>
      <x:c r="O1525" s="31" t="str">
        <x:v>brown cup B</x:v>
      </x:c>
      <x:c r="P1525" s="31" t="str"/>
      <x:c r="Q1525" s="31" t="str"/>
      <x:c r="R1525" s="31" t="str"/>
      <x:c r="S1525" s="31" t="str">
        <x:f>IF('Blind Scoring'!I1525="","",'Blind Scoring'!I1525)</x:f>
      </x:c>
      <x:c r="T1525" s="31" t="str">
        <x:f>'Blind Scoring'!J1525</x:f>
        <x:v>No</x:v>
      </x:c>
      <x:c r="U1525" s="31" t="str">
        <x:f>IF('Blind Scoring'!L1525="","",'Blind Scoring'!L1525)</x:f>
      </x:c>
    </x:row>
    <x:row r="1526" ht="44" customHeight="1">
      <x:c r="A1526" s="35" t="str">
        <x:v>Not Started</x:v>
      </x:c>
      <x:c r="B1526" s="35" t="n">
        <x:v>1524</x:v>
      </x:c>
      <x:c r="C1526" s="35" t="str">
        <x:v>P25</x:v>
      </x:c>
      <x:c r="D1526" s="35" t="n">
        <x:v>37</x:v>
      </x:c>
      <x:c r="E1526" s="35" t="str">
        <x:v>Primary VLA</x:v>
      </x:c>
      <x:c r="F1526" s="35" t="str">
        <x:v>VLA-0</x:v>
      </x:c>
      <x:c r="G1526" s="35" t="n">
        <x:v>3</x:v>
      </x:c>
      <x:c r="H1526" s="35" t="str">
        <x:v>State Recognition</x:v>
      </x:c>
      <x:c r="I1526" s="35" t="str">
        <x:v>Training reconstruction</x:v>
      </x:c>
      <x:c r="J1526" s="35" t="str">
        <x:v>PVLA-ST-REC-01</x:v>
      </x:c>
      <x:c r="K1526" s="35" t="str"/>
      <x:c r="L1526" s="31" t="str">
        <x:v>Move the open white cup into the bowl.</x:v>
      </x:c>
      <x:c r="M1526" s="31" t="str">
        <x:v>Move the open white cup into the bowl.</x:v>
      </x:c>
      <x:c r="N1526" s="31" t="str">
        <x:v>Reconstruct planned final training episode 2: white cup A, white cup B, glass spice container A, yellow-white striped cup B; start=Home. Match camera, calibration, bowl pose, and object geometry exactly.</x:v>
      </x:c>
      <x:c r="O1526" s="31" t="str">
        <x:v>white cup A</x:v>
      </x:c>
      <x:c r="P1526" s="31" t="str"/>
      <x:c r="Q1526" s="31" t="str"/>
      <x:c r="R1526" s="31" t="str"/>
      <x:c r="S1526" s="31" t="str">
        <x:f>IF('Blind Scoring'!I1526="","",'Blind Scoring'!I1526)</x:f>
      </x:c>
      <x:c r="T1526" s="31" t="str">
        <x:f>'Blind Scoring'!J1526</x:f>
        <x:v>No</x:v>
      </x:c>
      <x:c r="U1526" s="31" t="str">
        <x:f>IF('Blind Scoring'!L1526="","",'Blind Scoring'!L1526)</x:f>
      </x:c>
    </x:row>
    <x:row r="1527" ht="44" customHeight="1">
      <x:c r="A1527" s="35" t="str">
        <x:v>Not Started</x:v>
      </x:c>
      <x:c r="B1527" s="35" t="n">
        <x:v>1525</x:v>
      </x:c>
      <x:c r="C1527" s="35" t="str">
        <x:v>P25</x:v>
      </x:c>
      <x:c r="D1527" s="35" t="n">
        <x:v>38</x:v>
      </x:c>
      <x:c r="E1527" s="35" t="str">
        <x:v>Primary VLA</x:v>
      </x:c>
      <x:c r="F1527" s="35" t="str">
        <x:v>VLA-0</x:v>
      </x:c>
      <x:c r="G1527" s="35" t="n">
        <x:v>3</x:v>
      </x:c>
      <x:c r="H1527" s="35" t="str">
        <x:v>State Recognition</x:v>
      </x:c>
      <x:c r="I1527" s="35" t="str">
        <x:v>Main matched control</x:v>
      </x:c>
      <x:c r="J1527" s="35" t="str">
        <x:v>PVLA-ST-CTL-08</x:v>
      </x:c>
      <x:c r="K1527" s="35" t="str">
        <x:v>S-CF15</x:v>
      </x:c>
      <x:c r="L1527" s="31" t="str">
        <x:v>Place a yellow-white striped cup in the bowl.</x:v>
      </x:c>
      <x:c r="M1527" s="31" t="str">
        <x:v>Place a yellow-white striped cup in the bowl.</x:v>
      </x:c>
      <x:c r="N1527" s="31" t="str">
        <x:v>S-CF15-CTRL: P1 brown cup A=C/UR; P2 glass spice container A=O/UR; P3 yellow-white striped cup A=C/UD [TARGET].</x:v>
      </x:c>
      <x:c r="O1527" s="31" t="str">
        <x:v>yellow-white striped cup A</x:v>
      </x:c>
      <x:c r="P1527" s="31" t="str"/>
      <x:c r="Q1527" s="31" t="str"/>
      <x:c r="R1527" s="31" t="str"/>
      <x:c r="S1527" s="31" t="str">
        <x:f>IF('Blind Scoring'!I1527="","",'Blind Scoring'!I1527)</x:f>
      </x:c>
      <x:c r="T1527" s="31" t="str">
        <x:f>'Blind Scoring'!J1527</x:f>
        <x:v>No</x:v>
      </x:c>
      <x:c r="U1527" s="31" t="str">
        <x:f>IF('Blind Scoring'!L1527="","",'Blind Scoring'!L1527)</x:f>
      </x:c>
    </x:row>
    <x:row r="1528" ht="44" customHeight="1">
      <x:c r="A1528" s="35" t="str">
        <x:v>Not Started</x:v>
      </x:c>
      <x:c r="B1528" s="35" t="n">
        <x:v>1526</x:v>
      </x:c>
      <x:c r="C1528" s="35" t="str">
        <x:v>P25</x:v>
      </x:c>
      <x:c r="D1528" s="35" t="n">
        <x:v>39</x:v>
      </x:c>
      <x:c r="E1528" s="35" t="str">
        <x:v>Primary VLA</x:v>
      </x:c>
      <x:c r="F1528" s="35" t="str">
        <x:v>VLA-0</x:v>
      </x:c>
      <x:c r="G1528" s="35" t="n">
        <x:v>3</x:v>
      </x:c>
      <x:c r="H1528" s="35" t="str">
        <x:v>State Recognition</x:v>
      </x:c>
      <x:c r="I1528" s="35" t="str">
        <x:v>Novel layout + seen language</x:v>
      </x:c>
      <x:c r="J1528" s="35" t="str">
        <x:v>PVLA-ST-NOV-07</x:v>
      </x:c>
      <x:c r="K1528" s="35" t="str">
        <x:v>S-CF17</x:v>
      </x:c>
      <x:c r="L1528" s="31" t="str">
        <x:v>Place the open white cup in the bowl.</x:v>
      </x:c>
      <x:c r="M1528" s="31" t="str">
        <x:v>Place the open white cup in the bowl.</x:v>
      </x:c>
      <x:c r="N1528" s="31" t="str">
        <x:v>S-CF17-SEEN: P1 white cup A=C/UR [TARGET]; P2 white cup B=O/UR [COMPETITOR]; P3 yellow-white striped cup A=C/UD; P4 brown cup B=O/UD.</x:v>
      </x:c>
      <x:c r="O1528" s="31" t="str">
        <x:v>white cup B</x:v>
      </x:c>
      <x:c r="P1528" s="31" t="str"/>
      <x:c r="Q1528" s="31" t="str"/>
      <x:c r="R1528" s="31" t="str"/>
      <x:c r="S1528" s="31" t="str">
        <x:f>IF('Blind Scoring'!I1528="","",'Blind Scoring'!I1528)</x:f>
      </x:c>
      <x:c r="T1528" s="31" t="str">
        <x:f>'Blind Scoring'!J1528</x:f>
        <x:v>No</x:v>
      </x:c>
      <x:c r="U1528" s="31" t="str">
        <x:f>IF('Blind Scoring'!L1528="","",'Blind Scoring'!L1528)</x:f>
      </x:c>
    </x:row>
    <x:row r="1529" ht="44" customHeight="1">
      <x:c r="A1529" s="35" t="str">
        <x:v>Not Started</x:v>
      </x:c>
      <x:c r="B1529" s="35" t="n">
        <x:v>1527</x:v>
      </x:c>
      <x:c r="C1529" s="35" t="str">
        <x:v>P25</x:v>
      </x:c>
      <x:c r="D1529" s="35" t="n">
        <x:v>40</x:v>
      </x:c>
      <x:c r="E1529" s="35" t="str">
        <x:v>Primary VLA</x:v>
      </x:c>
      <x:c r="F1529" s="35" t="str">
        <x:v>VLA-0</x:v>
      </x:c>
      <x:c r="G1529" s="35" t="n">
        <x:v>3</x:v>
      </x:c>
      <x:c r="H1529" s="35" t="str">
        <x:v>State Recognition</x:v>
      </x:c>
      <x:c r="I1529" s="35" t="str">
        <x:v>Language ablation — blank</x:v>
      </x:c>
      <x:c r="J1529" s="35" t="str">
        <x:v>PVLA-ST-ABL-BLK-04</x:v>
      </x:c>
      <x:c r="K1529" s="35" t="str">
        <x:v>S-CF07</x:v>
      </x:c>
      <x:c r="L1529" s="31" t="str">
        <x:v>[EMPTY STRING — provide no instruction tokens]</x:v>
      </x:c>
      <x:c r="M1529" s="31" t="str">
        <x:v>Place the closed yellow-white striped cup in the bowl.</x:v>
      </x:c>
      <x:c r="N1529" s="31" t="str">
        <x:v>S-CF07-HELD: P1 brown cup A=C/UR; P2 glass spice container A=O/UR; P3 yellow-white striped cup A=C/UD [TARGET]; P4 yellow-white striped cup B=O/UD [COMPETITOR].</x:v>
      </x:c>
      <x:c r="O1529" s="31" t="str">
        <x:v>No prespecified task success under blank language; record any action/selected target.</x:v>
      </x:c>
      <x:c r="P1529" s="31" t="str"/>
      <x:c r="Q1529" s="31" t="str"/>
      <x:c r="R1529" s="31" t="str"/>
      <x:c r="S1529" s="31" t="str">
        <x:f>IF('Blind Scoring'!I1529="","",'Blind Scoring'!I1529)</x:f>
      </x:c>
      <x:c r="T1529" s="31" t="str">
        <x:f>'Blind Scoring'!J1529</x:f>
        <x:v>No</x:v>
      </x:c>
      <x:c r="U1529" s="31" t="str">
        <x:f>IF('Blind Scoring'!L1529="","",'Blind Scoring'!L1529)</x:f>
      </x:c>
    </x:row>
    <x:row r="1530" ht="44" customHeight="1">
      <x:c r="A1530" s="35" t="str">
        <x:v>Not Started</x:v>
      </x:c>
      <x:c r="B1530" s="35" t="n">
        <x:v>1528</x:v>
      </x:c>
      <x:c r="C1530" s="35" t="str">
        <x:v>P25</x:v>
      </x:c>
      <x:c r="D1530" s="35" t="n">
        <x:v>41</x:v>
      </x:c>
      <x:c r="E1530" s="35" t="str">
        <x:v>Primary VLA</x:v>
      </x:c>
      <x:c r="F1530" s="35" t="str">
        <x:v>VLA-0</x:v>
      </x:c>
      <x:c r="G1530" s="35" t="n">
        <x:v>3</x:v>
      </x:c>
      <x:c r="H1530" s="35" t="str">
        <x:v>State Recognition</x:v>
      </x:c>
      <x:c r="I1530" s="35" t="str">
        <x:v>Exact-scene paraphrase</x:v>
      </x:c>
      <x:c r="J1530" s="35" t="str">
        <x:v>PVLA-ST-PAR-05</x:v>
      </x:c>
      <x:c r="K1530" s="35" t="str">
        <x:v>S-CF12</x:v>
      </x:c>
      <x:c r="L1530" s="31" t="str">
        <x:v>Move the overturned white cup into the bowl.</x:v>
      </x:c>
      <x:c r="M1530" s="31" t="str">
        <x:v>Move the overturned white cup into the bowl.</x:v>
      </x:c>
      <x:c r="N1530" s="31" t="str">
        <x:v>S-CF12-PARA: P1 white cup A=C/UD [COMPETITOR]; P2 yellow-white striped cup B=O/UR; P3 brown cup A=O/UD; P4 white cup B=C/UR [TARGET].</x:v>
      </x:c>
      <x:c r="O1530" s="31" t="str">
        <x:v>white cup A</x:v>
      </x:c>
      <x:c r="P1530" s="31" t="str"/>
      <x:c r="Q1530" s="31" t="str"/>
      <x:c r="R1530" s="31" t="str"/>
      <x:c r="S1530" s="31" t="str">
        <x:f>IF('Blind Scoring'!I1530="","",'Blind Scoring'!I1530)</x:f>
      </x:c>
      <x:c r="T1530" s="31" t="str">
        <x:f>'Blind Scoring'!J1530</x:f>
        <x:v>No</x:v>
      </x:c>
      <x:c r="U1530" s="31" t="str">
        <x:f>IF('Blind Scoring'!L1530="","",'Blind Scoring'!L1530)</x:f>
      </x:c>
    </x:row>
    <x:row r="1531" ht="44" customHeight="1">
      <x:c r="A1531" s="35" t="str">
        <x:v>Not Started</x:v>
      </x:c>
      <x:c r="B1531" s="35" t="n">
        <x:v>1529</x:v>
      </x:c>
      <x:c r="C1531" s="35" t="str">
        <x:v>P25</x:v>
      </x:c>
      <x:c r="D1531" s="35" t="n">
        <x:v>42</x:v>
      </x:c>
      <x:c r="E1531" s="35" t="str">
        <x:v>Primary VLA</x:v>
      </x:c>
      <x:c r="F1531" s="35" t="str">
        <x:v>VLA-0</x:v>
      </x:c>
      <x:c r="G1531" s="35" t="n">
        <x:v>3</x:v>
      </x:c>
      <x:c r="H1531" s="35" t="str">
        <x:v>State Recognition</x:v>
      </x:c>
      <x:c r="I1531" s="35" t="str">
        <x:v>Main matched control</x:v>
      </x:c>
      <x:c r="J1531" s="35" t="str">
        <x:v>PVLA-ST-CTL-03</x:v>
      </x:c>
      <x:c r="K1531" s="35" t="str">
        <x:v>S-CF05</x:v>
      </x:c>
      <x:c r="L1531" s="31" t="str">
        <x:v>Place a brown cup in the bowl.</x:v>
      </x:c>
      <x:c r="M1531" s="31" t="str">
        <x:v>Place a brown cup in the bowl.</x:v>
      </x:c>
      <x:c r="N1531" s="31" t="str">
        <x:v>S-CF05-CTRL: P1 brown cup A=C/UR [TARGET]; P3 glass spice container A=C/UD; P4 white cup B=O/UD.</x:v>
      </x:c>
      <x:c r="O1531" s="31" t="str">
        <x:v>brown cup A</x:v>
      </x:c>
      <x:c r="P1531" s="31" t="str"/>
      <x:c r="Q1531" s="31" t="str"/>
      <x:c r="R1531" s="31" t="str"/>
      <x:c r="S1531" s="31" t="str">
        <x:f>IF('Blind Scoring'!I1531="","",'Blind Scoring'!I1531)</x:f>
      </x:c>
      <x:c r="T1531" s="31" t="str">
        <x:f>'Blind Scoring'!J1531</x:f>
        <x:v>No</x:v>
      </x:c>
      <x:c r="U1531" s="31" t="str">
        <x:f>IF('Blind Scoring'!L1531="","",'Blind Scoring'!L1531)</x:f>
      </x:c>
    </x:row>
    <x:row r="1532" ht="44" customHeight="1">
      <x:c r="A1532" s="35" t="str">
        <x:v>Not Started</x:v>
      </x:c>
      <x:c r="B1532" s="35" t="n">
        <x:v>1530</x:v>
      </x:c>
      <x:c r="C1532" s="35" t="str">
        <x:v>P25</x:v>
      </x:c>
      <x:c r="D1532" s="35" t="n">
        <x:v>43</x:v>
      </x:c>
      <x:c r="E1532" s="35" t="str">
        <x:v>Primary VLA</x:v>
      </x:c>
      <x:c r="F1532" s="35" t="str">
        <x:v>VLA-0</x:v>
      </x:c>
      <x:c r="G1532" s="35" t="n">
        <x:v>3</x:v>
      </x:c>
      <x:c r="H1532" s="35" t="str">
        <x:v>State Recognition</x:v>
      </x:c>
      <x:c r="I1532" s="35" t="str">
        <x:v>Main held-out transfer</x:v>
      </x:c>
      <x:c r="J1532" s="35" t="str">
        <x:v>PVLA-ST-TR-14</x:v>
      </x:c>
      <x:c r="K1532" s="35" t="str">
        <x:v>S-CF26</x:v>
      </x:c>
      <x:c r="L1532" s="31" t="str">
        <x:v>Place the upright yellow-white striped cup in the bowl.</x:v>
      </x:c>
      <x:c r="M1532" s="31" t="str">
        <x:v>Place the upright yellow-white striped cup in the bowl.</x:v>
      </x:c>
      <x:c r="N1532" s="31" t="str">
        <x:v>S-CF26-HELD: P1 brown cup B=C/UR; P2 yellow-white striped cup B=O/UR [TARGET]; P3 yellow-white striped cup A=O/UD [COMPETITOR]; P4 glass spice container B=C/UD.</x:v>
      </x:c>
      <x:c r="O1532" s="31" t="str">
        <x:v>yellow-white striped cup B</x:v>
      </x:c>
      <x:c r="P1532" s="31" t="str"/>
      <x:c r="Q1532" s="31" t="str"/>
      <x:c r="R1532" s="31" t="str"/>
      <x:c r="S1532" s="31" t="str">
        <x:f>IF('Blind Scoring'!I1532="","",'Blind Scoring'!I1532)</x:f>
      </x:c>
      <x:c r="T1532" s="31" t="str">
        <x:f>'Blind Scoring'!J1532</x:f>
        <x:v>No</x:v>
      </x:c>
      <x:c r="U1532" s="31" t="str">
        <x:f>IF('Blind Scoring'!L1532="","",'Blind Scoring'!L1532)</x:f>
      </x:c>
    </x:row>
    <x:row r="1533" ht="44" customHeight="1">
      <x:c r="A1533" s="35" t="str">
        <x:v>Not Started</x:v>
      </x:c>
      <x:c r="B1533" s="35" t="n">
        <x:v>1531</x:v>
      </x:c>
      <x:c r="C1533" s="35" t="str">
        <x:v>P25</x:v>
      </x:c>
      <x:c r="D1533" s="35" t="n">
        <x:v>44</x:v>
      </x:c>
      <x:c r="E1533" s="35" t="str">
        <x:v>Primary VLA</x:v>
      </x:c>
      <x:c r="F1533" s="35" t="str">
        <x:v>VLA-0</x:v>
      </x:c>
      <x:c r="G1533" s="35" t="n">
        <x:v>3</x:v>
      </x:c>
      <x:c r="H1533" s="35" t="str">
        <x:v>State Recognition</x:v>
      </x:c>
      <x:c r="I1533" s="35" t="str">
        <x:v>Language ablation — blank</x:v>
      </x:c>
      <x:c r="J1533" s="35" t="str">
        <x:v>PVLA-ST-ABL-BLK-01</x:v>
      </x:c>
      <x:c r="K1533" s="35" t="str">
        <x:v>S-CF01</x:v>
      </x:c>
      <x:c r="L1533" s="31" t="str">
        <x:v>[EMPTY STRING — provide no instruction tokens]</x:v>
      </x:c>
      <x:c r="M1533" s="31" t="str">
        <x:v>Place the closed white cup in the bowl.</x:v>
      </x:c>
      <x:c r="N1533" s="31" t="str">
        <x:v>S-CF01-HELD: P1 white cup A=C/UR [TARGET]; P2 white cup B=O/UR [COMPETITOR]; P3 yellow-white striped cup A=C/UD; P4 brown cup B=O/UD.</x:v>
      </x:c>
      <x:c r="O1533" s="31" t="str">
        <x:v>No prespecified task success under blank language; record any action/selected target.</x:v>
      </x:c>
      <x:c r="P1533" s="31" t="str"/>
      <x:c r="Q1533" s="31" t="str"/>
      <x:c r="R1533" s="31" t="str"/>
      <x:c r="S1533" s="31" t="str">
        <x:f>IF('Blind Scoring'!I1533="","",'Blind Scoring'!I1533)</x:f>
      </x:c>
      <x:c r="T1533" s="31" t="str">
        <x:f>'Blind Scoring'!J1533</x:f>
        <x:v>No</x:v>
      </x:c>
      <x:c r="U1533" s="31" t="str">
        <x:f>IF('Blind Scoring'!L1533="","",'Blind Scoring'!L1533)</x:f>
      </x:c>
    </x:row>
    <x:row r="1534" ht="44" customHeight="1">
      <x:c r="A1534" s="35" t="str">
        <x:v>Not Started</x:v>
      </x:c>
      <x:c r="B1534" s="35" t="n">
        <x:v>1532</x:v>
      </x:c>
      <x:c r="C1534" s="35" t="str">
        <x:v>P25</x:v>
      </x:c>
      <x:c r="D1534" s="35" t="n">
        <x:v>45</x:v>
      </x:c>
      <x:c r="E1534" s="35" t="str">
        <x:v>Primary VLA</x:v>
      </x:c>
      <x:c r="F1534" s="35" t="str">
        <x:v>VLA-0</x:v>
      </x:c>
      <x:c r="G1534" s="35" t="n">
        <x:v>3</x:v>
      </x:c>
      <x:c r="H1534" s="35" t="str">
        <x:v>State Recognition</x:v>
      </x:c>
      <x:c r="I1534" s="35" t="str">
        <x:v>Main held-out transfer</x:v>
      </x:c>
      <x:c r="J1534" s="35" t="str">
        <x:v>PVLA-ST-TR-16</x:v>
      </x:c>
      <x:c r="K1534" s="35" t="str">
        <x:v>S-CF30</x:v>
      </x:c>
      <x:c r="L1534" s="31" t="str">
        <x:v>Place the upright glass spice container in the bowl.</x:v>
      </x:c>
      <x:c r="M1534" s="31" t="str">
        <x:v>Place the upright glass spice container in the bowl.</x:v>
      </x:c>
      <x:c r="N1534" s="31" t="str">
        <x:v>S-CF30-HELD: P1 white cup B=C/UR; P2 glass spice container A=O/UR [TARGET]; P3 glass spice container B=O/UD [COMPETITOR]; P4 yellow-white striped cup B=C/UD.</x:v>
      </x:c>
      <x:c r="O1534" s="31" t="str">
        <x:v>glass spice container A</x:v>
      </x:c>
      <x:c r="P1534" s="31" t="str"/>
      <x:c r="Q1534" s="31" t="str"/>
      <x:c r="R1534" s="31" t="str"/>
      <x:c r="S1534" s="31" t="str">
        <x:f>IF('Blind Scoring'!I1534="","",'Blind Scoring'!I1534)</x:f>
      </x:c>
      <x:c r="T1534" s="31" t="str">
        <x:f>'Blind Scoring'!J1534</x:f>
        <x:v>No</x:v>
      </x:c>
      <x:c r="U1534" s="31" t="str">
        <x:f>IF('Blind Scoring'!L1534="","",'Blind Scoring'!L1534)</x:f>
      </x:c>
    </x:row>
    <x:row r="1535" ht="44" customHeight="1">
      <x:c r="A1535" s="35" t="str">
        <x:v>Not Started</x:v>
      </x:c>
      <x:c r="B1535" s="35" t="n">
        <x:v>1533</x:v>
      </x:c>
      <x:c r="C1535" s="35" t="str">
        <x:v>P25</x:v>
      </x:c>
      <x:c r="D1535" s="35" t="n">
        <x:v>46</x:v>
      </x:c>
      <x:c r="E1535" s="35" t="str">
        <x:v>Primary VLA</x:v>
      </x:c>
      <x:c r="F1535" s="35" t="str">
        <x:v>VLA-0</x:v>
      </x:c>
      <x:c r="G1535" s="35" t="n">
        <x:v>3</x:v>
      </x:c>
      <x:c r="H1535" s="35" t="str">
        <x:v>State Recognition</x:v>
      </x:c>
      <x:c r="I1535" s="35" t="str">
        <x:v>Main held-out transfer</x:v>
      </x:c>
      <x:c r="J1535" s="35" t="str">
        <x:v>PVLA-ST-TR-07</x:v>
      </x:c>
      <x:c r="K1535" s="35" t="str">
        <x:v>S-CF13</x:v>
      </x:c>
      <x:c r="L1535" s="31" t="str">
        <x:v>Place the closed brown cup in the bowl.</x:v>
      </x:c>
      <x:c r="M1535" s="31" t="str">
        <x:v>Place the closed brown cup in the bowl.</x:v>
      </x:c>
      <x:c r="N1535" s="31" t="str">
        <x:v>S-CF13-HELD: P1 brown cup A=C/UR [TARGET]; P2 brown cup B=O/UR [COMPETITOR]; P3 glass spice container A=C/UD; P4 white cup B=O/UD.</x:v>
      </x:c>
      <x:c r="O1535" s="31" t="str">
        <x:v>brown cup A</x:v>
      </x:c>
      <x:c r="P1535" s="31" t="str"/>
      <x:c r="Q1535" s="31" t="str"/>
      <x:c r="R1535" s="31" t="str"/>
      <x:c r="S1535" s="31" t="str">
        <x:f>IF('Blind Scoring'!I1535="","",'Blind Scoring'!I1535)</x:f>
      </x:c>
      <x:c r="T1535" s="31" t="str">
        <x:f>'Blind Scoring'!J1535</x:f>
        <x:v>No</x:v>
      </x:c>
      <x:c r="U1535" s="31" t="str">
        <x:f>IF('Blind Scoring'!L1535="","",'Blind Scoring'!L1535)</x:f>
      </x:c>
    </x:row>
    <x:row r="1536" ht="44" customHeight="1">
      <x:c r="A1536" s="35" t="str">
        <x:v>Not Started</x:v>
      </x:c>
      <x:c r="B1536" s="35" t="n">
        <x:v>1534</x:v>
      </x:c>
      <x:c r="C1536" s="35" t="str">
        <x:v>P25</x:v>
      </x:c>
      <x:c r="D1536" s="35" t="n">
        <x:v>47</x:v>
      </x:c>
      <x:c r="E1536" s="35" t="str">
        <x:v>Primary VLA</x:v>
      </x:c>
      <x:c r="F1536" s="35" t="str">
        <x:v>VLA-0</x:v>
      </x:c>
      <x:c r="G1536" s="35" t="n">
        <x:v>3</x:v>
      </x:c>
      <x:c r="H1536" s="35" t="str">
        <x:v>State Recognition</x:v>
      </x:c>
      <x:c r="I1536" s="35" t="str">
        <x:v>Main held-out transfer</x:v>
      </x:c>
      <x:c r="J1536" s="35" t="str">
        <x:v>PVLA-ST-TR-06</x:v>
      </x:c>
      <x:c r="K1536" s="35" t="str">
        <x:v>S-CF11</x:v>
      </x:c>
      <x:c r="L1536" s="31" t="str">
        <x:v>Place the closed glass spice container in the bowl.</x:v>
      </x:c>
      <x:c r="M1536" s="31" t="str">
        <x:v>Place the closed glass spice container in the bowl.</x:v>
      </x:c>
      <x:c r="N1536" s="31" t="str">
        <x:v>S-CF11-HELD: P1 white cup A=C/UR; P2 yellow-white striped cup A=O/UR; P3 glass spice container B=C/UD [TARGET]; P4 glass spice container A=O/UD [COMPETITOR].</x:v>
      </x:c>
      <x:c r="O1536" s="31" t="str">
        <x:v>glass spice container B</x:v>
      </x:c>
      <x:c r="P1536" s="31" t="str"/>
      <x:c r="Q1536" s="31" t="str"/>
      <x:c r="R1536" s="31" t="str"/>
      <x:c r="S1536" s="31" t="str">
        <x:f>IF('Blind Scoring'!I1536="","",'Blind Scoring'!I1536)</x:f>
      </x:c>
      <x:c r="T1536" s="31" t="str">
        <x:f>'Blind Scoring'!J1536</x:f>
        <x:v>No</x:v>
      </x:c>
      <x:c r="U1536" s="31" t="str">
        <x:f>IF('Blind Scoring'!L1536="","",'Blind Scoring'!L1536)</x:f>
      </x:c>
    </x:row>
    <x:row r="1537" ht="44" customHeight="1">
      <x:c r="A1537" s="35" t="str">
        <x:v>Not Started</x:v>
      </x:c>
      <x:c r="B1537" s="35" t="n">
        <x:v>1535</x:v>
      </x:c>
      <x:c r="C1537" s="35" t="str">
        <x:v>P25</x:v>
      </x:c>
      <x:c r="D1537" s="35" t="n">
        <x:v>48</x:v>
      </x:c>
      <x:c r="E1537" s="35" t="str">
        <x:v>Primary VLA</x:v>
      </x:c>
      <x:c r="F1537" s="35" t="str">
        <x:v>VLA-0</x:v>
      </x:c>
      <x:c r="G1537" s="35" t="n">
        <x:v>3</x:v>
      </x:c>
      <x:c r="H1537" s="35" t="str">
        <x:v>State Recognition</x:v>
      </x:c>
      <x:c r="I1537" s="35" t="str">
        <x:v>Language ablation — blank</x:v>
      </x:c>
      <x:c r="J1537" s="35" t="str">
        <x:v>PVLA-ST-ABL-BLK-02</x:v>
      </x:c>
      <x:c r="K1537" s="35" t="str">
        <x:v>S-CF03</x:v>
      </x:c>
      <x:c r="L1537" s="31" t="str">
        <x:v>[EMPTY STRING — provide no instruction tokens]</x:v>
      </x:c>
      <x:c r="M1537" s="31" t="str">
        <x:v>Place the closed glass spice container in the bowl.</x:v>
      </x:c>
      <x:c r="N1537" s="31" t="str">
        <x:v>S-CF03-HELD: P1 white cup A=C/UR; P2 yellow-white striped cup A=O/UR; P3 glass spice container B=C/UD [TARGET]; P4 glass spice container A=O/UD [COMPETITOR].</x:v>
      </x:c>
      <x:c r="O1537" s="31" t="str">
        <x:v>No prespecified task success under blank language; record any action/selected target.</x:v>
      </x:c>
      <x:c r="P1537" s="31" t="str"/>
      <x:c r="Q1537" s="31" t="str"/>
      <x:c r="R1537" s="31" t="str"/>
      <x:c r="S1537" s="31" t="str">
        <x:f>IF('Blind Scoring'!I1537="","",'Blind Scoring'!I1537)</x:f>
      </x:c>
      <x:c r="T1537" s="31" t="str">
        <x:f>'Blind Scoring'!J1537</x:f>
        <x:v>No</x:v>
      </x:c>
      <x:c r="U1537" s="31" t="str">
        <x:f>IF('Blind Scoring'!L1537="","",'Blind Scoring'!L1537)</x:f>
      </x:c>
    </x:row>
    <x:row r="1538" ht="44" customHeight="1">
      <x:c r="A1538" s="35" t="str">
        <x:v>Not Started</x:v>
      </x:c>
      <x:c r="B1538" s="35" t="n">
        <x:v>1536</x:v>
      </x:c>
      <x:c r="C1538" s="35" t="str">
        <x:v>P25</x:v>
      </x:c>
      <x:c r="D1538" s="35" t="n">
        <x:v>49</x:v>
      </x:c>
      <x:c r="E1538" s="35" t="str">
        <x:v>Primary VLA</x:v>
      </x:c>
      <x:c r="F1538" s="35" t="str">
        <x:v>VLA-0</x:v>
      </x:c>
      <x:c r="G1538" s="35" t="n">
        <x:v>3</x:v>
      </x:c>
      <x:c r="H1538" s="35" t="str">
        <x:v>State Recognition</x:v>
      </x:c>
      <x:c r="I1538" s="35" t="str">
        <x:v>Main matched control</x:v>
      </x:c>
      <x:c r="J1538" s="35" t="str">
        <x:v>PVLA-ST-CTL-11</x:v>
      </x:c>
      <x:c r="K1538" s="35" t="str">
        <x:v>S-CF20</x:v>
      </x:c>
      <x:c r="L1538" s="31" t="str">
        <x:v>Place a white cup in the bowl.</x:v>
      </x:c>
      <x:c r="M1538" s="31" t="str">
        <x:v>Place a white cup in the bowl.</x:v>
      </x:c>
      <x:c r="N1538" s="31" t="str">
        <x:v>S-CF20-CTRL: P2 yellow-white striped cup B=O/UR; P3 brown cup A=O/UD; P4 white cup B=C/UR [TARGET].</x:v>
      </x:c>
      <x:c r="O1538" s="31" t="str">
        <x:v>white cup B</x:v>
      </x:c>
      <x:c r="P1538" s="31" t="str"/>
      <x:c r="Q1538" s="31" t="str"/>
      <x:c r="R1538" s="31" t="str"/>
      <x:c r="S1538" s="31" t="str">
        <x:f>IF('Blind Scoring'!I1538="","",'Blind Scoring'!I1538)</x:f>
      </x:c>
      <x:c r="T1538" s="31" t="str">
        <x:f>'Blind Scoring'!J1538</x:f>
        <x:v>No</x:v>
      </x:c>
      <x:c r="U1538" s="31" t="str">
        <x:f>IF('Blind Scoring'!L1538="","",'Blind Scoring'!L1538)</x:f>
      </x:c>
    </x:row>
    <x:row r="1539" ht="44" customHeight="1">
      <x:c r="A1539" s="35" t="str">
        <x:v>Not Started</x:v>
      </x:c>
      <x:c r="B1539" s="35" t="n">
        <x:v>1537</x:v>
      </x:c>
      <x:c r="C1539" s="35" t="str">
        <x:v>P25</x:v>
      </x:c>
      <x:c r="D1539" s="35" t="n">
        <x:v>50</x:v>
      </x:c>
      <x:c r="E1539" s="35" t="str">
        <x:v>Primary VLA</x:v>
      </x:c>
      <x:c r="F1539" s="35" t="str">
        <x:v>VLA-0</x:v>
      </x:c>
      <x:c r="G1539" s="35" t="n">
        <x:v>3</x:v>
      </x:c>
      <x:c r="H1539" s="35" t="str">
        <x:v>State Recognition</x:v>
      </x:c>
      <x:c r="I1539" s="35" t="str">
        <x:v>Main held-out transfer</x:v>
      </x:c>
      <x:c r="J1539" s="35" t="str">
        <x:v>PVLA-ST-TR-15</x:v>
      </x:c>
      <x:c r="K1539" s="35" t="str">
        <x:v>S-CF28</x:v>
      </x:c>
      <x:c r="L1539" s="31" t="str">
        <x:v>Place the upright white cup in the bowl.</x:v>
      </x:c>
      <x:c r="M1539" s="31" t="str">
        <x:v>Place the upright white cup in the bowl.</x:v>
      </x:c>
      <x:c r="N1539" s="31" t="str">
        <x:v>S-CF28-HELD: P1 white cup A=C/UD [COMPETITOR]; P2 yellow-white striped cup B=O/UR; P3 brown cup A=O/UD; P4 white cup B=C/UR [TARGET].</x:v>
      </x:c>
      <x:c r="O1539" s="31" t="str">
        <x:v>white cup B</x:v>
      </x:c>
      <x:c r="P1539" s="31" t="str"/>
      <x:c r="Q1539" s="31" t="str"/>
      <x:c r="R1539" s="31" t="str"/>
      <x:c r="S1539" s="31" t="str">
        <x:f>IF('Blind Scoring'!I1539="","",'Blind Scoring'!I1539)</x:f>
      </x:c>
      <x:c r="T1539" s="31" t="str">
        <x:f>'Blind Scoring'!J1539</x:f>
        <x:v>No</x:v>
      </x:c>
      <x:c r="U1539" s="31" t="str">
        <x:f>IF('Blind Scoring'!L1539="","",'Blind Scoring'!L1539)</x:f>
      </x:c>
    </x:row>
    <x:row r="1540" ht="44" customHeight="1">
      <x:c r="A1540" s="35" t="str">
        <x:v>Not Started</x:v>
      </x:c>
      <x:c r="B1540" s="35" t="n">
        <x:v>1538</x:v>
      </x:c>
      <x:c r="C1540" s="35" t="str">
        <x:v>P25</x:v>
      </x:c>
      <x:c r="D1540" s="35" t="n">
        <x:v>51</x:v>
      </x:c>
      <x:c r="E1540" s="35" t="str">
        <x:v>Primary VLA</x:v>
      </x:c>
      <x:c r="F1540" s="35" t="str">
        <x:v>VLA-0</x:v>
      </x:c>
      <x:c r="G1540" s="35" t="n">
        <x:v>3</x:v>
      </x:c>
      <x:c r="H1540" s="35" t="str">
        <x:v>State Recognition</x:v>
      </x:c>
      <x:c r="I1540" s="35" t="str">
        <x:v>Training reconstruction</x:v>
      </x:c>
      <x:c r="J1540" s="35" t="str">
        <x:v>PVLA-ST-REC-05</x:v>
      </x:c>
      <x:c r="K1540" s="35" t="str"/>
      <x:c r="L1540" s="31" t="str">
        <x:v>Put the open glass spice container in the bowl.</x:v>
      </x:c>
      <x:c r="M1540" s="31" t="str">
        <x:v>Put the open glass spice container in the bowl.</x:v>
      </x:c>
      <x:c r="N1540" s="31" t="str">
        <x:v>Reconstruct planned final training episode 160: glass spice container B, glass spice container A, yellow-white striped cup B; start=Home. Match camera, calibration, bowl pose, and object geometry exactly.</x:v>
      </x:c>
      <x:c r="O1540" s="31" t="str">
        <x:v>glass spice container B</x:v>
      </x:c>
      <x:c r="P1540" s="31" t="str"/>
      <x:c r="Q1540" s="31" t="str"/>
      <x:c r="R1540" s="31" t="str"/>
      <x:c r="S1540" s="31" t="str">
        <x:f>IF('Blind Scoring'!I1540="","",'Blind Scoring'!I1540)</x:f>
      </x:c>
      <x:c r="T1540" s="31" t="str">
        <x:f>'Blind Scoring'!J1540</x:f>
        <x:v>No</x:v>
      </x:c>
      <x:c r="U1540" s="31" t="str">
        <x:f>IF('Blind Scoring'!L1540="","",'Blind Scoring'!L1540)</x:f>
      </x:c>
    </x:row>
    <x:row r="1541" ht="44" customHeight="1">
      <x:c r="A1541" s="35" t="str">
        <x:v>Not Started</x:v>
      </x:c>
      <x:c r="B1541" s="35" t="n">
        <x:v>1539</x:v>
      </x:c>
      <x:c r="C1541" s="35" t="str">
        <x:v>P25</x:v>
      </x:c>
      <x:c r="D1541" s="35" t="n">
        <x:v>52</x:v>
      </x:c>
      <x:c r="E1541" s="35" t="str">
        <x:v>Primary VLA</x:v>
      </x:c>
      <x:c r="F1541" s="35" t="str">
        <x:v>VLA-0</x:v>
      </x:c>
      <x:c r="G1541" s="35" t="n">
        <x:v>3</x:v>
      </x:c>
      <x:c r="H1541" s="35" t="str">
        <x:v>State Recognition</x:v>
      </x:c>
      <x:c r="I1541" s="35" t="str">
        <x:v>Main held-out transfer</x:v>
      </x:c>
      <x:c r="J1541" s="35" t="str">
        <x:v>PVLA-ST-TR-09</x:v>
      </x:c>
      <x:c r="K1541" s="35" t="str">
        <x:v>S-CF16</x:v>
      </x:c>
      <x:c r="L1541" s="31" t="str">
        <x:v>Place the upright brown cup in the bowl.</x:v>
      </x:c>
      <x:c r="M1541" s="31" t="str">
        <x:v>Place the upright brown cup in the bowl.</x:v>
      </x:c>
      <x:c r="N1541" s="31" t="str">
        <x:v>S-CF16-HELD: P1 brown cup A=C/UD [COMPETITOR]; P2 glass spice container B=O/UR; P3 white cup A=O/UD; P4 brown cup B=C/UR [TARGET].</x:v>
      </x:c>
      <x:c r="O1541" s="31" t="str">
        <x:v>brown cup B</x:v>
      </x:c>
      <x:c r="P1541" s="31" t="str"/>
      <x:c r="Q1541" s="31" t="str"/>
      <x:c r="R1541" s="31" t="str"/>
      <x:c r="S1541" s="31" t="str">
        <x:f>IF('Blind Scoring'!I1541="","",'Blind Scoring'!I1541)</x:f>
      </x:c>
      <x:c r="T1541" s="31" t="str">
        <x:f>'Blind Scoring'!J1541</x:f>
        <x:v>No</x:v>
      </x:c>
      <x:c r="U1541" s="31" t="str">
        <x:f>IF('Blind Scoring'!L1541="","",'Blind Scoring'!L1541)</x:f>
      </x:c>
    </x:row>
    <x:row r="1542" ht="44" customHeight="1">
      <x:c r="A1542" s="35" t="str">
        <x:v>Not Started</x:v>
      </x:c>
      <x:c r="B1542" s="35" t="n">
        <x:v>1540</x:v>
      </x:c>
      <x:c r="C1542" s="35" t="str">
        <x:v>P25</x:v>
      </x:c>
      <x:c r="D1542" s="35" t="n">
        <x:v>53</x:v>
      </x:c>
      <x:c r="E1542" s="35" t="str">
        <x:v>Primary VLA</x:v>
      </x:c>
      <x:c r="F1542" s="35" t="str">
        <x:v>VLA-0</x:v>
      </x:c>
      <x:c r="G1542" s="35" t="n">
        <x:v>3</x:v>
      </x:c>
      <x:c r="H1542" s="35" t="str">
        <x:v>State Recognition</x:v>
      </x:c>
      <x:c r="I1542" s="35" t="str">
        <x:v>Main held-out transfer</x:v>
      </x:c>
      <x:c r="J1542" s="35" t="str">
        <x:v>PVLA-ST-TR-10</x:v>
      </x:c>
      <x:c r="K1542" s="35" t="str">
        <x:v>S-CF18</x:v>
      </x:c>
      <x:c r="L1542" s="31" t="str">
        <x:v>Place the upright yellow-white striped cup in the bowl.</x:v>
      </x:c>
      <x:c r="M1542" s="31" t="str">
        <x:v>Place the upright yellow-white striped cup in the bowl.</x:v>
      </x:c>
      <x:c r="N1542" s="31" t="str">
        <x:v>S-CF18-HELD: P1 brown cup B=C/UR; P2 yellow-white striped cup B=O/UR [TARGET]; P3 yellow-white striped cup A=O/UD [COMPETITOR]; P4 glass spice container B=C/UD.</x:v>
      </x:c>
      <x:c r="O1542" s="31" t="str">
        <x:v>yellow-white striped cup B</x:v>
      </x:c>
      <x:c r="P1542" s="31" t="str"/>
      <x:c r="Q1542" s="31" t="str"/>
      <x:c r="R1542" s="31" t="str"/>
      <x:c r="S1542" s="31" t="str">
        <x:f>IF('Blind Scoring'!I1542="","",'Blind Scoring'!I1542)</x:f>
      </x:c>
      <x:c r="T1542" s="31" t="str">
        <x:f>'Blind Scoring'!J1542</x:f>
        <x:v>No</x:v>
      </x:c>
      <x:c r="U1542" s="31" t="str">
        <x:f>IF('Blind Scoring'!L1542="","",'Blind Scoring'!L1542)</x:f>
      </x:c>
    </x:row>
    <x:row r="1543" ht="44" customHeight="1">
      <x:c r="A1543" s="35" t="str">
        <x:v>Not Started</x:v>
      </x:c>
      <x:c r="B1543" s="35" t="n">
        <x:v>1541</x:v>
      </x:c>
      <x:c r="C1543" s="35" t="str">
        <x:v>P25</x:v>
      </x:c>
      <x:c r="D1543" s="35" t="n">
        <x:v>54</x:v>
      </x:c>
      <x:c r="E1543" s="35" t="str">
        <x:v>Primary VLA</x:v>
      </x:c>
      <x:c r="F1543" s="35" t="str">
        <x:v>VLA-0</x:v>
      </x:c>
      <x:c r="G1543" s="35" t="n">
        <x:v>3</x:v>
      </x:c>
      <x:c r="H1543" s="35" t="str">
        <x:v>State Recognition</x:v>
      </x:c>
      <x:c r="I1543" s="35" t="str">
        <x:v>Training reconstruction</x:v>
      </x:c>
      <x:c r="J1543" s="35" t="str">
        <x:v>PVLA-ST-REC-04</x:v>
      </x:c>
      <x:c r="K1543" s="35" t="str"/>
      <x:c r="L1543" s="31" t="str">
        <x:v>Move the open brown cup into the bowl.</x:v>
      </x:c>
      <x:c r="M1543" s="31" t="str">
        <x:v>Move the open brown cup into the bowl.</x:v>
      </x:c>
      <x:c r="N1543" s="31" t="str">
        <x:v>Reconstruct planned final training episode 104: brown cup B, brown cup A, glass spice container A; start=Recovery. Match camera, calibration, bowl pose, and object geometry exactly.</x:v>
      </x:c>
      <x:c r="O1543" s="31" t="str">
        <x:v>brown cup B</x:v>
      </x:c>
      <x:c r="P1543" s="31" t="str"/>
      <x:c r="Q1543" s="31" t="str"/>
      <x:c r="R1543" s="31" t="str"/>
      <x:c r="S1543" s="31" t="str">
        <x:f>IF('Blind Scoring'!I1543="","",'Blind Scoring'!I1543)</x:f>
      </x:c>
      <x:c r="T1543" s="31" t="str">
        <x:f>'Blind Scoring'!J1543</x:f>
        <x:v>No</x:v>
      </x:c>
      <x:c r="U1543" s="31" t="str">
        <x:f>IF('Blind Scoring'!L1543="","",'Blind Scoring'!L1543)</x:f>
      </x:c>
    </x:row>
    <x:row r="1544" ht="44" customHeight="1">
      <x:c r="A1544" s="35" t="str">
        <x:v>Not Started</x:v>
      </x:c>
      <x:c r="B1544" s="35" t="n">
        <x:v>1542</x:v>
      </x:c>
      <x:c r="C1544" s="35" t="str">
        <x:v>P25</x:v>
      </x:c>
      <x:c r="D1544" s="35" t="n">
        <x:v>55</x:v>
      </x:c>
      <x:c r="E1544" s="35" t="str">
        <x:v>Primary VLA</x:v>
      </x:c>
      <x:c r="F1544" s="35" t="str">
        <x:v>VLA-0</x:v>
      </x:c>
      <x:c r="G1544" s="35" t="n">
        <x:v>3</x:v>
      </x:c>
      <x:c r="H1544" s="35" t="str">
        <x:v>State Recognition</x:v>
      </x:c>
      <x:c r="I1544" s="35" t="str">
        <x:v>Main held-out transfer</x:v>
      </x:c>
      <x:c r="J1544" s="35" t="str">
        <x:v>PVLA-ST-TR-05</x:v>
      </x:c>
      <x:c r="K1544" s="35" t="str">
        <x:v>S-CF09</x:v>
      </x:c>
      <x:c r="L1544" s="31" t="str">
        <x:v>Place the closed white cup in the bowl.</x:v>
      </x:c>
      <x:c r="M1544" s="31" t="str">
        <x:v>Place the closed white cup in the bowl.</x:v>
      </x:c>
      <x:c r="N1544" s="31" t="str">
        <x:v>S-CF09-HELD: P1 white cup A=C/UR [TARGET]; P2 white cup B=O/UR [COMPETITOR]; P3 yellow-white striped cup A=C/UD; P4 brown cup B=O/UD.</x:v>
      </x:c>
      <x:c r="O1544" s="31" t="str">
        <x:v>white cup A</x:v>
      </x:c>
      <x:c r="P1544" s="31" t="str"/>
      <x:c r="Q1544" s="31" t="str"/>
      <x:c r="R1544" s="31" t="str"/>
      <x:c r="S1544" s="31" t="str">
        <x:f>IF('Blind Scoring'!I1544="","",'Blind Scoring'!I1544)</x:f>
      </x:c>
      <x:c r="T1544" s="31" t="str">
        <x:f>'Blind Scoring'!J1544</x:f>
        <x:v>No</x:v>
      </x:c>
      <x:c r="U1544" s="31" t="str">
        <x:f>IF('Blind Scoring'!L1544="","",'Blind Scoring'!L1544)</x:f>
      </x:c>
    </x:row>
    <x:row r="1545" ht="44" customHeight="1">
      <x:c r="A1545" s="35" t="str">
        <x:v>Not Started</x:v>
      </x:c>
      <x:c r="B1545" s="35" t="n">
        <x:v>1543</x:v>
      </x:c>
      <x:c r="C1545" s="35" t="str">
        <x:v>P25</x:v>
      </x:c>
      <x:c r="D1545" s="35" t="n">
        <x:v>56</x:v>
      </x:c>
      <x:c r="E1545" s="35" t="str">
        <x:v>Primary VLA</x:v>
      </x:c>
      <x:c r="F1545" s="35" t="str">
        <x:v>VLA-0</x:v>
      </x:c>
      <x:c r="G1545" s="35" t="n">
        <x:v>3</x:v>
      </x:c>
      <x:c r="H1545" s="35" t="str">
        <x:v>State Recognition</x:v>
      </x:c>
      <x:c r="I1545" s="35" t="str">
        <x:v>Novel layout + seen language</x:v>
      </x:c>
      <x:c r="J1545" s="35" t="str">
        <x:v>PVLA-ST-NOV-06</x:v>
      </x:c>
      <x:c r="K1545" s="35" t="str">
        <x:v>S-CF15</x:v>
      </x:c>
      <x:c r="L1545" s="31" t="str">
        <x:v>Place the open yellow-white striped cup in the bowl.</x:v>
      </x:c>
      <x:c r="M1545" s="31" t="str">
        <x:v>Place the open yellow-white striped cup in the bowl.</x:v>
      </x:c>
      <x:c r="N1545" s="31" t="str">
        <x:v>S-CF15-SEEN: P1 brown cup A=C/UR; P2 glass spice container A=O/UR; P3 yellow-white striped cup A=C/UD [TARGET]; P4 yellow-white striped cup B=O/UD [COMPETITOR].</x:v>
      </x:c>
      <x:c r="O1545" s="31" t="str">
        <x:v>yellow-white striped cup B</x:v>
      </x:c>
      <x:c r="P1545" s="31" t="str"/>
      <x:c r="Q1545" s="31" t="str"/>
      <x:c r="R1545" s="31" t="str"/>
      <x:c r="S1545" s="31" t="str">
        <x:f>IF('Blind Scoring'!I1545="","",'Blind Scoring'!I1545)</x:f>
      </x:c>
      <x:c r="T1545" s="31" t="str">
        <x:f>'Blind Scoring'!J1545</x:f>
        <x:v>No</x:v>
      </x:c>
      <x:c r="U1545" s="31" t="str">
        <x:f>IF('Blind Scoring'!L1545="","",'Blind Scoring'!L1545)</x:f>
      </x:c>
    </x:row>
    <x:row r="1546" ht="44" customHeight="1">
      <x:c r="A1546" s="35" t="str">
        <x:v>Not Started</x:v>
      </x:c>
      <x:c r="B1546" s="35" t="n">
        <x:v>1544</x:v>
      </x:c>
      <x:c r="C1546" s="35" t="str">
        <x:v>P25</x:v>
      </x:c>
      <x:c r="D1546" s="35" t="n">
        <x:v>57</x:v>
      </x:c>
      <x:c r="E1546" s="35" t="str">
        <x:v>Primary VLA</x:v>
      </x:c>
      <x:c r="F1546" s="35" t="str">
        <x:v>VLA-0</x:v>
      </x:c>
      <x:c r="G1546" s="35" t="n">
        <x:v>3</x:v>
      </x:c>
      <x:c r="H1546" s="35" t="str">
        <x:v>State Recognition</x:v>
      </x:c>
      <x:c r="I1546" s="35" t="str">
        <x:v>Main matched control</x:v>
      </x:c>
      <x:c r="J1546" s="35" t="str">
        <x:v>PVLA-ST-CTL-12</x:v>
      </x:c>
      <x:c r="K1546" s="35" t="str">
        <x:v>S-CF22</x:v>
      </x:c>
      <x:c r="L1546" s="31" t="str">
        <x:v>Place a glass spice container in the bowl.</x:v>
      </x:c>
      <x:c r="M1546" s="31" t="str">
        <x:v>Place a glass spice container in the bowl.</x:v>
      </x:c>
      <x:c r="N1546" s="31" t="str">
        <x:v>S-CF22-CTRL: P1 white cup B=C/UR; P2 glass spice container A=O/UR [TARGET]; P4 yellow-white striped cup B=C/UD.</x:v>
      </x:c>
      <x:c r="O1546" s="31" t="str">
        <x:v>glass spice container A</x:v>
      </x:c>
      <x:c r="P1546" s="31" t="str"/>
      <x:c r="Q1546" s="31" t="str"/>
      <x:c r="R1546" s="31" t="str"/>
      <x:c r="S1546" s="31" t="str">
        <x:f>IF('Blind Scoring'!I1546="","",'Blind Scoring'!I1546)</x:f>
      </x:c>
      <x:c r="T1546" s="31" t="str">
        <x:f>'Blind Scoring'!J1546</x:f>
        <x:v>No</x:v>
      </x:c>
      <x:c r="U1546" s="31" t="str">
        <x:f>IF('Blind Scoring'!L1546="","",'Blind Scoring'!L1546)</x:f>
      </x:c>
    </x:row>
    <x:row r="1547" ht="44" customHeight="1">
      <x:c r="A1547" s="35" t="str">
        <x:v>Not Started</x:v>
      </x:c>
      <x:c r="B1547" s="35" t="n">
        <x:v>1545</x:v>
      </x:c>
      <x:c r="C1547" s="35" t="str">
        <x:v>P25</x:v>
      </x:c>
      <x:c r="D1547" s="35" t="n">
        <x:v>58</x:v>
      </x:c>
      <x:c r="E1547" s="35" t="str">
        <x:v>Primary VLA</x:v>
      </x:c>
      <x:c r="F1547" s="35" t="str">
        <x:v>VLA-0</x:v>
      </x:c>
      <x:c r="G1547" s="35" t="n">
        <x:v>3</x:v>
      </x:c>
      <x:c r="H1547" s="35" t="str">
        <x:v>State Recognition</x:v>
      </x:c>
      <x:c r="I1547" s="35" t="str">
        <x:v>Novel layout + seen language</x:v>
      </x:c>
      <x:c r="J1547" s="35" t="str">
        <x:v>PVLA-ST-NOV-08</x:v>
      </x:c>
      <x:c r="K1547" s="35" t="str">
        <x:v>S-CF20</x:v>
      </x:c>
      <x:c r="L1547" s="31" t="str">
        <x:v>Place the upside-down white cup in the bowl.</x:v>
      </x:c>
      <x:c r="M1547" s="31" t="str">
        <x:v>Place the upside-down white cup in the bowl.</x:v>
      </x:c>
      <x:c r="N1547" s="31" t="str">
        <x:v>S-CF20-SEEN: P1 white cup A=C/UD [COMPETITOR]; P2 yellow-white striped cup B=O/UR; P3 brown cup A=O/UD; P4 white cup B=C/UR [TARGET].</x:v>
      </x:c>
      <x:c r="O1547" s="31" t="str">
        <x:v>white cup A</x:v>
      </x:c>
      <x:c r="P1547" s="31" t="str"/>
      <x:c r="Q1547" s="31" t="str"/>
      <x:c r="R1547" s="31" t="str"/>
      <x:c r="S1547" s="31" t="str">
        <x:f>IF('Blind Scoring'!I1547="","",'Blind Scoring'!I1547)</x:f>
      </x:c>
      <x:c r="T1547" s="31" t="str">
        <x:f>'Blind Scoring'!J1547</x:f>
        <x:v>No</x:v>
      </x:c>
      <x:c r="U1547" s="31" t="str">
        <x:f>IF('Blind Scoring'!L1547="","",'Blind Scoring'!L1547)</x:f>
      </x:c>
    </x:row>
    <x:row r="1548" ht="44" customHeight="1">
      <x:c r="A1548" s="35" t="str">
        <x:v>Not Started</x:v>
      </x:c>
      <x:c r="B1548" s="35" t="n">
        <x:v>1546</x:v>
      </x:c>
      <x:c r="C1548" s="35" t="str">
        <x:v>P25</x:v>
      </x:c>
      <x:c r="D1548" s="35" t="n">
        <x:v>59</x:v>
      </x:c>
      <x:c r="E1548" s="35" t="str">
        <x:v>Primary VLA</x:v>
      </x:c>
      <x:c r="F1548" s="35" t="str">
        <x:v>VLA-0</x:v>
      </x:c>
      <x:c r="G1548" s="35" t="n">
        <x:v>3</x:v>
      </x:c>
      <x:c r="H1548" s="35" t="str">
        <x:v>State Recognition</x:v>
      </x:c>
      <x:c r="I1548" s="35" t="str">
        <x:v>Language ablation — blank</x:v>
      </x:c>
      <x:c r="J1548" s="35" t="str">
        <x:v>PVLA-ST-ABL-BLK-03</x:v>
      </x:c>
      <x:c r="K1548" s="35" t="str">
        <x:v>S-CF05</x:v>
      </x:c>
      <x:c r="L1548" s="31" t="str">
        <x:v>[EMPTY STRING — provide no instruction tokens]</x:v>
      </x:c>
      <x:c r="M1548" s="31" t="str">
        <x:v>Place the closed brown cup in the bowl.</x:v>
      </x:c>
      <x:c r="N1548" s="31" t="str">
        <x:v>S-CF05-HELD: P1 brown cup A=C/UR [TARGET]; P2 brown cup B=O/UR [COMPETITOR]; P3 glass spice container A=C/UD; P4 white cup B=O/UD.</x:v>
      </x:c>
      <x:c r="O1548" s="31" t="str">
        <x:v>No prespecified task success under blank language; record any action/selected target.</x:v>
      </x:c>
      <x:c r="P1548" s="31" t="str"/>
      <x:c r="Q1548" s="31" t="str"/>
      <x:c r="R1548" s="31" t="str"/>
      <x:c r="S1548" s="31" t="str">
        <x:f>IF('Blind Scoring'!I1548="","",'Blind Scoring'!I1548)</x:f>
      </x:c>
      <x:c r="T1548" s="31" t="str">
        <x:f>'Blind Scoring'!J1548</x:f>
        <x:v>No</x:v>
      </x:c>
      <x:c r="U1548" s="31" t="str">
        <x:f>IF('Blind Scoring'!L1548="","",'Blind Scoring'!L1548)</x:f>
      </x:c>
    </x:row>
    <x:row r="1549" ht="44" customHeight="1">
      <x:c r="A1549" s="35" t="str">
        <x:v>Not Started</x:v>
      </x:c>
      <x:c r="B1549" s="35" t="n">
        <x:v>1547</x:v>
      </x:c>
      <x:c r="C1549" s="35" t="str">
        <x:v>P25</x:v>
      </x:c>
      <x:c r="D1549" s="35" t="n">
        <x:v>60</x:v>
      </x:c>
      <x:c r="E1549" s="35" t="str">
        <x:v>Primary VLA</x:v>
      </x:c>
      <x:c r="F1549" s="35" t="str">
        <x:v>VLA-0</x:v>
      </x:c>
      <x:c r="G1549" s="35" t="n">
        <x:v>3</x:v>
      </x:c>
      <x:c r="H1549" s="35" t="str">
        <x:v>State Recognition</x:v>
      </x:c>
      <x:c r="I1549" s="35" t="str">
        <x:v>Main matched control</x:v>
      </x:c>
      <x:c r="J1549" s="35" t="str">
        <x:v>PVLA-ST-CTL-02</x:v>
      </x:c>
      <x:c r="K1549" s="35" t="str">
        <x:v>S-CF03</x:v>
      </x:c>
      <x:c r="L1549" s="31" t="str">
        <x:v>Place a glass spice container in the bowl.</x:v>
      </x:c>
      <x:c r="M1549" s="31" t="str">
        <x:v>Place a glass spice container in the bowl.</x:v>
      </x:c>
      <x:c r="N1549" s="31" t="str">
        <x:v>S-CF03-CTRL: P1 white cup A=C/UR; P2 yellow-white striped cup A=O/UR; P3 glass spice container B=C/UD [TARGET].</x:v>
      </x:c>
      <x:c r="O1549" s="31" t="str">
        <x:v>glass spice container B</x:v>
      </x:c>
      <x:c r="P1549" s="31" t="str"/>
      <x:c r="Q1549" s="31" t="str"/>
      <x:c r="R1549" s="31" t="str"/>
      <x:c r="S1549" s="31" t="str">
        <x:f>IF('Blind Scoring'!I1549="","",'Blind Scoring'!I1549)</x:f>
      </x:c>
      <x:c r="T1549" s="31" t="str">
        <x:f>'Blind Scoring'!J1549</x:f>
        <x:v>No</x:v>
      </x:c>
      <x:c r="U1549" s="31" t="str">
        <x:f>IF('Blind Scoring'!L1549="","",'Blind Scoring'!L1549)</x:f>
      </x:c>
    </x:row>
    <x:row r="1550" ht="44" customHeight="1">
      <x:c r="A1550" s="35" t="str">
        <x:v>Not Started</x:v>
      </x:c>
      <x:c r="B1550" s="35" t="n">
        <x:v>1548</x:v>
      </x:c>
      <x:c r="C1550" s="35" t="str">
        <x:v>P25</x:v>
      </x:c>
      <x:c r="D1550" s="35" t="n">
        <x:v>61</x:v>
      </x:c>
      <x:c r="E1550" s="35" t="str">
        <x:v>Primary VLA</x:v>
      </x:c>
      <x:c r="F1550" s="35" t="str">
        <x:v>VLA-0</x:v>
      </x:c>
      <x:c r="G1550" s="35" t="n">
        <x:v>3</x:v>
      </x:c>
      <x:c r="H1550" s="35" t="str">
        <x:v>State Recognition</x:v>
      </x:c>
      <x:c r="I1550" s="35" t="str">
        <x:v>Main matched control</x:v>
      </x:c>
      <x:c r="J1550" s="35" t="str">
        <x:v>PVLA-ST-CTL-09</x:v>
      </x:c>
      <x:c r="K1550" s="35" t="str">
        <x:v>S-CF16</x:v>
      </x:c>
      <x:c r="L1550" s="31" t="str">
        <x:v>Place a brown cup in the bowl.</x:v>
      </x:c>
      <x:c r="M1550" s="31" t="str">
        <x:v>Place a brown cup in the bowl.</x:v>
      </x:c>
      <x:c r="N1550" s="31" t="str">
        <x:v>S-CF16-CTRL: P2 glass spice container B=O/UR; P3 white cup A=O/UD; P4 brown cup B=C/UR [TARGET].</x:v>
      </x:c>
      <x:c r="O1550" s="31" t="str">
        <x:v>brown cup B</x:v>
      </x:c>
      <x:c r="P1550" s="31" t="str"/>
      <x:c r="Q1550" s="31" t="str"/>
      <x:c r="R1550" s="31" t="str"/>
      <x:c r="S1550" s="31" t="str">
        <x:f>IF('Blind Scoring'!I1550="","",'Blind Scoring'!I1550)</x:f>
      </x:c>
      <x:c r="T1550" s="31" t="str">
        <x:f>'Blind Scoring'!J1550</x:f>
        <x:v>No</x:v>
      </x:c>
      <x:c r="U1550" s="31" t="str">
        <x:f>IF('Blind Scoring'!L1550="","",'Blind Scoring'!L1550)</x:f>
      </x:c>
    </x:row>
    <x:row r="1551" ht="44" customHeight="1">
      <x:c r="A1551" s="35" t="str">
        <x:v>Not Started</x:v>
      </x:c>
      <x:c r="B1551" s="35" t="n">
        <x:v>1549</x:v>
      </x:c>
      <x:c r="C1551" s="35" t="str">
        <x:v>P25</x:v>
      </x:c>
      <x:c r="D1551" s="35" t="n">
        <x:v>62</x:v>
      </x:c>
      <x:c r="E1551" s="35" t="str">
        <x:v>Primary VLA</x:v>
      </x:c>
      <x:c r="F1551" s="35" t="str">
        <x:v>VLA-0</x:v>
      </x:c>
      <x:c r="G1551" s="35" t="n">
        <x:v>3</x:v>
      </x:c>
      <x:c r="H1551" s="35" t="str">
        <x:v>State Recognition</x:v>
      </x:c>
      <x:c r="I1551" s="35" t="str">
        <x:v>Main matched control</x:v>
      </x:c>
      <x:c r="J1551" s="35" t="str">
        <x:v>PVLA-ST-CTL-10</x:v>
      </x:c>
      <x:c r="K1551" s="35" t="str">
        <x:v>S-CF18</x:v>
      </x:c>
      <x:c r="L1551" s="31" t="str">
        <x:v>Place a yellow-white striped cup in the bowl.</x:v>
      </x:c>
      <x:c r="M1551" s="31" t="str">
        <x:v>Place a yellow-white striped cup in the bowl.</x:v>
      </x:c>
      <x:c r="N1551" s="31" t="str">
        <x:v>S-CF18-CTRL: P1 brown cup B=C/UR; P2 yellow-white striped cup B=O/UR [TARGET]; P4 glass spice container B=C/UD.</x:v>
      </x:c>
      <x:c r="O1551" s="31" t="str">
        <x:v>yellow-white striped cup B</x:v>
      </x:c>
      <x:c r="P1551" s="31" t="str"/>
      <x:c r="Q1551" s="31" t="str"/>
      <x:c r="R1551" s="31" t="str"/>
      <x:c r="S1551" s="31" t="str">
        <x:f>IF('Blind Scoring'!I1551="","",'Blind Scoring'!I1551)</x:f>
      </x:c>
      <x:c r="T1551" s="31" t="str">
        <x:f>'Blind Scoring'!J1551</x:f>
        <x:v>No</x:v>
      </x:c>
      <x:c r="U1551" s="31" t="str">
        <x:f>IF('Blind Scoring'!L1551="","",'Blind Scoring'!L1551)</x:f>
      </x:c>
    </x:row>
    <x:row r="1552" ht="44" customHeight="1">
      <x:c r="A1552" s="35" t="str">
        <x:v>Not Started</x:v>
      </x:c>
      <x:c r="B1552" s="35" t="n">
        <x:v>1550</x:v>
      </x:c>
      <x:c r="C1552" s="35" t="str">
        <x:v>P26</x:v>
      </x:c>
      <x:c r="D1552" s="35" t="n">
        <x:v>1</x:v>
      </x:c>
      <x:c r="E1552" s="35" t="str">
        <x:v>Primary VLA</x:v>
      </x:c>
      <x:c r="F1552" s="35" t="str">
        <x:v>VLA-0</x:v>
      </x:c>
      <x:c r="G1552" s="35" t="n">
        <x:v>3</x:v>
      </x:c>
      <x:c r="H1552" s="35" t="str">
        <x:v>Relational Placement</x:v>
      </x:c>
      <x:c r="I1552" s="35" t="str">
        <x:v>Novel layout + seen language</x:v>
      </x:c>
      <x:c r="J1552" s="35" t="str">
        <x:v>PVLA-RP-NOV-02</x:v>
      </x:c>
      <x:c r="K1552" s="35" t="str"/>
      <x:c r="L1552" s="31" t="str">
        <x:v>Place the green pen to the right of the pink marker.</x:v>
      </x:c>
      <x:c r="M1552" s="31" t="str">
        <x:v>Place the green pen to the right of the pink marker.</x:v>
      </x:c>
      <x:c r="N1552" s="31" t="str">
        <x:v>R-S04: pink marker at front-left [REFERENCE]; green pen starts 24 cm to the left of the reference [TARGET START]; remaining objects are distractors with ≥12 cm clearance from the target path and commanded goal sector.</x:v>
      </x:c>
      <x:c r="O1552" s="31" t="str">
        <x:v>green pen</x:v>
      </x:c>
      <x:c r="P1552" s="31" t="str"/>
      <x:c r="Q1552" s="31" t="str"/>
      <x:c r="R1552" s="31" t="str"/>
      <x:c r="S1552" s="31" t="str">
        <x:f>IF('Blind Scoring'!I1552="","",'Blind Scoring'!I1552)</x:f>
      </x:c>
      <x:c r="T1552" s="31" t="str">
        <x:f>'Blind Scoring'!J1552</x:f>
        <x:v>No</x:v>
      </x:c>
      <x:c r="U1552" s="31" t="str">
        <x:f>IF('Blind Scoring'!L1552="","",'Blind Scoring'!L1552)</x:f>
      </x:c>
    </x:row>
    <x:row r="1553" ht="44" customHeight="1">
      <x:c r="A1553" s="35" t="str">
        <x:v>Not Started</x:v>
      </x:c>
      <x:c r="B1553" s="35" t="n">
        <x:v>1551</x:v>
      </x:c>
      <x:c r="C1553" s="35" t="str">
        <x:v>P26</x:v>
      </x:c>
      <x:c r="D1553" s="35" t="n">
        <x:v>2</x:v>
      </x:c>
      <x:c r="E1553" s="35" t="str">
        <x:v>Primary VLA</x:v>
      </x:c>
      <x:c r="F1553" s="35" t="str">
        <x:v>VLA-0</x:v>
      </x:c>
      <x:c r="G1553" s="35" t="n">
        <x:v>3</x:v>
      </x:c>
      <x:c r="H1553" s="35" t="str">
        <x:v>Relational Placement</x:v>
      </x:c>
      <x:c r="I1553" s="35" t="str">
        <x:v>Main matched control</x:v>
      </x:c>
      <x:c r="J1553" s="35" t="str">
        <x:v>PVLA-RP-CTL-10</x:v>
      </x:c>
      <x:c r="K1553" s="35" t="str">
        <x:v>R-CF18</x:v>
      </x:c>
      <x:c r="L1553" s="31" t="str">
        <x:v>Place the red block beside the green pen.</x:v>
      </x:c>
      <x:c r="M1553" s="31" t="str">
        <x:v>Place the red block beside the green pen.</x:v>
      </x:c>
      <x:c r="N1553" s="31" t="str">
        <x:v>R-CF18-CTRL: green pen at back-right [REFERENCE]; red block starts 24 cm in front of the reference [TARGET START]; blue block and pink marker are distractors outside the commanded goal sector.</x:v>
      </x:c>
      <x:c r="O1553" s="31" t="str">
        <x:v>red block near green pen</x:v>
      </x:c>
      <x:c r="P1553" s="31" t="str"/>
      <x:c r="Q1553" s="31" t="str"/>
      <x:c r="R1553" s="31" t="str"/>
      <x:c r="S1553" s="31" t="str">
        <x:f>IF('Blind Scoring'!I1553="","",'Blind Scoring'!I1553)</x:f>
      </x:c>
      <x:c r="T1553" s="31" t="str">
        <x:f>'Blind Scoring'!J1553</x:f>
        <x:v>No</x:v>
      </x:c>
      <x:c r="U1553" s="31" t="str">
        <x:f>IF('Blind Scoring'!L1553="","",'Blind Scoring'!L1553)</x:f>
      </x:c>
    </x:row>
    <x:row r="1554" ht="44" customHeight="1">
      <x:c r="A1554" s="35" t="str">
        <x:v>Not Started</x:v>
      </x:c>
      <x:c r="B1554" s="35" t="n">
        <x:v>1552</x:v>
      </x:c>
      <x:c r="C1554" s="35" t="str">
        <x:v>P26</x:v>
      </x:c>
      <x:c r="D1554" s="35" t="n">
        <x:v>3</x:v>
      </x:c>
      <x:c r="E1554" s="35" t="str">
        <x:v>Primary VLA</x:v>
      </x:c>
      <x:c r="F1554" s="35" t="str">
        <x:v>VLA-0</x:v>
      </x:c>
      <x:c r="G1554" s="35" t="n">
        <x:v>3</x:v>
      </x:c>
      <x:c r="H1554" s="35" t="str">
        <x:v>Relational Placement</x:v>
      </x:c>
      <x:c r="I1554" s="35" t="str">
        <x:v>Main held-out transfer</x:v>
      </x:c>
      <x:c r="J1554" s="35" t="str">
        <x:v>PVLA-RP-TR-12</x:v>
      </x:c>
      <x:c r="K1554" s="35" t="str">
        <x:v>R-CF22</x:v>
      </x:c>
      <x:c r="L1554" s="31" t="str">
        <x:v>Place the red block to the right of the green pen.</x:v>
      </x:c>
      <x:c r="M1554" s="31" t="str">
        <x:v>Place the red block to the right of the green pen.</x:v>
      </x:c>
      <x:c r="N1554" s="31" t="str">
        <x:v>R-CF22-HELD: green pen at back-left [REFERENCE]; red block starts 18 cm to the left of the reference [TARGET START]; blue block and pink marker are distractors outside the commanded goal sector.</x:v>
      </x:c>
      <x:c r="O1554" s="31" t="str">
        <x:v>red block → to the right of green pen</x:v>
      </x:c>
      <x:c r="P1554" s="31" t="str"/>
      <x:c r="Q1554" s="31" t="str"/>
      <x:c r="R1554" s="31" t="str"/>
      <x:c r="S1554" s="31" t="str">
        <x:f>IF('Blind Scoring'!I1554="","",'Blind Scoring'!I1554)</x:f>
      </x:c>
      <x:c r="T1554" s="31" t="str">
        <x:f>'Blind Scoring'!J1554</x:f>
        <x:v>No</x:v>
      </x:c>
      <x:c r="U1554" s="31" t="str">
        <x:f>IF('Blind Scoring'!L1554="","",'Blind Scoring'!L1554)</x:f>
      </x:c>
    </x:row>
    <x:row r="1555" ht="44" customHeight="1">
      <x:c r="A1555" s="35" t="str">
        <x:v>Not Started</x:v>
      </x:c>
      <x:c r="B1555" s="35" t="n">
        <x:v>1553</x:v>
      </x:c>
      <x:c r="C1555" s="35" t="str">
        <x:v>P26</x:v>
      </x:c>
      <x:c r="D1555" s="35" t="n">
        <x:v>4</x:v>
      </x:c>
      <x:c r="E1555" s="35" t="str">
        <x:v>Primary VLA</x:v>
      </x:c>
      <x:c r="F1555" s="35" t="str">
        <x:v>VLA-0</x:v>
      </x:c>
      <x:c r="G1555" s="35" t="n">
        <x:v>3</x:v>
      </x:c>
      <x:c r="H1555" s="35" t="str">
        <x:v>Relational Placement</x:v>
      </x:c>
      <x:c r="I1555" s="35" t="str">
        <x:v>Language ablation — counterfactual</x:v>
      </x:c>
      <x:c r="J1555" s="35" t="str">
        <x:v>PVLA-RP-ABL-CF-02</x:v>
      </x:c>
      <x:c r="K1555" s="35" t="str">
        <x:v>R-CF11</x:v>
      </x:c>
      <x:c r="L1555" s="31" t="str">
        <x:v>Place the green pen to the left of the red block.</x:v>
      </x:c>
      <x:c r="M1555" s="31" t="str">
        <x:v>Place the green pen to the left of the red block.</x:v>
      </x:c>
      <x:c r="N1555" s="31" t="str">
        <x:v>R-CF11-HELD: red block at center [REFERENCE]; green pen starts 21 cm to the left of the reference [TARGET START]; pink marker and blue block are distractors outside the commanded goal sector.</x:v>
      </x:c>
      <x:c r="O1555" s="31" t="str">
        <x:v>green pen → to the left of red block</x:v>
      </x:c>
      <x:c r="P1555" s="31" t="str"/>
      <x:c r="Q1555" s="31" t="str"/>
      <x:c r="R1555" s="31" t="str"/>
      <x:c r="S1555" s="31" t="str">
        <x:f>IF('Blind Scoring'!I1555="","",'Blind Scoring'!I1555)</x:f>
      </x:c>
      <x:c r="T1555" s="31" t="str">
        <x:f>'Blind Scoring'!J1555</x:f>
        <x:v>No</x:v>
      </x:c>
      <x:c r="U1555" s="31" t="str">
        <x:f>IF('Blind Scoring'!L1555="","",'Blind Scoring'!L1555)</x:f>
      </x:c>
    </x:row>
    <x:row r="1556" ht="44" customHeight="1">
      <x:c r="A1556" s="35" t="str">
        <x:v>Not Started</x:v>
      </x:c>
      <x:c r="B1556" s="35" t="n">
        <x:v>1554</x:v>
      </x:c>
      <x:c r="C1556" s="35" t="str">
        <x:v>P26</x:v>
      </x:c>
      <x:c r="D1556" s="35" t="n">
        <x:v>5</x:v>
      </x:c>
      <x:c r="E1556" s="35" t="str">
        <x:v>Primary VLA</x:v>
      </x:c>
      <x:c r="F1556" s="35" t="str">
        <x:v>VLA-0</x:v>
      </x:c>
      <x:c r="G1556" s="35" t="n">
        <x:v>3</x:v>
      </x:c>
      <x:c r="H1556" s="35" t="str">
        <x:v>Relational Placement</x:v>
      </x:c>
      <x:c r="I1556" s="35" t="str">
        <x:v>Novel layout + seen language</x:v>
      </x:c>
      <x:c r="J1556" s="35" t="str">
        <x:v>PVLA-RP-NOV-06</x:v>
      </x:c>
      <x:c r="K1556" s="35" t="str"/>
      <x:c r="L1556" s="31" t="str">
        <x:v>Place the red block to the left of the blue block.</x:v>
      </x:c>
      <x:c r="M1556" s="31" t="str">
        <x:v>Place the red block to the left of the blue block.</x:v>
      </x:c>
      <x:c r="N1556" s="31" t="str">
        <x:v>R-S15: blue block at back-right [REFERENCE]; red block starts 21 cm to the right of the reference [TARGET START]; remaining objects are distractors with ≥12 cm clearance from the target path and commanded goal sector.</x:v>
      </x:c>
      <x:c r="O1556" s="31" t="str">
        <x:v>red block</x:v>
      </x:c>
      <x:c r="P1556" s="31" t="str"/>
      <x:c r="Q1556" s="31" t="str"/>
      <x:c r="R1556" s="31" t="str"/>
      <x:c r="S1556" s="31" t="str">
        <x:f>IF('Blind Scoring'!I1556="","",'Blind Scoring'!I1556)</x:f>
      </x:c>
      <x:c r="T1556" s="31" t="str">
        <x:f>'Blind Scoring'!J1556</x:f>
        <x:v>No</x:v>
      </x:c>
      <x:c r="U1556" s="31" t="str">
        <x:f>IF('Blind Scoring'!L1556="","",'Blind Scoring'!L1556)</x:f>
      </x:c>
    </x:row>
    <x:row r="1557" ht="44" customHeight="1">
      <x:c r="A1557" s="35" t="str">
        <x:v>Not Started</x:v>
      </x:c>
      <x:c r="B1557" s="35" t="n">
        <x:v>1555</x:v>
      </x:c>
      <x:c r="C1557" s="35" t="str">
        <x:v>P26</x:v>
      </x:c>
      <x:c r="D1557" s="35" t="n">
        <x:v>6</x:v>
      </x:c>
      <x:c r="E1557" s="35" t="str">
        <x:v>Primary VLA</x:v>
      </x:c>
      <x:c r="F1557" s="35" t="str">
        <x:v>VLA-0</x:v>
      </x:c>
      <x:c r="G1557" s="35" t="n">
        <x:v>3</x:v>
      </x:c>
      <x:c r="H1557" s="35" t="str">
        <x:v>Relational Placement</x:v>
      </x:c>
      <x:c r="I1557" s="35" t="str">
        <x:v>Main matched control</x:v>
      </x:c>
      <x:c r="J1557" s="35" t="str">
        <x:v>PVLA-RP-CTL-02</x:v>
      </x:c>
      <x:c r="K1557" s="35" t="str">
        <x:v>R-CF03</x:v>
      </x:c>
      <x:c r="L1557" s="31" t="str">
        <x:v>Place the green pen beside the red block.</x:v>
      </x:c>
      <x:c r="M1557" s="31" t="str">
        <x:v>Place the green pen beside the red block.</x:v>
      </x:c>
      <x:c r="N1557" s="31" t="str">
        <x:v>R-CF03-CTRL: red block at back-right [REFERENCE]; green pen starts 24 cm to the left of the reference [TARGET START]; pink marker and blue block are distractors outside the commanded goal sector.</x:v>
      </x:c>
      <x:c r="O1557" s="31" t="str">
        <x:v>green pen near red block</x:v>
      </x:c>
      <x:c r="P1557" s="31" t="str"/>
      <x:c r="Q1557" s="31" t="str"/>
      <x:c r="R1557" s="31" t="str"/>
      <x:c r="S1557" s="31" t="str">
        <x:f>IF('Blind Scoring'!I1557="","",'Blind Scoring'!I1557)</x:f>
      </x:c>
      <x:c r="T1557" s="31" t="str">
        <x:f>'Blind Scoring'!J1557</x:f>
        <x:v>No</x:v>
      </x:c>
      <x:c r="U1557" s="31" t="str">
        <x:f>IF('Blind Scoring'!L1557="","",'Blind Scoring'!L1557)</x:f>
      </x:c>
    </x:row>
    <x:row r="1558" ht="44" customHeight="1">
      <x:c r="A1558" s="35" t="str">
        <x:v>Not Started</x:v>
      </x:c>
      <x:c r="B1558" s="35" t="n">
        <x:v>1556</x:v>
      </x:c>
      <x:c r="C1558" s="35" t="str">
        <x:v>P26</x:v>
      </x:c>
      <x:c r="D1558" s="35" t="n">
        <x:v>7</x:v>
      </x:c>
      <x:c r="E1558" s="35" t="str">
        <x:v>Primary VLA</x:v>
      </x:c>
      <x:c r="F1558" s="35" t="str">
        <x:v>VLA-0</x:v>
      </x:c>
      <x:c r="G1558" s="35" t="n">
        <x:v>3</x:v>
      </x:c>
      <x:c r="H1558" s="35" t="str">
        <x:v>Relational Placement</x:v>
      </x:c>
      <x:c r="I1558" s="35" t="str">
        <x:v>Novel layout + seen language</x:v>
      </x:c>
      <x:c r="J1558" s="35" t="str">
        <x:v>PVLA-RP-NOV-01</x:v>
      </x:c>
      <x:c r="K1558" s="35" t="str"/>
      <x:c r="L1558" s="31" t="str">
        <x:v>Place the blue block in front of the green pen.</x:v>
      </x:c>
      <x:c r="M1558" s="31" t="str">
        <x:v>Place the blue block in front of the green pen.</x:v>
      </x:c>
      <x:c r="N1558" s="31" t="str">
        <x:v>R-S01: green pen at center [REFERENCE]; blue block starts 24 cm behind the reference [TARGET START]; remaining objects are distractors with ≥12 cm clearance from the target path and commanded goal sector.</x:v>
      </x:c>
      <x:c r="O1558" s="31" t="str">
        <x:v>blue block</x:v>
      </x:c>
      <x:c r="P1558" s="31" t="str"/>
      <x:c r="Q1558" s="31" t="str"/>
      <x:c r="R1558" s="31" t="str"/>
      <x:c r="S1558" s="31" t="str">
        <x:f>IF('Blind Scoring'!I1558="","",'Blind Scoring'!I1558)</x:f>
      </x:c>
      <x:c r="T1558" s="31" t="str">
        <x:f>'Blind Scoring'!J1558</x:f>
        <x:v>No</x:v>
      </x:c>
      <x:c r="U1558" s="31" t="str">
        <x:f>IF('Blind Scoring'!L1558="","",'Blind Scoring'!L1558)</x:f>
      </x:c>
    </x:row>
    <x:row r="1559" ht="44" customHeight="1">
      <x:c r="A1559" s="35" t="str">
        <x:v>Not Started</x:v>
      </x:c>
      <x:c r="B1559" s="35" t="n">
        <x:v>1557</x:v>
      </x:c>
      <x:c r="C1559" s="35" t="str">
        <x:v>P26</x:v>
      </x:c>
      <x:c r="D1559" s="35" t="n">
        <x:v>8</x:v>
      </x:c>
      <x:c r="E1559" s="35" t="str">
        <x:v>Primary VLA</x:v>
      </x:c>
      <x:c r="F1559" s="35" t="str">
        <x:v>VLA-0</x:v>
      </x:c>
      <x:c r="G1559" s="35" t="n">
        <x:v>3</x:v>
      </x:c>
      <x:c r="H1559" s="35" t="str">
        <x:v>Relational Placement</x:v>
      </x:c>
      <x:c r="I1559" s="35" t="str">
        <x:v>Main matched control</x:v>
      </x:c>
      <x:c r="J1559" s="35" t="str">
        <x:v>PVLA-RP-CTL-05</x:v>
      </x:c>
      <x:c r="K1559" s="35" t="str">
        <x:v>R-CF09</x:v>
      </x:c>
      <x:c r="L1559" s="31" t="str">
        <x:v>Place the green pen beside the red block.</x:v>
      </x:c>
      <x:c r="M1559" s="31" t="str">
        <x:v>Place the green pen beside the red block.</x:v>
      </x:c>
      <x:c r="N1559" s="31" t="str">
        <x:v>R-CF09-CTRL: red block at front-left [REFERENCE]; green pen starts 24 cm behind the reference [TARGET START]; pink marker and blue block are distractors outside the commanded goal sector.</x:v>
      </x:c>
      <x:c r="O1559" s="31" t="str">
        <x:v>green pen near red block</x:v>
      </x:c>
      <x:c r="P1559" s="31" t="str"/>
      <x:c r="Q1559" s="31" t="str"/>
      <x:c r="R1559" s="31" t="str"/>
      <x:c r="S1559" s="31" t="str">
        <x:f>IF('Blind Scoring'!I1559="","",'Blind Scoring'!I1559)</x:f>
      </x:c>
      <x:c r="T1559" s="31" t="str">
        <x:f>'Blind Scoring'!J1559</x:f>
        <x:v>No</x:v>
      </x:c>
      <x:c r="U1559" s="31" t="str">
        <x:f>IF('Blind Scoring'!L1559="","",'Blind Scoring'!L1559)</x:f>
      </x:c>
    </x:row>
    <x:row r="1560" ht="44" customHeight="1">
      <x:c r="A1560" s="35" t="str">
        <x:v>Not Started</x:v>
      </x:c>
      <x:c r="B1560" s="35" t="n">
        <x:v>1558</x:v>
      </x:c>
      <x:c r="C1560" s="35" t="str">
        <x:v>P26</x:v>
      </x:c>
      <x:c r="D1560" s="35" t="n">
        <x:v>9</x:v>
      </x:c>
      <x:c r="E1560" s="35" t="str">
        <x:v>Primary VLA</x:v>
      </x:c>
      <x:c r="F1560" s="35" t="str">
        <x:v>VLA-0</x:v>
      </x:c>
      <x:c r="G1560" s="35" t="n">
        <x:v>3</x:v>
      </x:c>
      <x:c r="H1560" s="35" t="str">
        <x:v>Relational Placement</x:v>
      </x:c>
      <x:c r="I1560" s="35" t="str">
        <x:v>Novel layout + seen language</x:v>
      </x:c>
      <x:c r="J1560" s="35" t="str">
        <x:v>PVLA-RP-NOV-04</x:v>
      </x:c>
      <x:c r="K1560" s="35" t="str"/>
      <x:c r="L1560" s="31" t="str">
        <x:v>Place the green pen in front of the pink marker.</x:v>
      </x:c>
      <x:c r="M1560" s="31" t="str">
        <x:v>Place the green pen in front of the pink marker.</x:v>
      </x:c>
      <x:c r="N1560" s="31" t="str">
        <x:v>R-S09: pink marker at center [REFERENCE]; green pen starts 21 cm behind the reference [TARGET START]; remaining objects are distractors with ≥12 cm clearance from the target path and commanded goal sector.</x:v>
      </x:c>
      <x:c r="O1560" s="31" t="str">
        <x:v>green pen</x:v>
      </x:c>
      <x:c r="P1560" s="31" t="str"/>
      <x:c r="Q1560" s="31" t="str"/>
      <x:c r="R1560" s="31" t="str"/>
      <x:c r="S1560" s="31" t="str">
        <x:f>IF('Blind Scoring'!I1560="","",'Blind Scoring'!I1560)</x:f>
      </x:c>
      <x:c r="T1560" s="31" t="str">
        <x:f>'Blind Scoring'!J1560</x:f>
        <x:v>No</x:v>
      </x:c>
      <x:c r="U1560" s="31" t="str">
        <x:f>IF('Blind Scoring'!L1560="","",'Blind Scoring'!L1560)</x:f>
      </x:c>
    </x:row>
    <x:row r="1561" ht="44" customHeight="1">
      <x:c r="A1561" s="35" t="str">
        <x:v>Not Started</x:v>
      </x:c>
      <x:c r="B1561" s="35" t="n">
        <x:v>1559</x:v>
      </x:c>
      <x:c r="C1561" s="35" t="str">
        <x:v>P26</x:v>
      </x:c>
      <x:c r="D1561" s="35" t="n">
        <x:v>10</x:v>
      </x:c>
      <x:c r="E1561" s="35" t="str">
        <x:v>Primary VLA</x:v>
      </x:c>
      <x:c r="F1561" s="35" t="str">
        <x:v>VLA-0</x:v>
      </x:c>
      <x:c r="G1561" s="35" t="n">
        <x:v>3</x:v>
      </x:c>
      <x:c r="H1561" s="35" t="str">
        <x:v>Relational Placement</x:v>
      </x:c>
      <x:c r="I1561" s="35" t="str">
        <x:v>Main held-out transfer</x:v>
      </x:c>
      <x:c r="J1561" s="35" t="str">
        <x:v>PVLA-RP-TR-09</x:v>
      </x:c>
      <x:c r="K1561" s="35" t="str">
        <x:v>R-CF16</x:v>
      </x:c>
      <x:c r="L1561" s="31" t="str">
        <x:v>Place the red block to the left of the green pen.</x:v>
      </x:c>
      <x:c r="M1561" s="31" t="str">
        <x:v>Place the red block to the left of the green pen.</x:v>
      </x:c>
      <x:c r="N1561" s="31" t="str">
        <x:v>R-CF16-HELD: green pen at center [REFERENCE]; red block starts 18 cm to the right of the reference [TARGET START]; blue block and pink marker are distractors outside the commanded goal sector.</x:v>
      </x:c>
      <x:c r="O1561" s="31" t="str">
        <x:v>red block → to the left of green pen</x:v>
      </x:c>
      <x:c r="P1561" s="31" t="str"/>
      <x:c r="Q1561" s="31" t="str"/>
      <x:c r="R1561" s="31" t="str"/>
      <x:c r="S1561" s="31" t="str">
        <x:f>IF('Blind Scoring'!I1561="","",'Blind Scoring'!I1561)</x:f>
      </x:c>
      <x:c r="T1561" s="31" t="str">
        <x:f>'Blind Scoring'!J1561</x:f>
        <x:v>No</x:v>
      </x:c>
      <x:c r="U1561" s="31" t="str">
        <x:f>IF('Blind Scoring'!L1561="","",'Blind Scoring'!L1561)</x:f>
      </x:c>
    </x:row>
    <x:row r="1562" ht="44" customHeight="1">
      <x:c r="A1562" s="35" t="str">
        <x:v>Not Started</x:v>
      </x:c>
      <x:c r="B1562" s="35" t="n">
        <x:v>1560</x:v>
      </x:c>
      <x:c r="C1562" s="35" t="str">
        <x:v>P26</x:v>
      </x:c>
      <x:c r="D1562" s="35" t="n">
        <x:v>11</x:v>
      </x:c>
      <x:c r="E1562" s="35" t="str">
        <x:v>Primary VLA</x:v>
      </x:c>
      <x:c r="F1562" s="35" t="str">
        <x:v>VLA-0</x:v>
      </x:c>
      <x:c r="G1562" s="35" t="n">
        <x:v>3</x:v>
      </x:c>
      <x:c r="H1562" s="35" t="str">
        <x:v>Relational Placement</x:v>
      </x:c>
      <x:c r="I1562" s="35" t="str">
        <x:v>Main held-out transfer</x:v>
      </x:c>
      <x:c r="J1562" s="35" t="str">
        <x:v>PVLA-RP-TR-10</x:v>
      </x:c>
      <x:c r="K1562" s="35" t="str">
        <x:v>R-CF18</x:v>
      </x:c>
      <x:c r="L1562" s="31" t="str">
        <x:v>Place the red block behind the green pen.</x:v>
      </x:c>
      <x:c r="M1562" s="31" t="str">
        <x:v>Place the red block behind the green pen.</x:v>
      </x:c>
      <x:c r="N1562" s="31" t="str">
        <x:v>R-CF18-HELD: green pen at back-right [REFERENCE]; red block starts 24 cm in front of the reference [TARGET START]; blue block and pink marker are distractors outside the commanded goal sector.</x:v>
      </x:c>
      <x:c r="O1562" s="31" t="str">
        <x:v>red block → behind green pen</x:v>
      </x:c>
      <x:c r="P1562" s="31" t="str"/>
      <x:c r="Q1562" s="31" t="str"/>
      <x:c r="R1562" s="31" t="str"/>
      <x:c r="S1562" s="31" t="str">
        <x:f>IF('Blind Scoring'!I1562="","",'Blind Scoring'!I1562)</x:f>
      </x:c>
      <x:c r="T1562" s="31" t="str">
        <x:f>'Blind Scoring'!J1562</x:f>
        <x:v>No</x:v>
      </x:c>
      <x:c r="U1562" s="31" t="str">
        <x:f>IF('Blind Scoring'!L1562="","",'Blind Scoring'!L1562)</x:f>
      </x:c>
    </x:row>
    <x:row r="1563" ht="44" customHeight="1">
      <x:c r="A1563" s="35" t="str">
        <x:v>Not Started</x:v>
      </x:c>
      <x:c r="B1563" s="35" t="n">
        <x:v>1561</x:v>
      </x:c>
      <x:c r="C1563" s="35" t="str">
        <x:v>P26</x:v>
      </x:c>
      <x:c r="D1563" s="35" t="n">
        <x:v>12</x:v>
      </x:c>
      <x:c r="E1563" s="35" t="str">
        <x:v>Primary VLA</x:v>
      </x:c>
      <x:c r="F1563" s="35" t="str">
        <x:v>VLA-0</x:v>
      </x:c>
      <x:c r="G1563" s="35" t="n">
        <x:v>3</x:v>
      </x:c>
      <x:c r="H1563" s="35" t="str">
        <x:v>Relational Placement</x:v>
      </x:c>
      <x:c r="I1563" s="35" t="str">
        <x:v>Exact-scene paraphrase</x:v>
      </x:c>
      <x:c r="J1563" s="35" t="str">
        <x:v>PVLA-RP-PAR-06</x:v>
      </x:c>
      <x:c r="K1563" s="35" t="str"/>
      <x:c r="L1563" s="31" t="str">
        <x:v>Move the red block to the side of the pink marker facing the robot.</x:v>
      </x:c>
      <x:c r="M1563" s="31" t="str">
        <x:v>Move the red block to the side of the pink marker facing the robot.</x:v>
      </x:c>
      <x:c r="N1563" s="31" t="str">
        <x:v>R-P01: pink marker at center [REFERENCE]; red block starts 21 cm behind the reference [TARGET START]; remaining objects are distractors with ≥12 cm clearance from the target path and commanded goal sector.</x:v>
      </x:c>
      <x:c r="O1563" s="31" t="str">
        <x:v>red block</x:v>
      </x:c>
      <x:c r="P1563" s="31" t="str"/>
      <x:c r="Q1563" s="31" t="str"/>
      <x:c r="R1563" s="31" t="str"/>
      <x:c r="S1563" s="31" t="str">
        <x:f>IF('Blind Scoring'!I1563="","",'Blind Scoring'!I1563)</x:f>
      </x:c>
      <x:c r="T1563" s="31" t="str">
        <x:f>'Blind Scoring'!J1563</x:f>
        <x:v>No</x:v>
      </x:c>
      <x:c r="U1563" s="31" t="str">
        <x:f>IF('Blind Scoring'!L1563="","",'Blind Scoring'!L1563)</x:f>
      </x:c>
    </x:row>
    <x:row r="1564" ht="44" customHeight="1">
      <x:c r="A1564" s="35" t="str">
        <x:v>Not Started</x:v>
      </x:c>
      <x:c r="B1564" s="35" t="n">
        <x:v>1562</x:v>
      </x:c>
      <x:c r="C1564" s="35" t="str">
        <x:v>P26</x:v>
      </x:c>
      <x:c r="D1564" s="35" t="n">
        <x:v>13</x:v>
      </x:c>
      <x:c r="E1564" s="35" t="str">
        <x:v>Primary VLA</x:v>
      </x:c>
      <x:c r="F1564" s="35" t="str">
        <x:v>VLA-0</x:v>
      </x:c>
      <x:c r="G1564" s="35" t="n">
        <x:v>3</x:v>
      </x:c>
      <x:c r="H1564" s="35" t="str">
        <x:v>Relational Placement</x:v>
      </x:c>
      <x:c r="I1564" s="35" t="str">
        <x:v>Main held-out transfer</x:v>
      </x:c>
      <x:c r="J1564" s="35" t="str">
        <x:v>PVLA-RP-TR-02</x:v>
      </x:c>
      <x:c r="K1564" s="35" t="str">
        <x:v>R-CF03</x:v>
      </x:c>
      <x:c r="L1564" s="31" t="str">
        <x:v>Place the green pen to the right of the red block.</x:v>
      </x:c>
      <x:c r="M1564" s="31" t="str">
        <x:v>Place the green pen to the right of the red block.</x:v>
      </x:c>
      <x:c r="N1564" s="31" t="str">
        <x:v>R-CF03-HELD: red block at back-right [REFERENCE]; green pen starts 24 cm to the left of the reference [TARGET START]; pink marker and blue block are distractors outside the commanded goal sector.</x:v>
      </x:c>
      <x:c r="O1564" s="31" t="str">
        <x:v>green pen → to the right of red block</x:v>
      </x:c>
      <x:c r="P1564" s="31" t="str"/>
      <x:c r="Q1564" s="31" t="str"/>
      <x:c r="R1564" s="31" t="str"/>
      <x:c r="S1564" s="31" t="str">
        <x:f>IF('Blind Scoring'!I1564="","",'Blind Scoring'!I1564)</x:f>
      </x:c>
      <x:c r="T1564" s="31" t="str">
        <x:f>'Blind Scoring'!J1564</x:f>
        <x:v>No</x:v>
      </x:c>
      <x:c r="U1564" s="31" t="str">
        <x:f>IF('Blind Scoring'!L1564="","",'Blind Scoring'!L1564)</x:f>
      </x:c>
    </x:row>
    <x:row r="1565" ht="44" customHeight="1">
      <x:c r="A1565" s="35" t="str">
        <x:v>Not Started</x:v>
      </x:c>
      <x:c r="B1565" s="35" t="n">
        <x:v>1563</x:v>
      </x:c>
      <x:c r="C1565" s="35" t="str">
        <x:v>P26</x:v>
      </x:c>
      <x:c r="D1565" s="35" t="n">
        <x:v>14</x:v>
      </x:c>
      <x:c r="E1565" s="35" t="str">
        <x:v>Primary VLA</x:v>
      </x:c>
      <x:c r="F1565" s="35" t="str">
        <x:v>VLA-0</x:v>
      </x:c>
      <x:c r="G1565" s="35" t="n">
        <x:v>3</x:v>
      </x:c>
      <x:c r="H1565" s="35" t="str">
        <x:v>Relational Placement</x:v>
      </x:c>
      <x:c r="I1565" s="35" t="str">
        <x:v>Main held-out transfer</x:v>
      </x:c>
      <x:c r="J1565" s="35" t="str">
        <x:v>PVLA-RP-TR-13</x:v>
      </x:c>
      <x:c r="K1565" s="35" t="str">
        <x:v>R-CF24</x:v>
      </x:c>
      <x:c r="L1565" s="31" t="str">
        <x:v>Place the red block to the left of the green pen.</x:v>
      </x:c>
      <x:c r="M1565" s="31" t="str">
        <x:v>Place the red block to the left of the green pen.</x:v>
      </x:c>
      <x:c r="N1565" s="31" t="str">
        <x:v>R-CF24-HELD: green pen at front-left [REFERENCE]; red block starts 24 cm to the right of the reference [TARGET START]; blue block and pink marker are distractors outside the commanded goal sector.</x:v>
      </x:c>
      <x:c r="O1565" s="31" t="str">
        <x:v>red block → to the left of green pen</x:v>
      </x:c>
      <x:c r="P1565" s="31" t="str"/>
      <x:c r="Q1565" s="31" t="str"/>
      <x:c r="R1565" s="31" t="str"/>
      <x:c r="S1565" s="31" t="str">
        <x:f>IF('Blind Scoring'!I1565="","",'Blind Scoring'!I1565)</x:f>
      </x:c>
      <x:c r="T1565" s="31" t="str">
        <x:f>'Blind Scoring'!J1565</x:f>
        <x:v>No</x:v>
      </x:c>
      <x:c r="U1565" s="31" t="str">
        <x:f>IF('Blind Scoring'!L1565="","",'Blind Scoring'!L1565)</x:f>
      </x:c>
    </x:row>
    <x:row r="1566" ht="44" customHeight="1">
      <x:c r="A1566" s="35" t="str">
        <x:v>Not Started</x:v>
      </x:c>
      <x:c r="B1566" s="35" t="n">
        <x:v>1564</x:v>
      </x:c>
      <x:c r="C1566" s="35" t="str">
        <x:v>P26</x:v>
      </x:c>
      <x:c r="D1566" s="35" t="n">
        <x:v>15</x:v>
      </x:c>
      <x:c r="E1566" s="35" t="str">
        <x:v>Primary VLA</x:v>
      </x:c>
      <x:c r="F1566" s="35" t="str">
        <x:v>VLA-0</x:v>
      </x:c>
      <x:c r="G1566" s="35" t="n">
        <x:v>3</x:v>
      </x:c>
      <x:c r="H1566" s="35" t="str">
        <x:v>Relational Placement</x:v>
      </x:c>
      <x:c r="I1566" s="35" t="str">
        <x:v>Main matched control</x:v>
      </x:c>
      <x:c r="J1566" s="35" t="str">
        <x:v>PVLA-RP-CTL-09</x:v>
      </x:c>
      <x:c r="K1566" s="35" t="str">
        <x:v>R-CF16</x:v>
      </x:c>
      <x:c r="L1566" s="31" t="str">
        <x:v>Place the red block near the green pen.</x:v>
      </x:c>
      <x:c r="M1566" s="31" t="str">
        <x:v>Place the red block near the green pen.</x:v>
      </x:c>
      <x:c r="N1566" s="31" t="str">
        <x:v>R-CF16-CTRL: green pen at center [REFERENCE]; red block starts 18 cm to the right of the reference [TARGET START]; blue block and pink marker are distractors outside the commanded goal sector.</x:v>
      </x:c>
      <x:c r="O1566" s="31" t="str">
        <x:v>red block near green pen</x:v>
      </x:c>
      <x:c r="P1566" s="31" t="str"/>
      <x:c r="Q1566" s="31" t="str"/>
      <x:c r="R1566" s="31" t="str"/>
      <x:c r="S1566" s="31" t="str">
        <x:f>IF('Blind Scoring'!I1566="","",'Blind Scoring'!I1566)</x:f>
      </x:c>
      <x:c r="T1566" s="31" t="str">
        <x:f>'Blind Scoring'!J1566</x:f>
        <x:v>No</x:v>
      </x:c>
      <x:c r="U1566" s="31" t="str">
        <x:f>IF('Blind Scoring'!L1566="","",'Blind Scoring'!L1566)</x:f>
      </x:c>
    </x:row>
    <x:row r="1567" ht="44" customHeight="1">
      <x:c r="A1567" s="35" t="str">
        <x:v>Not Started</x:v>
      </x:c>
      <x:c r="B1567" s="35" t="n">
        <x:v>1565</x:v>
      </x:c>
      <x:c r="C1567" s="35" t="str">
        <x:v>P26</x:v>
      </x:c>
      <x:c r="D1567" s="35" t="n">
        <x:v>16</x:v>
      </x:c>
      <x:c r="E1567" s="35" t="str">
        <x:v>Primary VLA</x:v>
      </x:c>
      <x:c r="F1567" s="35" t="str">
        <x:v>VLA-0</x:v>
      </x:c>
      <x:c r="G1567" s="35" t="n">
        <x:v>3</x:v>
      </x:c>
      <x:c r="H1567" s="35" t="str">
        <x:v>Relational Placement</x:v>
      </x:c>
      <x:c r="I1567" s="35" t="str">
        <x:v>Main held-out transfer</x:v>
      </x:c>
      <x:c r="J1567" s="35" t="str">
        <x:v>PVLA-RP-TR-05</x:v>
      </x:c>
      <x:c r="K1567" s="35" t="str">
        <x:v>R-CF09</x:v>
      </x:c>
      <x:c r="L1567" s="31" t="str">
        <x:v>Place the green pen in front of the red block.</x:v>
      </x:c>
      <x:c r="M1567" s="31" t="str">
        <x:v>Place the green pen in front of the red block.</x:v>
      </x:c>
      <x:c r="N1567" s="31" t="str">
        <x:v>R-CF09-HELD: red block at front-left [REFERENCE]; green pen starts 24 cm behind the reference [TARGET START]; pink marker and blue block are distractors outside the commanded goal sector.</x:v>
      </x:c>
      <x:c r="O1567" s="31" t="str">
        <x:v>green pen → in front of red block</x:v>
      </x:c>
      <x:c r="P1567" s="31" t="str"/>
      <x:c r="Q1567" s="31" t="str"/>
      <x:c r="R1567" s="31" t="str"/>
      <x:c r="S1567" s="31" t="str">
        <x:f>IF('Blind Scoring'!I1567="","",'Blind Scoring'!I1567)</x:f>
      </x:c>
      <x:c r="T1567" s="31" t="str">
        <x:f>'Blind Scoring'!J1567</x:f>
        <x:v>No</x:v>
      </x:c>
      <x:c r="U1567" s="31" t="str">
        <x:f>IF('Blind Scoring'!L1567="","",'Blind Scoring'!L1567)</x:f>
      </x:c>
    </x:row>
    <x:row r="1568" ht="44" customHeight="1">
      <x:c r="A1568" s="35" t="str">
        <x:v>Not Started</x:v>
      </x:c>
      <x:c r="B1568" s="35" t="n">
        <x:v>1566</x:v>
      </x:c>
      <x:c r="C1568" s="35" t="str">
        <x:v>P26</x:v>
      </x:c>
      <x:c r="D1568" s="35" t="n">
        <x:v>17</x:v>
      </x:c>
      <x:c r="E1568" s="35" t="str">
        <x:v>Primary VLA</x:v>
      </x:c>
      <x:c r="F1568" s="35" t="str">
        <x:v>VLA-0</x:v>
      </x:c>
      <x:c r="G1568" s="35" t="n">
        <x:v>3</x:v>
      </x:c>
      <x:c r="H1568" s="35" t="str">
        <x:v>Relational Placement</x:v>
      </x:c>
      <x:c r="I1568" s="35" t="str">
        <x:v>Main matched control</x:v>
      </x:c>
      <x:c r="J1568" s="35" t="str">
        <x:v>PVLA-RP-CTL-07</x:v>
      </x:c>
      <x:c r="K1568" s="35" t="str">
        <x:v>R-CF13</x:v>
      </x:c>
      <x:c r="L1568" s="31" t="str">
        <x:v>Place the green pen near the red block.</x:v>
      </x:c>
      <x:c r="M1568" s="31" t="str">
        <x:v>Place the green pen near the red block.</x:v>
      </x:c>
      <x:c r="N1568" s="31" t="str">
        <x:v>R-CF13-CTRL: red block at back-right [REFERENCE]; green pen starts 18 cm to the right of the reference [TARGET START]; pink marker and blue block are distractors outside the commanded goal sector.</x:v>
      </x:c>
      <x:c r="O1568" s="31" t="str">
        <x:v>green pen near red block</x:v>
      </x:c>
      <x:c r="P1568" s="31" t="str"/>
      <x:c r="Q1568" s="31" t="str"/>
      <x:c r="R1568" s="31" t="str"/>
      <x:c r="S1568" s="31" t="str">
        <x:f>IF('Blind Scoring'!I1568="","",'Blind Scoring'!I1568)</x:f>
      </x:c>
      <x:c r="T1568" s="31" t="str">
        <x:f>'Blind Scoring'!J1568</x:f>
        <x:v>No</x:v>
      </x:c>
      <x:c r="U1568" s="31" t="str">
        <x:f>IF('Blind Scoring'!L1568="","",'Blind Scoring'!L1568)</x:f>
      </x:c>
    </x:row>
    <x:row r="1569" ht="44" customHeight="1">
      <x:c r="A1569" s="35" t="str">
        <x:v>Not Started</x:v>
      </x:c>
      <x:c r="B1569" s="35" t="n">
        <x:v>1567</x:v>
      </x:c>
      <x:c r="C1569" s="35" t="str">
        <x:v>P26</x:v>
      </x:c>
      <x:c r="D1569" s="35" t="n">
        <x:v>18</x:v>
      </x:c>
      <x:c r="E1569" s="35" t="str">
        <x:v>Primary VLA</x:v>
      </x:c>
      <x:c r="F1569" s="35" t="str">
        <x:v>VLA-0</x:v>
      </x:c>
      <x:c r="G1569" s="35" t="n">
        <x:v>3</x:v>
      </x:c>
      <x:c r="H1569" s="35" t="str">
        <x:v>Relational Placement</x:v>
      </x:c>
      <x:c r="I1569" s="35" t="str">
        <x:v>Exact-scene paraphrase</x:v>
      </x:c>
      <x:c r="J1569" s="35" t="str">
        <x:v>PVLA-RP-PAR-01</x:v>
      </x:c>
      <x:c r="K1569" s="35" t="str"/>
      <x:c r="L1569" s="31" t="str">
        <x:v>Move the red block to the side of the pink marker facing the robot.</x:v>
      </x:c>
      <x:c r="M1569" s="31" t="str">
        <x:v>Move the red block to the side of the pink marker facing the robot.</x:v>
      </x:c>
      <x:c r="N1569" s="31" t="str">
        <x:v>R-P01: pink marker at center [REFERENCE]; red block starts 21 cm behind the reference [TARGET START]; remaining objects are distractors with ≥12 cm clearance from the target path and commanded goal sector.</x:v>
      </x:c>
      <x:c r="O1569" s="31" t="str">
        <x:v>red block</x:v>
      </x:c>
      <x:c r="P1569" s="31" t="str"/>
      <x:c r="Q1569" s="31" t="str"/>
      <x:c r="R1569" s="31" t="str"/>
      <x:c r="S1569" s="31" t="str">
        <x:f>IF('Blind Scoring'!I1569="","",'Blind Scoring'!I1569)</x:f>
      </x:c>
      <x:c r="T1569" s="31" t="str">
        <x:f>'Blind Scoring'!J1569</x:f>
        <x:v>No</x:v>
      </x:c>
      <x:c r="U1569" s="31" t="str">
        <x:f>IF('Blind Scoring'!L1569="","",'Blind Scoring'!L1569)</x:f>
      </x:c>
    </x:row>
    <x:row r="1570" ht="44" customHeight="1">
      <x:c r="A1570" s="35" t="str">
        <x:v>Not Started</x:v>
      </x:c>
      <x:c r="B1570" s="35" t="n">
        <x:v>1568</x:v>
      </x:c>
      <x:c r="C1570" s="35" t="str">
        <x:v>P26</x:v>
      </x:c>
      <x:c r="D1570" s="35" t="n">
        <x:v>19</x:v>
      </x:c>
      <x:c r="E1570" s="35" t="str">
        <x:v>Primary VLA</x:v>
      </x:c>
      <x:c r="F1570" s="35" t="str">
        <x:v>VLA-0</x:v>
      </x:c>
      <x:c r="G1570" s="35" t="n">
        <x:v>3</x:v>
      </x:c>
      <x:c r="H1570" s="35" t="str">
        <x:v>Relational Placement</x:v>
      </x:c>
      <x:c r="I1570" s="35" t="str">
        <x:v>Training reconstruction</x:v>
      </x:c>
      <x:c r="J1570" s="35" t="str">
        <x:v>PVLA-RP-REC-03</x:v>
      </x:c>
      <x:c r="K1570" s="35" t="str"/>
      <x:c r="L1570" s="31" t="str">
        <x:v>Place the green pen behind the pink marker.</x:v>
      </x:c>
      <x:c r="M1570" s="31" t="str">
        <x:v>Place the green pen behind the pink marker.</x:v>
      </x:c>
      <x:c r="N1570" s="31" t="str">
        <x:v>Reconstruct planned final training episode 218: green pen, pink marker, red block; start=Home. Match camera, calibration, bowl pose, and object geometry exactly.</x:v>
      </x:c>
      <x:c r="O1570" s="31" t="str">
        <x:v>green pen</x:v>
      </x:c>
      <x:c r="P1570" s="31" t="str"/>
      <x:c r="Q1570" s="31" t="str"/>
      <x:c r="R1570" s="31" t="str"/>
      <x:c r="S1570" s="31" t="str">
        <x:f>IF('Blind Scoring'!I1570="","",'Blind Scoring'!I1570)</x:f>
      </x:c>
      <x:c r="T1570" s="31" t="str">
        <x:f>'Blind Scoring'!J1570</x:f>
        <x:v>No</x:v>
      </x:c>
      <x:c r="U1570" s="31" t="str">
        <x:f>IF('Blind Scoring'!L1570="","",'Blind Scoring'!L1570)</x:f>
      </x:c>
    </x:row>
    <x:row r="1571" ht="44" customHeight="1">
      <x:c r="A1571" s="35" t="str">
        <x:v>Not Started</x:v>
      </x:c>
      <x:c r="B1571" s="35" t="n">
        <x:v>1569</x:v>
      </x:c>
      <x:c r="C1571" s="35" t="str">
        <x:v>P26</x:v>
      </x:c>
      <x:c r="D1571" s="35" t="n">
        <x:v>20</x:v>
      </x:c>
      <x:c r="E1571" s="35" t="str">
        <x:v>Primary VLA</x:v>
      </x:c>
      <x:c r="F1571" s="35" t="str">
        <x:v>VLA-0</x:v>
      </x:c>
      <x:c r="G1571" s="35" t="n">
        <x:v>3</x:v>
      </x:c>
      <x:c r="H1571" s="35" t="str">
        <x:v>Relational Placement</x:v>
      </x:c>
      <x:c r="I1571" s="35" t="str">
        <x:v>Exact-scene paraphrase</x:v>
      </x:c>
      <x:c r="J1571" s="35" t="str">
        <x:v>PVLA-RP-PAR-08</x:v>
      </x:c>
      <x:c r="K1571" s="35" t="str"/>
      <x:c r="L1571" s="31" t="str">
        <x:v>Move the red block to the side of the pink marker facing the robot.</x:v>
      </x:c>
      <x:c r="M1571" s="31" t="str">
        <x:v>Move the red block to the side of the pink marker facing the robot.</x:v>
      </x:c>
      <x:c r="N1571" s="31" t="str">
        <x:v>R-P01: pink marker at center [REFERENCE]; red block starts 21 cm behind the reference [TARGET START]; remaining objects are distractors with ≥12 cm clearance from the target path and commanded goal sector.</x:v>
      </x:c>
      <x:c r="O1571" s="31" t="str">
        <x:v>red block</x:v>
      </x:c>
      <x:c r="P1571" s="31" t="str"/>
      <x:c r="Q1571" s="31" t="str"/>
      <x:c r="R1571" s="31" t="str"/>
      <x:c r="S1571" s="31" t="str">
        <x:f>IF('Blind Scoring'!I1571="","",'Blind Scoring'!I1571)</x:f>
      </x:c>
      <x:c r="T1571" s="31" t="str">
        <x:f>'Blind Scoring'!J1571</x:f>
        <x:v>No</x:v>
      </x:c>
      <x:c r="U1571" s="31" t="str">
        <x:f>IF('Blind Scoring'!L1571="","",'Blind Scoring'!L1571)</x:f>
      </x:c>
    </x:row>
    <x:row r="1572" ht="44" customHeight="1">
      <x:c r="A1572" s="35" t="str">
        <x:v>Not Started</x:v>
      </x:c>
      <x:c r="B1572" s="35" t="n">
        <x:v>1570</x:v>
      </x:c>
      <x:c r="C1572" s="35" t="str">
        <x:v>P26</x:v>
      </x:c>
      <x:c r="D1572" s="35" t="n">
        <x:v>21</x:v>
      </x:c>
      <x:c r="E1572" s="35" t="str">
        <x:v>Primary VLA</x:v>
      </x:c>
      <x:c r="F1572" s="35" t="str">
        <x:v>VLA-0</x:v>
      </x:c>
      <x:c r="G1572" s="35" t="n">
        <x:v>3</x:v>
      </x:c>
      <x:c r="H1572" s="35" t="str">
        <x:v>Relational Placement</x:v>
      </x:c>
      <x:c r="I1572" s="35" t="str">
        <x:v>Training reconstruction</x:v>
      </x:c>
      <x:c r="J1572" s="35" t="str">
        <x:v>PVLA-RP-REC-05</x:v>
      </x:c>
      <x:c r="K1572" s="35" t="str"/>
      <x:c r="L1572" s="31" t="str">
        <x:v>Place the green pen to the left of the pink marker.</x:v>
      </x:c>
      <x:c r="M1572" s="31" t="str">
        <x:v>Place the green pen to the left of the pink marker.</x:v>
      </x:c>
      <x:c r="N1572" s="31" t="str">
        <x:v>Reconstruct planned final training episode 230: green pen, pink marker, red block; start=Home. Match camera, calibration, bowl pose, and object geometry exactly.</x:v>
      </x:c>
      <x:c r="O1572" s="31" t="str">
        <x:v>green pen</x:v>
      </x:c>
      <x:c r="P1572" s="31" t="str"/>
      <x:c r="Q1572" s="31" t="str"/>
      <x:c r="R1572" s="31" t="str"/>
      <x:c r="S1572" s="31" t="str">
        <x:f>IF('Blind Scoring'!I1572="","",'Blind Scoring'!I1572)</x:f>
      </x:c>
      <x:c r="T1572" s="31" t="str">
        <x:f>'Blind Scoring'!J1572</x:f>
        <x:v>No</x:v>
      </x:c>
      <x:c r="U1572" s="31" t="str">
        <x:f>IF('Blind Scoring'!L1572="","",'Blind Scoring'!L1572)</x:f>
      </x:c>
    </x:row>
    <x:row r="1573" ht="44" customHeight="1">
      <x:c r="A1573" s="35" t="str">
        <x:v>Not Started</x:v>
      </x:c>
      <x:c r="B1573" s="35" t="n">
        <x:v>1571</x:v>
      </x:c>
      <x:c r="C1573" s="35" t="str">
        <x:v>P26</x:v>
      </x:c>
      <x:c r="D1573" s="35" t="n">
        <x:v>22</x:v>
      </x:c>
      <x:c r="E1573" s="35" t="str">
        <x:v>Primary VLA</x:v>
      </x:c>
      <x:c r="F1573" s="35" t="str">
        <x:v>VLA-0</x:v>
      </x:c>
      <x:c r="G1573" s="35" t="n">
        <x:v>3</x:v>
      </x:c>
      <x:c r="H1573" s="35" t="str">
        <x:v>Relational Placement</x:v>
      </x:c>
      <x:c r="I1573" s="35" t="str">
        <x:v>Language ablation — counterfactual</x:v>
      </x:c>
      <x:c r="J1573" s="35" t="str">
        <x:v>PVLA-RP-ABL-CF-04</x:v>
      </x:c>
      <x:c r="K1573" s="35" t="str">
        <x:v>R-CF15</x:v>
      </x:c>
      <x:c r="L1573" s="31" t="str">
        <x:v>Place the green pen in front of the red block.</x:v>
      </x:c>
      <x:c r="M1573" s="31" t="str">
        <x:v>Place the green pen in front of the red block.</x:v>
      </x:c>
      <x:c r="N1573" s="31" t="str">
        <x:v>R-CF15-HELD: red block at front-right [REFERENCE]; green pen starts 24 cm in front of the reference [TARGET START]; pink marker and blue block are distractors outside the commanded goal sector.</x:v>
      </x:c>
      <x:c r="O1573" s="31" t="str">
        <x:v>green pen → in front of red block</x:v>
      </x:c>
      <x:c r="P1573" s="31" t="str"/>
      <x:c r="Q1573" s="31" t="str"/>
      <x:c r="R1573" s="31" t="str"/>
      <x:c r="S1573" s="31" t="str">
        <x:f>IF('Blind Scoring'!I1573="","",'Blind Scoring'!I1573)</x:f>
      </x:c>
      <x:c r="T1573" s="31" t="str">
        <x:f>'Blind Scoring'!J1573</x:f>
        <x:v>No</x:v>
      </x:c>
      <x:c r="U1573" s="31" t="str">
        <x:f>IF('Blind Scoring'!L1573="","",'Blind Scoring'!L1573)</x:f>
      </x:c>
    </x:row>
    <x:row r="1574" ht="44" customHeight="1">
      <x:c r="A1574" s="35" t="str">
        <x:v>Not Started</x:v>
      </x:c>
      <x:c r="B1574" s="35" t="n">
        <x:v>1572</x:v>
      </x:c>
      <x:c r="C1574" s="35" t="str">
        <x:v>P26</x:v>
      </x:c>
      <x:c r="D1574" s="35" t="n">
        <x:v>23</x:v>
      </x:c>
      <x:c r="E1574" s="35" t="str">
        <x:v>Primary VLA</x:v>
      </x:c>
      <x:c r="F1574" s="35" t="str">
        <x:v>VLA-0</x:v>
      </x:c>
      <x:c r="G1574" s="35" t="n">
        <x:v>3</x:v>
      </x:c>
      <x:c r="H1574" s="35" t="str">
        <x:v>Relational Placement</x:v>
      </x:c>
      <x:c r="I1574" s="35" t="str">
        <x:v>Training reconstruction</x:v>
      </x:c>
      <x:c r="J1574" s="35" t="str">
        <x:v>PVLA-RP-REC-01</x:v>
      </x:c>
      <x:c r="K1574" s="35" t="str"/>
      <x:c r="L1574" s="31" t="str">
        <x:v>Move the green pen to the front of the pink marker.</x:v>
      </x:c>
      <x:c r="M1574" s="31" t="str">
        <x:v>Move the green pen to the front of the pink marker.</x:v>
      </x:c>
      <x:c r="N1574" s="31" t="str">
        <x:v>Reconstruct planned final training episode 204: green pen, pink marker; start=Home. Match camera, calibration, bowl pose, and object geometry exactly.</x:v>
      </x:c>
      <x:c r="O1574" s="31" t="str">
        <x:v>green pen</x:v>
      </x:c>
      <x:c r="P1574" s="31" t="str"/>
      <x:c r="Q1574" s="31" t="str"/>
      <x:c r="R1574" s="31" t="str"/>
      <x:c r="S1574" s="31" t="str">
        <x:f>IF('Blind Scoring'!I1574="","",'Blind Scoring'!I1574)</x:f>
      </x:c>
      <x:c r="T1574" s="31" t="str">
        <x:f>'Blind Scoring'!J1574</x:f>
        <x:v>No</x:v>
      </x:c>
      <x:c r="U1574" s="31" t="str">
        <x:f>IF('Blind Scoring'!L1574="","",'Blind Scoring'!L1574)</x:f>
      </x:c>
    </x:row>
    <x:row r="1575" ht="44" customHeight="1">
      <x:c r="A1575" s="35" t="str">
        <x:v>Not Started</x:v>
      </x:c>
      <x:c r="B1575" s="35" t="n">
        <x:v>1573</x:v>
      </x:c>
      <x:c r="C1575" s="35" t="str">
        <x:v>P26</x:v>
      </x:c>
      <x:c r="D1575" s="35" t="n">
        <x:v>24</x:v>
      </x:c>
      <x:c r="E1575" s="35" t="str">
        <x:v>Primary VLA</x:v>
      </x:c>
      <x:c r="F1575" s="35" t="str">
        <x:v>VLA-0</x:v>
      </x:c>
      <x:c r="G1575" s="35" t="n">
        <x:v>3</x:v>
      </x:c>
      <x:c r="H1575" s="35" t="str">
        <x:v>Relational Placement</x:v>
      </x:c>
      <x:c r="I1575" s="35" t="str">
        <x:v>Main matched control</x:v>
      </x:c>
      <x:c r="J1575" s="35" t="str">
        <x:v>PVLA-RP-CTL-12</x:v>
      </x:c>
      <x:c r="K1575" s="35" t="str">
        <x:v>R-CF22</x:v>
      </x:c>
      <x:c r="L1575" s="31" t="str">
        <x:v>Place the red block near the green pen.</x:v>
      </x:c>
      <x:c r="M1575" s="31" t="str">
        <x:v>Place the red block near the green pen.</x:v>
      </x:c>
      <x:c r="N1575" s="31" t="str">
        <x:v>R-CF22-CTRL: green pen at back-left [REFERENCE]; red block starts 18 cm to the left of the reference [TARGET START]; blue block and pink marker are distractors outside the commanded goal sector.</x:v>
      </x:c>
      <x:c r="O1575" s="31" t="str">
        <x:v>red block near green pen</x:v>
      </x:c>
      <x:c r="P1575" s="31" t="str"/>
      <x:c r="Q1575" s="31" t="str"/>
      <x:c r="R1575" s="31" t="str"/>
      <x:c r="S1575" s="31" t="str">
        <x:f>IF('Blind Scoring'!I1575="","",'Blind Scoring'!I1575)</x:f>
      </x:c>
      <x:c r="T1575" s="31" t="str">
        <x:f>'Blind Scoring'!J1575</x:f>
        <x:v>No</x:v>
      </x:c>
      <x:c r="U1575" s="31" t="str">
        <x:f>IF('Blind Scoring'!L1575="","",'Blind Scoring'!L1575)</x:f>
      </x:c>
    </x:row>
    <x:row r="1576" ht="44" customHeight="1">
      <x:c r="A1576" s="35" t="str">
        <x:v>Not Started</x:v>
      </x:c>
      <x:c r="B1576" s="35" t="n">
        <x:v>1574</x:v>
      </x:c>
      <x:c r="C1576" s="35" t="str">
        <x:v>P26</x:v>
      </x:c>
      <x:c r="D1576" s="35" t="n">
        <x:v>25</x:v>
      </x:c>
      <x:c r="E1576" s="35" t="str">
        <x:v>Primary VLA</x:v>
      </x:c>
      <x:c r="F1576" s="35" t="str">
        <x:v>VLA-0</x:v>
      </x:c>
      <x:c r="G1576" s="35" t="n">
        <x:v>3</x:v>
      </x:c>
      <x:c r="H1576" s="35" t="str">
        <x:v>Relational Placement</x:v>
      </x:c>
      <x:c r="I1576" s="35" t="str">
        <x:v>Main matched control</x:v>
      </x:c>
      <x:c r="J1576" s="35" t="str">
        <x:v>PVLA-RP-CTL-01</x:v>
      </x:c>
      <x:c r="K1576" s="35" t="str">
        <x:v>R-CF01</x:v>
      </x:c>
      <x:c r="L1576" s="31" t="str">
        <x:v>Place the green pen near the red block.</x:v>
      </x:c>
      <x:c r="M1576" s="31" t="str">
        <x:v>Place the green pen near the red block.</x:v>
      </x:c>
      <x:c r="N1576" s="31" t="str">
        <x:v>R-CF01-CTRL: red block at center [REFERENCE]; green pen starts 18 cm behind the reference [TARGET START]; pink marker and blue block are distractors outside the commanded goal sector.</x:v>
      </x:c>
      <x:c r="O1576" s="31" t="str">
        <x:v>green pen near red block</x:v>
      </x:c>
      <x:c r="P1576" s="31" t="str"/>
      <x:c r="Q1576" s="31" t="str"/>
      <x:c r="R1576" s="31" t="str"/>
      <x:c r="S1576" s="31" t="str">
        <x:f>IF('Blind Scoring'!I1576="","",'Blind Scoring'!I1576)</x:f>
      </x:c>
      <x:c r="T1576" s="31" t="str">
        <x:f>'Blind Scoring'!J1576</x:f>
        <x:v>No</x:v>
      </x:c>
      <x:c r="U1576" s="31" t="str">
        <x:f>IF('Blind Scoring'!L1576="","",'Blind Scoring'!L1576)</x:f>
      </x:c>
    </x:row>
    <x:row r="1577" ht="44" customHeight="1">
      <x:c r="A1577" s="35" t="str">
        <x:v>Not Started</x:v>
      </x:c>
      <x:c r="B1577" s="35" t="n">
        <x:v>1575</x:v>
      </x:c>
      <x:c r="C1577" s="35" t="str">
        <x:v>P26</x:v>
      </x:c>
      <x:c r="D1577" s="35" t="n">
        <x:v>26</x:v>
      </x:c>
      <x:c r="E1577" s="35" t="str">
        <x:v>Primary VLA</x:v>
      </x:c>
      <x:c r="F1577" s="35" t="str">
        <x:v>VLA-0</x:v>
      </x:c>
      <x:c r="G1577" s="35" t="n">
        <x:v>3</x:v>
      </x:c>
      <x:c r="H1577" s="35" t="str">
        <x:v>Relational Placement</x:v>
      </x:c>
      <x:c r="I1577" s="35" t="str">
        <x:v>Training reconstruction</x:v>
      </x:c>
      <x:c r="J1577" s="35" t="str">
        <x:v>PVLA-RP-REC-02</x:v>
      </x:c>
      <x:c r="K1577" s="35" t="str"/>
      <x:c r="L1577" s="31" t="str">
        <x:v>Put the green pen on the table in front of the pink marker.</x:v>
      </x:c>
      <x:c r="M1577" s="31" t="str">
        <x:v>Put the green pen on the table in front of the pink marker.</x:v>
      </x:c>
      <x:c r="N1577" s="31" t="str">
        <x:v>Reconstruct planned final training episode 206: green pen, red block, pink marker, blue block; start=Home. Match camera, calibration, bowl pose, and object geometry exactly.</x:v>
      </x:c>
      <x:c r="O1577" s="31" t="str">
        <x:v>green pen</x:v>
      </x:c>
      <x:c r="P1577" s="31" t="str"/>
      <x:c r="Q1577" s="31" t="str"/>
      <x:c r="R1577" s="31" t="str"/>
      <x:c r="S1577" s="31" t="str">
        <x:f>IF('Blind Scoring'!I1577="","",'Blind Scoring'!I1577)</x:f>
      </x:c>
      <x:c r="T1577" s="31" t="str">
        <x:f>'Blind Scoring'!J1577</x:f>
        <x:v>No</x:v>
      </x:c>
      <x:c r="U1577" s="31" t="str">
        <x:f>IF('Blind Scoring'!L1577="","",'Blind Scoring'!L1577)</x:f>
      </x:c>
    </x:row>
    <x:row r="1578" ht="44" customHeight="1">
      <x:c r="A1578" s="35" t="str">
        <x:v>Not Started</x:v>
      </x:c>
      <x:c r="B1578" s="35" t="n">
        <x:v>1576</x:v>
      </x:c>
      <x:c r="C1578" s="35" t="str">
        <x:v>P26</x:v>
      </x:c>
      <x:c r="D1578" s="35" t="n">
        <x:v>27</x:v>
      </x:c>
      <x:c r="E1578" s="35" t="str">
        <x:v>Primary VLA</x:v>
      </x:c>
      <x:c r="F1578" s="35" t="str">
        <x:v>VLA-0</x:v>
      </x:c>
      <x:c r="G1578" s="35" t="n">
        <x:v>3</x:v>
      </x:c>
      <x:c r="H1578" s="35" t="str">
        <x:v>Relational Placement</x:v>
      </x:c>
      <x:c r="I1578" s="35" t="str">
        <x:v>Novel layout + seen language</x:v>
      </x:c>
      <x:c r="J1578" s="35" t="str">
        <x:v>PVLA-RP-NOV-07</x:v>
      </x:c>
      <x:c r="K1578" s="35" t="str"/>
      <x:c r="L1578" s="31" t="str">
        <x:v>Place the pink marker in front of the blue block.</x:v>
      </x:c>
      <x:c r="M1578" s="31" t="str">
        <x:v>Place the pink marker in front of the blue block.</x:v>
      </x:c>
      <x:c r="N1578" s="31" t="str">
        <x:v>R-S17: blue block at center [REFERENCE]; pink marker starts 18 cm behind the reference [TARGET START]; remaining objects are distractors with ≥12 cm clearance from the target path and commanded goal sector.</x:v>
      </x:c>
      <x:c r="O1578" s="31" t="str">
        <x:v>pink marker</x:v>
      </x:c>
      <x:c r="P1578" s="31" t="str"/>
      <x:c r="Q1578" s="31" t="str"/>
      <x:c r="R1578" s="31" t="str"/>
      <x:c r="S1578" s="31" t="str">
        <x:f>IF('Blind Scoring'!I1578="","",'Blind Scoring'!I1578)</x:f>
      </x:c>
      <x:c r="T1578" s="31" t="str">
        <x:f>'Blind Scoring'!J1578</x:f>
        <x:v>No</x:v>
      </x:c>
      <x:c r="U1578" s="31" t="str">
        <x:f>IF('Blind Scoring'!L1578="","",'Blind Scoring'!L1578)</x:f>
      </x:c>
    </x:row>
    <x:row r="1579" ht="44" customHeight="1">
      <x:c r="A1579" s="35" t="str">
        <x:v>Not Started</x:v>
      </x:c>
      <x:c r="B1579" s="35" t="n">
        <x:v>1577</x:v>
      </x:c>
      <x:c r="C1579" s="35" t="str">
        <x:v>P26</x:v>
      </x:c>
      <x:c r="D1579" s="35" t="n">
        <x:v>28</x:v>
      </x:c>
      <x:c r="E1579" s="35" t="str">
        <x:v>Primary VLA</x:v>
      </x:c>
      <x:c r="F1579" s="35" t="str">
        <x:v>VLA-0</x:v>
      </x:c>
      <x:c r="G1579" s="35" t="n">
        <x:v>3</x:v>
      </x:c>
      <x:c r="H1579" s="35" t="str">
        <x:v>Relational Placement</x:v>
      </x:c>
      <x:c r="I1579" s="35" t="str">
        <x:v>Language ablation — counterfactual</x:v>
      </x:c>
      <x:c r="J1579" s="35" t="str">
        <x:v>PVLA-RP-ABL-CF-01</x:v>
      </x:c>
      <x:c r="K1579" s="35" t="str">
        <x:v>R-CF09</x:v>
      </x:c>
      <x:c r="L1579" s="31" t="str">
        <x:v>Place the green pen behind the red block.</x:v>
      </x:c>
      <x:c r="M1579" s="31" t="str">
        <x:v>Place the green pen behind the red block.</x:v>
      </x:c>
      <x:c r="N1579" s="31" t="str">
        <x:v>R-CF09-HELD: red block at front-left [REFERENCE]; green pen starts 24 cm behind the reference [TARGET START]; pink marker and blue block are distractors outside the commanded goal sector.</x:v>
      </x:c>
      <x:c r="O1579" s="31" t="str">
        <x:v>green pen → behind red block</x:v>
      </x:c>
      <x:c r="P1579" s="31" t="str"/>
      <x:c r="Q1579" s="31" t="str"/>
      <x:c r="R1579" s="31" t="str"/>
      <x:c r="S1579" s="31" t="str">
        <x:f>IF('Blind Scoring'!I1579="","",'Blind Scoring'!I1579)</x:f>
      </x:c>
      <x:c r="T1579" s="31" t="str">
        <x:f>'Blind Scoring'!J1579</x:f>
        <x:v>No</x:v>
      </x:c>
      <x:c r="U1579" s="31" t="str">
        <x:f>IF('Blind Scoring'!L1579="","",'Blind Scoring'!L1579)</x:f>
      </x:c>
    </x:row>
    <x:row r="1580" ht="44" customHeight="1">
      <x:c r="A1580" s="35" t="str">
        <x:v>Not Started</x:v>
      </x:c>
      <x:c r="B1580" s="35" t="n">
        <x:v>1578</x:v>
      </x:c>
      <x:c r="C1580" s="35" t="str">
        <x:v>P26</x:v>
      </x:c>
      <x:c r="D1580" s="35" t="n">
        <x:v>29</x:v>
      </x:c>
      <x:c r="E1580" s="35" t="str">
        <x:v>Primary VLA</x:v>
      </x:c>
      <x:c r="F1580" s="35" t="str">
        <x:v>VLA-0</x:v>
      </x:c>
      <x:c r="G1580" s="35" t="n">
        <x:v>3</x:v>
      </x:c>
      <x:c r="H1580" s="35" t="str">
        <x:v>Relational Placement</x:v>
      </x:c>
      <x:c r="I1580" s="35" t="str">
        <x:v>Main matched control</x:v>
      </x:c>
      <x:c r="J1580" s="35" t="str">
        <x:v>PVLA-RP-CTL-13</x:v>
      </x:c>
      <x:c r="K1580" s="35" t="str">
        <x:v>R-CF24</x:v>
      </x:c>
      <x:c r="L1580" s="31" t="str">
        <x:v>Place the red block beside the green pen.</x:v>
      </x:c>
      <x:c r="M1580" s="31" t="str">
        <x:v>Place the red block beside the green pen.</x:v>
      </x:c>
      <x:c r="N1580" s="31" t="str">
        <x:v>R-CF24-CTRL: green pen at front-left [REFERENCE]; red block starts 24 cm to the right of the reference [TARGET START]; blue block and pink marker are distractors outside the commanded goal sector.</x:v>
      </x:c>
      <x:c r="O1580" s="31" t="str">
        <x:v>red block near green pen</x:v>
      </x:c>
      <x:c r="P1580" s="31" t="str"/>
      <x:c r="Q1580" s="31" t="str"/>
      <x:c r="R1580" s="31" t="str"/>
      <x:c r="S1580" s="31" t="str">
        <x:f>IF('Blind Scoring'!I1580="","",'Blind Scoring'!I1580)</x:f>
      </x:c>
      <x:c r="T1580" s="31" t="str">
        <x:f>'Blind Scoring'!J1580</x:f>
        <x:v>No</x:v>
      </x:c>
      <x:c r="U1580" s="31" t="str">
        <x:f>IF('Blind Scoring'!L1580="","",'Blind Scoring'!L1580)</x:f>
      </x:c>
    </x:row>
    <x:row r="1581" ht="44" customHeight="1">
      <x:c r="A1581" s="35" t="str">
        <x:v>Not Started</x:v>
      </x:c>
      <x:c r="B1581" s="35" t="n">
        <x:v>1579</x:v>
      </x:c>
      <x:c r="C1581" s="35" t="str">
        <x:v>P26</x:v>
      </x:c>
      <x:c r="D1581" s="35" t="n">
        <x:v>30</x:v>
      </x:c>
      <x:c r="E1581" s="35" t="str">
        <x:v>Primary VLA</x:v>
      </x:c>
      <x:c r="F1581" s="35" t="str">
        <x:v>VLA-0</x:v>
      </x:c>
      <x:c r="G1581" s="35" t="n">
        <x:v>3</x:v>
      </x:c>
      <x:c r="H1581" s="35" t="str">
        <x:v>Relational Placement</x:v>
      </x:c>
      <x:c r="I1581" s="35" t="str">
        <x:v>Main matched control</x:v>
      </x:c>
      <x:c r="J1581" s="35" t="str">
        <x:v>PVLA-RP-CTL-08</x:v>
      </x:c>
      <x:c r="K1581" s="35" t="str">
        <x:v>R-CF15</x:v>
      </x:c>
      <x:c r="L1581" s="31" t="str">
        <x:v>Place the green pen beside the red block.</x:v>
      </x:c>
      <x:c r="M1581" s="31" t="str">
        <x:v>Place the green pen beside the red block.</x:v>
      </x:c>
      <x:c r="N1581" s="31" t="str">
        <x:v>R-CF15-CTRL: red block at front-right [REFERENCE]; green pen starts 24 cm in front of the reference [TARGET START]; pink marker and blue block are distractors outside the commanded goal sector.</x:v>
      </x:c>
      <x:c r="O1581" s="31" t="str">
        <x:v>green pen near red block</x:v>
      </x:c>
      <x:c r="P1581" s="31" t="str"/>
      <x:c r="Q1581" s="31" t="str"/>
      <x:c r="R1581" s="31" t="str"/>
      <x:c r="S1581" s="31" t="str">
        <x:f>IF('Blind Scoring'!I1581="","",'Blind Scoring'!I1581)</x:f>
      </x:c>
      <x:c r="T1581" s="31" t="str">
        <x:f>'Blind Scoring'!J1581</x:f>
        <x:v>No</x:v>
      </x:c>
      <x:c r="U1581" s="31" t="str">
        <x:f>IF('Blind Scoring'!L1581="","",'Blind Scoring'!L1581)</x:f>
      </x:c>
    </x:row>
    <x:row r="1582" ht="44" customHeight="1">
      <x:c r="A1582" s="35" t="str">
        <x:v>Not Started</x:v>
      </x:c>
      <x:c r="B1582" s="35" t="n">
        <x:v>1580</x:v>
      </x:c>
      <x:c r="C1582" s="35" t="str">
        <x:v>P26</x:v>
      </x:c>
      <x:c r="D1582" s="35" t="n">
        <x:v>31</x:v>
      </x:c>
      <x:c r="E1582" s="35" t="str">
        <x:v>Primary VLA</x:v>
      </x:c>
      <x:c r="F1582" s="35" t="str">
        <x:v>VLA-0</x:v>
      </x:c>
      <x:c r="G1582" s="35" t="n">
        <x:v>3</x:v>
      </x:c>
      <x:c r="H1582" s="35" t="str">
        <x:v>Relational Placement</x:v>
      </x:c>
      <x:c r="I1582" s="35" t="str">
        <x:v>Language ablation — blank</x:v>
      </x:c>
      <x:c r="J1582" s="35" t="str">
        <x:v>PVLA-RP-ABL-BLK-03</x:v>
      </x:c>
      <x:c r="K1582" s="35" t="str">
        <x:v>R-CF05</x:v>
      </x:c>
      <x:c r="L1582" s="31" t="str">
        <x:v>[EMPTY STRING — provide no instruction tokens]</x:v>
      </x:c>
      <x:c r="M1582" s="31" t="str">
        <x:v>Place the green pen to the left of the red block.</x:v>
      </x:c>
      <x:c r="N1582" s="31" t="str">
        <x:v>R-CF05-HELD: red block at front-right [REFERENCE]; green pen starts 21 cm to the right of the reference [TARGET START]; pink marker and blue block are distractors outside the commanded goal sector.</x:v>
      </x:c>
      <x:c r="O1582" s="31" t="str">
        <x:v>No prespecified task success under blank language; record any action/selected target.</x:v>
      </x:c>
      <x:c r="P1582" s="31" t="str"/>
      <x:c r="Q1582" s="31" t="str"/>
      <x:c r="R1582" s="31" t="str"/>
      <x:c r="S1582" s="31" t="str">
        <x:f>IF('Blind Scoring'!I1582="","",'Blind Scoring'!I1582)</x:f>
      </x:c>
      <x:c r="T1582" s="31" t="str">
        <x:f>'Blind Scoring'!J1582</x:f>
        <x:v>No</x:v>
      </x:c>
      <x:c r="U1582" s="31" t="str">
        <x:f>IF('Blind Scoring'!L1582="","",'Blind Scoring'!L1582)</x:f>
      </x:c>
    </x:row>
    <x:row r="1583" ht="44" customHeight="1">
      <x:c r="A1583" s="35" t="str">
        <x:v>Not Started</x:v>
      </x:c>
      <x:c r="B1583" s="35" t="n">
        <x:v>1581</x:v>
      </x:c>
      <x:c r="C1583" s="35" t="str">
        <x:v>P26</x:v>
      </x:c>
      <x:c r="D1583" s="35" t="n">
        <x:v>32</x:v>
      </x:c>
      <x:c r="E1583" s="35" t="str">
        <x:v>Primary VLA</x:v>
      </x:c>
      <x:c r="F1583" s="35" t="str">
        <x:v>VLA-0</x:v>
      </x:c>
      <x:c r="G1583" s="35" t="n">
        <x:v>3</x:v>
      </x:c>
      <x:c r="H1583" s="35" t="str">
        <x:v>Relational Placement</x:v>
      </x:c>
      <x:c r="I1583" s="35" t="str">
        <x:v>Main held-out transfer</x:v>
      </x:c>
      <x:c r="J1583" s="35" t="str">
        <x:v>PVLA-RP-TR-04</x:v>
      </x:c>
      <x:c r="K1583" s="35" t="str">
        <x:v>R-CF07</x:v>
      </x:c>
      <x:c r="L1583" s="31" t="str">
        <x:v>Place the green pen behind the red block.</x:v>
      </x:c>
      <x:c r="M1583" s="31" t="str">
        <x:v>Place the green pen behind the red block.</x:v>
      </x:c>
      <x:c r="N1583" s="31" t="str">
        <x:v>R-CF07-HELD: red block at back-left [REFERENCE]; green pen starts 18 cm in front of the reference [TARGET START]; pink marker and blue block are distractors outside the commanded goal sector.</x:v>
      </x:c>
      <x:c r="O1583" s="31" t="str">
        <x:v>green pen → behind red block</x:v>
      </x:c>
      <x:c r="P1583" s="31" t="str"/>
      <x:c r="Q1583" s="31" t="str"/>
      <x:c r="R1583" s="31" t="str"/>
      <x:c r="S1583" s="31" t="str">
        <x:f>IF('Blind Scoring'!I1583="","",'Blind Scoring'!I1583)</x:f>
      </x:c>
      <x:c r="T1583" s="31" t="str">
        <x:f>'Blind Scoring'!J1583</x:f>
        <x:v>No</x:v>
      </x:c>
      <x:c r="U1583" s="31" t="str">
        <x:f>IF('Blind Scoring'!L1583="","",'Blind Scoring'!L1583)</x:f>
      </x:c>
    </x:row>
    <x:row r="1584" ht="44" customHeight="1">
      <x:c r="A1584" s="35" t="str">
        <x:v>Not Started</x:v>
      </x:c>
      <x:c r="B1584" s="35" t="n">
        <x:v>1582</x:v>
      </x:c>
      <x:c r="C1584" s="35" t="str">
        <x:v>P26</x:v>
      </x:c>
      <x:c r="D1584" s="35" t="n">
        <x:v>33</x:v>
      </x:c>
      <x:c r="E1584" s="35" t="str">
        <x:v>Primary VLA</x:v>
      </x:c>
      <x:c r="F1584" s="35" t="str">
        <x:v>VLA-0</x:v>
      </x:c>
      <x:c r="G1584" s="35" t="n">
        <x:v>3</x:v>
      </x:c>
      <x:c r="H1584" s="35" t="str">
        <x:v>Relational Placement</x:v>
      </x:c>
      <x:c r="I1584" s="35" t="str">
        <x:v>Main held-out transfer</x:v>
      </x:c>
      <x:c r="J1584" s="35" t="str">
        <x:v>PVLA-RP-TR-08</x:v>
      </x:c>
      <x:c r="K1584" s="35" t="str">
        <x:v>R-CF15</x:v>
      </x:c>
      <x:c r="L1584" s="31" t="str">
        <x:v>Place the green pen behind the red block.</x:v>
      </x:c>
      <x:c r="M1584" s="31" t="str">
        <x:v>Place the green pen behind the red block.</x:v>
      </x:c>
      <x:c r="N1584" s="31" t="str">
        <x:v>R-CF15-HELD: red block at front-right [REFERENCE]; green pen starts 24 cm in front of the reference [TARGET START]; pink marker and blue block are distractors outside the commanded goal sector.</x:v>
      </x:c>
      <x:c r="O1584" s="31" t="str">
        <x:v>green pen → behind red block</x:v>
      </x:c>
      <x:c r="P1584" s="31" t="str"/>
      <x:c r="Q1584" s="31" t="str"/>
      <x:c r="R1584" s="31" t="str"/>
      <x:c r="S1584" s="31" t="str">
        <x:f>IF('Blind Scoring'!I1584="","",'Blind Scoring'!I1584)</x:f>
      </x:c>
      <x:c r="T1584" s="31" t="str">
        <x:f>'Blind Scoring'!J1584</x:f>
        <x:v>No</x:v>
      </x:c>
      <x:c r="U1584" s="31" t="str">
        <x:f>IF('Blind Scoring'!L1584="","",'Blind Scoring'!L1584)</x:f>
      </x:c>
    </x:row>
    <x:row r="1585" ht="44" customHeight="1">
      <x:c r="A1585" s="35" t="str">
        <x:v>Not Started</x:v>
      </x:c>
      <x:c r="B1585" s="35" t="n">
        <x:v>1583</x:v>
      </x:c>
      <x:c r="C1585" s="35" t="str">
        <x:v>P26</x:v>
      </x:c>
      <x:c r="D1585" s="35" t="n">
        <x:v>34</x:v>
      </x:c>
      <x:c r="E1585" s="35" t="str">
        <x:v>Primary VLA</x:v>
      </x:c>
      <x:c r="F1585" s="35" t="str">
        <x:v>VLA-0</x:v>
      </x:c>
      <x:c r="G1585" s="35" t="n">
        <x:v>3</x:v>
      </x:c>
      <x:c r="H1585" s="35" t="str">
        <x:v>Relational Placement</x:v>
      </x:c>
      <x:c r="I1585" s="35" t="str">
        <x:v>Language ablation — blank</x:v>
      </x:c>
      <x:c r="J1585" s="35" t="str">
        <x:v>PVLA-RP-ABL-BLK-01</x:v>
      </x:c>
      <x:c r="K1585" s="35" t="str">
        <x:v>R-CF01</x:v>
      </x:c>
      <x:c r="L1585" s="31" t="str">
        <x:v>[EMPTY STRING — provide no instruction tokens]</x:v>
      </x:c>
      <x:c r="M1585" s="31" t="str">
        <x:v>Place the green pen in front of the red block.</x:v>
      </x:c>
      <x:c r="N1585" s="31" t="str">
        <x:v>R-CF01-HELD: red block at center [REFERENCE]; green pen starts 18 cm behind the reference [TARGET START]; pink marker and blue block are distractors outside the commanded goal sector.</x:v>
      </x:c>
      <x:c r="O1585" s="31" t="str">
        <x:v>No prespecified task success under blank language; record any action/selected target.</x:v>
      </x:c>
      <x:c r="P1585" s="31" t="str"/>
      <x:c r="Q1585" s="31" t="str"/>
      <x:c r="R1585" s="31" t="str"/>
      <x:c r="S1585" s="31" t="str">
        <x:f>IF('Blind Scoring'!I1585="","",'Blind Scoring'!I1585)</x:f>
      </x:c>
      <x:c r="T1585" s="31" t="str">
        <x:f>'Blind Scoring'!J1585</x:f>
        <x:v>No</x:v>
      </x:c>
      <x:c r="U1585" s="31" t="str">
        <x:f>IF('Blind Scoring'!L1585="","",'Blind Scoring'!L1585)</x:f>
      </x:c>
    </x:row>
    <x:row r="1586" ht="44" customHeight="1">
      <x:c r="A1586" s="35" t="str">
        <x:v>Not Started</x:v>
      </x:c>
      <x:c r="B1586" s="35" t="n">
        <x:v>1584</x:v>
      </x:c>
      <x:c r="C1586" s="35" t="str">
        <x:v>P26</x:v>
      </x:c>
      <x:c r="D1586" s="35" t="n">
        <x:v>35</x:v>
      </x:c>
      <x:c r="E1586" s="35" t="str">
        <x:v>Primary VLA</x:v>
      </x:c>
      <x:c r="F1586" s="35" t="str">
        <x:v>VLA-0</x:v>
      </x:c>
      <x:c r="G1586" s="35" t="n">
        <x:v>3</x:v>
      </x:c>
      <x:c r="H1586" s="35" t="str">
        <x:v>Relational Placement</x:v>
      </x:c>
      <x:c r="I1586" s="35" t="str">
        <x:v>Language ablation — blank</x:v>
      </x:c>
      <x:c r="J1586" s="35" t="str">
        <x:v>PVLA-RP-ABL-BLK-04</x:v>
      </x:c>
      <x:c r="K1586" s="35" t="str">
        <x:v>R-CF07</x:v>
      </x:c>
      <x:c r="L1586" s="31" t="str">
        <x:v>[EMPTY STRING — provide no instruction tokens]</x:v>
      </x:c>
      <x:c r="M1586" s="31" t="str">
        <x:v>Place the green pen behind the red block.</x:v>
      </x:c>
      <x:c r="N1586" s="31" t="str">
        <x:v>R-CF07-HELD: red block at back-left [REFERENCE]; green pen starts 18 cm in front of the reference [TARGET START]; pink marker and blue block are distractors outside the commanded goal sector.</x:v>
      </x:c>
      <x:c r="O1586" s="31" t="str">
        <x:v>No prespecified task success under blank language; record any action/selected target.</x:v>
      </x:c>
      <x:c r="P1586" s="31" t="str"/>
      <x:c r="Q1586" s="31" t="str"/>
      <x:c r="R1586" s="31" t="str"/>
      <x:c r="S1586" s="31" t="str">
        <x:f>IF('Blind Scoring'!I1586="","",'Blind Scoring'!I1586)</x:f>
      </x:c>
      <x:c r="T1586" s="31" t="str">
        <x:f>'Blind Scoring'!J1586</x:f>
        <x:v>No</x:v>
      </x:c>
      <x:c r="U1586" s="31" t="str">
        <x:f>IF('Blind Scoring'!L1586="","",'Blind Scoring'!L1586)</x:f>
      </x:c>
    </x:row>
    <x:row r="1587" ht="44" customHeight="1">
      <x:c r="A1587" s="35" t="str">
        <x:v>Not Started</x:v>
      </x:c>
      <x:c r="B1587" s="35" t="n">
        <x:v>1585</x:v>
      </x:c>
      <x:c r="C1587" s="35" t="str">
        <x:v>P26</x:v>
      </x:c>
      <x:c r="D1587" s="35" t="n">
        <x:v>36</x:v>
      </x:c>
      <x:c r="E1587" s="35" t="str">
        <x:v>Primary VLA</x:v>
      </x:c>
      <x:c r="F1587" s="35" t="str">
        <x:v>VLA-0</x:v>
      </x:c>
      <x:c r="G1587" s="35" t="n">
        <x:v>3</x:v>
      </x:c>
      <x:c r="H1587" s="35" t="str">
        <x:v>Relational Placement</x:v>
      </x:c>
      <x:c r="I1587" s="35" t="str">
        <x:v>Novel layout + seen language</x:v>
      </x:c>
      <x:c r="J1587" s="35" t="str">
        <x:v>PVLA-RP-NOV-08</x:v>
      </x:c>
      <x:c r="K1587" s="35" t="str"/>
      <x:c r="L1587" s="31" t="str">
        <x:v>Place the red block to the right of the blue block.</x:v>
      </x:c>
      <x:c r="M1587" s="31" t="str">
        <x:v>Place the red block to the right of the blue block.</x:v>
      </x:c>
      <x:c r="N1587" s="31" t="str">
        <x:v>R-S20: blue block at front-left [REFERENCE]; red block starts 18 cm to the left of the reference [TARGET START]; remaining objects are distractors with ≥12 cm clearance from the target path and commanded goal sector.</x:v>
      </x:c>
      <x:c r="O1587" s="31" t="str">
        <x:v>red block</x:v>
      </x:c>
      <x:c r="P1587" s="31" t="str"/>
      <x:c r="Q1587" s="31" t="str"/>
      <x:c r="R1587" s="31" t="str"/>
      <x:c r="S1587" s="31" t="str">
        <x:f>IF('Blind Scoring'!I1587="","",'Blind Scoring'!I1587)</x:f>
      </x:c>
      <x:c r="T1587" s="31" t="str">
        <x:f>'Blind Scoring'!J1587</x:f>
        <x:v>No</x:v>
      </x:c>
      <x:c r="U1587" s="31" t="str">
        <x:f>IF('Blind Scoring'!L1587="","",'Blind Scoring'!L1587)</x:f>
      </x:c>
    </x:row>
    <x:row r="1588" ht="44" customHeight="1">
      <x:c r="A1588" s="35" t="str">
        <x:v>Not Started</x:v>
      </x:c>
      <x:c r="B1588" s="35" t="n">
        <x:v>1586</x:v>
      </x:c>
      <x:c r="C1588" s="35" t="str">
        <x:v>P26</x:v>
      </x:c>
      <x:c r="D1588" s="35" t="n">
        <x:v>37</x:v>
      </x:c>
      <x:c r="E1588" s="35" t="str">
        <x:v>Primary VLA</x:v>
      </x:c>
      <x:c r="F1588" s="35" t="str">
        <x:v>VLA-0</x:v>
      </x:c>
      <x:c r="G1588" s="35" t="n">
        <x:v>3</x:v>
      </x:c>
      <x:c r="H1588" s="35" t="str">
        <x:v>Relational Placement</x:v>
      </x:c>
      <x:c r="I1588" s="35" t="str">
        <x:v>Main matched control</x:v>
      </x:c>
      <x:c r="J1588" s="35" t="str">
        <x:v>PVLA-RP-CTL-06</x:v>
      </x:c>
      <x:c r="K1588" s="35" t="str">
        <x:v>R-CF11</x:v>
      </x:c>
      <x:c r="L1588" s="31" t="str">
        <x:v>Place the green pen next to the red block.</x:v>
      </x:c>
      <x:c r="M1588" s="31" t="str">
        <x:v>Place the green pen next to the red block.</x:v>
      </x:c>
      <x:c r="N1588" s="31" t="str">
        <x:v>R-CF11-CTRL: red block at center [REFERENCE]; green pen starts 21 cm to the left of the reference [TARGET START]; pink marker and blue block are distractors outside the commanded goal sector.</x:v>
      </x:c>
      <x:c r="O1588" s="31" t="str">
        <x:v>green pen near red block</x:v>
      </x:c>
      <x:c r="P1588" s="31" t="str"/>
      <x:c r="Q1588" s="31" t="str"/>
      <x:c r="R1588" s="31" t="str"/>
      <x:c r="S1588" s="31" t="str">
        <x:f>IF('Blind Scoring'!I1588="","",'Blind Scoring'!I1588)</x:f>
      </x:c>
      <x:c r="T1588" s="31" t="str">
        <x:f>'Blind Scoring'!J1588</x:f>
        <x:v>No</x:v>
      </x:c>
      <x:c r="U1588" s="31" t="str">
        <x:f>IF('Blind Scoring'!L1588="","",'Blind Scoring'!L1588)</x:f>
      </x:c>
    </x:row>
    <x:row r="1589" ht="44" customHeight="1">
      <x:c r="A1589" s="35" t="str">
        <x:v>Not Started</x:v>
      </x:c>
      <x:c r="B1589" s="35" t="n">
        <x:v>1587</x:v>
      </x:c>
      <x:c r="C1589" s="35" t="str">
        <x:v>P26</x:v>
      </x:c>
      <x:c r="D1589" s="35" t="n">
        <x:v>38</x:v>
      </x:c>
      <x:c r="E1589" s="35" t="str">
        <x:v>Primary VLA</x:v>
      </x:c>
      <x:c r="F1589" s="35" t="str">
        <x:v>VLA-0</x:v>
      </x:c>
      <x:c r="G1589" s="35" t="n">
        <x:v>3</x:v>
      </x:c>
      <x:c r="H1589" s="35" t="str">
        <x:v>Relational Placement</x:v>
      </x:c>
      <x:c r="I1589" s="35" t="str">
        <x:v>Training reconstruction</x:v>
      </x:c>
      <x:c r="J1589" s="35" t="str">
        <x:v>PVLA-RP-REC-06</x:v>
      </x:c>
      <x:c r="K1589" s="35" t="str"/>
      <x:c r="L1589" s="31" t="str">
        <x:v>Place the green pen to the right of the pink marker.</x:v>
      </x:c>
      <x:c r="M1589" s="31" t="str">
        <x:v>Place the green pen to the right of the pink marker.</x:v>
      </x:c>
      <x:c r="N1589" s="31" t="str">
        <x:v>Reconstruct planned final training episode 243: green pen, pink marker, red block; start=Home. Match camera, calibration, bowl pose, and object geometry exactly.</x:v>
      </x:c>
      <x:c r="O1589" s="31" t="str">
        <x:v>green pen</x:v>
      </x:c>
      <x:c r="P1589" s="31" t="str"/>
      <x:c r="Q1589" s="31" t="str"/>
      <x:c r="R1589" s="31" t="str"/>
      <x:c r="S1589" s="31" t="str">
        <x:f>IF('Blind Scoring'!I1589="","",'Blind Scoring'!I1589)</x:f>
      </x:c>
      <x:c r="T1589" s="31" t="str">
        <x:f>'Blind Scoring'!J1589</x:f>
        <x:v>No</x:v>
      </x:c>
      <x:c r="U1589" s="31" t="str">
        <x:f>IF('Blind Scoring'!L1589="","",'Blind Scoring'!L1589)</x:f>
      </x:c>
    </x:row>
    <x:row r="1590" ht="44" customHeight="1">
      <x:c r="A1590" s="35" t="str">
        <x:v>Not Started</x:v>
      </x:c>
      <x:c r="B1590" s="35" t="n">
        <x:v>1588</x:v>
      </x:c>
      <x:c r="C1590" s="35" t="str">
        <x:v>P26</x:v>
      </x:c>
      <x:c r="D1590" s="35" t="n">
        <x:v>39</x:v>
      </x:c>
      <x:c r="E1590" s="35" t="str">
        <x:v>Primary VLA</x:v>
      </x:c>
      <x:c r="F1590" s="35" t="str">
        <x:v>VLA-0</x:v>
      </x:c>
      <x:c r="G1590" s="35" t="n">
        <x:v>3</x:v>
      </x:c>
      <x:c r="H1590" s="35" t="str">
        <x:v>Relational Placement</x:v>
      </x:c>
      <x:c r="I1590" s="35" t="str">
        <x:v>Main matched control</x:v>
      </x:c>
      <x:c r="J1590" s="35" t="str">
        <x:v>PVLA-RP-CTL-14</x:v>
      </x:c>
      <x:c r="K1590" s="35" t="str">
        <x:v>R-CF26</x:v>
      </x:c>
      <x:c r="L1590" s="31" t="str">
        <x:v>Place the red block next to the green pen.</x:v>
      </x:c>
      <x:c r="M1590" s="31" t="str">
        <x:v>Place the red block next to the green pen.</x:v>
      </x:c>
      <x:c r="N1590" s="31" t="str">
        <x:v>R-CF26-CTRL: green pen at center [REFERENCE]; red block starts 21 cm in front of the reference [TARGET START]; blue block and pink marker are distractors outside the commanded goal sector.</x:v>
      </x:c>
      <x:c r="O1590" s="31" t="str">
        <x:v>red block near green pen</x:v>
      </x:c>
      <x:c r="P1590" s="31" t="str"/>
      <x:c r="Q1590" s="31" t="str"/>
      <x:c r="R1590" s="31" t="str"/>
      <x:c r="S1590" s="31" t="str">
        <x:f>IF('Blind Scoring'!I1590="","",'Blind Scoring'!I1590)</x:f>
      </x:c>
      <x:c r="T1590" s="31" t="str">
        <x:f>'Blind Scoring'!J1590</x:f>
        <x:v>No</x:v>
      </x:c>
      <x:c r="U1590" s="31" t="str">
        <x:f>IF('Blind Scoring'!L1590="","",'Blind Scoring'!L1590)</x:f>
      </x:c>
    </x:row>
    <x:row r="1591" ht="44" customHeight="1">
      <x:c r="A1591" s="35" t="str">
        <x:v>Not Started</x:v>
      </x:c>
      <x:c r="B1591" s="35" t="n">
        <x:v>1589</x:v>
      </x:c>
      <x:c r="C1591" s="35" t="str">
        <x:v>P26</x:v>
      </x:c>
      <x:c r="D1591" s="35" t="n">
        <x:v>40</x:v>
      </x:c>
      <x:c r="E1591" s="35" t="str">
        <x:v>Primary VLA</x:v>
      </x:c>
      <x:c r="F1591" s="35" t="str">
        <x:v>VLA-0</x:v>
      </x:c>
      <x:c r="G1591" s="35" t="n">
        <x:v>3</x:v>
      </x:c>
      <x:c r="H1591" s="35" t="str">
        <x:v>Relational Placement</x:v>
      </x:c>
      <x:c r="I1591" s="35" t="str">
        <x:v>Novel layout + seen language</x:v>
      </x:c>
      <x:c r="J1591" s="35" t="str">
        <x:v>PVLA-RP-NOV-03</x:v>
      </x:c>
      <x:c r="K1591" s="35" t="str"/>
      <x:c r="L1591" s="31" t="str">
        <x:v>Place the blue block behind the green pen.</x:v>
      </x:c>
      <x:c r="M1591" s="31" t="str">
        <x:v>Place the blue block behind the green pen.</x:v>
      </x:c>
      <x:c r="N1591" s="31" t="str">
        <x:v>R-S06: green pen at back-left [REFERENCE]; blue block starts 21 cm in front of the reference [TARGET START]; remaining objects are distractors with ≥12 cm clearance from the target path and commanded goal sector.</x:v>
      </x:c>
      <x:c r="O1591" s="31" t="str">
        <x:v>blue block</x:v>
      </x:c>
      <x:c r="P1591" s="31" t="str"/>
      <x:c r="Q1591" s="31" t="str"/>
      <x:c r="R1591" s="31" t="str"/>
      <x:c r="S1591" s="31" t="str">
        <x:f>IF('Blind Scoring'!I1591="","",'Blind Scoring'!I1591)</x:f>
      </x:c>
      <x:c r="T1591" s="31" t="str">
        <x:f>'Blind Scoring'!J1591</x:f>
        <x:v>No</x:v>
      </x:c>
      <x:c r="U1591" s="31" t="str">
        <x:f>IF('Blind Scoring'!L1591="","",'Blind Scoring'!L1591)</x:f>
      </x:c>
    </x:row>
    <x:row r="1592" ht="44" customHeight="1">
      <x:c r="A1592" s="35" t="str">
        <x:v>Not Started</x:v>
      </x:c>
      <x:c r="B1592" s="35" t="n">
        <x:v>1590</x:v>
      </x:c>
      <x:c r="C1592" s="35" t="str">
        <x:v>P26</x:v>
      </x:c>
      <x:c r="D1592" s="35" t="n">
        <x:v>41</x:v>
      </x:c>
      <x:c r="E1592" s="35" t="str">
        <x:v>Primary VLA</x:v>
      </x:c>
      <x:c r="F1592" s="35" t="str">
        <x:v>VLA-0</x:v>
      </x:c>
      <x:c r="G1592" s="35" t="n">
        <x:v>3</x:v>
      </x:c>
      <x:c r="H1592" s="35" t="str">
        <x:v>Relational Placement</x:v>
      </x:c>
      <x:c r="I1592" s="35" t="str">
        <x:v>Main matched control</x:v>
      </x:c>
      <x:c r="J1592" s="35" t="str">
        <x:v>PVLA-RP-CTL-15</x:v>
      </x:c>
      <x:c r="K1592" s="35" t="str">
        <x:v>R-CF28</x:v>
      </x:c>
      <x:c r="L1592" s="31" t="str">
        <x:v>Place the red block near the green pen.</x:v>
      </x:c>
      <x:c r="M1592" s="31" t="str">
        <x:v>Place the red block near the green pen.</x:v>
      </x:c>
      <x:c r="N1592" s="31" t="str">
        <x:v>R-CF28-CTRL: green pen at back-right [REFERENCE]; red block starts 18 cm behind the reference [TARGET START]; blue block and pink marker are distractors outside the commanded goal sector.</x:v>
      </x:c>
      <x:c r="O1592" s="31" t="str">
        <x:v>red block near green pen</x:v>
      </x:c>
      <x:c r="P1592" s="31" t="str"/>
      <x:c r="Q1592" s="31" t="str"/>
      <x:c r="R1592" s="31" t="str"/>
      <x:c r="S1592" s="31" t="str">
        <x:f>IF('Blind Scoring'!I1592="","",'Blind Scoring'!I1592)</x:f>
      </x:c>
      <x:c r="T1592" s="31" t="str">
        <x:f>'Blind Scoring'!J1592</x:f>
        <x:v>No</x:v>
      </x:c>
      <x:c r="U1592" s="31" t="str">
        <x:f>IF('Blind Scoring'!L1592="","",'Blind Scoring'!L1592)</x:f>
      </x:c>
    </x:row>
    <x:row r="1593" ht="44" customHeight="1">
      <x:c r="A1593" s="35" t="str">
        <x:v>Not Started</x:v>
      </x:c>
      <x:c r="B1593" s="35" t="n">
        <x:v>1591</x:v>
      </x:c>
      <x:c r="C1593" s="35" t="str">
        <x:v>P26</x:v>
      </x:c>
      <x:c r="D1593" s="35" t="n">
        <x:v>42</x:v>
      </x:c>
      <x:c r="E1593" s="35" t="str">
        <x:v>Primary VLA</x:v>
      </x:c>
      <x:c r="F1593" s="35" t="str">
        <x:v>VLA-0</x:v>
      </x:c>
      <x:c r="G1593" s="35" t="n">
        <x:v>3</x:v>
      </x:c>
      <x:c r="H1593" s="35" t="str">
        <x:v>Relational Placement</x:v>
      </x:c>
      <x:c r="I1593" s="35" t="str">
        <x:v>Exact-scene paraphrase</x:v>
      </x:c>
      <x:c r="J1593" s="35" t="str">
        <x:v>PVLA-RP-PAR-07</x:v>
      </x:c>
      <x:c r="K1593" s="35" t="str"/>
      <x:c r="L1593" s="31" t="str">
        <x:v>Move the red block to the side of the pink marker facing the robot.</x:v>
      </x:c>
      <x:c r="M1593" s="31" t="str">
        <x:v>Move the red block to the side of the pink marker facing the robot.</x:v>
      </x:c>
      <x:c r="N1593" s="31" t="str">
        <x:v>R-P01: pink marker at center [REFERENCE]; red block starts 21 cm behind the reference [TARGET START]; remaining objects are distractors with ≥12 cm clearance from the target path and commanded goal sector.</x:v>
      </x:c>
      <x:c r="O1593" s="31" t="str">
        <x:v>red block</x:v>
      </x:c>
      <x:c r="P1593" s="31" t="str"/>
      <x:c r="Q1593" s="31" t="str"/>
      <x:c r="R1593" s="31" t="str"/>
      <x:c r="S1593" s="31" t="str">
        <x:f>IF('Blind Scoring'!I1593="","",'Blind Scoring'!I1593)</x:f>
      </x:c>
      <x:c r="T1593" s="31" t="str">
        <x:f>'Blind Scoring'!J1593</x:f>
        <x:v>No</x:v>
      </x:c>
      <x:c r="U1593" s="31" t="str">
        <x:f>IF('Blind Scoring'!L1593="","",'Blind Scoring'!L1593)</x:f>
      </x:c>
    </x:row>
    <x:row r="1594" ht="44" customHeight="1">
      <x:c r="A1594" s="35" t="str">
        <x:v>Not Started</x:v>
      </x:c>
      <x:c r="B1594" s="35" t="n">
        <x:v>1592</x:v>
      </x:c>
      <x:c r="C1594" s="35" t="str">
        <x:v>P26</x:v>
      </x:c>
      <x:c r="D1594" s="35" t="n">
        <x:v>43</x:v>
      </x:c>
      <x:c r="E1594" s="35" t="str">
        <x:v>Primary VLA</x:v>
      </x:c>
      <x:c r="F1594" s="35" t="str">
        <x:v>VLA-0</x:v>
      </x:c>
      <x:c r="G1594" s="35" t="n">
        <x:v>3</x:v>
      </x:c>
      <x:c r="H1594" s="35" t="str">
        <x:v>Relational Placement</x:v>
      </x:c>
      <x:c r="I1594" s="35" t="str">
        <x:v>Main held-out transfer</x:v>
      </x:c>
      <x:c r="J1594" s="35" t="str">
        <x:v>PVLA-RP-TR-15</x:v>
      </x:c>
      <x:c r="K1594" s="35" t="str">
        <x:v>R-CF28</x:v>
      </x:c>
      <x:c r="L1594" s="31" t="str">
        <x:v>Place the red block in front of the green pen.</x:v>
      </x:c>
      <x:c r="M1594" s="31" t="str">
        <x:v>Place the red block in front of the green pen.</x:v>
      </x:c>
      <x:c r="N1594" s="31" t="str">
        <x:v>R-CF28-HELD: green pen at back-right [REFERENCE]; red block starts 18 cm behind the reference [TARGET START]; blue block and pink marker are distractors outside the commanded goal sector.</x:v>
      </x:c>
      <x:c r="O1594" s="31" t="str">
        <x:v>red block → in front of green pen</x:v>
      </x:c>
      <x:c r="P1594" s="31" t="str"/>
      <x:c r="Q1594" s="31" t="str"/>
      <x:c r="R1594" s="31" t="str"/>
      <x:c r="S1594" s="31" t="str">
        <x:f>IF('Blind Scoring'!I1594="","",'Blind Scoring'!I1594)</x:f>
      </x:c>
      <x:c r="T1594" s="31" t="str">
        <x:f>'Blind Scoring'!J1594</x:f>
        <x:v>No</x:v>
      </x:c>
      <x:c r="U1594" s="31" t="str">
        <x:f>IF('Blind Scoring'!L1594="","",'Blind Scoring'!L1594)</x:f>
      </x:c>
    </x:row>
    <x:row r="1595" ht="44" customHeight="1">
      <x:c r="A1595" s="35" t="str">
        <x:v>Not Started</x:v>
      </x:c>
      <x:c r="B1595" s="35" t="n">
        <x:v>1593</x:v>
      </x:c>
      <x:c r="C1595" s="35" t="str">
        <x:v>P26</x:v>
      </x:c>
      <x:c r="D1595" s="35" t="n">
        <x:v>44</x:v>
      </x:c>
      <x:c r="E1595" s="35" t="str">
        <x:v>Primary VLA</x:v>
      </x:c>
      <x:c r="F1595" s="35" t="str">
        <x:v>VLA-0</x:v>
      </x:c>
      <x:c r="G1595" s="35" t="n">
        <x:v>3</x:v>
      </x:c>
      <x:c r="H1595" s="35" t="str">
        <x:v>Relational Placement</x:v>
      </x:c>
      <x:c r="I1595" s="35" t="str">
        <x:v>Main matched control</x:v>
      </x:c>
      <x:c r="J1595" s="35" t="str">
        <x:v>PVLA-RP-CTL-16</x:v>
      </x:c>
      <x:c r="K1595" s="35" t="str">
        <x:v>R-CF30</x:v>
      </x:c>
      <x:c r="L1595" s="31" t="str">
        <x:v>Place the red block beside the green pen.</x:v>
      </x:c>
      <x:c r="M1595" s="31" t="str">
        <x:v>Place the red block beside the green pen.</x:v>
      </x:c>
      <x:c r="N1595" s="31" t="str">
        <x:v>R-CF30-CTRL: green pen at front-right [REFERENCE]; red block starts 24 cm to the left of the reference [TARGET START]; blue block and pink marker are distractors outside the commanded goal sector.</x:v>
      </x:c>
      <x:c r="O1595" s="31" t="str">
        <x:v>red block near green pen</x:v>
      </x:c>
      <x:c r="P1595" s="31" t="str"/>
      <x:c r="Q1595" s="31" t="str"/>
      <x:c r="R1595" s="31" t="str"/>
      <x:c r="S1595" s="31" t="str">
        <x:f>IF('Blind Scoring'!I1595="","",'Blind Scoring'!I1595)</x:f>
      </x:c>
      <x:c r="T1595" s="31" t="str">
        <x:f>'Blind Scoring'!J1595</x:f>
        <x:v>No</x:v>
      </x:c>
      <x:c r="U1595" s="31" t="str">
        <x:f>IF('Blind Scoring'!L1595="","",'Blind Scoring'!L1595)</x:f>
      </x:c>
    </x:row>
    <x:row r="1596" ht="44" customHeight="1">
      <x:c r="A1596" s="35" t="str">
        <x:v>Not Started</x:v>
      </x:c>
      <x:c r="B1596" s="35" t="n">
        <x:v>1594</x:v>
      </x:c>
      <x:c r="C1596" s="35" t="str">
        <x:v>P26</x:v>
      </x:c>
      <x:c r="D1596" s="35" t="n">
        <x:v>45</x:v>
      </x:c>
      <x:c r="E1596" s="35" t="str">
        <x:v>Primary VLA</x:v>
      </x:c>
      <x:c r="F1596" s="35" t="str">
        <x:v>VLA-0</x:v>
      </x:c>
      <x:c r="G1596" s="35" t="n">
        <x:v>3</x:v>
      </x:c>
      <x:c r="H1596" s="35" t="str">
        <x:v>Relational Placement</x:v>
      </x:c>
      <x:c r="I1596" s="35" t="str">
        <x:v>Main held-out transfer</x:v>
      </x:c>
      <x:c r="J1596" s="35" t="str">
        <x:v>PVLA-RP-TR-14</x:v>
      </x:c>
      <x:c r="K1596" s="35" t="str">
        <x:v>R-CF26</x:v>
      </x:c>
      <x:c r="L1596" s="31" t="str">
        <x:v>Place the red block behind the green pen.</x:v>
      </x:c>
      <x:c r="M1596" s="31" t="str">
        <x:v>Place the red block behind the green pen.</x:v>
      </x:c>
      <x:c r="N1596" s="31" t="str">
        <x:v>R-CF26-HELD: green pen at center [REFERENCE]; red block starts 21 cm in front of the reference [TARGET START]; blue block and pink marker are distractors outside the commanded goal sector.</x:v>
      </x:c>
      <x:c r="O1596" s="31" t="str">
        <x:v>red block → behind green pen</x:v>
      </x:c>
      <x:c r="P1596" s="31" t="str"/>
      <x:c r="Q1596" s="31" t="str"/>
      <x:c r="R1596" s="31" t="str"/>
      <x:c r="S1596" s="31" t="str">
        <x:f>IF('Blind Scoring'!I1596="","",'Blind Scoring'!I1596)</x:f>
      </x:c>
      <x:c r="T1596" s="31" t="str">
        <x:f>'Blind Scoring'!J1596</x:f>
        <x:v>No</x:v>
      </x:c>
      <x:c r="U1596" s="31" t="str">
        <x:f>IF('Blind Scoring'!L1596="","",'Blind Scoring'!L1596)</x:f>
      </x:c>
    </x:row>
    <x:row r="1597" ht="44" customHeight="1">
      <x:c r="A1597" s="35" t="str">
        <x:v>Not Started</x:v>
      </x:c>
      <x:c r="B1597" s="35" t="n">
        <x:v>1595</x:v>
      </x:c>
      <x:c r="C1597" s="35" t="str">
        <x:v>P26</x:v>
      </x:c>
      <x:c r="D1597" s="35" t="n">
        <x:v>46</x:v>
      </x:c>
      <x:c r="E1597" s="35" t="str">
        <x:v>Primary VLA</x:v>
      </x:c>
      <x:c r="F1597" s="35" t="str">
        <x:v>VLA-0</x:v>
      </x:c>
      <x:c r="G1597" s="35" t="n">
        <x:v>3</x:v>
      </x:c>
      <x:c r="H1597" s="35" t="str">
        <x:v>Relational Placement</x:v>
      </x:c>
      <x:c r="I1597" s="35" t="str">
        <x:v>Main held-out transfer</x:v>
      </x:c>
      <x:c r="J1597" s="35" t="str">
        <x:v>PVLA-RP-TR-16</x:v>
      </x:c>
      <x:c r="K1597" s="35" t="str">
        <x:v>R-CF30</x:v>
      </x:c>
      <x:c r="L1597" s="31" t="str">
        <x:v>Place the red block to the right of the green pen.</x:v>
      </x:c>
      <x:c r="M1597" s="31" t="str">
        <x:v>Place the red block to the right of the green pen.</x:v>
      </x:c>
      <x:c r="N1597" s="31" t="str">
        <x:v>R-CF30-HELD: green pen at front-right [REFERENCE]; red block starts 24 cm to the left of the reference [TARGET START]; blue block and pink marker are distractors outside the commanded goal sector.</x:v>
      </x:c>
      <x:c r="O1597" s="31" t="str">
        <x:v>red block → to the right of green pen</x:v>
      </x:c>
      <x:c r="P1597" s="31" t="str"/>
      <x:c r="Q1597" s="31" t="str"/>
      <x:c r="R1597" s="31" t="str"/>
      <x:c r="S1597" s="31" t="str">
        <x:f>IF('Blind Scoring'!I1597="","",'Blind Scoring'!I1597)</x:f>
      </x:c>
      <x:c r="T1597" s="31" t="str">
        <x:f>'Blind Scoring'!J1597</x:f>
        <x:v>No</x:v>
      </x:c>
      <x:c r="U1597" s="31" t="str">
        <x:f>IF('Blind Scoring'!L1597="","",'Blind Scoring'!L1597)</x:f>
      </x:c>
    </x:row>
    <x:row r="1598" ht="44" customHeight="1">
      <x:c r="A1598" s="35" t="str">
        <x:v>Not Started</x:v>
      </x:c>
      <x:c r="B1598" s="35" t="n">
        <x:v>1596</x:v>
      </x:c>
      <x:c r="C1598" s="35" t="str">
        <x:v>P26</x:v>
      </x:c>
      <x:c r="D1598" s="35" t="n">
        <x:v>47</x:v>
      </x:c>
      <x:c r="E1598" s="35" t="str">
        <x:v>Primary VLA</x:v>
      </x:c>
      <x:c r="F1598" s="35" t="str">
        <x:v>VLA-0</x:v>
      </x:c>
      <x:c r="G1598" s="35" t="n">
        <x:v>3</x:v>
      </x:c>
      <x:c r="H1598" s="35" t="str">
        <x:v>Relational Placement</x:v>
      </x:c>
      <x:c r="I1598" s="35" t="str">
        <x:v>Main held-out transfer</x:v>
      </x:c>
      <x:c r="J1598" s="35" t="str">
        <x:v>PVLA-RP-TR-11</x:v>
      </x:c>
      <x:c r="K1598" s="35" t="str">
        <x:v>R-CF20</x:v>
      </x:c>
      <x:c r="L1598" s="31" t="str">
        <x:v>Place the red block in front of the green pen.</x:v>
      </x:c>
      <x:c r="M1598" s="31" t="str">
        <x:v>Place the red block in front of the green pen.</x:v>
      </x:c>
      <x:c r="N1598" s="31" t="str">
        <x:v>R-CF20-HELD: green pen at front-right [REFERENCE]; red block starts 21 cm behind the reference [TARGET START]; blue block and pink marker are distractors outside the commanded goal sector.</x:v>
      </x:c>
      <x:c r="O1598" s="31" t="str">
        <x:v>red block → in front of green pen</x:v>
      </x:c>
      <x:c r="P1598" s="31" t="str"/>
      <x:c r="Q1598" s="31" t="str"/>
      <x:c r="R1598" s="31" t="str"/>
      <x:c r="S1598" s="31" t="str">
        <x:f>IF('Blind Scoring'!I1598="","",'Blind Scoring'!I1598)</x:f>
      </x:c>
      <x:c r="T1598" s="31" t="str">
        <x:f>'Blind Scoring'!J1598</x:f>
        <x:v>No</x:v>
      </x:c>
      <x:c r="U1598" s="31" t="str">
        <x:f>IF('Blind Scoring'!L1598="","",'Blind Scoring'!L1598)</x:f>
      </x:c>
    </x:row>
    <x:row r="1599" ht="44" customHeight="1">
      <x:c r="A1599" s="35" t="str">
        <x:v>Not Started</x:v>
      </x:c>
      <x:c r="B1599" s="35" t="n">
        <x:v>1597</x:v>
      </x:c>
      <x:c r="C1599" s="35" t="str">
        <x:v>P26</x:v>
      </x:c>
      <x:c r="D1599" s="35" t="n">
        <x:v>48</x:v>
      </x:c>
      <x:c r="E1599" s="35" t="str">
        <x:v>Primary VLA</x:v>
      </x:c>
      <x:c r="F1599" s="35" t="str">
        <x:v>VLA-0</x:v>
      </x:c>
      <x:c r="G1599" s="35" t="n">
        <x:v>3</x:v>
      </x:c>
      <x:c r="H1599" s="35" t="str">
        <x:v>Relational Placement</x:v>
      </x:c>
      <x:c r="I1599" s="35" t="str">
        <x:v>Exact-scene paraphrase</x:v>
      </x:c>
      <x:c r="J1599" s="35" t="str">
        <x:v>PVLA-RP-PAR-02</x:v>
      </x:c>
      <x:c r="K1599" s="35" t="str"/>
      <x:c r="L1599" s="31" t="str">
        <x:v>Move the red block to the side of the pink marker facing the robot.</x:v>
      </x:c>
      <x:c r="M1599" s="31" t="str">
        <x:v>Move the red block to the side of the pink marker facing the robot.</x:v>
      </x:c>
      <x:c r="N1599" s="31" t="str">
        <x:v>R-P01: pink marker at center [REFERENCE]; red block starts 21 cm behind the reference [TARGET START]; remaining objects are distractors with ≥12 cm clearance from the target path and commanded goal sector.</x:v>
      </x:c>
      <x:c r="O1599" s="31" t="str">
        <x:v>red block</x:v>
      </x:c>
      <x:c r="P1599" s="31" t="str"/>
      <x:c r="Q1599" s="31" t="str"/>
      <x:c r="R1599" s="31" t="str"/>
      <x:c r="S1599" s="31" t="str">
        <x:f>IF('Blind Scoring'!I1599="","",'Blind Scoring'!I1599)</x:f>
      </x:c>
      <x:c r="T1599" s="31" t="str">
        <x:f>'Blind Scoring'!J1599</x:f>
        <x:v>No</x:v>
      </x:c>
      <x:c r="U1599" s="31" t="str">
        <x:f>IF('Blind Scoring'!L1599="","",'Blind Scoring'!L1599)</x:f>
      </x:c>
    </x:row>
    <x:row r="1600" ht="44" customHeight="1">
      <x:c r="A1600" s="35" t="str">
        <x:v>Not Started</x:v>
      </x:c>
      <x:c r="B1600" s="35" t="n">
        <x:v>1598</x:v>
      </x:c>
      <x:c r="C1600" s="35" t="str">
        <x:v>P26</x:v>
      </x:c>
      <x:c r="D1600" s="35" t="n">
        <x:v>49</x:v>
      </x:c>
      <x:c r="E1600" s="35" t="str">
        <x:v>Primary VLA</x:v>
      </x:c>
      <x:c r="F1600" s="35" t="str">
        <x:v>VLA-0</x:v>
      </x:c>
      <x:c r="G1600" s="35" t="n">
        <x:v>3</x:v>
      </x:c>
      <x:c r="H1600" s="35" t="str">
        <x:v>Relational Placement</x:v>
      </x:c>
      <x:c r="I1600" s="35" t="str">
        <x:v>Main held-out transfer</x:v>
      </x:c>
      <x:c r="J1600" s="35" t="str">
        <x:v>PVLA-RP-TR-07</x:v>
      </x:c>
      <x:c r="K1600" s="35" t="str">
        <x:v>R-CF13</x:v>
      </x:c>
      <x:c r="L1600" s="31" t="str">
        <x:v>Place the green pen to the left of the red block.</x:v>
      </x:c>
      <x:c r="M1600" s="31" t="str">
        <x:v>Place the green pen to the left of the red block.</x:v>
      </x:c>
      <x:c r="N1600" s="31" t="str">
        <x:v>R-CF13-HELD: red block at back-right [REFERENCE]; green pen starts 18 cm to the right of the reference [TARGET START]; pink marker and blue block are distractors outside the commanded goal sector.</x:v>
      </x:c>
      <x:c r="O1600" s="31" t="str">
        <x:v>green pen → to the left of red block</x:v>
      </x:c>
      <x:c r="P1600" s="31" t="str"/>
      <x:c r="Q1600" s="31" t="str"/>
      <x:c r="R1600" s="31" t="str"/>
      <x:c r="S1600" s="31" t="str">
        <x:f>IF('Blind Scoring'!I1600="","",'Blind Scoring'!I1600)</x:f>
      </x:c>
      <x:c r="T1600" s="31" t="str">
        <x:f>'Blind Scoring'!J1600</x:f>
        <x:v>No</x:v>
      </x:c>
      <x:c r="U1600" s="31" t="str">
        <x:f>IF('Blind Scoring'!L1600="","",'Blind Scoring'!L1600)</x:f>
      </x:c>
    </x:row>
    <x:row r="1601" ht="44" customHeight="1">
      <x:c r="A1601" s="35" t="str">
        <x:v>Not Started</x:v>
      </x:c>
      <x:c r="B1601" s="35" t="n">
        <x:v>1599</x:v>
      </x:c>
      <x:c r="C1601" s="35" t="str">
        <x:v>P26</x:v>
      </x:c>
      <x:c r="D1601" s="35" t="n">
        <x:v>50</x:v>
      </x:c>
      <x:c r="E1601" s="35" t="str">
        <x:v>Primary VLA</x:v>
      </x:c>
      <x:c r="F1601" s="35" t="str">
        <x:v>VLA-0</x:v>
      </x:c>
      <x:c r="G1601" s="35" t="n">
        <x:v>3</x:v>
      </x:c>
      <x:c r="H1601" s="35" t="str">
        <x:v>Relational Placement</x:v>
      </x:c>
      <x:c r="I1601" s="35" t="str">
        <x:v>Exact-scene paraphrase</x:v>
      </x:c>
      <x:c r="J1601" s="35" t="str">
        <x:v>PVLA-RP-PAR-05</x:v>
      </x:c>
      <x:c r="K1601" s="35" t="str"/>
      <x:c r="L1601" s="31" t="str">
        <x:v>Move the red block to the side of the pink marker facing the robot.</x:v>
      </x:c>
      <x:c r="M1601" s="31" t="str">
        <x:v>Move the red block to the side of the pink marker facing the robot.</x:v>
      </x:c>
      <x:c r="N1601" s="31" t="str">
        <x:v>R-P01: pink marker at center [REFERENCE]; red block starts 21 cm behind the reference [TARGET START]; remaining objects are distractors with ≥12 cm clearance from the target path and commanded goal sector.</x:v>
      </x:c>
      <x:c r="O1601" s="31" t="str">
        <x:v>red block</x:v>
      </x:c>
      <x:c r="P1601" s="31" t="str"/>
      <x:c r="Q1601" s="31" t="str"/>
      <x:c r="R1601" s="31" t="str"/>
      <x:c r="S1601" s="31" t="str">
        <x:f>IF('Blind Scoring'!I1601="","",'Blind Scoring'!I1601)</x:f>
      </x:c>
      <x:c r="T1601" s="31" t="str">
        <x:f>'Blind Scoring'!J1601</x:f>
        <x:v>No</x:v>
      </x:c>
      <x:c r="U1601" s="31" t="str">
        <x:f>IF('Blind Scoring'!L1601="","",'Blind Scoring'!L1601)</x:f>
      </x:c>
    </x:row>
    <x:row r="1602" ht="44" customHeight="1">
      <x:c r="A1602" s="35" t="str">
        <x:v>Not Started</x:v>
      </x:c>
      <x:c r="B1602" s="35" t="n">
        <x:v>1600</x:v>
      </x:c>
      <x:c r="C1602" s="35" t="str">
        <x:v>P26</x:v>
      </x:c>
      <x:c r="D1602" s="35" t="n">
        <x:v>51</x:v>
      </x:c>
      <x:c r="E1602" s="35" t="str">
        <x:v>Primary VLA</x:v>
      </x:c>
      <x:c r="F1602" s="35" t="str">
        <x:v>VLA-0</x:v>
      </x:c>
      <x:c r="G1602" s="35" t="n">
        <x:v>3</x:v>
      </x:c>
      <x:c r="H1602" s="35" t="str">
        <x:v>Relational Placement</x:v>
      </x:c>
      <x:c r="I1602" s="35" t="str">
        <x:v>Exact-scene paraphrase</x:v>
      </x:c>
      <x:c r="J1602" s="35" t="str">
        <x:v>PVLA-RP-PAR-03</x:v>
      </x:c>
      <x:c r="K1602" s="35" t="str"/>
      <x:c r="L1602" s="31" t="str">
        <x:v>Move the red block to the side of the pink marker facing the robot.</x:v>
      </x:c>
      <x:c r="M1602" s="31" t="str">
        <x:v>Move the red block to the side of the pink marker facing the robot.</x:v>
      </x:c>
      <x:c r="N1602" s="31" t="str">
        <x:v>R-P01: pink marker at center [REFERENCE]; red block starts 21 cm behind the reference [TARGET START]; remaining objects are distractors with ≥12 cm clearance from the target path and commanded goal sector.</x:v>
      </x:c>
      <x:c r="O1602" s="31" t="str">
        <x:v>red block</x:v>
      </x:c>
      <x:c r="P1602" s="31" t="str"/>
      <x:c r="Q1602" s="31" t="str"/>
      <x:c r="R1602" s="31" t="str"/>
      <x:c r="S1602" s="31" t="str">
        <x:f>IF('Blind Scoring'!I1602="","",'Blind Scoring'!I1602)</x:f>
      </x:c>
      <x:c r="T1602" s="31" t="str">
        <x:f>'Blind Scoring'!J1602</x:f>
        <x:v>No</x:v>
      </x:c>
      <x:c r="U1602" s="31" t="str">
        <x:f>IF('Blind Scoring'!L1602="","",'Blind Scoring'!L1602)</x:f>
      </x:c>
    </x:row>
    <x:row r="1603" ht="44" customHeight="1">
      <x:c r="A1603" s="35" t="str">
        <x:v>Not Started</x:v>
      </x:c>
      <x:c r="B1603" s="35" t="n">
        <x:v>1601</x:v>
      </x:c>
      <x:c r="C1603" s="35" t="str">
        <x:v>P26</x:v>
      </x:c>
      <x:c r="D1603" s="35" t="n">
        <x:v>52</x:v>
      </x:c>
      <x:c r="E1603" s="35" t="str">
        <x:v>Primary VLA</x:v>
      </x:c>
      <x:c r="F1603" s="35" t="str">
        <x:v>VLA-0</x:v>
      </x:c>
      <x:c r="G1603" s="35" t="n">
        <x:v>3</x:v>
      </x:c>
      <x:c r="H1603" s="35" t="str">
        <x:v>Relational Placement</x:v>
      </x:c>
      <x:c r="I1603" s="35" t="str">
        <x:v>Main held-out transfer</x:v>
      </x:c>
      <x:c r="J1603" s="35" t="str">
        <x:v>PVLA-RP-TR-01</x:v>
      </x:c>
      <x:c r="K1603" s="35" t="str">
        <x:v>R-CF01</x:v>
      </x:c>
      <x:c r="L1603" s="31" t="str">
        <x:v>Place the green pen in front of the red block.</x:v>
      </x:c>
      <x:c r="M1603" s="31" t="str">
        <x:v>Place the green pen in front of the red block.</x:v>
      </x:c>
      <x:c r="N1603" s="31" t="str">
        <x:v>R-CF01-HELD: red block at center [REFERENCE]; green pen starts 18 cm behind the reference [TARGET START]; pink marker and blue block are distractors outside the commanded goal sector.</x:v>
      </x:c>
      <x:c r="O1603" s="31" t="str">
        <x:v>green pen → in front of red block</x:v>
      </x:c>
      <x:c r="P1603" s="31" t="str"/>
      <x:c r="Q1603" s="31" t="str"/>
      <x:c r="R1603" s="31" t="str"/>
      <x:c r="S1603" s="31" t="str">
        <x:f>IF('Blind Scoring'!I1603="","",'Blind Scoring'!I1603)</x:f>
      </x:c>
      <x:c r="T1603" s="31" t="str">
        <x:f>'Blind Scoring'!J1603</x:f>
        <x:v>No</x:v>
      </x:c>
      <x:c r="U1603" s="31" t="str">
        <x:f>IF('Blind Scoring'!L1603="","",'Blind Scoring'!L1603)</x:f>
      </x:c>
    </x:row>
    <x:row r="1604" ht="44" customHeight="1">
      <x:c r="A1604" s="35" t="str">
        <x:v>Not Started</x:v>
      </x:c>
      <x:c r="B1604" s="35" t="n">
        <x:v>1602</x:v>
      </x:c>
      <x:c r="C1604" s="35" t="str">
        <x:v>P26</x:v>
      </x:c>
      <x:c r="D1604" s="35" t="n">
        <x:v>53</x:v>
      </x:c>
      <x:c r="E1604" s="35" t="str">
        <x:v>Primary VLA</x:v>
      </x:c>
      <x:c r="F1604" s="35" t="str">
        <x:v>VLA-0</x:v>
      </x:c>
      <x:c r="G1604" s="35" t="n">
        <x:v>3</x:v>
      </x:c>
      <x:c r="H1604" s="35" t="str">
        <x:v>Relational Placement</x:v>
      </x:c>
      <x:c r="I1604" s="35" t="str">
        <x:v>Main held-out transfer</x:v>
      </x:c>
      <x:c r="J1604" s="35" t="str">
        <x:v>PVLA-RP-TR-03</x:v>
      </x:c>
      <x:c r="K1604" s="35" t="str">
        <x:v>R-CF05</x:v>
      </x:c>
      <x:c r="L1604" s="31" t="str">
        <x:v>Place the green pen to the left of the red block.</x:v>
      </x:c>
      <x:c r="M1604" s="31" t="str">
        <x:v>Place the green pen to the left of the red block.</x:v>
      </x:c>
      <x:c r="N1604" s="31" t="str">
        <x:v>R-CF05-HELD: red block at front-right [REFERENCE]; green pen starts 21 cm to the right of the reference [TARGET START]; pink marker and blue block are distractors outside the commanded goal sector.</x:v>
      </x:c>
      <x:c r="O1604" s="31" t="str">
        <x:v>green pen → to the left of red block</x:v>
      </x:c>
      <x:c r="P1604" s="31" t="str"/>
      <x:c r="Q1604" s="31" t="str"/>
      <x:c r="R1604" s="31" t="str"/>
      <x:c r="S1604" s="31" t="str">
        <x:f>IF('Blind Scoring'!I1604="","",'Blind Scoring'!I1604)</x:f>
      </x:c>
      <x:c r="T1604" s="31" t="str">
        <x:f>'Blind Scoring'!J1604</x:f>
        <x:v>No</x:v>
      </x:c>
      <x:c r="U1604" s="31" t="str">
        <x:f>IF('Blind Scoring'!L1604="","",'Blind Scoring'!L1604)</x:f>
      </x:c>
    </x:row>
    <x:row r="1605" ht="44" customHeight="1">
      <x:c r="A1605" s="35" t="str">
        <x:v>Not Started</x:v>
      </x:c>
      <x:c r="B1605" s="35" t="n">
        <x:v>1603</x:v>
      </x:c>
      <x:c r="C1605" s="35" t="str">
        <x:v>P26</x:v>
      </x:c>
      <x:c r="D1605" s="35" t="n">
        <x:v>54</x:v>
      </x:c>
      <x:c r="E1605" s="35" t="str">
        <x:v>Primary VLA</x:v>
      </x:c>
      <x:c r="F1605" s="35" t="str">
        <x:v>VLA-0</x:v>
      </x:c>
      <x:c r="G1605" s="35" t="n">
        <x:v>3</x:v>
      </x:c>
      <x:c r="H1605" s="35" t="str">
        <x:v>Relational Placement</x:v>
      </x:c>
      <x:c r="I1605" s="35" t="str">
        <x:v>Training reconstruction</x:v>
      </x:c>
      <x:c r="J1605" s="35" t="str">
        <x:v>PVLA-RP-REC-04</x:v>
      </x:c>
      <x:c r="K1605" s="35" t="str"/>
      <x:c r="L1605" s="31" t="str">
        <x:v>Place the green pen behind the pink marker.</x:v>
      </x:c>
      <x:c r="M1605" s="31" t="str">
        <x:v>Place the green pen behind the pink marker.</x:v>
      </x:c>
      <x:c r="N1605" s="31" t="str">
        <x:v>Reconstruct planned final training episode 219: green pen, red block, pink marker, blue block; start=Home. Match camera, calibration, bowl pose, and object geometry exactly.</x:v>
      </x:c>
      <x:c r="O1605" s="31" t="str">
        <x:v>green pen</x:v>
      </x:c>
      <x:c r="P1605" s="31" t="str"/>
      <x:c r="Q1605" s="31" t="str"/>
      <x:c r="R1605" s="31" t="str"/>
      <x:c r="S1605" s="31" t="str">
        <x:f>IF('Blind Scoring'!I1605="","",'Blind Scoring'!I1605)</x:f>
      </x:c>
      <x:c r="T1605" s="31" t="str">
        <x:f>'Blind Scoring'!J1605</x:f>
        <x:v>No</x:v>
      </x:c>
      <x:c r="U1605" s="31" t="str">
        <x:f>IF('Blind Scoring'!L1605="","",'Blind Scoring'!L1605)</x:f>
      </x:c>
    </x:row>
    <x:row r="1606" ht="44" customHeight="1">
      <x:c r="A1606" s="35" t="str">
        <x:v>Not Started</x:v>
      </x:c>
      <x:c r="B1606" s="35" t="n">
        <x:v>1604</x:v>
      </x:c>
      <x:c r="C1606" s="35" t="str">
        <x:v>P26</x:v>
      </x:c>
      <x:c r="D1606" s="35" t="n">
        <x:v>55</x:v>
      </x:c>
      <x:c r="E1606" s="35" t="str">
        <x:v>Primary VLA</x:v>
      </x:c>
      <x:c r="F1606" s="35" t="str">
        <x:v>VLA-0</x:v>
      </x:c>
      <x:c r="G1606" s="35" t="n">
        <x:v>3</x:v>
      </x:c>
      <x:c r="H1606" s="35" t="str">
        <x:v>Relational Placement</x:v>
      </x:c>
      <x:c r="I1606" s="35" t="str">
        <x:v>Language ablation — counterfactual</x:v>
      </x:c>
      <x:c r="J1606" s="35" t="str">
        <x:v>PVLA-RP-ABL-CF-03</x:v>
      </x:c>
      <x:c r="K1606" s="35" t="str">
        <x:v>R-CF13</x:v>
      </x:c>
      <x:c r="L1606" s="31" t="str">
        <x:v>Place the green pen to the right of the red block.</x:v>
      </x:c>
      <x:c r="M1606" s="31" t="str">
        <x:v>Place the green pen to the right of the red block.</x:v>
      </x:c>
      <x:c r="N1606" s="31" t="str">
        <x:v>R-CF13-HELD: red block at back-right [REFERENCE]; green pen starts 18 cm to the right of the reference [TARGET START]; pink marker and blue block are distractors outside the commanded goal sector.</x:v>
      </x:c>
      <x:c r="O1606" s="31" t="str">
        <x:v>green pen → to the right of red block</x:v>
      </x:c>
      <x:c r="P1606" s="31" t="str"/>
      <x:c r="Q1606" s="31" t="str"/>
      <x:c r="R1606" s="31" t="str"/>
      <x:c r="S1606" s="31" t="str">
        <x:f>IF('Blind Scoring'!I1606="","",'Blind Scoring'!I1606)</x:f>
      </x:c>
      <x:c r="T1606" s="31" t="str">
        <x:f>'Blind Scoring'!J1606</x:f>
        <x:v>No</x:v>
      </x:c>
      <x:c r="U1606" s="31" t="str">
        <x:f>IF('Blind Scoring'!L1606="","",'Blind Scoring'!L1606)</x:f>
      </x:c>
    </x:row>
    <x:row r="1607" ht="44" customHeight="1">
      <x:c r="A1607" s="35" t="str">
        <x:v>Not Started</x:v>
      </x:c>
      <x:c r="B1607" s="35" t="n">
        <x:v>1605</x:v>
      </x:c>
      <x:c r="C1607" s="35" t="str">
        <x:v>P26</x:v>
      </x:c>
      <x:c r="D1607" s="35" t="n">
        <x:v>56</x:v>
      </x:c>
      <x:c r="E1607" s="35" t="str">
        <x:v>Primary VLA</x:v>
      </x:c>
      <x:c r="F1607" s="35" t="str">
        <x:v>VLA-0</x:v>
      </x:c>
      <x:c r="G1607" s="35" t="n">
        <x:v>3</x:v>
      </x:c>
      <x:c r="H1607" s="35" t="str">
        <x:v>Relational Placement</x:v>
      </x:c>
      <x:c r="I1607" s="35" t="str">
        <x:v>Novel layout + seen language</x:v>
      </x:c>
      <x:c r="J1607" s="35" t="str">
        <x:v>PVLA-RP-NOV-05</x:v>
      </x:c>
      <x:c r="K1607" s="35" t="str"/>
      <x:c r="L1607" s="31" t="str">
        <x:v>Place the pink marker to the right of the blue block.</x:v>
      </x:c>
      <x:c r="M1607" s="31" t="str">
        <x:v>Place the pink marker to the right of the blue block.</x:v>
      </x:c>
      <x:c r="N1607" s="31" t="str">
        <x:v>R-S12: blue block at front-left [REFERENCE]; pink marker starts 21 cm to the left of the reference [TARGET START]; remaining objects are distractors with ≥12 cm clearance from the target path and commanded goal sector.</x:v>
      </x:c>
      <x:c r="O1607" s="31" t="str">
        <x:v>pink marker</x:v>
      </x:c>
      <x:c r="P1607" s="31" t="str"/>
      <x:c r="Q1607" s="31" t="str"/>
      <x:c r="R1607" s="31" t="str"/>
      <x:c r="S1607" s="31" t="str">
        <x:f>IF('Blind Scoring'!I1607="","",'Blind Scoring'!I1607)</x:f>
      </x:c>
      <x:c r="T1607" s="31" t="str">
        <x:f>'Blind Scoring'!J1607</x:f>
        <x:v>No</x:v>
      </x:c>
      <x:c r="U1607" s="31" t="str">
        <x:f>IF('Blind Scoring'!L1607="","",'Blind Scoring'!L1607)</x:f>
      </x:c>
    </x:row>
    <x:row r="1608" ht="44" customHeight="1">
      <x:c r="A1608" s="35" t="str">
        <x:v>Not Started</x:v>
      </x:c>
      <x:c r="B1608" s="35" t="n">
        <x:v>1606</x:v>
      </x:c>
      <x:c r="C1608" s="35" t="str">
        <x:v>P26</x:v>
      </x:c>
      <x:c r="D1608" s="35" t="n">
        <x:v>57</x:v>
      </x:c>
      <x:c r="E1608" s="35" t="str">
        <x:v>Primary VLA</x:v>
      </x:c>
      <x:c r="F1608" s="35" t="str">
        <x:v>VLA-0</x:v>
      </x:c>
      <x:c r="G1608" s="35" t="n">
        <x:v>3</x:v>
      </x:c>
      <x:c r="H1608" s="35" t="str">
        <x:v>Relational Placement</x:v>
      </x:c>
      <x:c r="I1608" s="35" t="str">
        <x:v>Main held-out transfer</x:v>
      </x:c>
      <x:c r="J1608" s="35" t="str">
        <x:v>PVLA-RP-TR-06</x:v>
      </x:c>
      <x:c r="K1608" s="35" t="str">
        <x:v>R-CF11</x:v>
      </x:c>
      <x:c r="L1608" s="31" t="str">
        <x:v>Place the green pen to the right of the red block.</x:v>
      </x:c>
      <x:c r="M1608" s="31" t="str">
        <x:v>Place the green pen to the right of the red block.</x:v>
      </x:c>
      <x:c r="N1608" s="31" t="str">
        <x:v>R-CF11-HELD: red block at center [REFERENCE]; green pen starts 21 cm to the left of the reference [TARGET START]; pink marker and blue block are distractors outside the commanded goal sector.</x:v>
      </x:c>
      <x:c r="O1608" s="31" t="str">
        <x:v>green pen → to the right of red block</x:v>
      </x:c>
      <x:c r="P1608" s="31" t="str"/>
      <x:c r="Q1608" s="31" t="str"/>
      <x:c r="R1608" s="31" t="str"/>
      <x:c r="S1608" s="31" t="str">
        <x:f>IF('Blind Scoring'!I1608="","",'Blind Scoring'!I1608)</x:f>
      </x:c>
      <x:c r="T1608" s="31" t="str">
        <x:f>'Blind Scoring'!J1608</x:f>
        <x:v>No</x:v>
      </x:c>
      <x:c r="U1608" s="31" t="str">
        <x:f>IF('Blind Scoring'!L1608="","",'Blind Scoring'!L1608)</x:f>
      </x:c>
    </x:row>
    <x:row r="1609" ht="44" customHeight="1">
      <x:c r="A1609" s="35" t="str">
        <x:v>Not Started</x:v>
      </x:c>
      <x:c r="B1609" s="35" t="n">
        <x:v>1607</x:v>
      </x:c>
      <x:c r="C1609" s="35" t="str">
        <x:v>P26</x:v>
      </x:c>
      <x:c r="D1609" s="35" t="n">
        <x:v>58</x:v>
      </x:c>
      <x:c r="E1609" s="35" t="str">
        <x:v>Primary VLA</x:v>
      </x:c>
      <x:c r="F1609" s="35" t="str">
        <x:v>VLA-0</x:v>
      </x:c>
      <x:c r="G1609" s="35" t="n">
        <x:v>3</x:v>
      </x:c>
      <x:c r="H1609" s="35" t="str">
        <x:v>Relational Placement</x:v>
      </x:c>
      <x:c r="I1609" s="35" t="str">
        <x:v>Main matched control</x:v>
      </x:c>
      <x:c r="J1609" s="35" t="str">
        <x:v>PVLA-RP-CTL-11</x:v>
      </x:c>
      <x:c r="K1609" s="35" t="str">
        <x:v>R-CF20</x:v>
      </x:c>
      <x:c r="L1609" s="31" t="str">
        <x:v>Place the red block next to the green pen.</x:v>
      </x:c>
      <x:c r="M1609" s="31" t="str">
        <x:v>Place the red block next to the green pen.</x:v>
      </x:c>
      <x:c r="N1609" s="31" t="str">
        <x:v>R-CF20-CTRL: green pen at front-right [REFERENCE]; red block starts 21 cm behind the reference [TARGET START]; blue block and pink marker are distractors outside the commanded goal sector.</x:v>
      </x:c>
      <x:c r="O1609" s="31" t="str">
        <x:v>red block near green pen</x:v>
      </x:c>
      <x:c r="P1609" s="31" t="str"/>
      <x:c r="Q1609" s="31" t="str"/>
      <x:c r="R1609" s="31" t="str"/>
      <x:c r="S1609" s="31" t="str">
        <x:f>IF('Blind Scoring'!I1609="","",'Blind Scoring'!I1609)</x:f>
      </x:c>
      <x:c r="T1609" s="31" t="str">
        <x:f>'Blind Scoring'!J1609</x:f>
        <x:v>No</x:v>
      </x:c>
      <x:c r="U1609" s="31" t="str">
        <x:f>IF('Blind Scoring'!L1609="","",'Blind Scoring'!L1609)</x:f>
      </x:c>
    </x:row>
    <x:row r="1610" ht="44" customHeight="1">
      <x:c r="A1610" s="35" t="str">
        <x:v>Not Started</x:v>
      </x:c>
      <x:c r="B1610" s="35" t="n">
        <x:v>1608</x:v>
      </x:c>
      <x:c r="C1610" s="35" t="str">
        <x:v>P26</x:v>
      </x:c>
      <x:c r="D1610" s="35" t="n">
        <x:v>59</x:v>
      </x:c>
      <x:c r="E1610" s="35" t="str">
        <x:v>Primary VLA</x:v>
      </x:c>
      <x:c r="F1610" s="35" t="str">
        <x:v>VLA-0</x:v>
      </x:c>
      <x:c r="G1610" s="35" t="n">
        <x:v>3</x:v>
      </x:c>
      <x:c r="H1610" s="35" t="str">
        <x:v>Relational Placement</x:v>
      </x:c>
      <x:c r="I1610" s="35" t="str">
        <x:v>Exact-scene paraphrase</x:v>
      </x:c>
      <x:c r="J1610" s="35" t="str">
        <x:v>PVLA-RP-PAR-04</x:v>
      </x:c>
      <x:c r="K1610" s="35" t="str"/>
      <x:c r="L1610" s="31" t="str">
        <x:v>Move the red block to the side of the pink marker facing the robot.</x:v>
      </x:c>
      <x:c r="M1610" s="31" t="str">
        <x:v>Move the red block to the side of the pink marker facing the robot.</x:v>
      </x:c>
      <x:c r="N1610" s="31" t="str">
        <x:v>R-P01: pink marker at center [REFERENCE]; red block starts 21 cm behind the reference [TARGET START]; remaining objects are distractors with ≥12 cm clearance from the target path and commanded goal sector.</x:v>
      </x:c>
      <x:c r="O1610" s="31" t="str">
        <x:v>red block</x:v>
      </x:c>
      <x:c r="P1610" s="31" t="str"/>
      <x:c r="Q1610" s="31" t="str"/>
      <x:c r="R1610" s="31" t="str"/>
      <x:c r="S1610" s="31" t="str">
        <x:f>IF('Blind Scoring'!I1610="","",'Blind Scoring'!I1610)</x:f>
      </x:c>
      <x:c r="T1610" s="31" t="str">
        <x:f>'Blind Scoring'!J1610</x:f>
        <x:v>No</x:v>
      </x:c>
      <x:c r="U1610" s="31" t="str">
        <x:f>IF('Blind Scoring'!L1610="","",'Blind Scoring'!L1610)</x:f>
      </x:c>
    </x:row>
    <x:row r="1611" ht="44" customHeight="1">
      <x:c r="A1611" s="35" t="str">
        <x:v>Not Started</x:v>
      </x:c>
      <x:c r="B1611" s="35" t="n">
        <x:v>1609</x:v>
      </x:c>
      <x:c r="C1611" s="35" t="str">
        <x:v>P26</x:v>
      </x:c>
      <x:c r="D1611" s="35" t="n">
        <x:v>60</x:v>
      </x:c>
      <x:c r="E1611" s="35" t="str">
        <x:v>Primary VLA</x:v>
      </x:c>
      <x:c r="F1611" s="35" t="str">
        <x:v>VLA-0</x:v>
      </x:c>
      <x:c r="G1611" s="35" t="n">
        <x:v>3</x:v>
      </x:c>
      <x:c r="H1611" s="35" t="str">
        <x:v>Relational Placement</x:v>
      </x:c>
      <x:c r="I1611" s="35" t="str">
        <x:v>Main matched control</x:v>
      </x:c>
      <x:c r="J1611" s="35" t="str">
        <x:v>PVLA-RP-CTL-03</x:v>
      </x:c>
      <x:c r="K1611" s="35" t="str">
        <x:v>R-CF05</x:v>
      </x:c>
      <x:c r="L1611" s="31" t="str">
        <x:v>Place the green pen next to the red block.</x:v>
      </x:c>
      <x:c r="M1611" s="31" t="str">
        <x:v>Place the green pen next to the red block.</x:v>
      </x:c>
      <x:c r="N1611" s="31" t="str">
        <x:v>R-CF05-CTRL: red block at front-right [REFERENCE]; green pen starts 21 cm to the right of the reference [TARGET START]; pink marker and blue block are distractors outside the commanded goal sector.</x:v>
      </x:c>
      <x:c r="O1611" s="31" t="str">
        <x:v>green pen near red block</x:v>
      </x:c>
      <x:c r="P1611" s="31" t="str"/>
      <x:c r="Q1611" s="31" t="str"/>
      <x:c r="R1611" s="31" t="str"/>
      <x:c r="S1611" s="31" t="str">
        <x:f>IF('Blind Scoring'!I1611="","",'Blind Scoring'!I1611)</x:f>
      </x:c>
      <x:c r="T1611" s="31" t="str">
        <x:f>'Blind Scoring'!J1611</x:f>
        <x:v>No</x:v>
      </x:c>
      <x:c r="U1611" s="31" t="str">
        <x:f>IF('Blind Scoring'!L1611="","",'Blind Scoring'!L1611)</x:f>
      </x:c>
    </x:row>
    <x:row r="1612" ht="44" customHeight="1">
      <x:c r="A1612" s="35" t="str">
        <x:v>Not Started</x:v>
      </x:c>
      <x:c r="B1612" s="35" t="n">
        <x:v>1610</x:v>
      </x:c>
      <x:c r="C1612" s="35" t="str">
        <x:v>P26</x:v>
      </x:c>
      <x:c r="D1612" s="35" t="n">
        <x:v>61</x:v>
      </x:c>
      <x:c r="E1612" s="35" t="str">
        <x:v>Primary VLA</x:v>
      </x:c>
      <x:c r="F1612" s="35" t="str">
        <x:v>VLA-0</x:v>
      </x:c>
      <x:c r="G1612" s="35" t="n">
        <x:v>3</x:v>
      </x:c>
      <x:c r="H1612" s="35" t="str">
        <x:v>Relational Placement</x:v>
      </x:c>
      <x:c r="I1612" s="35" t="str">
        <x:v>Language ablation — blank</x:v>
      </x:c>
      <x:c r="J1612" s="35" t="str">
        <x:v>PVLA-RP-ABL-BLK-02</x:v>
      </x:c>
      <x:c r="K1612" s="35" t="str">
        <x:v>R-CF03</x:v>
      </x:c>
      <x:c r="L1612" s="31" t="str">
        <x:v>[EMPTY STRING — provide no instruction tokens]</x:v>
      </x:c>
      <x:c r="M1612" s="31" t="str">
        <x:v>Place the green pen to the right of the red block.</x:v>
      </x:c>
      <x:c r="N1612" s="31" t="str">
        <x:v>R-CF03-HELD: red block at back-right [REFERENCE]; green pen starts 24 cm to the left of the reference [TARGET START]; pink marker and blue block are distractors outside the commanded goal sector.</x:v>
      </x:c>
      <x:c r="O1612" s="31" t="str">
        <x:v>No prespecified task success under blank language; record any action/selected target.</x:v>
      </x:c>
      <x:c r="P1612" s="31" t="str"/>
      <x:c r="Q1612" s="31" t="str"/>
      <x:c r="R1612" s="31" t="str"/>
      <x:c r="S1612" s="31" t="str">
        <x:f>IF('Blind Scoring'!I1612="","",'Blind Scoring'!I1612)</x:f>
      </x:c>
      <x:c r="T1612" s="31" t="str">
        <x:f>'Blind Scoring'!J1612</x:f>
        <x:v>No</x:v>
      </x:c>
      <x:c r="U1612" s="31" t="str">
        <x:f>IF('Blind Scoring'!L1612="","",'Blind Scoring'!L1612)</x:f>
      </x:c>
    </x:row>
    <x:row r="1613" ht="44" customHeight="1">
      <x:c r="A1613" s="35" t="str">
        <x:v>Not Started</x:v>
      </x:c>
      <x:c r="B1613" s="35" t="n">
        <x:v>1611</x:v>
      </x:c>
      <x:c r="C1613" s="35" t="str">
        <x:v>P26</x:v>
      </x:c>
      <x:c r="D1613" s="35" t="n">
        <x:v>62</x:v>
      </x:c>
      <x:c r="E1613" s="35" t="str">
        <x:v>Primary VLA</x:v>
      </x:c>
      <x:c r="F1613" s="35" t="str">
        <x:v>VLA-0</x:v>
      </x:c>
      <x:c r="G1613" s="35" t="n">
        <x:v>3</x:v>
      </x:c>
      <x:c r="H1613" s="35" t="str">
        <x:v>Relational Placement</x:v>
      </x:c>
      <x:c r="I1613" s="35" t="str">
        <x:v>Main matched control</x:v>
      </x:c>
      <x:c r="J1613" s="35" t="str">
        <x:v>PVLA-RP-CTL-04</x:v>
      </x:c>
      <x:c r="K1613" s="35" t="str">
        <x:v>R-CF07</x:v>
      </x:c>
      <x:c r="L1613" s="31" t="str">
        <x:v>Place the green pen near the red block.</x:v>
      </x:c>
      <x:c r="M1613" s="31" t="str">
        <x:v>Place the green pen near the red block.</x:v>
      </x:c>
      <x:c r="N1613" s="31" t="str">
        <x:v>R-CF07-CTRL: red block at back-left [REFERENCE]; green pen starts 18 cm in front of the reference [TARGET START]; pink marker and blue block are distractors outside the commanded goal sector.</x:v>
      </x:c>
      <x:c r="O1613" s="31" t="str">
        <x:v>green pen near red block</x:v>
      </x:c>
      <x:c r="P1613" s="31" t="str"/>
      <x:c r="Q1613" s="31" t="str"/>
      <x:c r="R1613" s="31" t="str"/>
      <x:c r="S1613" s="31" t="str">
        <x:f>IF('Blind Scoring'!I1613="","",'Blind Scoring'!I1613)</x:f>
      </x:c>
      <x:c r="T1613" s="31" t="str">
        <x:f>'Blind Scoring'!J1613</x:f>
        <x:v>No</x:v>
      </x:c>
      <x:c r="U1613" s="31" t="str">
        <x:f>IF('Blind Scoring'!L1613="","",'Blind Scoring'!L1613)</x:f>
      </x:c>
    </x:row>
    <x:row r="1614" ht="44" customHeight="1">
      <x:c r="A1614" s="35" t="str">
        <x:v>Not Started</x:v>
      </x:c>
      <x:c r="B1614" s="35" t="n">
        <x:v>1612</x:v>
      </x:c>
      <x:c r="C1614" s="35" t="str">
        <x:v>P27</x:v>
      </x:c>
      <x:c r="D1614" s="35" t="n">
        <x:v>1</x:v>
      </x:c>
      <x:c r="E1614" s="35" t="str">
        <x:v>Primary VLA</x:v>
      </x:c>
      <x:c r="F1614" s="35" t="str">
        <x:v>VLA-0</x:v>
      </x:c>
      <x:c r="G1614" s="35" t="n">
        <x:v>3</x:v>
      </x:c>
      <x:c r="H1614" s="35" t="str">
        <x:v>Counting</x:v>
      </x:c>
      <x:c r="I1614" s="35" t="str">
        <x:v>Main matched control</x:v>
      </x:c>
      <x:c r="J1614" s="35" t="str">
        <x:v>PVLA-CT-CTL-07</x:v>
      </x:c>
      <x:c r="K1614" s="35" t="str">
        <x:v>C-CF06-A</x:v>
      </x:c>
      <x:c r="L1614" s="31" t="str">
        <x:v>Remove the yellow block from the bowl.</x:v>
      </x:c>
      <x:c r="M1614" s="31" t="str">
        <x:v>Remove the yellow block from the bowl.</x:v>
      </x:c>
      <x:c r="N1614" s="31" t="str">
        <x:v>C-CF06-CA: bowl=[yellow block, green pencil sharpener] (2); table=[airplane toy without propellers, blue pen]; robot home; acceptable action=remove either bowl object.</x:v>
      </x:c>
      <x:c r="O1614" s="31" t="str">
        <x:v>REMOVE yellow block</x:v>
      </x:c>
      <x:c r="P1614" s="31" t="str"/>
      <x:c r="Q1614" s="31" t="str"/>
      <x:c r="R1614" s="31" t="str"/>
      <x:c r="S1614" s="31" t="str">
        <x:f>IF('Blind Scoring'!I1614="","",'Blind Scoring'!I1614)</x:f>
      </x:c>
      <x:c r="T1614" s="31" t="str">
        <x:f>'Blind Scoring'!J1614</x:f>
        <x:v>No</x:v>
      </x:c>
      <x:c r="U1614" s="31" t="str">
        <x:f>IF('Blind Scoring'!L1614="","",'Blind Scoring'!L1614)</x:f>
      </x:c>
    </x:row>
    <x:row r="1615" ht="44" customHeight="1">
      <x:c r="A1615" s="35" t="str">
        <x:v>Not Started</x:v>
      </x:c>
      <x:c r="B1615" s="35" t="n">
        <x:v>1613</x:v>
      </x:c>
      <x:c r="C1615" s="35" t="str">
        <x:v>P27</x:v>
      </x:c>
      <x:c r="D1615" s="35" t="n">
        <x:v>2</x:v>
      </x:c>
      <x:c r="E1615" s="35" t="str">
        <x:v>Primary VLA</x:v>
      </x:c>
      <x:c r="F1615" s="35" t="str">
        <x:v>VLA-0</x:v>
      </x:c>
      <x:c r="G1615" s="35" t="n">
        <x:v>3</x:v>
      </x:c>
      <x:c r="H1615" s="35" t="str">
        <x:v>Counting</x:v>
      </x:c>
      <x:c r="I1615" s="35" t="str">
        <x:v>Novel layout + seen language</x:v>
      </x:c>
      <x:c r="J1615" s="35" t="str">
        <x:v>PVLA-CT-NOV-01</x:v>
      </x:c>
      <x:c r="K1615" s="35" t="str"/>
      <x:c r="L1615" s="31" t="str">
        <x:v>Make the bowl contain exactly two objects.</x:v>
      </x:c>
      <x:c r="M1615" s="31" t="str">
        <x:v>Make the bowl contain exactly two objects.</x:v>
      </x:c>
      <x:c r="N1615" s="31" t="str">
        <x:v>C-N01: bowl=[blue pen] (1); table left→right=[yellow block, green pencil sharpener, airplane toy without propellers]; robot home.</x:v>
      </x:c>
      <x:c r="O1615" s="31" t="str"/>
      <x:c r="P1615" s="31" t="str"/>
      <x:c r="Q1615" s="31" t="str"/>
      <x:c r="R1615" s="31" t="str"/>
      <x:c r="S1615" s="31" t="str">
        <x:f>IF('Blind Scoring'!I1615="","",'Blind Scoring'!I1615)</x:f>
      </x:c>
      <x:c r="T1615" s="31" t="str">
        <x:f>'Blind Scoring'!J1615</x:f>
        <x:v>No</x:v>
      </x:c>
      <x:c r="U1615" s="31" t="str">
        <x:f>IF('Blind Scoring'!L1615="","",'Blind Scoring'!L1615)</x:f>
      </x:c>
    </x:row>
    <x:row r="1616" ht="44" customHeight="1">
      <x:c r="A1616" s="35" t="str">
        <x:v>Not Started</x:v>
      </x:c>
      <x:c r="B1616" s="35" t="n">
        <x:v>1614</x:v>
      </x:c>
      <x:c r="C1616" s="35" t="str">
        <x:v>P27</x:v>
      </x:c>
      <x:c r="D1616" s="35" t="n">
        <x:v>3</x:v>
      </x:c>
      <x:c r="E1616" s="35" t="str">
        <x:v>Primary VLA</x:v>
      </x:c>
      <x:c r="F1616" s="35" t="str">
        <x:v>VLA-0</x:v>
      </x:c>
      <x:c r="G1616" s="35" t="n">
        <x:v>3</x:v>
      </x:c>
      <x:c r="H1616" s="35" t="str">
        <x:v>Counting</x:v>
      </x:c>
      <x:c r="I1616" s="35" t="str">
        <x:v>Main held-out transfer</x:v>
      </x:c>
      <x:c r="J1616" s="35" t="str">
        <x:v>PVLA-CT-TR-06</x:v>
      </x:c>
      <x:c r="K1616" s="35" t="str">
        <x:v>C-CF04-B</x:v>
      </x:c>
      <x:c r="L1616" s="31" t="str">
        <x:v>Leave exactly three objects in the bowl.</x:v>
      </x:c>
      <x:c r="M1616" s="31" t="str">
        <x:v>Leave exactly three objects in the bowl.</x:v>
      </x:c>
      <x:c r="N1616" s="31" t="str">
        <x:v>C-CF04B: bowl=[airplane toy without propellers, blue pen] (2); table=[yellow block, green pencil sharpener]; robot home; acceptable action=add either table object.</x:v>
      </x:c>
      <x:c r="O1616" s="31" t="str">
        <x:v>ADD one table object</x:v>
      </x:c>
      <x:c r="P1616" s="31" t="str"/>
      <x:c r="Q1616" s="31" t="str"/>
      <x:c r="R1616" s="31" t="str"/>
      <x:c r="S1616" s="31" t="str">
        <x:f>IF('Blind Scoring'!I1616="","",'Blind Scoring'!I1616)</x:f>
      </x:c>
      <x:c r="T1616" s="31" t="str">
        <x:f>'Blind Scoring'!J1616</x:f>
        <x:v>No</x:v>
      </x:c>
      <x:c r="U1616" s="31" t="str">
        <x:f>IF('Blind Scoring'!L1616="","",'Blind Scoring'!L1616)</x:f>
      </x:c>
    </x:row>
    <x:row r="1617" ht="44" customHeight="1">
      <x:c r="A1617" s="35" t="str">
        <x:v>Not Started</x:v>
      </x:c>
      <x:c r="B1617" s="35" t="n">
        <x:v>1615</x:v>
      </x:c>
      <x:c r="C1617" s="35" t="str">
        <x:v>P27</x:v>
      </x:c>
      <x:c r="D1617" s="35" t="n">
        <x:v>4</x:v>
      </x:c>
      <x:c r="E1617" s="35" t="str">
        <x:v>Primary VLA</x:v>
      </x:c>
      <x:c r="F1617" s="35" t="str">
        <x:v>VLA-0</x:v>
      </x:c>
      <x:c r="G1617" s="35" t="n">
        <x:v>3</x:v>
      </x:c>
      <x:c r="H1617" s="35" t="str">
        <x:v>Counting</x:v>
      </x:c>
      <x:c r="I1617" s="35" t="str">
        <x:v>Training reconstruction</x:v>
      </x:c>
      <x:c r="J1617" s="35" t="str">
        <x:v>PVLA-CT-REC-02</x:v>
      </x:c>
      <x:c r="K1617" s="35" t="str"/>
      <x:c r="L1617" s="31" t="str">
        <x:v>Leave no objects in the bowl.</x:v>
      </x:c>
      <x:c r="M1617" s="31" t="str">
        <x:v>Leave no objects in the bowl.</x:v>
      </x:c>
      <x:c r="N1617" s="31" t="str">
        <x:v>Reconstruct planned final training episode 829: blue pen, yellow block, airplane toy without propellers; start=Recovery. Match camera, calibration, bowl pose, and object geometry exactly.</x:v>
      </x:c>
      <x:c r="O1617" s="31" t="str">
        <x:v>blue pen</x:v>
      </x:c>
      <x:c r="P1617" s="31" t="str"/>
      <x:c r="Q1617" s="31" t="str"/>
      <x:c r="R1617" s="31" t="str"/>
      <x:c r="S1617" s="31" t="str">
        <x:f>IF('Blind Scoring'!I1617="","",'Blind Scoring'!I1617)</x:f>
      </x:c>
      <x:c r="T1617" s="31" t="str">
        <x:f>'Blind Scoring'!J1617</x:f>
        <x:v>No</x:v>
      </x:c>
      <x:c r="U1617" s="31" t="str">
        <x:f>IF('Blind Scoring'!L1617="","",'Blind Scoring'!L1617)</x:f>
      </x:c>
    </x:row>
    <x:row r="1618" ht="44" customHeight="1">
      <x:c r="A1618" s="35" t="str">
        <x:v>Not Started</x:v>
      </x:c>
      <x:c r="B1618" s="35" t="n">
        <x:v>1616</x:v>
      </x:c>
      <x:c r="C1618" s="35" t="str">
        <x:v>P27</x:v>
      </x:c>
      <x:c r="D1618" s="35" t="n">
        <x:v>5</x:v>
      </x:c>
      <x:c r="E1618" s="35" t="str">
        <x:v>Primary VLA</x:v>
      </x:c>
      <x:c r="F1618" s="35" t="str">
        <x:v>VLA-0</x:v>
      </x:c>
      <x:c r="G1618" s="35" t="n">
        <x:v>3</x:v>
      </x:c>
      <x:c r="H1618" s="35" t="str">
        <x:v>Counting</x:v>
      </x:c>
      <x:c r="I1618" s="35" t="str">
        <x:v>Main held-out transfer</x:v>
      </x:c>
      <x:c r="J1618" s="35" t="str">
        <x:v>PVLA-CT-TR-10</x:v>
      </x:c>
      <x:c r="K1618" s="35" t="str">
        <x:v>C-CF07-B</x:v>
      </x:c>
      <x:c r="L1618" s="31" t="str">
        <x:v>Leave exactly three objects in the bowl.</x:v>
      </x:c>
      <x:c r="M1618" s="31" t="str">
        <x:v>Leave exactly three objects in the bowl.</x:v>
      </x:c>
      <x:c r="N1618" s="31" t="str">
        <x:v>C-CF07B: bowl=[green pencil sharpener, airplane toy without propellers] (2); table=[blue pen, yellow block]; robot home; acceptable action=add either table object.</x:v>
      </x:c>
      <x:c r="O1618" s="31" t="str">
        <x:v>ADD one table object</x:v>
      </x:c>
      <x:c r="P1618" s="31" t="str"/>
      <x:c r="Q1618" s="31" t="str"/>
      <x:c r="R1618" s="31" t="str"/>
      <x:c r="S1618" s="31" t="str">
        <x:f>IF('Blind Scoring'!I1618="","",'Blind Scoring'!I1618)</x:f>
      </x:c>
      <x:c r="T1618" s="31" t="str">
        <x:f>'Blind Scoring'!J1618</x:f>
        <x:v>No</x:v>
      </x:c>
      <x:c r="U1618" s="31" t="str">
        <x:f>IF('Blind Scoring'!L1618="","",'Blind Scoring'!L1618)</x:f>
      </x:c>
    </x:row>
    <x:row r="1619" ht="44" customHeight="1">
      <x:c r="A1619" s="35" t="str">
        <x:v>Not Started</x:v>
      </x:c>
      <x:c r="B1619" s="35" t="n">
        <x:v>1617</x:v>
      </x:c>
      <x:c r="C1619" s="35" t="str">
        <x:v>P27</x:v>
      </x:c>
      <x:c r="D1619" s="35" t="n">
        <x:v>6</x:v>
      </x:c>
      <x:c r="E1619" s="35" t="str">
        <x:v>Primary VLA</x:v>
      </x:c>
      <x:c r="F1619" s="35" t="str">
        <x:v>VLA-0</x:v>
      </x:c>
      <x:c r="G1619" s="35" t="n">
        <x:v>3</x:v>
      </x:c>
      <x:c r="H1619" s="35" t="str">
        <x:v>Counting</x:v>
      </x:c>
      <x:c r="I1619" s="35" t="str">
        <x:v>Main matched control</x:v>
      </x:c>
      <x:c r="J1619" s="35" t="str">
        <x:v>PVLA-CT-CTL-03</x:v>
      </x:c>
      <x:c r="K1619" s="35" t="str">
        <x:v>C-CF03-A</x:v>
      </x:c>
      <x:c r="L1619" s="31" t="str">
        <x:v>Remove the green pencil sharpener from the bowl.</x:v>
      </x:c>
      <x:c r="M1619" s="31" t="str">
        <x:v>Remove the green pencil sharpener from the bowl.</x:v>
      </x:c>
      <x:c r="N1619" s="31" t="str">
        <x:v>C-CF03-CA: bowl=[green pencil sharpener, airplane toy without propellers] (2); table=[blue pen, yellow block]; robot home; acceptable action=remove either bowl object.</x:v>
      </x:c>
      <x:c r="O1619" s="31" t="str">
        <x:v>REMOVE green pencil sharpener</x:v>
      </x:c>
      <x:c r="P1619" s="31" t="str"/>
      <x:c r="Q1619" s="31" t="str"/>
      <x:c r="R1619" s="31" t="str"/>
      <x:c r="S1619" s="31" t="str">
        <x:f>IF('Blind Scoring'!I1619="","",'Blind Scoring'!I1619)</x:f>
      </x:c>
      <x:c r="T1619" s="31" t="str">
        <x:f>'Blind Scoring'!J1619</x:f>
        <x:v>No</x:v>
      </x:c>
      <x:c r="U1619" s="31" t="str">
        <x:f>IF('Blind Scoring'!L1619="","",'Blind Scoring'!L1619)</x:f>
      </x:c>
    </x:row>
    <x:row r="1620" ht="44" customHeight="1">
      <x:c r="A1620" s="35" t="str">
        <x:v>Not Started</x:v>
      </x:c>
      <x:c r="B1620" s="35" t="n">
        <x:v>1618</x:v>
      </x:c>
      <x:c r="C1620" s="35" t="str">
        <x:v>P27</x:v>
      </x:c>
      <x:c r="D1620" s="35" t="n">
        <x:v>7</x:v>
      </x:c>
      <x:c r="E1620" s="35" t="str">
        <x:v>Primary VLA</x:v>
      </x:c>
      <x:c r="F1620" s="35" t="str">
        <x:v>VLA-0</x:v>
      </x:c>
      <x:c r="G1620" s="35" t="n">
        <x:v>3</x:v>
      </x:c>
      <x:c r="H1620" s="35" t="str">
        <x:v>Counting</x:v>
      </x:c>
      <x:c r="I1620" s="35" t="str">
        <x:v>Language ablation — counterfactual</x:v>
      </x:c>
      <x:c r="J1620" s="35" t="str">
        <x:v>PVLA-CT-ABL-CF-02</x:v>
      </x:c>
      <x:c r="K1620" s="35" t="str">
        <x:v>C-CF04-B</x:v>
      </x:c>
      <x:c r="L1620" s="31" t="str">
        <x:v>Leave exactly one object in the bowl.</x:v>
      </x:c>
      <x:c r="M1620" s="31" t="str">
        <x:v>Leave exactly one object in the bowl.</x:v>
      </x:c>
      <x:c r="N1620" s="31" t="str">
        <x:v>C-CF04B: bowl=[airplane toy without propellers, blue pen] (2); table=[yellow block, green pencil sharpener]; robot home; acceptable action=add either table object.</x:v>
      </x:c>
      <x:c r="O1620" s="31" t="str">
        <x:v>REMOVE one bowl object</x:v>
      </x:c>
      <x:c r="P1620" s="31" t="str"/>
      <x:c r="Q1620" s="31" t="str"/>
      <x:c r="R1620" s="31" t="str"/>
      <x:c r="S1620" s="31" t="str">
        <x:f>IF('Blind Scoring'!I1620="","",'Blind Scoring'!I1620)</x:f>
      </x:c>
      <x:c r="T1620" s="31" t="str">
        <x:f>'Blind Scoring'!J1620</x:f>
        <x:v>No</x:v>
      </x:c>
      <x:c r="U1620" s="31" t="str">
        <x:f>IF('Blind Scoring'!L1620="","",'Blind Scoring'!L1620)</x:f>
      </x:c>
    </x:row>
    <x:row r="1621" ht="44" customHeight="1">
      <x:c r="A1621" s="35" t="str">
        <x:v>Not Started</x:v>
      </x:c>
      <x:c r="B1621" s="35" t="n">
        <x:v>1619</x:v>
      </x:c>
      <x:c r="C1621" s="35" t="str">
        <x:v>P27</x:v>
      </x:c>
      <x:c r="D1621" s="35" t="n">
        <x:v>8</x:v>
      </x:c>
      <x:c r="E1621" s="35" t="str">
        <x:v>Primary VLA</x:v>
      </x:c>
      <x:c r="F1621" s="35" t="str">
        <x:v>VLA-0</x:v>
      </x:c>
      <x:c r="G1621" s="35" t="n">
        <x:v>3</x:v>
      </x:c>
      <x:c r="H1621" s="35" t="str">
        <x:v>Counting</x:v>
      </x:c>
      <x:c r="I1621" s="35" t="str">
        <x:v>Main matched control</x:v>
      </x:c>
      <x:c r="J1621" s="35" t="str">
        <x:v>PVLA-CT-CTL-01</x:v>
      </x:c>
      <x:c r="K1621" s="35" t="str">
        <x:v>C-CF01-A</x:v>
      </x:c>
      <x:c r="L1621" s="31" t="str">
        <x:v>Remove the blue pen from the bowl.</x:v>
      </x:c>
      <x:c r="M1621" s="31" t="str">
        <x:v>Remove the blue pen from the bowl.</x:v>
      </x:c>
      <x:c r="N1621" s="31" t="str">
        <x:v>C-CF01-CA: bowl=[blue pen, yellow block] (2); table=[green pencil sharpener, airplane toy without propellers]; robot home; acceptable action=remove either bowl object.</x:v>
      </x:c>
      <x:c r="O1621" s="31" t="str">
        <x:v>REMOVE blue pen</x:v>
      </x:c>
      <x:c r="P1621" s="31" t="str"/>
      <x:c r="Q1621" s="31" t="str"/>
      <x:c r="R1621" s="31" t="str"/>
      <x:c r="S1621" s="31" t="str">
        <x:f>IF('Blind Scoring'!I1621="","",'Blind Scoring'!I1621)</x:f>
      </x:c>
      <x:c r="T1621" s="31" t="str">
        <x:f>'Blind Scoring'!J1621</x:f>
        <x:v>No</x:v>
      </x:c>
      <x:c r="U1621" s="31" t="str">
        <x:f>IF('Blind Scoring'!L1621="","",'Blind Scoring'!L1621)</x:f>
      </x:c>
    </x:row>
    <x:row r="1622" ht="44" customHeight="1">
      <x:c r="A1622" s="35" t="str">
        <x:v>Not Started</x:v>
      </x:c>
      <x:c r="B1622" s="35" t="n">
        <x:v>1620</x:v>
      </x:c>
      <x:c r="C1622" s="35" t="str">
        <x:v>P27</x:v>
      </x:c>
      <x:c r="D1622" s="35" t="n">
        <x:v>9</x:v>
      </x:c>
      <x:c r="E1622" s="35" t="str">
        <x:v>Primary VLA</x:v>
      </x:c>
      <x:c r="F1622" s="35" t="str">
        <x:v>VLA-0</x:v>
      </x:c>
      <x:c r="G1622" s="35" t="n">
        <x:v>3</x:v>
      </x:c>
      <x:c r="H1622" s="35" t="str">
        <x:v>Counting</x:v>
      </x:c>
      <x:c r="I1622" s="35" t="str">
        <x:v>Main held-out transfer</x:v>
      </x:c>
      <x:c r="J1622" s="35" t="str">
        <x:v>PVLA-CT-TR-13</x:v>
      </x:c>
      <x:c r="K1622" s="35" t="str">
        <x:v>C-CF10-A</x:v>
      </x:c>
      <x:c r="L1622" s="31" t="str">
        <x:v>Leave exactly one object in the bowl.</x:v>
      </x:c>
      <x:c r="M1622" s="31" t="str">
        <x:v>Leave exactly one object in the bowl.</x:v>
      </x:c>
      <x:c r="N1622" s="31" t="str">
        <x:v>C-CF10A: bowl=[yellow block, green pencil sharpener] (2); table=[airplane toy without propellers, blue pen]; robot home; acceptable action=remove either bowl object.</x:v>
      </x:c>
      <x:c r="O1622" s="31" t="str">
        <x:v>REMOVE one bowl object</x:v>
      </x:c>
      <x:c r="P1622" s="31" t="str"/>
      <x:c r="Q1622" s="31" t="str"/>
      <x:c r="R1622" s="31" t="str"/>
      <x:c r="S1622" s="31" t="str">
        <x:f>IF('Blind Scoring'!I1622="","",'Blind Scoring'!I1622)</x:f>
      </x:c>
      <x:c r="T1622" s="31" t="str">
        <x:f>'Blind Scoring'!J1622</x:f>
        <x:v>No</x:v>
      </x:c>
      <x:c r="U1622" s="31" t="str">
        <x:f>IF('Blind Scoring'!L1622="","",'Blind Scoring'!L1622)</x:f>
      </x:c>
    </x:row>
    <x:row r="1623" ht="44" customHeight="1">
      <x:c r="A1623" s="35" t="str">
        <x:v>Not Started</x:v>
      </x:c>
      <x:c r="B1623" s="35" t="n">
        <x:v>1621</x:v>
      </x:c>
      <x:c r="C1623" s="35" t="str">
        <x:v>P27</x:v>
      </x:c>
      <x:c r="D1623" s="35" t="n">
        <x:v>10</x:v>
      </x:c>
      <x:c r="E1623" s="35" t="str">
        <x:v>Primary VLA</x:v>
      </x:c>
      <x:c r="F1623" s="35" t="str">
        <x:v>VLA-0</x:v>
      </x:c>
      <x:c r="G1623" s="35" t="n">
        <x:v>3</x:v>
      </x:c>
      <x:c r="H1623" s="35" t="str">
        <x:v>Counting</x:v>
      </x:c>
      <x:c r="I1623" s="35" t="str">
        <x:v>Main matched control</x:v>
      </x:c>
      <x:c r="J1623" s="35" t="str">
        <x:v>PVLA-CT-CTL-09</x:v>
      </x:c>
      <x:c r="K1623" s="35" t="str">
        <x:v>C-CF07-A</x:v>
      </x:c>
      <x:c r="L1623" s="31" t="str">
        <x:v>Remove the green pencil sharpener from the bowl.</x:v>
      </x:c>
      <x:c r="M1623" s="31" t="str">
        <x:v>Remove the green pencil sharpener from the bowl.</x:v>
      </x:c>
      <x:c r="N1623" s="31" t="str">
        <x:v>C-CF07-CA: bowl=[green pencil sharpener, airplane toy without propellers] (2); table=[blue pen, yellow block]; robot home; acceptable action=remove either bowl object.</x:v>
      </x:c>
      <x:c r="O1623" s="31" t="str">
        <x:v>REMOVE green pencil sharpener</x:v>
      </x:c>
      <x:c r="P1623" s="31" t="str"/>
      <x:c r="Q1623" s="31" t="str"/>
      <x:c r="R1623" s="31" t="str"/>
      <x:c r="S1623" s="31" t="str">
        <x:f>IF('Blind Scoring'!I1623="","",'Blind Scoring'!I1623)</x:f>
      </x:c>
      <x:c r="T1623" s="31" t="str">
        <x:f>'Blind Scoring'!J1623</x:f>
        <x:v>No</x:v>
      </x:c>
      <x:c r="U1623" s="31" t="str">
        <x:f>IF('Blind Scoring'!L1623="","",'Blind Scoring'!L1623)</x:f>
      </x:c>
    </x:row>
    <x:row r="1624" ht="44" customHeight="1">
      <x:c r="A1624" s="35" t="str">
        <x:v>Not Started</x:v>
      </x:c>
      <x:c r="B1624" s="35" t="n">
        <x:v>1622</x:v>
      </x:c>
      <x:c r="C1624" s="35" t="str">
        <x:v>P27</x:v>
      </x:c>
      <x:c r="D1624" s="35" t="n">
        <x:v>11</x:v>
      </x:c>
      <x:c r="E1624" s="35" t="str">
        <x:v>Primary VLA</x:v>
      </x:c>
      <x:c r="F1624" s="35" t="str">
        <x:v>VLA-0</x:v>
      </x:c>
      <x:c r="G1624" s="35" t="n">
        <x:v>3</x:v>
      </x:c>
      <x:c r="H1624" s="35" t="str">
        <x:v>Counting</x:v>
      </x:c>
      <x:c r="I1624" s="35" t="str">
        <x:v>Main matched control</x:v>
      </x:c>
      <x:c r="J1624" s="35" t="str">
        <x:v>PVLA-CT-CTL-06</x:v>
      </x:c>
      <x:c r="K1624" s="35" t="str">
        <x:v>C-CF04-B</x:v>
      </x:c>
      <x:c r="L1624" s="31" t="str">
        <x:v>Put the yellow block in the bowl.</x:v>
      </x:c>
      <x:c r="M1624" s="31" t="str">
        <x:v>Put the yellow block in the bowl.</x:v>
      </x:c>
      <x:c r="N1624" s="31" t="str">
        <x:v>C-CF04-CB: bowl=[airplane toy without propellers, blue pen] (2); table=[yellow block, green pencil sharpener]; robot home; acceptable action=add either table object.</x:v>
      </x:c>
      <x:c r="O1624" s="31" t="str">
        <x:v>ADD yellow block</x:v>
      </x:c>
      <x:c r="P1624" s="31" t="str"/>
      <x:c r="Q1624" s="31" t="str"/>
      <x:c r="R1624" s="31" t="str"/>
      <x:c r="S1624" s="31" t="str">
        <x:f>IF('Blind Scoring'!I1624="","",'Blind Scoring'!I1624)</x:f>
      </x:c>
      <x:c r="T1624" s="31" t="str">
        <x:f>'Blind Scoring'!J1624</x:f>
        <x:v>No</x:v>
      </x:c>
      <x:c r="U1624" s="31" t="str">
        <x:f>IF('Blind Scoring'!L1624="","",'Blind Scoring'!L1624)</x:f>
      </x:c>
    </x:row>
    <x:row r="1625" ht="44" customHeight="1">
      <x:c r="A1625" s="35" t="str">
        <x:v>Not Started</x:v>
      </x:c>
      <x:c r="B1625" s="35" t="n">
        <x:v>1623</x:v>
      </x:c>
      <x:c r="C1625" s="35" t="str">
        <x:v>P27</x:v>
      </x:c>
      <x:c r="D1625" s="35" t="n">
        <x:v>12</x:v>
      </x:c>
      <x:c r="E1625" s="35" t="str">
        <x:v>Primary VLA</x:v>
      </x:c>
      <x:c r="F1625" s="35" t="str">
        <x:v>VLA-0</x:v>
      </x:c>
      <x:c r="G1625" s="35" t="n">
        <x:v>3</x:v>
      </x:c>
      <x:c r="H1625" s="35" t="str">
        <x:v>Counting</x:v>
      </x:c>
      <x:c r="I1625" s="35" t="str">
        <x:v>Exact-scene paraphrase</x:v>
      </x:c>
      <x:c r="J1625" s="35" t="str">
        <x:v>PVLA-CT-PAR-03</x:v>
      </x:c>
      <x:c r="K1625" s="35" t="str"/>
      <x:c r="L1625" s="31" t="str">
        <x:v>Finish with two objects in the bowl.</x:v>
      </x:c>
      <x:c r="M1625" s="31" t="str">
        <x:v>Finish with two objects in the bowl.</x:v>
      </x:c>
      <x:c r="N1625" s="31" t="str">
        <x:v>C-N01: bowl=[blue pen] (1); table left→right=[yellow block, green pencil sharpener, airplane toy without propellers]; robot home.</x:v>
      </x:c>
      <x:c r="O1625" s="31" t="str"/>
      <x:c r="P1625" s="31" t="str"/>
      <x:c r="Q1625" s="31" t="str"/>
      <x:c r="R1625" s="31" t="str"/>
      <x:c r="S1625" s="31" t="str">
        <x:f>IF('Blind Scoring'!I1625="","",'Blind Scoring'!I1625)</x:f>
      </x:c>
      <x:c r="T1625" s="31" t="str">
        <x:f>'Blind Scoring'!J1625</x:f>
        <x:v>No</x:v>
      </x:c>
      <x:c r="U1625" s="31" t="str">
        <x:f>IF('Blind Scoring'!L1625="","",'Blind Scoring'!L1625)</x:f>
      </x:c>
    </x:row>
    <x:row r="1626" ht="44" customHeight="1">
      <x:c r="A1626" s="35" t="str">
        <x:v>Not Started</x:v>
      </x:c>
      <x:c r="B1626" s="35" t="n">
        <x:v>1624</x:v>
      </x:c>
      <x:c r="C1626" s="35" t="str">
        <x:v>P27</x:v>
      </x:c>
      <x:c r="D1626" s="35" t="n">
        <x:v>13</x:v>
      </x:c>
      <x:c r="E1626" s="35" t="str">
        <x:v>Primary VLA</x:v>
      </x:c>
      <x:c r="F1626" s="35" t="str">
        <x:v>VLA-0</x:v>
      </x:c>
      <x:c r="G1626" s="35" t="n">
        <x:v>3</x:v>
      </x:c>
      <x:c r="H1626" s="35" t="str">
        <x:v>Counting</x:v>
      </x:c>
      <x:c r="I1626" s="35" t="str">
        <x:v>Exact-scene paraphrase</x:v>
      </x:c>
      <x:c r="J1626" s="35" t="str">
        <x:v>PVLA-CT-PAR-01</x:v>
      </x:c>
      <x:c r="K1626" s="35" t="str"/>
      <x:c r="L1626" s="31" t="str">
        <x:v>Finish with two objects in the bowl.</x:v>
      </x:c>
      <x:c r="M1626" s="31" t="str">
        <x:v>Finish with two objects in the bowl.</x:v>
      </x:c>
      <x:c r="N1626" s="31" t="str">
        <x:v>C-N01: bowl=[blue pen] (1); table left→right=[yellow block, green pencil sharpener, airplane toy without propellers]; robot home.</x:v>
      </x:c>
      <x:c r="O1626" s="31" t="str"/>
      <x:c r="P1626" s="31" t="str"/>
      <x:c r="Q1626" s="31" t="str"/>
      <x:c r="R1626" s="31" t="str"/>
      <x:c r="S1626" s="31" t="str">
        <x:f>IF('Blind Scoring'!I1626="","",'Blind Scoring'!I1626)</x:f>
      </x:c>
      <x:c r="T1626" s="31" t="str">
        <x:f>'Blind Scoring'!J1626</x:f>
        <x:v>No</x:v>
      </x:c>
      <x:c r="U1626" s="31" t="str">
        <x:f>IF('Blind Scoring'!L1626="","",'Blind Scoring'!L1626)</x:f>
      </x:c>
    </x:row>
    <x:row r="1627" ht="44" customHeight="1">
      <x:c r="A1627" s="35" t="str">
        <x:v>Not Started</x:v>
      </x:c>
      <x:c r="B1627" s="35" t="n">
        <x:v>1625</x:v>
      </x:c>
      <x:c r="C1627" s="35" t="str">
        <x:v>P27</x:v>
      </x:c>
      <x:c r="D1627" s="35" t="n">
        <x:v>14</x:v>
      </x:c>
      <x:c r="E1627" s="35" t="str">
        <x:v>Primary VLA</x:v>
      </x:c>
      <x:c r="F1627" s="35" t="str">
        <x:v>VLA-0</x:v>
      </x:c>
      <x:c r="G1627" s="35" t="n">
        <x:v>3</x:v>
      </x:c>
      <x:c r="H1627" s="35" t="str">
        <x:v>Counting</x:v>
      </x:c>
      <x:c r="I1627" s="35" t="str">
        <x:v>Language ablation — blank</x:v>
      </x:c>
      <x:c r="J1627" s="35" t="str">
        <x:v>PVLA-CT-ABL-BLK-02</x:v>
      </x:c>
      <x:c r="K1627" s="35" t="str">
        <x:v>C-CF01-B</x:v>
      </x:c>
      <x:c r="L1627" s="31" t="str">
        <x:v>[EMPTY STRING — provide no instruction tokens]</x:v>
      </x:c>
      <x:c r="M1627" s="31" t="str">
        <x:v>Leave exactly three objects in the bowl.</x:v>
      </x:c>
      <x:c r="N1627" s="31" t="str">
        <x:v>C-CF01B: bowl=[blue pen, yellow block] (2); table=[green pencil sharpener, airplane toy without propellers]; robot home; acceptable action=add either table object.</x:v>
      </x:c>
      <x:c r="O1627" s="31" t="str">
        <x:v>No prespecified task success under blank language; record any action/selected target.</x:v>
      </x:c>
      <x:c r="P1627" s="31" t="str"/>
      <x:c r="Q1627" s="31" t="str"/>
      <x:c r="R1627" s="31" t="str"/>
      <x:c r="S1627" s="31" t="str">
        <x:f>IF('Blind Scoring'!I1627="","",'Blind Scoring'!I1627)</x:f>
      </x:c>
      <x:c r="T1627" s="31" t="str">
        <x:f>'Blind Scoring'!J1627</x:f>
        <x:v>No</x:v>
      </x:c>
      <x:c r="U1627" s="31" t="str">
        <x:f>IF('Blind Scoring'!L1627="","",'Blind Scoring'!L1627)</x:f>
      </x:c>
    </x:row>
    <x:row r="1628" ht="44" customHeight="1">
      <x:c r="A1628" s="35" t="str">
        <x:v>Not Started</x:v>
      </x:c>
      <x:c r="B1628" s="35" t="n">
        <x:v>1626</x:v>
      </x:c>
      <x:c r="C1628" s="35" t="str">
        <x:v>P27</x:v>
      </x:c>
      <x:c r="D1628" s="35" t="n">
        <x:v>15</x:v>
      </x:c>
      <x:c r="E1628" s="35" t="str">
        <x:v>Primary VLA</x:v>
      </x:c>
      <x:c r="F1628" s="35" t="str">
        <x:v>VLA-0</x:v>
      </x:c>
      <x:c r="G1628" s="35" t="n">
        <x:v>3</x:v>
      </x:c>
      <x:c r="H1628" s="35" t="str">
        <x:v>Counting</x:v>
      </x:c>
      <x:c r="I1628" s="35" t="str">
        <x:v>Novel layout + seen language</x:v>
      </x:c>
      <x:c r="J1628" s="35" t="str">
        <x:v>PVLA-CT-NOV-07</x:v>
      </x:c>
      <x:c r="K1628" s="35" t="str"/>
      <x:c r="L1628" s="31" t="str">
        <x:v>Make the bowl contain exactly zero objects.</x:v>
      </x:c>
      <x:c r="M1628" s="31" t="str">
        <x:v>Make the bowl contain exactly zero objects.</x:v>
      </x:c>
      <x:c r="N1628" s="31" t="str">
        <x:v>C-N17: bowl=[green pencil sharpener] (1); table left→right=[airplane toy without propellers, blue pen, yellow block]; robot home.</x:v>
      </x:c>
      <x:c r="O1628" s="31" t="str"/>
      <x:c r="P1628" s="31" t="str"/>
      <x:c r="Q1628" s="31" t="str"/>
      <x:c r="R1628" s="31" t="str"/>
      <x:c r="S1628" s="31" t="str">
        <x:f>IF('Blind Scoring'!I1628="","",'Blind Scoring'!I1628)</x:f>
      </x:c>
      <x:c r="T1628" s="31" t="str">
        <x:f>'Blind Scoring'!J1628</x:f>
        <x:v>No</x:v>
      </x:c>
      <x:c r="U1628" s="31" t="str">
        <x:f>IF('Blind Scoring'!L1628="","",'Blind Scoring'!L1628)</x:f>
      </x:c>
    </x:row>
    <x:row r="1629" ht="44" customHeight="1">
      <x:c r="A1629" s="35" t="str">
        <x:v>Not Started</x:v>
      </x:c>
      <x:c r="B1629" s="35" t="n">
        <x:v>1627</x:v>
      </x:c>
      <x:c r="C1629" s="35" t="str">
        <x:v>P27</x:v>
      </x:c>
      <x:c r="D1629" s="35" t="n">
        <x:v>16</x:v>
      </x:c>
      <x:c r="E1629" s="35" t="str">
        <x:v>Primary VLA</x:v>
      </x:c>
      <x:c r="F1629" s="35" t="str">
        <x:v>VLA-0</x:v>
      </x:c>
      <x:c r="G1629" s="35" t="n">
        <x:v>3</x:v>
      </x:c>
      <x:c r="H1629" s="35" t="str">
        <x:v>Counting</x:v>
      </x:c>
      <x:c r="I1629" s="35" t="str">
        <x:v>Main matched control</x:v>
      </x:c>
      <x:c r="J1629" s="35" t="str">
        <x:v>PVLA-CT-CTL-14</x:v>
      </x:c>
      <x:c r="K1629" s="35" t="str">
        <x:v>C-CF10-B</x:v>
      </x:c>
      <x:c r="L1629" s="31" t="str">
        <x:v>Put the airplane toy without propellers in the bowl.</x:v>
      </x:c>
      <x:c r="M1629" s="31" t="str">
        <x:v>Put the airplane toy without propellers in the bowl.</x:v>
      </x:c>
      <x:c r="N1629" s="31" t="str">
        <x:v>C-CF10-CB: bowl=[yellow block, green pencil sharpener] (2); table=[airplane toy without propellers, blue pen]; robot home; acceptable action=add either table object.</x:v>
      </x:c>
      <x:c r="O1629" s="31" t="str">
        <x:v>ADD airplane toy without propellers</x:v>
      </x:c>
      <x:c r="P1629" s="31" t="str"/>
      <x:c r="Q1629" s="31" t="str"/>
      <x:c r="R1629" s="31" t="str"/>
      <x:c r="S1629" s="31" t="str">
        <x:f>IF('Blind Scoring'!I1629="","",'Blind Scoring'!I1629)</x:f>
      </x:c>
      <x:c r="T1629" s="31" t="str">
        <x:f>'Blind Scoring'!J1629</x:f>
        <x:v>No</x:v>
      </x:c>
      <x:c r="U1629" s="31" t="str">
        <x:f>IF('Blind Scoring'!L1629="","",'Blind Scoring'!L1629)</x:f>
      </x:c>
    </x:row>
    <x:row r="1630" ht="44" customHeight="1">
      <x:c r="A1630" s="35" t="str">
        <x:v>Not Started</x:v>
      </x:c>
      <x:c r="B1630" s="35" t="n">
        <x:v>1628</x:v>
      </x:c>
      <x:c r="C1630" s="35" t="str">
        <x:v>P27</x:v>
      </x:c>
      <x:c r="D1630" s="35" t="n">
        <x:v>17</x:v>
      </x:c>
      <x:c r="E1630" s="35" t="str">
        <x:v>Primary VLA</x:v>
      </x:c>
      <x:c r="F1630" s="35" t="str">
        <x:v>VLA-0</x:v>
      </x:c>
      <x:c r="G1630" s="35" t="n">
        <x:v>3</x:v>
      </x:c>
      <x:c r="H1630" s="35" t="str">
        <x:v>Counting</x:v>
      </x:c>
      <x:c r="I1630" s="35" t="str">
        <x:v>Language ablation — counterfactual</x:v>
      </x:c>
      <x:c r="J1630" s="35" t="str">
        <x:v>PVLA-CT-ABL-CF-01</x:v>
      </x:c>
      <x:c r="K1630" s="35" t="str">
        <x:v>C-CF04-A</x:v>
      </x:c>
      <x:c r="L1630" s="31" t="str">
        <x:v>Leave exactly three objects in the bowl.</x:v>
      </x:c>
      <x:c r="M1630" s="31" t="str">
        <x:v>Leave exactly three objects in the bowl.</x:v>
      </x:c>
      <x:c r="N1630" s="31" t="str">
        <x:v>C-CF04A: bowl=[airplane toy without propellers, blue pen] (2); table=[yellow block, green pencil sharpener]; robot home; acceptable action=remove either bowl object.</x:v>
      </x:c>
      <x:c r="O1630" s="31" t="str">
        <x:v>ADD one table object</x:v>
      </x:c>
      <x:c r="P1630" s="31" t="str"/>
      <x:c r="Q1630" s="31" t="str"/>
      <x:c r="R1630" s="31" t="str"/>
      <x:c r="S1630" s="31" t="str">
        <x:f>IF('Blind Scoring'!I1630="","",'Blind Scoring'!I1630)</x:f>
      </x:c>
      <x:c r="T1630" s="31" t="str">
        <x:f>'Blind Scoring'!J1630</x:f>
        <x:v>No</x:v>
      </x:c>
      <x:c r="U1630" s="31" t="str">
        <x:f>IF('Blind Scoring'!L1630="","",'Blind Scoring'!L1630)</x:f>
      </x:c>
    </x:row>
    <x:row r="1631" ht="44" customHeight="1">
      <x:c r="A1631" s="35" t="str">
        <x:v>Not Started</x:v>
      </x:c>
      <x:c r="B1631" s="35" t="n">
        <x:v>1629</x:v>
      </x:c>
      <x:c r="C1631" s="35" t="str">
        <x:v>P27</x:v>
      </x:c>
      <x:c r="D1631" s="35" t="n">
        <x:v>18</x:v>
      </x:c>
      <x:c r="E1631" s="35" t="str">
        <x:v>Primary VLA</x:v>
      </x:c>
      <x:c r="F1631" s="35" t="str">
        <x:v>VLA-0</x:v>
      </x:c>
      <x:c r="G1631" s="35" t="n">
        <x:v>3</x:v>
      </x:c>
      <x:c r="H1631" s="35" t="str">
        <x:v>Counting</x:v>
      </x:c>
      <x:c r="I1631" s="35" t="str">
        <x:v>Novel layout + seen language</x:v>
      </x:c>
      <x:c r="J1631" s="35" t="str">
        <x:v>PVLA-CT-NOV-02</x:v>
      </x:c>
      <x:c r="K1631" s="35" t="str"/>
      <x:c r="L1631" s="31" t="str">
        <x:v>Make the bowl contain exactly two objects.</x:v>
      </x:c>
      <x:c r="M1631" s="31" t="str">
        <x:v>Make the bowl contain exactly two objects.</x:v>
      </x:c>
      <x:c r="N1631" s="31" t="str">
        <x:v>C-N04: bowl=[airplane toy without propellers, blue pen, yellow block] (3); table left→right=[green pencil sharpener]; robot home.</x:v>
      </x:c>
      <x:c r="O1631" s="31" t="str"/>
      <x:c r="P1631" s="31" t="str"/>
      <x:c r="Q1631" s="31" t="str"/>
      <x:c r="R1631" s="31" t="str"/>
      <x:c r="S1631" s="31" t="str">
        <x:f>IF('Blind Scoring'!I1631="","",'Blind Scoring'!I1631)</x:f>
      </x:c>
      <x:c r="T1631" s="31" t="str">
        <x:f>'Blind Scoring'!J1631</x:f>
        <x:v>No</x:v>
      </x:c>
      <x:c r="U1631" s="31" t="str">
        <x:f>IF('Blind Scoring'!L1631="","",'Blind Scoring'!L1631)</x:f>
      </x:c>
    </x:row>
    <x:row r="1632" ht="44" customHeight="1">
      <x:c r="A1632" s="35" t="str">
        <x:v>Not Started</x:v>
      </x:c>
      <x:c r="B1632" s="35" t="n">
        <x:v>1630</x:v>
      </x:c>
      <x:c r="C1632" s="35" t="str">
        <x:v>P27</x:v>
      </x:c>
      <x:c r="D1632" s="35" t="n">
        <x:v>19</x:v>
      </x:c>
      <x:c r="E1632" s="35" t="str">
        <x:v>Primary VLA</x:v>
      </x:c>
      <x:c r="F1632" s="35" t="str">
        <x:v>VLA-0</x:v>
      </x:c>
      <x:c r="G1632" s="35" t="n">
        <x:v>3</x:v>
      </x:c>
      <x:c r="H1632" s="35" t="str">
        <x:v>Counting</x:v>
      </x:c>
      <x:c r="I1632" s="35" t="str">
        <x:v>Exact-scene paraphrase</x:v>
      </x:c>
      <x:c r="J1632" s="35" t="str">
        <x:v>PVLA-CT-PAR-08</x:v>
      </x:c>
      <x:c r="K1632" s="35" t="str"/>
      <x:c r="L1632" s="31" t="str">
        <x:v>Finish with two objects in the bowl.</x:v>
      </x:c>
      <x:c r="M1632" s="31" t="str">
        <x:v>Finish with two objects in the bowl.</x:v>
      </x:c>
      <x:c r="N1632" s="31" t="str">
        <x:v>C-N01: bowl=[blue pen] (1); table left→right=[yellow block, green pencil sharpener, airplane toy without propellers]; robot home.</x:v>
      </x:c>
      <x:c r="O1632" s="31" t="str"/>
      <x:c r="P1632" s="31" t="str"/>
      <x:c r="Q1632" s="31" t="str"/>
      <x:c r="R1632" s="31" t="str"/>
      <x:c r="S1632" s="31" t="str">
        <x:f>IF('Blind Scoring'!I1632="","",'Blind Scoring'!I1632)</x:f>
      </x:c>
      <x:c r="T1632" s="31" t="str">
        <x:f>'Blind Scoring'!J1632</x:f>
        <x:v>No</x:v>
      </x:c>
      <x:c r="U1632" s="31" t="str">
        <x:f>IF('Blind Scoring'!L1632="","",'Blind Scoring'!L1632)</x:f>
      </x:c>
    </x:row>
    <x:row r="1633" ht="44" customHeight="1">
      <x:c r="A1633" s="35" t="str">
        <x:v>Not Started</x:v>
      </x:c>
      <x:c r="B1633" s="35" t="n">
        <x:v>1631</x:v>
      </x:c>
      <x:c r="C1633" s="35" t="str">
        <x:v>P27</x:v>
      </x:c>
      <x:c r="D1633" s="35" t="n">
        <x:v>20</x:v>
      </x:c>
      <x:c r="E1633" s="35" t="str">
        <x:v>Primary VLA</x:v>
      </x:c>
      <x:c r="F1633" s="35" t="str">
        <x:v>VLA-0</x:v>
      </x:c>
      <x:c r="G1633" s="35" t="n">
        <x:v>3</x:v>
      </x:c>
      <x:c r="H1633" s="35" t="str">
        <x:v>Counting</x:v>
      </x:c>
      <x:c r="I1633" s="35" t="str">
        <x:v>Exact-scene paraphrase</x:v>
      </x:c>
      <x:c r="J1633" s="35" t="str">
        <x:v>PVLA-CT-PAR-07</x:v>
      </x:c>
      <x:c r="K1633" s="35" t="str"/>
      <x:c r="L1633" s="31" t="str">
        <x:v>Finish with two objects in the bowl.</x:v>
      </x:c>
      <x:c r="M1633" s="31" t="str">
        <x:v>Finish with two objects in the bowl.</x:v>
      </x:c>
      <x:c r="N1633" s="31" t="str">
        <x:v>C-N01: bowl=[blue pen] (1); table left→right=[yellow block, green pencil sharpener, airplane toy without propellers]; robot home.</x:v>
      </x:c>
      <x:c r="O1633" s="31" t="str"/>
      <x:c r="P1633" s="31" t="str"/>
      <x:c r="Q1633" s="31" t="str"/>
      <x:c r="R1633" s="31" t="str"/>
      <x:c r="S1633" s="31" t="str">
        <x:f>IF('Blind Scoring'!I1633="","",'Blind Scoring'!I1633)</x:f>
      </x:c>
      <x:c r="T1633" s="31" t="str">
        <x:f>'Blind Scoring'!J1633</x:f>
        <x:v>No</x:v>
      </x:c>
      <x:c r="U1633" s="31" t="str">
        <x:f>IF('Blind Scoring'!L1633="","",'Blind Scoring'!L1633)</x:f>
      </x:c>
    </x:row>
    <x:row r="1634" ht="44" customHeight="1">
      <x:c r="A1634" s="35" t="str">
        <x:v>Not Started</x:v>
      </x:c>
      <x:c r="B1634" s="35" t="n">
        <x:v>1632</x:v>
      </x:c>
      <x:c r="C1634" s="35" t="str">
        <x:v>P27</x:v>
      </x:c>
      <x:c r="D1634" s="35" t="n">
        <x:v>21</x:v>
      </x:c>
      <x:c r="E1634" s="35" t="str">
        <x:v>Primary VLA</x:v>
      </x:c>
      <x:c r="F1634" s="35" t="str">
        <x:v>VLA-0</x:v>
      </x:c>
      <x:c r="G1634" s="35" t="n">
        <x:v>3</x:v>
      </x:c>
      <x:c r="H1634" s="35" t="str">
        <x:v>Counting</x:v>
      </x:c>
      <x:c r="I1634" s="35" t="str">
        <x:v>Exact-scene paraphrase</x:v>
      </x:c>
      <x:c r="J1634" s="35" t="str">
        <x:v>PVLA-CT-PAR-06</x:v>
      </x:c>
      <x:c r="K1634" s="35" t="str"/>
      <x:c r="L1634" s="31" t="str">
        <x:v>Finish with two objects in the bowl.</x:v>
      </x:c>
      <x:c r="M1634" s="31" t="str">
        <x:v>Finish with two objects in the bowl.</x:v>
      </x:c>
      <x:c r="N1634" s="31" t="str">
        <x:v>C-N01: bowl=[blue pen] (1); table left→right=[yellow block, green pencil sharpener, airplane toy without propellers]; robot home.</x:v>
      </x:c>
      <x:c r="O1634" s="31" t="str"/>
      <x:c r="P1634" s="31" t="str"/>
      <x:c r="Q1634" s="31" t="str"/>
      <x:c r="R1634" s="31" t="str"/>
      <x:c r="S1634" s="31" t="str">
        <x:f>IF('Blind Scoring'!I1634="","",'Blind Scoring'!I1634)</x:f>
      </x:c>
      <x:c r="T1634" s="31" t="str">
        <x:f>'Blind Scoring'!J1634</x:f>
        <x:v>No</x:v>
      </x:c>
      <x:c r="U1634" s="31" t="str">
        <x:f>IF('Blind Scoring'!L1634="","",'Blind Scoring'!L1634)</x:f>
      </x:c>
    </x:row>
    <x:row r="1635" ht="44" customHeight="1">
      <x:c r="A1635" s="35" t="str">
        <x:v>Not Started</x:v>
      </x:c>
      <x:c r="B1635" s="35" t="n">
        <x:v>1633</x:v>
      </x:c>
      <x:c r="C1635" s="35" t="str">
        <x:v>P27</x:v>
      </x:c>
      <x:c r="D1635" s="35" t="n">
        <x:v>22</x:v>
      </x:c>
      <x:c r="E1635" s="35" t="str">
        <x:v>Primary VLA</x:v>
      </x:c>
      <x:c r="F1635" s="35" t="str">
        <x:v>VLA-0</x:v>
      </x:c>
      <x:c r="G1635" s="35" t="n">
        <x:v>3</x:v>
      </x:c>
      <x:c r="H1635" s="35" t="str">
        <x:v>Counting</x:v>
      </x:c>
      <x:c r="I1635" s="35" t="str">
        <x:v>Main held-out transfer</x:v>
      </x:c>
      <x:c r="J1635" s="35" t="str">
        <x:v>PVLA-CT-TR-07</x:v>
      </x:c>
      <x:c r="K1635" s="35" t="str">
        <x:v>C-CF06-A</x:v>
      </x:c>
      <x:c r="L1635" s="31" t="str">
        <x:v>Leave exactly one object in the bowl.</x:v>
      </x:c>
      <x:c r="M1635" s="31" t="str">
        <x:v>Leave exactly one object in the bowl.</x:v>
      </x:c>
      <x:c r="N1635" s="31" t="str">
        <x:v>C-CF06A: bowl=[yellow block, green pencil sharpener] (2); table=[airplane toy without propellers, blue pen]; robot home; acceptable action=remove either bowl object.</x:v>
      </x:c>
      <x:c r="O1635" s="31" t="str">
        <x:v>REMOVE one bowl object</x:v>
      </x:c>
      <x:c r="P1635" s="31" t="str"/>
      <x:c r="Q1635" s="31" t="str"/>
      <x:c r="R1635" s="31" t="str"/>
      <x:c r="S1635" s="31" t="str">
        <x:f>IF('Blind Scoring'!I1635="","",'Blind Scoring'!I1635)</x:f>
      </x:c>
      <x:c r="T1635" s="31" t="str">
        <x:f>'Blind Scoring'!J1635</x:f>
        <x:v>No</x:v>
      </x:c>
      <x:c r="U1635" s="31" t="str">
        <x:f>IF('Blind Scoring'!L1635="","",'Blind Scoring'!L1635)</x:f>
      </x:c>
    </x:row>
    <x:row r="1636" ht="44" customHeight="1">
      <x:c r="A1636" s="35" t="str">
        <x:v>Not Started</x:v>
      </x:c>
      <x:c r="B1636" s="35" t="n">
        <x:v>1634</x:v>
      </x:c>
      <x:c r="C1636" s="35" t="str">
        <x:v>P27</x:v>
      </x:c>
      <x:c r="D1636" s="35" t="n">
        <x:v>23</x:v>
      </x:c>
      <x:c r="E1636" s="35" t="str">
        <x:v>Primary VLA</x:v>
      </x:c>
      <x:c r="F1636" s="35" t="str">
        <x:v>VLA-0</x:v>
      </x:c>
      <x:c r="G1636" s="35" t="n">
        <x:v>3</x:v>
      </x:c>
      <x:c r="H1636" s="35" t="str">
        <x:v>Counting</x:v>
      </x:c>
      <x:c r="I1636" s="35" t="str">
        <x:v>Exact-scene paraphrase</x:v>
      </x:c>
      <x:c r="J1636" s="35" t="str">
        <x:v>PVLA-CT-PAR-05</x:v>
      </x:c>
      <x:c r="K1636" s="35" t="str"/>
      <x:c r="L1636" s="31" t="str">
        <x:v>Finish with two objects in the bowl.</x:v>
      </x:c>
      <x:c r="M1636" s="31" t="str">
        <x:v>Finish with two objects in the bowl.</x:v>
      </x:c>
      <x:c r="N1636" s="31" t="str">
        <x:v>C-N01: bowl=[blue pen] (1); table left→right=[yellow block, green pencil sharpener, airplane toy without propellers]; robot home.</x:v>
      </x:c>
      <x:c r="O1636" s="31" t="str"/>
      <x:c r="P1636" s="31" t="str"/>
      <x:c r="Q1636" s="31" t="str"/>
      <x:c r="R1636" s="31" t="str"/>
      <x:c r="S1636" s="31" t="str">
        <x:f>IF('Blind Scoring'!I1636="","",'Blind Scoring'!I1636)</x:f>
      </x:c>
      <x:c r="T1636" s="31" t="str">
        <x:f>'Blind Scoring'!J1636</x:f>
        <x:v>No</x:v>
      </x:c>
      <x:c r="U1636" s="31" t="str">
        <x:f>IF('Blind Scoring'!L1636="","",'Blind Scoring'!L1636)</x:f>
      </x:c>
    </x:row>
    <x:row r="1637" ht="44" customHeight="1">
      <x:c r="A1637" s="35" t="str">
        <x:v>Not Started</x:v>
      </x:c>
      <x:c r="B1637" s="35" t="n">
        <x:v>1635</x:v>
      </x:c>
      <x:c r="C1637" s="35" t="str">
        <x:v>P27</x:v>
      </x:c>
      <x:c r="D1637" s="35" t="n">
        <x:v>24</x:v>
      </x:c>
      <x:c r="E1637" s="35" t="str">
        <x:v>Primary VLA</x:v>
      </x:c>
      <x:c r="F1637" s="35" t="str">
        <x:v>VLA-0</x:v>
      </x:c>
      <x:c r="G1637" s="35" t="n">
        <x:v>3</x:v>
      </x:c>
      <x:c r="H1637" s="35" t="str">
        <x:v>Counting</x:v>
      </x:c>
      <x:c r="I1637" s="35" t="str">
        <x:v>Exact-scene paraphrase</x:v>
      </x:c>
      <x:c r="J1637" s="35" t="str">
        <x:v>PVLA-CT-PAR-02</x:v>
      </x:c>
      <x:c r="K1637" s="35" t="str"/>
      <x:c r="L1637" s="31" t="str">
        <x:v>Finish with two objects in the bowl.</x:v>
      </x:c>
      <x:c r="M1637" s="31" t="str">
        <x:v>Finish with two objects in the bowl.</x:v>
      </x:c>
      <x:c r="N1637" s="31" t="str">
        <x:v>C-N01: bowl=[blue pen] (1); table left→right=[yellow block, green pencil sharpener, airplane toy without propellers]; robot home.</x:v>
      </x:c>
      <x:c r="O1637" s="31" t="str"/>
      <x:c r="P1637" s="31" t="str"/>
      <x:c r="Q1637" s="31" t="str"/>
      <x:c r="R1637" s="31" t="str"/>
      <x:c r="S1637" s="31" t="str">
        <x:f>IF('Blind Scoring'!I1637="","",'Blind Scoring'!I1637)</x:f>
      </x:c>
      <x:c r="T1637" s="31" t="str">
        <x:f>'Blind Scoring'!J1637</x:f>
        <x:v>No</x:v>
      </x:c>
      <x:c r="U1637" s="31" t="str">
        <x:f>IF('Blind Scoring'!L1637="","",'Blind Scoring'!L1637)</x:f>
      </x:c>
    </x:row>
    <x:row r="1638" ht="44" customHeight="1">
      <x:c r="A1638" s="35" t="str">
        <x:v>Not Started</x:v>
      </x:c>
      <x:c r="B1638" s="35" t="n">
        <x:v>1636</x:v>
      </x:c>
      <x:c r="C1638" s="35" t="str">
        <x:v>P27</x:v>
      </x:c>
      <x:c r="D1638" s="35" t="n">
        <x:v>25</x:v>
      </x:c>
      <x:c r="E1638" s="35" t="str">
        <x:v>Primary VLA</x:v>
      </x:c>
      <x:c r="F1638" s="35" t="str">
        <x:v>VLA-0</x:v>
      </x:c>
      <x:c r="G1638" s="35" t="n">
        <x:v>3</x:v>
      </x:c>
      <x:c r="H1638" s="35" t="str">
        <x:v>Counting</x:v>
      </x:c>
      <x:c r="I1638" s="35" t="str">
        <x:v>Main held-out transfer</x:v>
      </x:c>
      <x:c r="J1638" s="35" t="str">
        <x:v>PVLA-CT-TR-15</x:v>
      </x:c>
      <x:c r="K1638" s="35" t="str">
        <x:v>C-CF12-A</x:v>
      </x:c>
      <x:c r="L1638" s="31" t="str">
        <x:v>Leave exactly one object in the bowl.</x:v>
      </x:c>
      <x:c r="M1638" s="31" t="str">
        <x:v>Leave exactly one object in the bowl.</x:v>
      </x:c>
      <x:c r="N1638" s="31" t="str">
        <x:v>C-CF12A: bowl=[airplane toy without propellers, blue pen] (2); table=[yellow block, green pencil sharpener]; robot home; acceptable action=remove either bowl object.</x:v>
      </x:c>
      <x:c r="O1638" s="31" t="str">
        <x:v>REMOVE one bowl object</x:v>
      </x:c>
      <x:c r="P1638" s="31" t="str"/>
      <x:c r="Q1638" s="31" t="str"/>
      <x:c r="R1638" s="31" t="str"/>
      <x:c r="S1638" s="31" t="str">
        <x:f>IF('Blind Scoring'!I1638="","",'Blind Scoring'!I1638)</x:f>
      </x:c>
      <x:c r="T1638" s="31" t="str">
        <x:f>'Blind Scoring'!J1638</x:f>
        <x:v>No</x:v>
      </x:c>
      <x:c r="U1638" s="31" t="str">
        <x:f>IF('Blind Scoring'!L1638="","",'Blind Scoring'!L1638)</x:f>
      </x:c>
    </x:row>
    <x:row r="1639" ht="44" customHeight="1">
      <x:c r="A1639" s="35" t="str">
        <x:v>Not Started</x:v>
      </x:c>
      <x:c r="B1639" s="35" t="n">
        <x:v>1637</x:v>
      </x:c>
      <x:c r="C1639" s="35" t="str">
        <x:v>P27</x:v>
      </x:c>
      <x:c r="D1639" s="35" t="n">
        <x:v>26</x:v>
      </x:c>
      <x:c r="E1639" s="35" t="str">
        <x:v>Primary VLA</x:v>
      </x:c>
      <x:c r="F1639" s="35" t="str">
        <x:v>VLA-0</x:v>
      </x:c>
      <x:c r="G1639" s="35" t="n">
        <x:v>3</x:v>
      </x:c>
      <x:c r="H1639" s="35" t="str">
        <x:v>Counting</x:v>
      </x:c>
      <x:c r="I1639" s="35" t="str">
        <x:v>Main matched control</x:v>
      </x:c>
      <x:c r="J1639" s="35" t="str">
        <x:v>PVLA-CT-CTL-02</x:v>
      </x:c>
      <x:c r="K1639" s="35" t="str">
        <x:v>C-CF01-B</x:v>
      </x:c>
      <x:c r="L1639" s="31" t="str">
        <x:v>Put the green pencil sharpener in the bowl.</x:v>
      </x:c>
      <x:c r="M1639" s="31" t="str">
        <x:v>Put the green pencil sharpener in the bowl.</x:v>
      </x:c>
      <x:c r="N1639" s="31" t="str">
        <x:v>C-CF01-CB: bowl=[blue pen, yellow block] (2); table=[green pencil sharpener, airplane toy without propellers]; robot home; acceptable action=add either table object.</x:v>
      </x:c>
      <x:c r="O1639" s="31" t="str">
        <x:v>ADD green pencil sharpener</x:v>
      </x:c>
      <x:c r="P1639" s="31" t="str"/>
      <x:c r="Q1639" s="31" t="str"/>
      <x:c r="R1639" s="31" t="str"/>
      <x:c r="S1639" s="31" t="str">
        <x:f>IF('Blind Scoring'!I1639="","",'Blind Scoring'!I1639)</x:f>
      </x:c>
      <x:c r="T1639" s="31" t="str">
        <x:f>'Blind Scoring'!J1639</x:f>
        <x:v>No</x:v>
      </x:c>
      <x:c r="U1639" s="31" t="str">
        <x:f>IF('Blind Scoring'!L1639="","",'Blind Scoring'!L1639)</x:f>
      </x:c>
    </x:row>
    <x:row r="1640" ht="44" customHeight="1">
      <x:c r="A1640" s="35" t="str">
        <x:v>Not Started</x:v>
      </x:c>
      <x:c r="B1640" s="35" t="n">
        <x:v>1638</x:v>
      </x:c>
      <x:c r="C1640" s="35" t="str">
        <x:v>P27</x:v>
      </x:c>
      <x:c r="D1640" s="35" t="n">
        <x:v>27</x:v>
      </x:c>
      <x:c r="E1640" s="35" t="str">
        <x:v>Primary VLA</x:v>
      </x:c>
      <x:c r="F1640" s="35" t="str">
        <x:v>VLA-0</x:v>
      </x:c>
      <x:c r="G1640" s="35" t="n">
        <x:v>3</x:v>
      </x:c>
      <x:c r="H1640" s="35" t="str">
        <x:v>Counting</x:v>
      </x:c>
      <x:c r="I1640" s="35" t="str">
        <x:v>Language ablation — counterfactual</x:v>
      </x:c>
      <x:c r="J1640" s="35" t="str">
        <x:v>PVLA-CT-ABL-CF-04</x:v>
      </x:c>
      <x:c r="K1640" s="35" t="str">
        <x:v>C-CF06-B</x:v>
      </x:c>
      <x:c r="L1640" s="31" t="str">
        <x:v>Leave exactly one object in the bowl.</x:v>
      </x:c>
      <x:c r="M1640" s="31" t="str">
        <x:v>Leave exactly one object in the bowl.</x:v>
      </x:c>
      <x:c r="N1640" s="31" t="str">
        <x:v>C-CF06B: bowl=[yellow block, green pencil sharpener] (2); table=[airplane toy without propellers, blue pen]; robot home; acceptable action=add either table object.</x:v>
      </x:c>
      <x:c r="O1640" s="31" t="str">
        <x:v>REMOVE one bowl object</x:v>
      </x:c>
      <x:c r="P1640" s="31" t="str"/>
      <x:c r="Q1640" s="31" t="str"/>
      <x:c r="R1640" s="31" t="str"/>
      <x:c r="S1640" s="31" t="str">
        <x:f>IF('Blind Scoring'!I1640="","",'Blind Scoring'!I1640)</x:f>
      </x:c>
      <x:c r="T1640" s="31" t="str">
        <x:f>'Blind Scoring'!J1640</x:f>
        <x:v>No</x:v>
      </x:c>
      <x:c r="U1640" s="31" t="str">
        <x:f>IF('Blind Scoring'!L1640="","",'Blind Scoring'!L1640)</x:f>
      </x:c>
    </x:row>
    <x:row r="1641" ht="44" customHeight="1">
      <x:c r="A1641" s="35" t="str">
        <x:v>Not Started</x:v>
      </x:c>
      <x:c r="B1641" s="35" t="n">
        <x:v>1639</x:v>
      </x:c>
      <x:c r="C1641" s="35" t="str">
        <x:v>P27</x:v>
      </x:c>
      <x:c r="D1641" s="35" t="n">
        <x:v>28</x:v>
      </x:c>
      <x:c r="E1641" s="35" t="str">
        <x:v>Primary VLA</x:v>
      </x:c>
      <x:c r="F1641" s="35" t="str">
        <x:v>VLA-0</x:v>
      </x:c>
      <x:c r="G1641" s="35" t="n">
        <x:v>3</x:v>
      </x:c>
      <x:c r="H1641" s="35" t="str">
        <x:v>Counting</x:v>
      </x:c>
      <x:c r="I1641" s="35" t="str">
        <x:v>Main held-out transfer</x:v>
      </x:c>
      <x:c r="J1641" s="35" t="str">
        <x:v>PVLA-CT-TR-09</x:v>
      </x:c>
      <x:c r="K1641" s="35" t="str">
        <x:v>C-CF07-A</x:v>
      </x:c>
      <x:c r="L1641" s="31" t="str">
        <x:v>Leave exactly one object in the bowl.</x:v>
      </x:c>
      <x:c r="M1641" s="31" t="str">
        <x:v>Leave exactly one object in the bowl.</x:v>
      </x:c>
      <x:c r="N1641" s="31" t="str">
        <x:v>C-CF07A: bowl=[green pencil sharpener, airplane toy without propellers] (2); table=[blue pen, yellow block]; robot home; acceptable action=remove either bowl object.</x:v>
      </x:c>
      <x:c r="O1641" s="31" t="str">
        <x:v>REMOVE one bowl object</x:v>
      </x:c>
      <x:c r="P1641" s="31" t="str"/>
      <x:c r="Q1641" s="31" t="str"/>
      <x:c r="R1641" s="31" t="str"/>
      <x:c r="S1641" s="31" t="str">
        <x:f>IF('Blind Scoring'!I1641="","",'Blind Scoring'!I1641)</x:f>
      </x:c>
      <x:c r="T1641" s="31" t="str">
        <x:f>'Blind Scoring'!J1641</x:f>
        <x:v>No</x:v>
      </x:c>
      <x:c r="U1641" s="31" t="str">
        <x:f>IF('Blind Scoring'!L1641="","",'Blind Scoring'!L1641)</x:f>
      </x:c>
    </x:row>
    <x:row r="1642" ht="44" customHeight="1">
      <x:c r="A1642" s="35" t="str">
        <x:v>Not Started</x:v>
      </x:c>
      <x:c r="B1642" s="35" t="n">
        <x:v>1640</x:v>
      </x:c>
      <x:c r="C1642" s="35" t="str">
        <x:v>P27</x:v>
      </x:c>
      <x:c r="D1642" s="35" t="n">
        <x:v>29</x:v>
      </x:c>
      <x:c r="E1642" s="35" t="str">
        <x:v>Primary VLA</x:v>
      </x:c>
      <x:c r="F1642" s="35" t="str">
        <x:v>VLA-0</x:v>
      </x:c>
      <x:c r="G1642" s="35" t="n">
        <x:v>3</x:v>
      </x:c>
      <x:c r="H1642" s="35" t="str">
        <x:v>Counting</x:v>
      </x:c>
      <x:c r="I1642" s="35" t="str">
        <x:v>Main held-out transfer</x:v>
      </x:c>
      <x:c r="J1642" s="35" t="str">
        <x:v>PVLA-CT-TR-12</x:v>
      </x:c>
      <x:c r="K1642" s="35" t="str">
        <x:v>C-CF09-B</x:v>
      </x:c>
      <x:c r="L1642" s="31" t="str">
        <x:v>Leave exactly three objects in the bowl.</x:v>
      </x:c>
      <x:c r="M1642" s="31" t="str">
        <x:v>Leave exactly three objects in the bowl.</x:v>
      </x:c>
      <x:c r="N1642" s="31" t="str">
        <x:v>C-CF09B: bowl=[blue pen, yellow block] (2); table=[green pencil sharpener, airplane toy without propellers]; robot home; acceptable action=add either table object.</x:v>
      </x:c>
      <x:c r="O1642" s="31" t="str">
        <x:v>ADD one table object</x:v>
      </x:c>
      <x:c r="P1642" s="31" t="str"/>
      <x:c r="Q1642" s="31" t="str"/>
      <x:c r="R1642" s="31" t="str"/>
      <x:c r="S1642" s="31" t="str">
        <x:f>IF('Blind Scoring'!I1642="","",'Blind Scoring'!I1642)</x:f>
      </x:c>
      <x:c r="T1642" s="31" t="str">
        <x:f>'Blind Scoring'!J1642</x:f>
        <x:v>No</x:v>
      </x:c>
      <x:c r="U1642" s="31" t="str">
        <x:f>IF('Blind Scoring'!L1642="","",'Blind Scoring'!L1642)</x:f>
      </x:c>
    </x:row>
    <x:row r="1643" ht="44" customHeight="1">
      <x:c r="A1643" s="35" t="str">
        <x:v>Not Started</x:v>
      </x:c>
      <x:c r="B1643" s="35" t="n">
        <x:v>1641</x:v>
      </x:c>
      <x:c r="C1643" s="35" t="str">
        <x:v>P27</x:v>
      </x:c>
      <x:c r="D1643" s="35" t="n">
        <x:v>30</x:v>
      </x:c>
      <x:c r="E1643" s="35" t="str">
        <x:v>Primary VLA</x:v>
      </x:c>
      <x:c r="F1643" s="35" t="str">
        <x:v>VLA-0</x:v>
      </x:c>
      <x:c r="G1643" s="35" t="n">
        <x:v>3</x:v>
      </x:c>
      <x:c r="H1643" s="35" t="str">
        <x:v>Counting</x:v>
      </x:c>
      <x:c r="I1643" s="35" t="str">
        <x:v>Main held-out transfer</x:v>
      </x:c>
      <x:c r="J1643" s="35" t="str">
        <x:v>PVLA-CT-TR-16</x:v>
      </x:c>
      <x:c r="K1643" s="35" t="str">
        <x:v>C-CF12-B</x:v>
      </x:c>
      <x:c r="L1643" s="31" t="str">
        <x:v>Leave exactly three objects in the bowl.</x:v>
      </x:c>
      <x:c r="M1643" s="31" t="str">
        <x:v>Leave exactly three objects in the bowl.</x:v>
      </x:c>
      <x:c r="N1643" s="31" t="str">
        <x:v>C-CF12B: bowl=[airplane toy without propellers, blue pen] (2); table=[yellow block, green pencil sharpener]; robot home; acceptable action=add either table object.</x:v>
      </x:c>
      <x:c r="O1643" s="31" t="str">
        <x:v>ADD one table object</x:v>
      </x:c>
      <x:c r="P1643" s="31" t="str"/>
      <x:c r="Q1643" s="31" t="str"/>
      <x:c r="R1643" s="31" t="str"/>
      <x:c r="S1643" s="31" t="str">
        <x:f>IF('Blind Scoring'!I1643="","",'Blind Scoring'!I1643)</x:f>
      </x:c>
      <x:c r="T1643" s="31" t="str">
        <x:f>'Blind Scoring'!J1643</x:f>
        <x:v>No</x:v>
      </x:c>
      <x:c r="U1643" s="31" t="str">
        <x:f>IF('Blind Scoring'!L1643="","",'Blind Scoring'!L1643)</x:f>
      </x:c>
    </x:row>
    <x:row r="1644" ht="44" customHeight="1">
      <x:c r="A1644" s="35" t="str">
        <x:v>Not Started</x:v>
      </x:c>
      <x:c r="B1644" s="35" t="n">
        <x:v>1642</x:v>
      </x:c>
      <x:c r="C1644" s="35" t="str">
        <x:v>P27</x:v>
      </x:c>
      <x:c r="D1644" s="35" t="n">
        <x:v>31</x:v>
      </x:c>
      <x:c r="E1644" s="35" t="str">
        <x:v>Primary VLA</x:v>
      </x:c>
      <x:c r="F1644" s="35" t="str">
        <x:v>VLA-0</x:v>
      </x:c>
      <x:c r="G1644" s="35" t="n">
        <x:v>3</x:v>
      </x:c>
      <x:c r="H1644" s="35" t="str">
        <x:v>Counting</x:v>
      </x:c>
      <x:c r="I1644" s="35" t="str">
        <x:v>Main held-out transfer</x:v>
      </x:c>
      <x:c r="J1644" s="35" t="str">
        <x:v>PVLA-CT-TR-05</x:v>
      </x:c>
      <x:c r="K1644" s="35" t="str">
        <x:v>C-CF04-A</x:v>
      </x:c>
      <x:c r="L1644" s="31" t="str">
        <x:v>Leave exactly one object in the bowl.</x:v>
      </x:c>
      <x:c r="M1644" s="31" t="str">
        <x:v>Leave exactly one object in the bowl.</x:v>
      </x:c>
      <x:c r="N1644" s="31" t="str">
        <x:v>C-CF04A: bowl=[airplane toy without propellers, blue pen] (2); table=[yellow block, green pencil sharpener]; robot home; acceptable action=remove either bowl object.</x:v>
      </x:c>
      <x:c r="O1644" s="31" t="str">
        <x:v>REMOVE one bowl object</x:v>
      </x:c>
      <x:c r="P1644" s="31" t="str"/>
      <x:c r="Q1644" s="31" t="str"/>
      <x:c r="R1644" s="31" t="str"/>
      <x:c r="S1644" s="31" t="str">
        <x:f>IF('Blind Scoring'!I1644="","",'Blind Scoring'!I1644)</x:f>
      </x:c>
      <x:c r="T1644" s="31" t="str">
        <x:f>'Blind Scoring'!J1644</x:f>
        <x:v>No</x:v>
      </x:c>
      <x:c r="U1644" s="31" t="str">
        <x:f>IF('Blind Scoring'!L1644="","",'Blind Scoring'!L1644)</x:f>
      </x:c>
    </x:row>
    <x:row r="1645" ht="44" customHeight="1">
      <x:c r="A1645" s="35" t="str">
        <x:v>Not Started</x:v>
      </x:c>
      <x:c r="B1645" s="35" t="n">
        <x:v>1643</x:v>
      </x:c>
      <x:c r="C1645" s="35" t="str">
        <x:v>P27</x:v>
      </x:c>
      <x:c r="D1645" s="35" t="n">
        <x:v>32</x:v>
      </x:c>
      <x:c r="E1645" s="35" t="str">
        <x:v>Primary VLA</x:v>
      </x:c>
      <x:c r="F1645" s="35" t="str">
        <x:v>VLA-0</x:v>
      </x:c>
      <x:c r="G1645" s="35" t="n">
        <x:v>3</x:v>
      </x:c>
      <x:c r="H1645" s="35" t="str">
        <x:v>Counting</x:v>
      </x:c>
      <x:c r="I1645" s="35" t="str">
        <x:v>Novel layout + seen language</x:v>
      </x:c>
      <x:c r="J1645" s="35" t="str">
        <x:v>PVLA-CT-NOV-06</x:v>
      </x:c>
      <x:c r="K1645" s="35" t="str"/>
      <x:c r="L1645" s="31" t="str">
        <x:v>Adjust the bowl so that it contains zero objects.</x:v>
      </x:c>
      <x:c r="M1645" s="31" t="str">
        <x:v>Adjust the bowl so that it contains zero objects.</x:v>
      </x:c>
      <x:c r="N1645" s="31" t="str">
        <x:v>C-N15: bowl=[blue pen] (1); table left→right=[yellow block, green pencil sharpener, airplane toy without propellers]; robot home.</x:v>
      </x:c>
      <x:c r="O1645" s="31" t="str"/>
      <x:c r="P1645" s="31" t="str"/>
      <x:c r="Q1645" s="31" t="str"/>
      <x:c r="R1645" s="31" t="str"/>
      <x:c r="S1645" s="31" t="str">
        <x:f>IF('Blind Scoring'!I1645="","",'Blind Scoring'!I1645)</x:f>
      </x:c>
      <x:c r="T1645" s="31" t="str">
        <x:f>'Blind Scoring'!J1645</x:f>
        <x:v>No</x:v>
      </x:c>
      <x:c r="U1645" s="31" t="str">
        <x:f>IF('Blind Scoring'!L1645="","",'Blind Scoring'!L1645)</x:f>
      </x:c>
    </x:row>
    <x:row r="1646" ht="44" customHeight="1">
      <x:c r="A1646" s="35" t="str">
        <x:v>Not Started</x:v>
      </x:c>
      <x:c r="B1646" s="35" t="n">
        <x:v>1644</x:v>
      </x:c>
      <x:c r="C1646" s="35" t="str">
        <x:v>P27</x:v>
      </x:c>
      <x:c r="D1646" s="35" t="n">
        <x:v>33</x:v>
      </x:c>
      <x:c r="E1646" s="35" t="str">
        <x:v>Primary VLA</x:v>
      </x:c>
      <x:c r="F1646" s="35" t="str">
        <x:v>VLA-0</x:v>
      </x:c>
      <x:c r="G1646" s="35" t="n">
        <x:v>3</x:v>
      </x:c>
      <x:c r="H1646" s="35" t="str">
        <x:v>Counting</x:v>
      </x:c>
      <x:c r="I1646" s="35" t="str">
        <x:v>Main matched control</x:v>
      </x:c>
      <x:c r="J1646" s="35" t="str">
        <x:v>PVLA-CT-CTL-08</x:v>
      </x:c>
      <x:c r="K1646" s="35" t="str">
        <x:v>C-CF06-B</x:v>
      </x:c>
      <x:c r="L1646" s="31" t="str">
        <x:v>Put the airplane toy without propellers in the bowl.</x:v>
      </x:c>
      <x:c r="M1646" s="31" t="str">
        <x:v>Put the airplane toy without propellers in the bowl.</x:v>
      </x:c>
      <x:c r="N1646" s="31" t="str">
        <x:v>C-CF06-CB: bowl=[yellow block, green pencil sharpener] (2); table=[airplane toy without propellers, blue pen]; robot home; acceptable action=add either table object.</x:v>
      </x:c>
      <x:c r="O1646" s="31" t="str">
        <x:v>ADD airplane toy without propellers</x:v>
      </x:c>
      <x:c r="P1646" s="31" t="str"/>
      <x:c r="Q1646" s="31" t="str"/>
      <x:c r="R1646" s="31" t="str"/>
      <x:c r="S1646" s="31" t="str">
        <x:f>IF('Blind Scoring'!I1646="","",'Blind Scoring'!I1646)</x:f>
      </x:c>
      <x:c r="T1646" s="31" t="str">
        <x:f>'Blind Scoring'!J1646</x:f>
        <x:v>No</x:v>
      </x:c>
      <x:c r="U1646" s="31" t="str">
        <x:f>IF('Blind Scoring'!L1646="","",'Blind Scoring'!L1646)</x:f>
      </x:c>
    </x:row>
    <x:row r="1647" ht="44" customHeight="1">
      <x:c r="A1647" s="35" t="str">
        <x:v>Not Started</x:v>
      </x:c>
      <x:c r="B1647" s="35" t="n">
        <x:v>1645</x:v>
      </x:c>
      <x:c r="C1647" s="35" t="str">
        <x:v>P27</x:v>
      </x:c>
      <x:c r="D1647" s="35" t="n">
        <x:v>34</x:v>
      </x:c>
      <x:c r="E1647" s="35" t="str">
        <x:v>Primary VLA</x:v>
      </x:c>
      <x:c r="F1647" s="35" t="str">
        <x:v>VLA-0</x:v>
      </x:c>
      <x:c r="G1647" s="35" t="n">
        <x:v>3</x:v>
      </x:c>
      <x:c r="H1647" s="35" t="str">
        <x:v>Counting</x:v>
      </x:c>
      <x:c r="I1647" s="35" t="str">
        <x:v>Novel layout + seen language</x:v>
      </x:c>
      <x:c r="J1647" s="35" t="str">
        <x:v>PVLA-CT-NOV-04</x:v>
      </x:c>
      <x:c r="K1647" s="35" t="str"/>
      <x:c r="L1647" s="31" t="str">
        <x:v>Adjust the bowl so that it contains two objects.</x:v>
      </x:c>
      <x:c r="M1647" s="31" t="str">
        <x:v>Adjust the bowl so that it contains two objects.</x:v>
      </x:c>
      <x:c r="N1647" s="31" t="str">
        <x:v>C-N09: bowl=[blue pen] (1); table left→right=[yellow block, green pencil sharpener, airplane toy without propellers]; robot home.</x:v>
      </x:c>
      <x:c r="O1647" s="31" t="str"/>
      <x:c r="P1647" s="31" t="str"/>
      <x:c r="Q1647" s="31" t="str"/>
      <x:c r="R1647" s="31" t="str"/>
      <x:c r="S1647" s="31" t="str">
        <x:f>IF('Blind Scoring'!I1647="","",'Blind Scoring'!I1647)</x:f>
      </x:c>
      <x:c r="T1647" s="31" t="str">
        <x:f>'Blind Scoring'!J1647</x:f>
        <x:v>No</x:v>
      </x:c>
      <x:c r="U1647" s="31" t="str">
        <x:f>IF('Blind Scoring'!L1647="","",'Blind Scoring'!L1647)</x:f>
      </x:c>
    </x:row>
    <x:row r="1648" ht="44" customHeight="1">
      <x:c r="A1648" s="35" t="str">
        <x:v>Not Started</x:v>
      </x:c>
      <x:c r="B1648" s="35" t="n">
        <x:v>1646</x:v>
      </x:c>
      <x:c r="C1648" s="35" t="str">
        <x:v>P27</x:v>
      </x:c>
      <x:c r="D1648" s="35" t="n">
        <x:v>35</x:v>
      </x:c>
      <x:c r="E1648" s="35" t="str">
        <x:v>Primary VLA</x:v>
      </x:c>
      <x:c r="F1648" s="35" t="str">
        <x:v>VLA-0</x:v>
      </x:c>
      <x:c r="G1648" s="35" t="n">
        <x:v>3</x:v>
      </x:c>
      <x:c r="H1648" s="35" t="str">
        <x:v>Counting</x:v>
      </x:c>
      <x:c r="I1648" s="35" t="str">
        <x:v>Main matched control</x:v>
      </x:c>
      <x:c r="J1648" s="35" t="str">
        <x:v>PVLA-CT-CTL-13</x:v>
      </x:c>
      <x:c r="K1648" s="35" t="str">
        <x:v>C-CF10-A</x:v>
      </x:c>
      <x:c r="L1648" s="31" t="str">
        <x:v>Remove the yellow block from the bowl.</x:v>
      </x:c>
      <x:c r="M1648" s="31" t="str">
        <x:v>Remove the yellow block from the bowl.</x:v>
      </x:c>
      <x:c r="N1648" s="31" t="str">
        <x:v>C-CF10-CA: bowl=[yellow block, green pencil sharpener] (2); table=[airplane toy without propellers, blue pen]; robot home; acceptable action=remove either bowl object.</x:v>
      </x:c>
      <x:c r="O1648" s="31" t="str">
        <x:v>REMOVE yellow block</x:v>
      </x:c>
      <x:c r="P1648" s="31" t="str"/>
      <x:c r="Q1648" s="31" t="str"/>
      <x:c r="R1648" s="31" t="str"/>
      <x:c r="S1648" s="31" t="str">
        <x:f>IF('Blind Scoring'!I1648="","",'Blind Scoring'!I1648)</x:f>
      </x:c>
      <x:c r="T1648" s="31" t="str">
        <x:f>'Blind Scoring'!J1648</x:f>
        <x:v>No</x:v>
      </x:c>
      <x:c r="U1648" s="31" t="str">
        <x:f>IF('Blind Scoring'!L1648="","",'Blind Scoring'!L1648)</x:f>
      </x:c>
    </x:row>
    <x:row r="1649" ht="44" customHeight="1">
      <x:c r="A1649" s="35" t="str">
        <x:v>Not Started</x:v>
      </x:c>
      <x:c r="B1649" s="35" t="n">
        <x:v>1647</x:v>
      </x:c>
      <x:c r="C1649" s="35" t="str">
        <x:v>P27</x:v>
      </x:c>
      <x:c r="D1649" s="35" t="n">
        <x:v>36</x:v>
      </x:c>
      <x:c r="E1649" s="35" t="str">
        <x:v>Primary VLA</x:v>
      </x:c>
      <x:c r="F1649" s="35" t="str">
        <x:v>VLA-0</x:v>
      </x:c>
      <x:c r="G1649" s="35" t="n">
        <x:v>3</x:v>
      </x:c>
      <x:c r="H1649" s="35" t="str">
        <x:v>Counting</x:v>
      </x:c>
      <x:c r="I1649" s="35" t="str">
        <x:v>Main matched control</x:v>
      </x:c>
      <x:c r="J1649" s="35" t="str">
        <x:v>PVLA-CT-CTL-15</x:v>
      </x:c>
      <x:c r="K1649" s="35" t="str">
        <x:v>C-CF12-A</x:v>
      </x:c>
      <x:c r="L1649" s="31" t="str">
        <x:v>Remove the airplane toy without propellers from the bowl.</x:v>
      </x:c>
      <x:c r="M1649" s="31" t="str">
        <x:v>Remove the airplane toy without propellers from the bowl.</x:v>
      </x:c>
      <x:c r="N1649" s="31" t="str">
        <x:v>C-CF12-CA: bowl=[airplane toy without propellers, blue pen] (2); table=[yellow block, green pencil sharpener]; robot home; acceptable action=remove either bowl object.</x:v>
      </x:c>
      <x:c r="O1649" s="31" t="str">
        <x:v>REMOVE airplane toy without propellers</x:v>
      </x:c>
      <x:c r="P1649" s="31" t="str"/>
      <x:c r="Q1649" s="31" t="str"/>
      <x:c r="R1649" s="31" t="str"/>
      <x:c r="S1649" s="31" t="str">
        <x:f>IF('Blind Scoring'!I1649="","",'Blind Scoring'!I1649)</x:f>
      </x:c>
      <x:c r="T1649" s="31" t="str">
        <x:f>'Blind Scoring'!J1649</x:f>
        <x:v>No</x:v>
      </x:c>
      <x:c r="U1649" s="31" t="str">
        <x:f>IF('Blind Scoring'!L1649="","",'Blind Scoring'!L1649)</x:f>
      </x:c>
    </x:row>
    <x:row r="1650" ht="44" customHeight="1">
      <x:c r="A1650" s="35" t="str">
        <x:v>Not Started</x:v>
      </x:c>
      <x:c r="B1650" s="35" t="n">
        <x:v>1648</x:v>
      </x:c>
      <x:c r="C1650" s="35" t="str">
        <x:v>P27</x:v>
      </x:c>
      <x:c r="D1650" s="35" t="n">
        <x:v>37</x:v>
      </x:c>
      <x:c r="E1650" s="35" t="str">
        <x:v>Primary VLA</x:v>
      </x:c>
      <x:c r="F1650" s="35" t="str">
        <x:v>VLA-0</x:v>
      </x:c>
      <x:c r="G1650" s="35" t="n">
        <x:v>3</x:v>
      </x:c>
      <x:c r="H1650" s="35" t="str">
        <x:v>Counting</x:v>
      </x:c>
      <x:c r="I1650" s="35" t="str">
        <x:v>Language ablation — blank</x:v>
      </x:c>
      <x:c r="J1650" s="35" t="str">
        <x:v>PVLA-CT-ABL-BLK-04</x:v>
      </x:c>
      <x:c r="K1650" s="35" t="str">
        <x:v>C-CF03-B</x:v>
      </x:c>
      <x:c r="L1650" s="31" t="str">
        <x:v>[EMPTY STRING — provide no instruction tokens]</x:v>
      </x:c>
      <x:c r="M1650" s="31" t="str">
        <x:v>Leave exactly three objects in the bowl.</x:v>
      </x:c>
      <x:c r="N1650" s="31" t="str">
        <x:v>C-CF03B: bowl=[green pencil sharpener, airplane toy without propellers] (2); table=[blue pen, yellow block]; robot home; acceptable action=add either table object.</x:v>
      </x:c>
      <x:c r="O1650" s="31" t="str">
        <x:v>No prespecified task success under blank language; record any action/selected target.</x:v>
      </x:c>
      <x:c r="P1650" s="31" t="str"/>
      <x:c r="Q1650" s="31" t="str"/>
      <x:c r="R1650" s="31" t="str"/>
      <x:c r="S1650" s="31" t="str">
        <x:f>IF('Blind Scoring'!I1650="","",'Blind Scoring'!I1650)</x:f>
      </x:c>
      <x:c r="T1650" s="31" t="str">
        <x:f>'Blind Scoring'!J1650</x:f>
        <x:v>No</x:v>
      </x:c>
      <x:c r="U1650" s="31" t="str">
        <x:f>IF('Blind Scoring'!L1650="","",'Blind Scoring'!L1650)</x:f>
      </x:c>
    </x:row>
    <x:row r="1651" ht="44" customHeight="1">
      <x:c r="A1651" s="35" t="str">
        <x:v>Not Started</x:v>
      </x:c>
      <x:c r="B1651" s="35" t="n">
        <x:v>1649</x:v>
      </x:c>
      <x:c r="C1651" s="35" t="str">
        <x:v>P27</x:v>
      </x:c>
      <x:c r="D1651" s="35" t="n">
        <x:v>38</x:v>
      </x:c>
      <x:c r="E1651" s="35" t="str">
        <x:v>Primary VLA</x:v>
      </x:c>
      <x:c r="F1651" s="35" t="str">
        <x:v>VLA-0</x:v>
      </x:c>
      <x:c r="G1651" s="35" t="n">
        <x:v>3</x:v>
      </x:c>
      <x:c r="H1651" s="35" t="str">
        <x:v>Counting</x:v>
      </x:c>
      <x:c r="I1651" s="35" t="str">
        <x:v>Language ablation — blank</x:v>
      </x:c>
      <x:c r="J1651" s="35" t="str">
        <x:v>PVLA-CT-ABL-BLK-03</x:v>
      </x:c>
      <x:c r="K1651" s="35" t="str">
        <x:v>C-CF03-A</x:v>
      </x:c>
      <x:c r="L1651" s="31" t="str">
        <x:v>[EMPTY STRING — provide no instruction tokens]</x:v>
      </x:c>
      <x:c r="M1651" s="31" t="str">
        <x:v>Leave exactly one object in the bowl.</x:v>
      </x:c>
      <x:c r="N1651" s="31" t="str">
        <x:v>C-CF03A: bowl=[green pencil sharpener, airplane toy without propellers] (2); table=[blue pen, yellow block]; robot home; acceptable action=remove either bowl object.</x:v>
      </x:c>
      <x:c r="O1651" s="31" t="str">
        <x:v>No prespecified task success under blank language; record any action/selected target.</x:v>
      </x:c>
      <x:c r="P1651" s="31" t="str"/>
      <x:c r="Q1651" s="31" t="str"/>
      <x:c r="R1651" s="31" t="str"/>
      <x:c r="S1651" s="31" t="str">
        <x:f>IF('Blind Scoring'!I1651="","",'Blind Scoring'!I1651)</x:f>
      </x:c>
      <x:c r="T1651" s="31" t="str">
        <x:f>'Blind Scoring'!J1651</x:f>
        <x:v>No</x:v>
      </x:c>
      <x:c r="U1651" s="31" t="str">
        <x:f>IF('Blind Scoring'!L1651="","",'Blind Scoring'!L1651)</x:f>
      </x:c>
    </x:row>
    <x:row r="1652" ht="44" customHeight="1">
      <x:c r="A1652" s="35" t="str">
        <x:v>Not Started</x:v>
      </x:c>
      <x:c r="B1652" s="35" t="n">
        <x:v>1650</x:v>
      </x:c>
      <x:c r="C1652" s="35" t="str">
        <x:v>P27</x:v>
      </x:c>
      <x:c r="D1652" s="35" t="n">
        <x:v>39</x:v>
      </x:c>
      <x:c r="E1652" s="35" t="str">
        <x:v>Primary VLA</x:v>
      </x:c>
      <x:c r="F1652" s="35" t="str">
        <x:v>VLA-0</x:v>
      </x:c>
      <x:c r="G1652" s="35" t="n">
        <x:v>3</x:v>
      </x:c>
      <x:c r="H1652" s="35" t="str">
        <x:v>Counting</x:v>
      </x:c>
      <x:c r="I1652" s="35" t="str">
        <x:v>Main matched control</x:v>
      </x:c>
      <x:c r="J1652" s="35" t="str">
        <x:v>PVLA-CT-CTL-12</x:v>
      </x:c>
      <x:c r="K1652" s="35" t="str">
        <x:v>C-CF09-B</x:v>
      </x:c>
      <x:c r="L1652" s="31" t="str">
        <x:v>Put the green pencil sharpener in the bowl.</x:v>
      </x:c>
      <x:c r="M1652" s="31" t="str">
        <x:v>Put the green pencil sharpener in the bowl.</x:v>
      </x:c>
      <x:c r="N1652" s="31" t="str">
        <x:v>C-CF09-CB: bowl=[blue pen, yellow block] (2); table=[green pencil sharpener, airplane toy without propellers]; robot home; acceptable action=add either table object.</x:v>
      </x:c>
      <x:c r="O1652" s="31" t="str">
        <x:v>ADD green pencil sharpener</x:v>
      </x:c>
      <x:c r="P1652" s="31" t="str"/>
      <x:c r="Q1652" s="31" t="str"/>
      <x:c r="R1652" s="31" t="str"/>
      <x:c r="S1652" s="31" t="str">
        <x:f>IF('Blind Scoring'!I1652="","",'Blind Scoring'!I1652)</x:f>
      </x:c>
      <x:c r="T1652" s="31" t="str">
        <x:f>'Blind Scoring'!J1652</x:f>
        <x:v>No</x:v>
      </x:c>
      <x:c r="U1652" s="31" t="str">
        <x:f>IF('Blind Scoring'!L1652="","",'Blind Scoring'!L1652)</x:f>
      </x:c>
    </x:row>
    <x:row r="1653" ht="44" customHeight="1">
      <x:c r="A1653" s="35" t="str">
        <x:v>Not Started</x:v>
      </x:c>
      <x:c r="B1653" s="35" t="n">
        <x:v>1651</x:v>
      </x:c>
      <x:c r="C1653" s="35" t="str">
        <x:v>P27</x:v>
      </x:c>
      <x:c r="D1653" s="35" t="n">
        <x:v>40</x:v>
      </x:c>
      <x:c r="E1653" s="35" t="str">
        <x:v>Primary VLA</x:v>
      </x:c>
      <x:c r="F1653" s="35" t="str">
        <x:v>VLA-0</x:v>
      </x:c>
      <x:c r="G1653" s="35" t="n">
        <x:v>3</x:v>
      </x:c>
      <x:c r="H1653" s="35" t="str">
        <x:v>Counting</x:v>
      </x:c>
      <x:c r="I1653" s="35" t="str">
        <x:v>Language ablation — blank</x:v>
      </x:c>
      <x:c r="J1653" s="35" t="str">
        <x:v>PVLA-CT-ABL-BLK-01</x:v>
      </x:c>
      <x:c r="K1653" s="35" t="str">
        <x:v>C-CF01-A</x:v>
      </x:c>
      <x:c r="L1653" s="31" t="str">
        <x:v>[EMPTY STRING — provide no instruction tokens]</x:v>
      </x:c>
      <x:c r="M1653" s="31" t="str">
        <x:v>Leave exactly one object in the bowl.</x:v>
      </x:c>
      <x:c r="N1653" s="31" t="str">
        <x:v>C-CF01A: bowl=[blue pen, yellow block] (2); table=[green pencil sharpener, airplane toy without propellers]; robot home; acceptable action=remove either bowl object.</x:v>
      </x:c>
      <x:c r="O1653" s="31" t="str">
        <x:v>No prespecified task success under blank language; record any action/selected target.</x:v>
      </x:c>
      <x:c r="P1653" s="31" t="str"/>
      <x:c r="Q1653" s="31" t="str"/>
      <x:c r="R1653" s="31" t="str"/>
      <x:c r="S1653" s="31" t="str">
        <x:f>IF('Blind Scoring'!I1653="","",'Blind Scoring'!I1653)</x:f>
      </x:c>
      <x:c r="T1653" s="31" t="str">
        <x:f>'Blind Scoring'!J1653</x:f>
        <x:v>No</x:v>
      </x:c>
      <x:c r="U1653" s="31" t="str">
        <x:f>IF('Blind Scoring'!L1653="","",'Blind Scoring'!L1653)</x:f>
      </x:c>
    </x:row>
    <x:row r="1654" ht="44" customHeight="1">
      <x:c r="A1654" s="35" t="str">
        <x:v>Not Started</x:v>
      </x:c>
      <x:c r="B1654" s="35" t="n">
        <x:v>1652</x:v>
      </x:c>
      <x:c r="C1654" s="35" t="str">
        <x:v>P27</x:v>
      </x:c>
      <x:c r="D1654" s="35" t="n">
        <x:v>41</x:v>
      </x:c>
      <x:c r="E1654" s="35" t="str">
        <x:v>Primary VLA</x:v>
      </x:c>
      <x:c r="F1654" s="35" t="str">
        <x:v>VLA-0</x:v>
      </x:c>
      <x:c r="G1654" s="35" t="n">
        <x:v>3</x:v>
      </x:c>
      <x:c r="H1654" s="35" t="str">
        <x:v>Counting</x:v>
      </x:c>
      <x:c r="I1654" s="35" t="str">
        <x:v>Main held-out transfer</x:v>
      </x:c>
      <x:c r="J1654" s="35" t="str">
        <x:v>PVLA-CT-TR-11</x:v>
      </x:c>
      <x:c r="K1654" s="35" t="str">
        <x:v>C-CF09-A</x:v>
      </x:c>
      <x:c r="L1654" s="31" t="str">
        <x:v>Leave exactly one object in the bowl.</x:v>
      </x:c>
      <x:c r="M1654" s="31" t="str">
        <x:v>Leave exactly one object in the bowl.</x:v>
      </x:c>
      <x:c r="N1654" s="31" t="str">
        <x:v>C-CF09A: bowl=[blue pen, yellow block] (2); table=[green pencil sharpener, airplane toy without propellers]; robot home; acceptable action=remove either bowl object.</x:v>
      </x:c>
      <x:c r="O1654" s="31" t="str">
        <x:v>REMOVE one bowl object</x:v>
      </x:c>
      <x:c r="P1654" s="31" t="str"/>
      <x:c r="Q1654" s="31" t="str"/>
      <x:c r="R1654" s="31" t="str"/>
      <x:c r="S1654" s="31" t="str">
        <x:f>IF('Blind Scoring'!I1654="","",'Blind Scoring'!I1654)</x:f>
      </x:c>
      <x:c r="T1654" s="31" t="str">
        <x:f>'Blind Scoring'!J1654</x:f>
        <x:v>No</x:v>
      </x:c>
      <x:c r="U1654" s="31" t="str">
        <x:f>IF('Blind Scoring'!L1654="","",'Blind Scoring'!L1654)</x:f>
      </x:c>
    </x:row>
    <x:row r="1655" ht="44" customHeight="1">
      <x:c r="A1655" s="35" t="str">
        <x:v>Not Started</x:v>
      </x:c>
      <x:c r="B1655" s="35" t="n">
        <x:v>1653</x:v>
      </x:c>
      <x:c r="C1655" s="35" t="str">
        <x:v>P27</x:v>
      </x:c>
      <x:c r="D1655" s="35" t="n">
        <x:v>42</x:v>
      </x:c>
      <x:c r="E1655" s="35" t="str">
        <x:v>Primary VLA</x:v>
      </x:c>
      <x:c r="F1655" s="35" t="str">
        <x:v>VLA-0</x:v>
      </x:c>
      <x:c r="G1655" s="35" t="n">
        <x:v>3</x:v>
      </x:c>
      <x:c r="H1655" s="35" t="str">
        <x:v>Counting</x:v>
      </x:c>
      <x:c r="I1655" s="35" t="str">
        <x:v>Training reconstruction</x:v>
      </x:c>
      <x:c r="J1655" s="35" t="str">
        <x:v>PVLA-CT-REC-05</x:v>
      </x:c>
      <x:c r="K1655" s="35" t="str"/>
      <x:c r="L1655" s="31" t="str">
        <x:v>Remove the yellow block from the bowl.</x:v>
      </x:c>
      <x:c r="M1655" s="31" t="str">
        <x:v>Remove the yellow block from the bowl.</x:v>
      </x:c>
      <x:c r="N1655" s="31" t="str">
        <x:v>Reconstruct planned final training episode 896: yellow block, green pencil sharpener, airplane toy without propellers, blue pen; start=Post-Drop. Match camera, calibration, bowl pose, and object geometry exactly.</x:v>
      </x:c>
      <x:c r="O1655" s="31" t="str">
        <x:v>yellow block</x:v>
      </x:c>
      <x:c r="P1655" s="31" t="str"/>
      <x:c r="Q1655" s="31" t="str"/>
      <x:c r="R1655" s="31" t="str"/>
      <x:c r="S1655" s="31" t="str">
        <x:f>IF('Blind Scoring'!I1655="","",'Blind Scoring'!I1655)</x:f>
      </x:c>
      <x:c r="T1655" s="31" t="str">
        <x:f>'Blind Scoring'!J1655</x:f>
        <x:v>No</x:v>
      </x:c>
      <x:c r="U1655" s="31" t="str">
        <x:f>IF('Blind Scoring'!L1655="","",'Blind Scoring'!L1655)</x:f>
      </x:c>
    </x:row>
    <x:row r="1656" ht="44" customHeight="1">
      <x:c r="A1656" s="35" t="str">
        <x:v>Not Started</x:v>
      </x:c>
      <x:c r="B1656" s="35" t="n">
        <x:v>1654</x:v>
      </x:c>
      <x:c r="C1656" s="35" t="str">
        <x:v>P27</x:v>
      </x:c>
      <x:c r="D1656" s="35" t="n">
        <x:v>43</x:v>
      </x:c>
      <x:c r="E1656" s="35" t="str">
        <x:v>Primary VLA</x:v>
      </x:c>
      <x:c r="F1656" s="35" t="str">
        <x:v>VLA-0</x:v>
      </x:c>
      <x:c r="G1656" s="35" t="n">
        <x:v>3</x:v>
      </x:c>
      <x:c r="H1656" s="35" t="str">
        <x:v>Counting</x:v>
      </x:c>
      <x:c r="I1656" s="35" t="str">
        <x:v>Training reconstruction</x:v>
      </x:c>
      <x:c r="J1656" s="35" t="str">
        <x:v>PVLA-CT-REC-06</x:v>
      </x:c>
      <x:c r="K1656" s="35" t="str"/>
      <x:c r="L1656" s="31" t="str">
        <x:v>Move the airplane toy without propellers into the bowl.</x:v>
      </x:c>
      <x:c r="M1656" s="31" t="str">
        <x:v>Move the airplane toy without propellers into the bowl.</x:v>
      </x:c>
      <x:c r="N1656" s="31" t="str">
        <x:v>Reconstruct planned final training episode 950: airplane toy without propellers, blue pen, yellow block, green pencil sharpener; start=Home. Match camera, calibration, bowl pose, and object geometry exactly.</x:v>
      </x:c>
      <x:c r="O1656" s="31" t="str">
        <x:v>airplane toy without propellers</x:v>
      </x:c>
      <x:c r="P1656" s="31" t="str"/>
      <x:c r="Q1656" s="31" t="str"/>
      <x:c r="R1656" s="31" t="str"/>
      <x:c r="S1656" s="31" t="str">
        <x:f>IF('Blind Scoring'!I1656="","",'Blind Scoring'!I1656)</x:f>
      </x:c>
      <x:c r="T1656" s="31" t="str">
        <x:f>'Blind Scoring'!J1656</x:f>
        <x:v>No</x:v>
      </x:c>
      <x:c r="U1656" s="31" t="str">
        <x:f>IF('Blind Scoring'!L1656="","",'Blind Scoring'!L1656)</x:f>
      </x:c>
    </x:row>
    <x:row r="1657" ht="44" customHeight="1">
      <x:c r="A1657" s="35" t="str">
        <x:v>Not Started</x:v>
      </x:c>
      <x:c r="B1657" s="35" t="n">
        <x:v>1655</x:v>
      </x:c>
      <x:c r="C1657" s="35" t="str">
        <x:v>P27</x:v>
      </x:c>
      <x:c r="D1657" s="35" t="n">
        <x:v>44</x:v>
      </x:c>
      <x:c r="E1657" s="35" t="str">
        <x:v>Primary VLA</x:v>
      </x:c>
      <x:c r="F1657" s="35" t="str">
        <x:v>VLA-0</x:v>
      </x:c>
      <x:c r="G1657" s="35" t="n">
        <x:v>3</x:v>
      </x:c>
      <x:c r="H1657" s="35" t="str">
        <x:v>Counting</x:v>
      </x:c>
      <x:c r="I1657" s="35" t="str">
        <x:v>Main held-out transfer</x:v>
      </x:c>
      <x:c r="J1657" s="35" t="str">
        <x:v>PVLA-CT-TR-03</x:v>
      </x:c>
      <x:c r="K1657" s="35" t="str">
        <x:v>C-CF03-A</x:v>
      </x:c>
      <x:c r="L1657" s="31" t="str">
        <x:v>Leave exactly one object in the bowl.</x:v>
      </x:c>
      <x:c r="M1657" s="31" t="str">
        <x:v>Leave exactly one object in the bowl.</x:v>
      </x:c>
      <x:c r="N1657" s="31" t="str">
        <x:v>C-CF03A: bowl=[green pencil sharpener, airplane toy without propellers] (2); table=[blue pen, yellow block]; robot home; acceptable action=remove either bowl object.</x:v>
      </x:c>
      <x:c r="O1657" s="31" t="str">
        <x:v>REMOVE one bowl object</x:v>
      </x:c>
      <x:c r="P1657" s="31" t="str"/>
      <x:c r="Q1657" s="31" t="str"/>
      <x:c r="R1657" s="31" t="str"/>
      <x:c r="S1657" s="31" t="str">
        <x:f>IF('Blind Scoring'!I1657="","",'Blind Scoring'!I1657)</x:f>
      </x:c>
      <x:c r="T1657" s="31" t="str">
        <x:f>'Blind Scoring'!J1657</x:f>
        <x:v>No</x:v>
      </x:c>
      <x:c r="U1657" s="31" t="str">
        <x:f>IF('Blind Scoring'!L1657="","",'Blind Scoring'!L1657)</x:f>
      </x:c>
    </x:row>
    <x:row r="1658" ht="44" customHeight="1">
      <x:c r="A1658" s="35" t="str">
        <x:v>Not Started</x:v>
      </x:c>
      <x:c r="B1658" s="35" t="n">
        <x:v>1656</x:v>
      </x:c>
      <x:c r="C1658" s="35" t="str">
        <x:v>P27</x:v>
      </x:c>
      <x:c r="D1658" s="35" t="n">
        <x:v>45</x:v>
      </x:c>
      <x:c r="E1658" s="35" t="str">
        <x:v>Primary VLA</x:v>
      </x:c>
      <x:c r="F1658" s="35" t="str">
        <x:v>VLA-0</x:v>
      </x:c>
      <x:c r="G1658" s="35" t="n">
        <x:v>3</x:v>
      </x:c>
      <x:c r="H1658" s="35" t="str">
        <x:v>Counting</x:v>
      </x:c>
      <x:c r="I1658" s="35" t="str">
        <x:v>Main matched control</x:v>
      </x:c>
      <x:c r="J1658" s="35" t="str">
        <x:v>PVLA-CT-CTL-11</x:v>
      </x:c>
      <x:c r="K1658" s="35" t="str">
        <x:v>C-CF09-A</x:v>
      </x:c>
      <x:c r="L1658" s="31" t="str">
        <x:v>Remove the blue pen from the bowl.</x:v>
      </x:c>
      <x:c r="M1658" s="31" t="str">
        <x:v>Remove the blue pen from the bowl.</x:v>
      </x:c>
      <x:c r="N1658" s="31" t="str">
        <x:v>C-CF09-CA: bowl=[blue pen, yellow block] (2); table=[green pencil sharpener, airplane toy without propellers]; robot home; acceptable action=remove either bowl object.</x:v>
      </x:c>
      <x:c r="O1658" s="31" t="str">
        <x:v>REMOVE blue pen</x:v>
      </x:c>
      <x:c r="P1658" s="31" t="str"/>
      <x:c r="Q1658" s="31" t="str"/>
      <x:c r="R1658" s="31" t="str"/>
      <x:c r="S1658" s="31" t="str">
        <x:f>IF('Blind Scoring'!I1658="","",'Blind Scoring'!I1658)</x:f>
      </x:c>
      <x:c r="T1658" s="31" t="str">
        <x:f>'Blind Scoring'!J1658</x:f>
        <x:v>No</x:v>
      </x:c>
      <x:c r="U1658" s="31" t="str">
        <x:f>IF('Blind Scoring'!L1658="","",'Blind Scoring'!L1658)</x:f>
      </x:c>
    </x:row>
    <x:row r="1659" ht="44" customHeight="1">
      <x:c r="A1659" s="35" t="str">
        <x:v>Not Started</x:v>
      </x:c>
      <x:c r="B1659" s="35" t="n">
        <x:v>1657</x:v>
      </x:c>
      <x:c r="C1659" s="35" t="str">
        <x:v>P27</x:v>
      </x:c>
      <x:c r="D1659" s="35" t="n">
        <x:v>46</x:v>
      </x:c>
      <x:c r="E1659" s="35" t="str">
        <x:v>Primary VLA</x:v>
      </x:c>
      <x:c r="F1659" s="35" t="str">
        <x:v>VLA-0</x:v>
      </x:c>
      <x:c r="G1659" s="35" t="n">
        <x:v>3</x:v>
      </x:c>
      <x:c r="H1659" s="35" t="str">
        <x:v>Counting</x:v>
      </x:c>
      <x:c r="I1659" s="35" t="str">
        <x:v>Main held-out transfer</x:v>
      </x:c>
      <x:c r="J1659" s="35" t="str">
        <x:v>PVLA-CT-TR-04</x:v>
      </x:c>
      <x:c r="K1659" s="35" t="str">
        <x:v>C-CF03-B</x:v>
      </x:c>
      <x:c r="L1659" s="31" t="str">
        <x:v>Leave exactly three objects in the bowl.</x:v>
      </x:c>
      <x:c r="M1659" s="31" t="str">
        <x:v>Leave exactly three objects in the bowl.</x:v>
      </x:c>
      <x:c r="N1659" s="31" t="str">
        <x:v>C-CF03B: bowl=[green pencil sharpener, airplane toy without propellers] (2); table=[blue pen, yellow block]; robot home; acceptable action=add either table object.</x:v>
      </x:c>
      <x:c r="O1659" s="31" t="str">
        <x:v>ADD one table object</x:v>
      </x:c>
      <x:c r="P1659" s="31" t="str"/>
      <x:c r="Q1659" s="31" t="str"/>
      <x:c r="R1659" s="31" t="str"/>
      <x:c r="S1659" s="31" t="str">
        <x:f>IF('Blind Scoring'!I1659="","",'Blind Scoring'!I1659)</x:f>
      </x:c>
      <x:c r="T1659" s="31" t="str">
        <x:f>'Blind Scoring'!J1659</x:f>
        <x:v>No</x:v>
      </x:c>
      <x:c r="U1659" s="31" t="str">
        <x:f>IF('Blind Scoring'!L1659="","",'Blind Scoring'!L1659)</x:f>
      </x:c>
    </x:row>
    <x:row r="1660" ht="44" customHeight="1">
      <x:c r="A1660" s="35" t="str">
        <x:v>Not Started</x:v>
      </x:c>
      <x:c r="B1660" s="35" t="n">
        <x:v>1658</x:v>
      </x:c>
      <x:c r="C1660" s="35" t="str">
        <x:v>P27</x:v>
      </x:c>
      <x:c r="D1660" s="35" t="n">
        <x:v>47</x:v>
      </x:c>
      <x:c r="E1660" s="35" t="str">
        <x:v>Primary VLA</x:v>
      </x:c>
      <x:c r="F1660" s="35" t="str">
        <x:v>VLA-0</x:v>
      </x:c>
      <x:c r="G1660" s="35" t="n">
        <x:v>3</x:v>
      </x:c>
      <x:c r="H1660" s="35" t="str">
        <x:v>Counting</x:v>
      </x:c>
      <x:c r="I1660" s="35" t="str">
        <x:v>Training reconstruction</x:v>
      </x:c>
      <x:c r="J1660" s="35" t="str">
        <x:v>PVLA-CT-REC-03</x:v>
      </x:c>
      <x:c r="K1660" s="35" t="str"/>
      <x:c r="L1660" s="31" t="str">
        <x:v>Move the yellow block into the bowl.</x:v>
      </x:c>
      <x:c r="M1660" s="31" t="str">
        <x:v>Move the yellow block into the bowl.</x:v>
      </x:c>
      <x:c r="N1660" s="31" t="str">
        <x:v>Reconstruct planned final training episode 850: yellow block, green pencil sharpener, airplane toy without propellers, blue pen; start=Home. Match camera, calibration, bowl pose, and object geometry exactly.</x:v>
      </x:c>
      <x:c r="O1660" s="31" t="str">
        <x:v>yellow block</x:v>
      </x:c>
      <x:c r="P1660" s="31" t="str"/>
      <x:c r="Q1660" s="31" t="str"/>
      <x:c r="R1660" s="31" t="str"/>
      <x:c r="S1660" s="31" t="str">
        <x:f>IF('Blind Scoring'!I1660="","",'Blind Scoring'!I1660)</x:f>
      </x:c>
      <x:c r="T1660" s="31" t="str">
        <x:f>'Blind Scoring'!J1660</x:f>
        <x:v>No</x:v>
      </x:c>
      <x:c r="U1660" s="31" t="str">
        <x:f>IF('Blind Scoring'!L1660="","",'Blind Scoring'!L1660)</x:f>
      </x:c>
    </x:row>
    <x:row r="1661" ht="44" customHeight="1">
      <x:c r="A1661" s="35" t="str">
        <x:v>Not Started</x:v>
      </x:c>
      <x:c r="B1661" s="35" t="n">
        <x:v>1659</x:v>
      </x:c>
      <x:c r="C1661" s="35" t="str">
        <x:v>P27</x:v>
      </x:c>
      <x:c r="D1661" s="35" t="n">
        <x:v>48</x:v>
      </x:c>
      <x:c r="E1661" s="35" t="str">
        <x:v>Primary VLA</x:v>
      </x:c>
      <x:c r="F1661" s="35" t="str">
        <x:v>VLA-0</x:v>
      </x:c>
      <x:c r="G1661" s="35" t="n">
        <x:v>3</x:v>
      </x:c>
      <x:c r="H1661" s="35" t="str">
        <x:v>Counting</x:v>
      </x:c>
      <x:c r="I1661" s="35" t="str">
        <x:v>Exact-scene paraphrase</x:v>
      </x:c>
      <x:c r="J1661" s="35" t="str">
        <x:v>PVLA-CT-PAR-04</x:v>
      </x:c>
      <x:c r="K1661" s="35" t="str"/>
      <x:c r="L1661" s="31" t="str">
        <x:v>Finish with two objects in the bowl.</x:v>
      </x:c>
      <x:c r="M1661" s="31" t="str">
        <x:v>Finish with two objects in the bowl.</x:v>
      </x:c>
      <x:c r="N1661" s="31" t="str">
        <x:v>C-N01: bowl=[blue pen] (1); table left→right=[yellow block, green pencil sharpener, airplane toy without propellers]; robot home.</x:v>
      </x:c>
      <x:c r="O1661" s="31" t="str"/>
      <x:c r="P1661" s="31" t="str"/>
      <x:c r="Q1661" s="31" t="str"/>
      <x:c r="R1661" s="31" t="str"/>
      <x:c r="S1661" s="31" t="str">
        <x:f>IF('Blind Scoring'!I1661="","",'Blind Scoring'!I1661)</x:f>
      </x:c>
      <x:c r="T1661" s="31" t="str">
        <x:f>'Blind Scoring'!J1661</x:f>
        <x:v>No</x:v>
      </x:c>
      <x:c r="U1661" s="31" t="str">
        <x:f>IF('Blind Scoring'!L1661="","",'Blind Scoring'!L1661)</x:f>
      </x:c>
    </x:row>
    <x:row r="1662" ht="44" customHeight="1">
      <x:c r="A1662" s="35" t="str">
        <x:v>Not Started</x:v>
      </x:c>
      <x:c r="B1662" s="35" t="n">
        <x:v>1660</x:v>
      </x:c>
      <x:c r="C1662" s="35" t="str">
        <x:v>P27</x:v>
      </x:c>
      <x:c r="D1662" s="35" t="n">
        <x:v>49</x:v>
      </x:c>
      <x:c r="E1662" s="35" t="str">
        <x:v>Primary VLA</x:v>
      </x:c>
      <x:c r="F1662" s="35" t="str">
        <x:v>VLA-0</x:v>
      </x:c>
      <x:c r="G1662" s="35" t="n">
        <x:v>3</x:v>
      </x:c>
      <x:c r="H1662" s="35" t="str">
        <x:v>Counting</x:v>
      </x:c>
      <x:c r="I1662" s="35" t="str">
        <x:v>Training reconstruction</x:v>
      </x:c>
      <x:c r="J1662" s="35" t="str">
        <x:v>PVLA-CT-REC-04</x:v>
      </x:c>
      <x:c r="K1662" s="35" t="str"/>
      <x:c r="L1662" s="31" t="str">
        <x:v>Leave exactly two objects in the bowl.</x:v>
      </x:c>
      <x:c r="M1662" s="31" t="str">
        <x:v>Leave exactly two objects in the bowl.</x:v>
      </x:c>
      <x:c r="N1662" s="31" t="str">
        <x:v>Reconstruct planned final training episode 861: green pencil sharpener, yellow block, airplane toy without propellers, blue pen; start=Post-Drop. Match camera, calibration, bowl pose, and object geometry exactly.</x:v>
      </x:c>
      <x:c r="O1662" s="31" t="str">
        <x:v>yellow block</x:v>
      </x:c>
      <x:c r="P1662" s="31" t="str"/>
      <x:c r="Q1662" s="31" t="str"/>
      <x:c r="R1662" s="31" t="str"/>
      <x:c r="S1662" s="31" t="str">
        <x:f>IF('Blind Scoring'!I1662="","",'Blind Scoring'!I1662)</x:f>
      </x:c>
      <x:c r="T1662" s="31" t="str">
        <x:f>'Blind Scoring'!J1662</x:f>
        <x:v>No</x:v>
      </x:c>
      <x:c r="U1662" s="31" t="str">
        <x:f>IF('Blind Scoring'!L1662="","",'Blind Scoring'!L1662)</x:f>
      </x:c>
    </x:row>
    <x:row r="1663" ht="44" customHeight="1">
      <x:c r="A1663" s="35" t="str">
        <x:v>Not Started</x:v>
      </x:c>
      <x:c r="B1663" s="35" t="n">
        <x:v>1661</x:v>
      </x:c>
      <x:c r="C1663" s="35" t="str">
        <x:v>P27</x:v>
      </x:c>
      <x:c r="D1663" s="35" t="n">
        <x:v>50</x:v>
      </x:c>
      <x:c r="E1663" s="35" t="str">
        <x:v>Primary VLA</x:v>
      </x:c>
      <x:c r="F1663" s="35" t="str">
        <x:v>VLA-0</x:v>
      </x:c>
      <x:c r="G1663" s="35" t="n">
        <x:v>3</x:v>
      </x:c>
      <x:c r="H1663" s="35" t="str">
        <x:v>Counting</x:v>
      </x:c>
      <x:c r="I1663" s="35" t="str">
        <x:v>Language ablation — counterfactual</x:v>
      </x:c>
      <x:c r="J1663" s="35" t="str">
        <x:v>PVLA-CT-ABL-CF-03</x:v>
      </x:c>
      <x:c r="K1663" s="35" t="str">
        <x:v>C-CF06-A</x:v>
      </x:c>
      <x:c r="L1663" s="31" t="str">
        <x:v>Leave exactly three objects in the bowl.</x:v>
      </x:c>
      <x:c r="M1663" s="31" t="str">
        <x:v>Leave exactly three objects in the bowl.</x:v>
      </x:c>
      <x:c r="N1663" s="31" t="str">
        <x:v>C-CF06A: bowl=[yellow block, green pencil sharpener] (2); table=[airplane toy without propellers, blue pen]; robot home; acceptable action=remove either bowl object.</x:v>
      </x:c>
      <x:c r="O1663" s="31" t="str">
        <x:v>ADD one table object</x:v>
      </x:c>
      <x:c r="P1663" s="31" t="str"/>
      <x:c r="Q1663" s="31" t="str"/>
      <x:c r="R1663" s="31" t="str"/>
      <x:c r="S1663" s="31" t="str">
        <x:f>IF('Blind Scoring'!I1663="","",'Blind Scoring'!I1663)</x:f>
      </x:c>
      <x:c r="T1663" s="31" t="str">
        <x:f>'Blind Scoring'!J1663</x:f>
        <x:v>No</x:v>
      </x:c>
      <x:c r="U1663" s="31" t="str">
        <x:f>IF('Blind Scoring'!L1663="","",'Blind Scoring'!L1663)</x:f>
      </x:c>
    </x:row>
    <x:row r="1664" ht="44" customHeight="1">
      <x:c r="A1664" s="35" t="str">
        <x:v>Not Started</x:v>
      </x:c>
      <x:c r="B1664" s="35" t="n">
        <x:v>1662</x:v>
      </x:c>
      <x:c r="C1664" s="35" t="str">
        <x:v>P27</x:v>
      </x:c>
      <x:c r="D1664" s="35" t="n">
        <x:v>51</x:v>
      </x:c>
      <x:c r="E1664" s="35" t="str">
        <x:v>Primary VLA</x:v>
      </x:c>
      <x:c r="F1664" s="35" t="str">
        <x:v>VLA-0</x:v>
      </x:c>
      <x:c r="G1664" s="35" t="n">
        <x:v>3</x:v>
      </x:c>
      <x:c r="H1664" s="35" t="str">
        <x:v>Counting</x:v>
      </x:c>
      <x:c r="I1664" s="35" t="str">
        <x:v>Training reconstruction</x:v>
      </x:c>
      <x:c r="J1664" s="35" t="str">
        <x:v>PVLA-CT-REC-01</x:v>
      </x:c>
      <x:c r="K1664" s="35" t="str"/>
      <x:c r="L1664" s="31" t="str">
        <x:v>Move the blue pen into the bowl.</x:v>
      </x:c>
      <x:c r="M1664" s="31" t="str">
        <x:v>Move the blue pen into the bowl.</x:v>
      </x:c>
      <x:c r="N1664" s="31" t="str">
        <x:v>Reconstruct planned final training episode 800: blue pen, yellow block, green pencil sharpener, airplane toy without propellers; start=Home. Match camera, calibration, bowl pose, and object geometry exactly.</x:v>
      </x:c>
      <x:c r="O1664" s="31" t="str">
        <x:v>blue pen</x:v>
      </x:c>
      <x:c r="P1664" s="31" t="str"/>
      <x:c r="Q1664" s="31" t="str"/>
      <x:c r="R1664" s="31" t="str"/>
      <x:c r="S1664" s="31" t="str">
        <x:f>IF('Blind Scoring'!I1664="","",'Blind Scoring'!I1664)</x:f>
      </x:c>
      <x:c r="T1664" s="31" t="str">
        <x:f>'Blind Scoring'!J1664</x:f>
        <x:v>No</x:v>
      </x:c>
      <x:c r="U1664" s="31" t="str">
        <x:f>IF('Blind Scoring'!L1664="","",'Blind Scoring'!L1664)</x:f>
      </x:c>
    </x:row>
    <x:row r="1665" ht="44" customHeight="1">
      <x:c r="A1665" s="35" t="str">
        <x:v>Not Started</x:v>
      </x:c>
      <x:c r="B1665" s="35" t="n">
        <x:v>1663</x:v>
      </x:c>
      <x:c r="C1665" s="35" t="str">
        <x:v>P27</x:v>
      </x:c>
      <x:c r="D1665" s="35" t="n">
        <x:v>52</x:v>
      </x:c>
      <x:c r="E1665" s="35" t="str">
        <x:v>Primary VLA</x:v>
      </x:c>
      <x:c r="F1665" s="35" t="str">
        <x:v>VLA-0</x:v>
      </x:c>
      <x:c r="G1665" s="35" t="n">
        <x:v>3</x:v>
      </x:c>
      <x:c r="H1665" s="35" t="str">
        <x:v>Counting</x:v>
      </x:c>
      <x:c r="I1665" s="35" t="str">
        <x:v>Main held-out transfer</x:v>
      </x:c>
      <x:c r="J1665" s="35" t="str">
        <x:v>PVLA-CT-TR-14</x:v>
      </x:c>
      <x:c r="K1665" s="35" t="str">
        <x:v>C-CF10-B</x:v>
      </x:c>
      <x:c r="L1665" s="31" t="str">
        <x:v>Leave exactly three objects in the bowl.</x:v>
      </x:c>
      <x:c r="M1665" s="31" t="str">
        <x:v>Leave exactly three objects in the bowl.</x:v>
      </x:c>
      <x:c r="N1665" s="31" t="str">
        <x:v>C-CF10B: bowl=[yellow block, green pencil sharpener] (2); table=[airplane toy without propellers, blue pen]; robot home; acceptable action=add either table object.</x:v>
      </x:c>
      <x:c r="O1665" s="31" t="str">
        <x:v>ADD one table object</x:v>
      </x:c>
      <x:c r="P1665" s="31" t="str"/>
      <x:c r="Q1665" s="31" t="str"/>
      <x:c r="R1665" s="31" t="str"/>
      <x:c r="S1665" s="31" t="str">
        <x:f>IF('Blind Scoring'!I1665="","",'Blind Scoring'!I1665)</x:f>
      </x:c>
      <x:c r="T1665" s="31" t="str">
        <x:f>'Blind Scoring'!J1665</x:f>
        <x:v>No</x:v>
      </x:c>
      <x:c r="U1665" s="31" t="str">
        <x:f>IF('Blind Scoring'!L1665="","",'Blind Scoring'!L1665)</x:f>
      </x:c>
    </x:row>
    <x:row r="1666" ht="44" customHeight="1">
      <x:c r="A1666" s="35" t="str">
        <x:v>Not Started</x:v>
      </x:c>
      <x:c r="B1666" s="35" t="n">
        <x:v>1664</x:v>
      </x:c>
      <x:c r="C1666" s="35" t="str">
        <x:v>P27</x:v>
      </x:c>
      <x:c r="D1666" s="35" t="n">
        <x:v>53</x:v>
      </x:c>
      <x:c r="E1666" s="35" t="str">
        <x:v>Primary VLA</x:v>
      </x:c>
      <x:c r="F1666" s="35" t="str">
        <x:v>VLA-0</x:v>
      </x:c>
      <x:c r="G1666" s="35" t="n">
        <x:v>3</x:v>
      </x:c>
      <x:c r="H1666" s="35" t="str">
        <x:v>Counting</x:v>
      </x:c>
      <x:c r="I1666" s="35" t="str">
        <x:v>Novel layout + seen language</x:v>
      </x:c>
      <x:c r="J1666" s="35" t="str">
        <x:v>PVLA-CT-NOV-08</x:v>
      </x:c>
      <x:c r="K1666" s="35" t="str"/>
      <x:c r="L1666" s="31" t="str">
        <x:v>Make the bowl contain exactly zero objects.</x:v>
      </x:c>
      <x:c r="M1666" s="31" t="str">
        <x:v>Make the bowl contain exactly zero objects.</x:v>
      </x:c>
      <x:c r="N1666" s="31" t="str">
        <x:v>C-N20: bowl=[yellow block] (1); table left→right=[green pencil sharpener, airplane toy without propellers, blue pen]; robot home.</x:v>
      </x:c>
      <x:c r="O1666" s="31" t="str"/>
      <x:c r="P1666" s="31" t="str"/>
      <x:c r="Q1666" s="31" t="str"/>
      <x:c r="R1666" s="31" t="str"/>
      <x:c r="S1666" s="31" t="str">
        <x:f>IF('Blind Scoring'!I1666="","",'Blind Scoring'!I1666)</x:f>
      </x:c>
      <x:c r="T1666" s="31" t="str">
        <x:f>'Blind Scoring'!J1666</x:f>
        <x:v>No</x:v>
      </x:c>
      <x:c r="U1666" s="31" t="str">
        <x:f>IF('Blind Scoring'!L1666="","",'Blind Scoring'!L1666)</x:f>
      </x:c>
    </x:row>
    <x:row r="1667" ht="44" customHeight="1">
      <x:c r="A1667" s="35" t="str">
        <x:v>Not Started</x:v>
      </x:c>
      <x:c r="B1667" s="35" t="n">
        <x:v>1665</x:v>
      </x:c>
      <x:c r="C1667" s="35" t="str">
        <x:v>P27</x:v>
      </x:c>
      <x:c r="D1667" s="35" t="n">
        <x:v>54</x:v>
      </x:c>
      <x:c r="E1667" s="35" t="str">
        <x:v>Primary VLA</x:v>
      </x:c>
      <x:c r="F1667" s="35" t="str">
        <x:v>VLA-0</x:v>
      </x:c>
      <x:c r="G1667" s="35" t="n">
        <x:v>3</x:v>
      </x:c>
      <x:c r="H1667" s="35" t="str">
        <x:v>Counting</x:v>
      </x:c>
      <x:c r="I1667" s="35" t="str">
        <x:v>Novel layout + seen language</x:v>
      </x:c>
      <x:c r="J1667" s="35" t="str">
        <x:v>PVLA-CT-NOV-05</x:v>
      </x:c>
      <x:c r="K1667" s="35" t="str"/>
      <x:c r="L1667" s="31" t="str">
        <x:v>Adjust the bowl so that it contains zero objects.</x:v>
      </x:c>
      <x:c r="M1667" s="31" t="str">
        <x:v>Adjust the bowl so that it contains zero objects.</x:v>
      </x:c>
      <x:c r="N1667" s="31" t="str">
        <x:v>C-N12: bowl=[yellow block] (1); table left→right=[green pencil sharpener, airplane toy without propellers, blue pen]; robot home.</x:v>
      </x:c>
      <x:c r="O1667" s="31" t="str"/>
      <x:c r="P1667" s="31" t="str"/>
      <x:c r="Q1667" s="31" t="str"/>
      <x:c r="R1667" s="31" t="str"/>
      <x:c r="S1667" s="31" t="str">
        <x:f>IF('Blind Scoring'!I1667="","",'Blind Scoring'!I1667)</x:f>
      </x:c>
      <x:c r="T1667" s="31" t="str">
        <x:f>'Blind Scoring'!J1667</x:f>
        <x:v>No</x:v>
      </x:c>
      <x:c r="U1667" s="31" t="str">
        <x:f>IF('Blind Scoring'!L1667="","",'Blind Scoring'!L1667)</x:f>
      </x:c>
    </x:row>
    <x:row r="1668" ht="44" customHeight="1">
      <x:c r="A1668" s="35" t="str">
        <x:v>Not Started</x:v>
      </x:c>
      <x:c r="B1668" s="35" t="n">
        <x:v>1666</x:v>
      </x:c>
      <x:c r="C1668" s="35" t="str">
        <x:v>P27</x:v>
      </x:c>
      <x:c r="D1668" s="35" t="n">
        <x:v>55</x:v>
      </x:c>
      <x:c r="E1668" s="35" t="str">
        <x:v>Primary VLA</x:v>
      </x:c>
      <x:c r="F1668" s="35" t="str">
        <x:v>VLA-0</x:v>
      </x:c>
      <x:c r="G1668" s="35" t="n">
        <x:v>3</x:v>
      </x:c>
      <x:c r="H1668" s="35" t="str">
        <x:v>Counting</x:v>
      </x:c>
      <x:c r="I1668" s="35" t="str">
        <x:v>Main held-out transfer</x:v>
      </x:c>
      <x:c r="J1668" s="35" t="str">
        <x:v>PVLA-CT-TR-08</x:v>
      </x:c>
      <x:c r="K1668" s="35" t="str">
        <x:v>C-CF06-B</x:v>
      </x:c>
      <x:c r="L1668" s="31" t="str">
        <x:v>Leave exactly three objects in the bowl.</x:v>
      </x:c>
      <x:c r="M1668" s="31" t="str">
        <x:v>Leave exactly three objects in the bowl.</x:v>
      </x:c>
      <x:c r="N1668" s="31" t="str">
        <x:v>C-CF06B: bowl=[yellow block, green pencil sharpener] (2); table=[airplane toy without propellers, blue pen]; robot home; acceptable action=add either table object.</x:v>
      </x:c>
      <x:c r="O1668" s="31" t="str">
        <x:v>ADD one table object</x:v>
      </x:c>
      <x:c r="P1668" s="31" t="str"/>
      <x:c r="Q1668" s="31" t="str"/>
      <x:c r="R1668" s="31" t="str"/>
      <x:c r="S1668" s="31" t="str">
        <x:f>IF('Blind Scoring'!I1668="","",'Blind Scoring'!I1668)</x:f>
      </x:c>
      <x:c r="T1668" s="31" t="str">
        <x:f>'Blind Scoring'!J1668</x:f>
        <x:v>No</x:v>
      </x:c>
      <x:c r="U1668" s="31" t="str">
        <x:f>IF('Blind Scoring'!L1668="","",'Blind Scoring'!L1668)</x:f>
      </x:c>
    </x:row>
    <x:row r="1669" ht="44" customHeight="1">
      <x:c r="A1669" s="35" t="str">
        <x:v>Not Started</x:v>
      </x:c>
      <x:c r="B1669" s="35" t="n">
        <x:v>1667</x:v>
      </x:c>
      <x:c r="C1669" s="35" t="str">
        <x:v>P27</x:v>
      </x:c>
      <x:c r="D1669" s="35" t="n">
        <x:v>56</x:v>
      </x:c>
      <x:c r="E1669" s="35" t="str">
        <x:v>Primary VLA</x:v>
      </x:c>
      <x:c r="F1669" s="35" t="str">
        <x:v>VLA-0</x:v>
      </x:c>
      <x:c r="G1669" s="35" t="n">
        <x:v>3</x:v>
      </x:c>
      <x:c r="H1669" s="35" t="str">
        <x:v>Counting</x:v>
      </x:c>
      <x:c r="I1669" s="35" t="str">
        <x:v>Main matched control</x:v>
      </x:c>
      <x:c r="J1669" s="35" t="str">
        <x:v>PVLA-CT-CTL-05</x:v>
      </x:c>
      <x:c r="K1669" s="35" t="str">
        <x:v>C-CF04-A</x:v>
      </x:c>
      <x:c r="L1669" s="31" t="str">
        <x:v>Remove the airplane toy without propellers from the bowl.</x:v>
      </x:c>
      <x:c r="M1669" s="31" t="str">
        <x:v>Remove the airplane toy without propellers from the bowl.</x:v>
      </x:c>
      <x:c r="N1669" s="31" t="str">
        <x:v>C-CF04-CA: bowl=[airplane toy without propellers, blue pen] (2); table=[yellow block, green pencil sharpener]; robot home; acceptable action=remove either bowl object.</x:v>
      </x:c>
      <x:c r="O1669" s="31" t="str">
        <x:v>REMOVE airplane toy without propellers</x:v>
      </x:c>
      <x:c r="P1669" s="31" t="str"/>
      <x:c r="Q1669" s="31" t="str"/>
      <x:c r="R1669" s="31" t="str"/>
      <x:c r="S1669" s="31" t="str">
        <x:f>IF('Blind Scoring'!I1669="","",'Blind Scoring'!I1669)</x:f>
      </x:c>
      <x:c r="T1669" s="31" t="str">
        <x:f>'Blind Scoring'!J1669</x:f>
        <x:v>No</x:v>
      </x:c>
      <x:c r="U1669" s="31" t="str">
        <x:f>IF('Blind Scoring'!L1669="","",'Blind Scoring'!L1669)</x:f>
      </x:c>
    </x:row>
    <x:row r="1670" ht="44" customHeight="1">
      <x:c r="A1670" s="35" t="str">
        <x:v>Not Started</x:v>
      </x:c>
      <x:c r="B1670" s="35" t="n">
        <x:v>1668</x:v>
      </x:c>
      <x:c r="C1670" s="35" t="str">
        <x:v>P27</x:v>
      </x:c>
      <x:c r="D1670" s="35" t="n">
        <x:v>57</x:v>
      </x:c>
      <x:c r="E1670" s="35" t="str">
        <x:v>Primary VLA</x:v>
      </x:c>
      <x:c r="F1670" s="35" t="str">
        <x:v>VLA-0</x:v>
      </x:c>
      <x:c r="G1670" s="35" t="n">
        <x:v>3</x:v>
      </x:c>
      <x:c r="H1670" s="35" t="str">
        <x:v>Counting</x:v>
      </x:c>
      <x:c r="I1670" s="35" t="str">
        <x:v>Main matched control</x:v>
      </x:c>
      <x:c r="J1670" s="35" t="str">
        <x:v>PVLA-CT-CTL-16</x:v>
      </x:c>
      <x:c r="K1670" s="35" t="str">
        <x:v>C-CF12-B</x:v>
      </x:c>
      <x:c r="L1670" s="31" t="str">
        <x:v>Put the yellow block in the bowl.</x:v>
      </x:c>
      <x:c r="M1670" s="31" t="str">
        <x:v>Put the yellow block in the bowl.</x:v>
      </x:c>
      <x:c r="N1670" s="31" t="str">
        <x:v>C-CF12-CB: bowl=[airplane toy without propellers, blue pen] (2); table=[yellow block, green pencil sharpener]; robot home; acceptable action=add either table object.</x:v>
      </x:c>
      <x:c r="O1670" s="31" t="str">
        <x:v>ADD yellow block</x:v>
      </x:c>
      <x:c r="P1670" s="31" t="str"/>
      <x:c r="Q1670" s="31" t="str"/>
      <x:c r="R1670" s="31" t="str"/>
      <x:c r="S1670" s="31" t="str">
        <x:f>IF('Blind Scoring'!I1670="","",'Blind Scoring'!I1670)</x:f>
      </x:c>
      <x:c r="T1670" s="31" t="str">
        <x:f>'Blind Scoring'!J1670</x:f>
        <x:v>No</x:v>
      </x:c>
      <x:c r="U1670" s="31" t="str">
        <x:f>IF('Blind Scoring'!L1670="","",'Blind Scoring'!L1670)</x:f>
      </x:c>
    </x:row>
    <x:row r="1671" ht="44" customHeight="1">
      <x:c r="A1671" s="35" t="str">
        <x:v>Not Started</x:v>
      </x:c>
      <x:c r="B1671" s="35" t="n">
        <x:v>1669</x:v>
      </x:c>
      <x:c r="C1671" s="35" t="str">
        <x:v>P27</x:v>
      </x:c>
      <x:c r="D1671" s="35" t="n">
        <x:v>58</x:v>
      </x:c>
      <x:c r="E1671" s="35" t="str">
        <x:v>Primary VLA</x:v>
      </x:c>
      <x:c r="F1671" s="35" t="str">
        <x:v>VLA-0</x:v>
      </x:c>
      <x:c r="G1671" s="35" t="n">
        <x:v>3</x:v>
      </x:c>
      <x:c r="H1671" s="35" t="str">
        <x:v>Counting</x:v>
      </x:c>
      <x:c r="I1671" s="35" t="str">
        <x:v>Main matched control</x:v>
      </x:c>
      <x:c r="J1671" s="35" t="str">
        <x:v>PVLA-CT-CTL-04</x:v>
      </x:c>
      <x:c r="K1671" s="35" t="str">
        <x:v>C-CF03-B</x:v>
      </x:c>
      <x:c r="L1671" s="31" t="str">
        <x:v>Put the blue pen in the bowl.</x:v>
      </x:c>
      <x:c r="M1671" s="31" t="str">
        <x:v>Put the blue pen in the bowl.</x:v>
      </x:c>
      <x:c r="N1671" s="31" t="str">
        <x:v>C-CF03-CB: bowl=[green pencil sharpener, airplane toy without propellers] (2); table=[blue pen, yellow block]; robot home; acceptable action=add either table object.</x:v>
      </x:c>
      <x:c r="O1671" s="31" t="str">
        <x:v>ADD blue pen</x:v>
      </x:c>
      <x:c r="P1671" s="31" t="str"/>
      <x:c r="Q1671" s="31" t="str"/>
      <x:c r="R1671" s="31" t="str"/>
      <x:c r="S1671" s="31" t="str">
        <x:f>IF('Blind Scoring'!I1671="","",'Blind Scoring'!I1671)</x:f>
      </x:c>
      <x:c r="T1671" s="31" t="str">
        <x:f>'Blind Scoring'!J1671</x:f>
        <x:v>No</x:v>
      </x:c>
      <x:c r="U1671" s="31" t="str">
        <x:f>IF('Blind Scoring'!L1671="","",'Blind Scoring'!L1671)</x:f>
      </x:c>
    </x:row>
    <x:row r="1672" ht="44" customHeight="1">
      <x:c r="A1672" s="35" t="str">
        <x:v>Not Started</x:v>
      </x:c>
      <x:c r="B1672" s="35" t="n">
        <x:v>1670</x:v>
      </x:c>
      <x:c r="C1672" s="35" t="str">
        <x:v>P27</x:v>
      </x:c>
      <x:c r="D1672" s="35" t="n">
        <x:v>59</x:v>
      </x:c>
      <x:c r="E1672" s="35" t="str">
        <x:v>Primary VLA</x:v>
      </x:c>
      <x:c r="F1672" s="35" t="str">
        <x:v>VLA-0</x:v>
      </x:c>
      <x:c r="G1672" s="35" t="n">
        <x:v>3</x:v>
      </x:c>
      <x:c r="H1672" s="35" t="str">
        <x:v>Counting</x:v>
      </x:c>
      <x:c r="I1672" s="35" t="str">
        <x:v>Main matched control</x:v>
      </x:c>
      <x:c r="J1672" s="35" t="str">
        <x:v>PVLA-CT-CTL-10</x:v>
      </x:c>
      <x:c r="K1672" s="35" t="str">
        <x:v>C-CF07-B</x:v>
      </x:c>
      <x:c r="L1672" s="31" t="str">
        <x:v>Put the blue pen in the bowl.</x:v>
      </x:c>
      <x:c r="M1672" s="31" t="str">
        <x:v>Put the blue pen in the bowl.</x:v>
      </x:c>
      <x:c r="N1672" s="31" t="str">
        <x:v>C-CF07-CB: bowl=[green pencil sharpener, airplane toy without propellers] (2); table=[blue pen, yellow block]; robot home; acceptable action=add either table object.</x:v>
      </x:c>
      <x:c r="O1672" s="31" t="str">
        <x:v>ADD blue pen</x:v>
      </x:c>
      <x:c r="P1672" s="31" t="str"/>
      <x:c r="Q1672" s="31" t="str"/>
      <x:c r="R1672" s="31" t="str"/>
      <x:c r="S1672" s="31" t="str">
        <x:f>IF('Blind Scoring'!I1672="","",'Blind Scoring'!I1672)</x:f>
      </x:c>
      <x:c r="T1672" s="31" t="str">
        <x:f>'Blind Scoring'!J1672</x:f>
        <x:v>No</x:v>
      </x:c>
      <x:c r="U1672" s="31" t="str">
        <x:f>IF('Blind Scoring'!L1672="","",'Blind Scoring'!L1672)</x:f>
      </x:c>
    </x:row>
    <x:row r="1673" ht="44" customHeight="1">
      <x:c r="A1673" s="35" t="str">
        <x:v>Not Started</x:v>
      </x:c>
      <x:c r="B1673" s="35" t="n">
        <x:v>1671</x:v>
      </x:c>
      <x:c r="C1673" s="35" t="str">
        <x:v>P27</x:v>
      </x:c>
      <x:c r="D1673" s="35" t="n">
        <x:v>60</x:v>
      </x:c>
      <x:c r="E1673" s="35" t="str">
        <x:v>Primary VLA</x:v>
      </x:c>
      <x:c r="F1673" s="35" t="str">
        <x:v>VLA-0</x:v>
      </x:c>
      <x:c r="G1673" s="35" t="n">
        <x:v>3</x:v>
      </x:c>
      <x:c r="H1673" s="35" t="str">
        <x:v>Counting</x:v>
      </x:c>
      <x:c r="I1673" s="35" t="str">
        <x:v>Main held-out transfer</x:v>
      </x:c>
      <x:c r="J1673" s="35" t="str">
        <x:v>PVLA-CT-TR-02</x:v>
      </x:c>
      <x:c r="K1673" s="35" t="str">
        <x:v>C-CF01-B</x:v>
      </x:c>
      <x:c r="L1673" s="31" t="str">
        <x:v>Leave exactly three objects in the bowl.</x:v>
      </x:c>
      <x:c r="M1673" s="31" t="str">
        <x:v>Leave exactly three objects in the bowl.</x:v>
      </x:c>
      <x:c r="N1673" s="31" t="str">
        <x:v>C-CF01B: bowl=[blue pen, yellow block] (2); table=[green pencil sharpener, airplane toy without propellers]; robot home; acceptable action=add either table object.</x:v>
      </x:c>
      <x:c r="O1673" s="31" t="str">
        <x:v>ADD one table object</x:v>
      </x:c>
      <x:c r="P1673" s="31" t="str"/>
      <x:c r="Q1673" s="31" t="str"/>
      <x:c r="R1673" s="31" t="str"/>
      <x:c r="S1673" s="31" t="str">
        <x:f>IF('Blind Scoring'!I1673="","",'Blind Scoring'!I1673)</x:f>
      </x:c>
      <x:c r="T1673" s="31" t="str">
        <x:f>'Blind Scoring'!J1673</x:f>
        <x:v>No</x:v>
      </x:c>
      <x:c r="U1673" s="31" t="str">
        <x:f>IF('Blind Scoring'!L1673="","",'Blind Scoring'!L1673)</x:f>
      </x:c>
    </x:row>
    <x:row r="1674" ht="44" customHeight="1">
      <x:c r="A1674" s="35" t="str">
        <x:v>Not Started</x:v>
      </x:c>
      <x:c r="B1674" s="35" t="n">
        <x:v>1672</x:v>
      </x:c>
      <x:c r="C1674" s="35" t="str">
        <x:v>P27</x:v>
      </x:c>
      <x:c r="D1674" s="35" t="n">
        <x:v>61</x:v>
      </x:c>
      <x:c r="E1674" s="35" t="str">
        <x:v>Primary VLA</x:v>
      </x:c>
      <x:c r="F1674" s="35" t="str">
        <x:v>VLA-0</x:v>
      </x:c>
      <x:c r="G1674" s="35" t="n">
        <x:v>3</x:v>
      </x:c>
      <x:c r="H1674" s="35" t="str">
        <x:v>Counting</x:v>
      </x:c>
      <x:c r="I1674" s="35" t="str">
        <x:v>Novel layout + seen language</x:v>
      </x:c>
      <x:c r="J1674" s="35" t="str">
        <x:v>PVLA-CT-NOV-03</x:v>
      </x:c>
      <x:c r="K1674" s="35" t="str"/>
      <x:c r="L1674" s="31" t="str">
        <x:v>Adjust the bowl so that it contains two objects.</x:v>
      </x:c>
      <x:c r="M1674" s="31" t="str">
        <x:v>Adjust the bowl so that it contains two objects.</x:v>
      </x:c>
      <x:c r="N1674" s="31" t="str">
        <x:v>C-N06: bowl=[yellow block, green pencil sharpener, airplane toy without propellers] (3); table left→right=[blue pen]; robot home.</x:v>
      </x:c>
      <x:c r="O1674" s="31" t="str"/>
      <x:c r="P1674" s="31" t="str"/>
      <x:c r="Q1674" s="31" t="str"/>
      <x:c r="R1674" s="31" t="str"/>
      <x:c r="S1674" s="31" t="str">
        <x:f>IF('Blind Scoring'!I1674="","",'Blind Scoring'!I1674)</x:f>
      </x:c>
      <x:c r="T1674" s="31" t="str">
        <x:f>'Blind Scoring'!J1674</x:f>
        <x:v>No</x:v>
      </x:c>
      <x:c r="U1674" s="31" t="str">
        <x:f>IF('Blind Scoring'!L1674="","",'Blind Scoring'!L1674)</x:f>
      </x:c>
    </x:row>
    <x:row r="1675" ht="44" customHeight="1">
      <x:c r="A1675" s="35" t="str">
        <x:v>Not Started</x:v>
      </x:c>
      <x:c r="B1675" s="35" t="n">
        <x:v>1673</x:v>
      </x:c>
      <x:c r="C1675" s="35" t="str">
        <x:v>P27</x:v>
      </x:c>
      <x:c r="D1675" s="35" t="n">
        <x:v>62</x:v>
      </x:c>
      <x:c r="E1675" s="35" t="str">
        <x:v>Primary VLA</x:v>
      </x:c>
      <x:c r="F1675" s="35" t="str">
        <x:v>VLA-0</x:v>
      </x:c>
      <x:c r="G1675" s="35" t="n">
        <x:v>3</x:v>
      </x:c>
      <x:c r="H1675" s="35" t="str">
        <x:v>Counting</x:v>
      </x:c>
      <x:c r="I1675" s="35" t="str">
        <x:v>Main held-out transfer</x:v>
      </x:c>
      <x:c r="J1675" s="35" t="str">
        <x:v>PVLA-CT-TR-01</x:v>
      </x:c>
      <x:c r="K1675" s="35" t="str">
        <x:v>C-CF01-A</x:v>
      </x:c>
      <x:c r="L1675" s="31" t="str">
        <x:v>Leave exactly one object in the bowl.</x:v>
      </x:c>
      <x:c r="M1675" s="31" t="str">
        <x:v>Leave exactly one object in the bowl.</x:v>
      </x:c>
      <x:c r="N1675" s="31" t="str">
        <x:v>C-CF01A: bowl=[blue pen, yellow block] (2); table=[green pencil sharpener, airplane toy without propellers]; robot home; acceptable action=remove either bowl object.</x:v>
      </x:c>
      <x:c r="O1675" s="31" t="str">
        <x:v>REMOVE one bowl object</x:v>
      </x:c>
      <x:c r="P1675" s="31" t="str"/>
      <x:c r="Q1675" s="31" t="str"/>
      <x:c r="R1675" s="31" t="str"/>
      <x:c r="S1675" s="31" t="str">
        <x:f>IF('Blind Scoring'!I1675="","",'Blind Scoring'!I1675)</x:f>
      </x:c>
      <x:c r="T1675" s="31" t="str">
        <x:f>'Blind Scoring'!J1675</x:f>
        <x:v>No</x:v>
      </x:c>
      <x:c r="U1675" s="31" t="str">
        <x:f>IF('Blind Scoring'!L1675="","",'Blind Scoring'!L1675)</x:f>
      </x:c>
    </x:row>
    <x:row r="1676" ht="44" customHeight="1">
      <x:c r="A1676" s="35" t="str">
        <x:v>Not Started</x:v>
      </x:c>
      <x:c r="B1676" s="35" t="n">
        <x:v>1674</x:v>
      </x:c>
      <x:c r="C1676" s="35" t="str">
        <x:v>B28</x:v>
      </x:c>
      <x:c r="D1676" s="35" t="n">
        <x:v>1</x:v>
      </x:c>
      <x:c r="E1676" s="35" t="str">
        <x:v>BC Diagnostic</x:v>
      </x:c>
      <x:c r="F1676" s="35" t="str">
        <x:v>Vision-only BC (task-specific)</x:v>
      </x:c>
      <x:c r="G1676" s="35" t="n">
        <x:v>1</x:v>
      </x:c>
      <x:c r="H1676" s="35" t="str">
        <x:v>State Recognition</x:v>
      </x:c>
      <x:c r="I1676" s="35" t="str">
        <x:v>Vision-only counterfactual B</x:v>
      </x:c>
      <x:c r="J1676" s="35" t="str">
        <x:v>BC-ST-10B</x:v>
      </x:c>
      <x:c r="K1676" s="35" t="str">
        <x:v>BC-ST-10</x:v>
      </x:c>
      <x:c r="L1676" s="31" t="str">
        <x:v>[NO LANGUAGE CHANNEL / INPUT]</x:v>
      </x:c>
      <x:c r="M1676" s="31" t="str">
        <x:v>Place the upright yellow-white striped cup in the bowl.</x:v>
      </x:c>
      <x:c r="N1676" s="31" t="str">
        <x:v>S-CF10-HELD: P1 brown cup B=C/UR; P2 yellow-white striped cup B=O/UR [TARGET]; P3 yellow-white striped cup A=O/UD [COMPETITOR]; P4 glass spice container B=C/UD.</x:v>
      </x:c>
      <x:c r="O1676" s="31" t="str">
        <x:v>yellow-white striped cup B</x:v>
      </x:c>
      <x:c r="P1676" s="31" t="str"/>
      <x:c r="Q1676" s="31" t="str"/>
      <x:c r="R1676" s="31" t="str"/>
      <x:c r="S1676" s="31" t="str">
        <x:f>IF('Blind Scoring'!I1676="","",'Blind Scoring'!I1676)</x:f>
      </x:c>
      <x:c r="T1676" s="31" t="str">
        <x:f>'Blind Scoring'!J1676</x:f>
        <x:v>No</x:v>
      </x:c>
      <x:c r="U1676" s="31" t="str">
        <x:f>IF('Blind Scoring'!L1676="","",'Blind Scoring'!L1676)</x:f>
      </x:c>
    </x:row>
    <x:row r="1677" ht="44" customHeight="1">
      <x:c r="A1677" s="35" t="str">
        <x:v>Not Started</x:v>
      </x:c>
      <x:c r="B1677" s="35" t="n">
        <x:v>1675</x:v>
      </x:c>
      <x:c r="C1677" s="35" t="str">
        <x:v>B28</x:v>
      </x:c>
      <x:c r="D1677" s="35" t="n">
        <x:v>2</x:v>
      </x:c>
      <x:c r="E1677" s="35" t="str">
        <x:v>BC Diagnostic</x:v>
      </x:c>
      <x:c r="F1677" s="35" t="str">
        <x:v>Vision-only BC (task-specific)</x:v>
      </x:c>
      <x:c r="G1677" s="35" t="n">
        <x:v>1</x:v>
      </x:c>
      <x:c r="H1677" s="35" t="str">
        <x:v>State Recognition</x:v>
      </x:c>
      <x:c r="I1677" s="35" t="str">
        <x:v>Vision-only counterfactual B</x:v>
      </x:c>
      <x:c r="J1677" s="35" t="str">
        <x:v>BC-ST-02B</x:v>
      </x:c>
      <x:c r="K1677" s="35" t="str">
        <x:v>BC-ST-02</x:v>
      </x:c>
      <x:c r="L1677" s="31" t="str">
        <x:v>[NO LANGUAGE CHANNEL / INPUT]</x:v>
      </x:c>
      <x:c r="M1677" s="31" t="str">
        <x:v>Place the upright yellow-white striped cup in the bowl.</x:v>
      </x:c>
      <x:c r="N1677" s="31" t="str">
        <x:v>S-CF02-HELD: P1 brown cup B=C/UR; P2 yellow-white striped cup B=O/UR [TARGET]; P3 yellow-white striped cup A=O/UD [COMPETITOR]; P4 glass spice container B=C/UD.</x:v>
      </x:c>
      <x:c r="O1677" s="31" t="str">
        <x:v>yellow-white striped cup B</x:v>
      </x:c>
      <x:c r="P1677" s="31" t="str"/>
      <x:c r="Q1677" s="31" t="str"/>
      <x:c r="R1677" s="31" t="str"/>
      <x:c r="S1677" s="31" t="str">
        <x:f>IF('Blind Scoring'!I1677="","",'Blind Scoring'!I1677)</x:f>
      </x:c>
      <x:c r="T1677" s="31" t="str">
        <x:f>'Blind Scoring'!J1677</x:f>
        <x:v>No</x:v>
      </x:c>
      <x:c r="U1677" s="31" t="str">
        <x:f>IF('Blind Scoring'!L1677="","",'Blind Scoring'!L1677)</x:f>
      </x:c>
    </x:row>
    <x:row r="1678" ht="44" customHeight="1">
      <x:c r="A1678" s="35" t="str">
        <x:v>Not Started</x:v>
      </x:c>
      <x:c r="B1678" s="35" t="n">
        <x:v>1676</x:v>
      </x:c>
      <x:c r="C1678" s="35" t="str">
        <x:v>B28</x:v>
      </x:c>
      <x:c r="D1678" s="35" t="n">
        <x:v>3</x:v>
      </x:c>
      <x:c r="E1678" s="35" t="str">
        <x:v>BC Diagnostic</x:v>
      </x:c>
      <x:c r="F1678" s="35" t="str">
        <x:v>Vision-only BC (task-specific)</x:v>
      </x:c>
      <x:c r="G1678" s="35" t="n">
        <x:v>1</x:v>
      </x:c>
      <x:c r="H1678" s="35" t="str">
        <x:v>State Recognition</x:v>
      </x:c>
      <x:c r="I1678" s="35" t="str">
        <x:v>Vision-only counterfactual B</x:v>
      </x:c>
      <x:c r="J1678" s="35" t="str">
        <x:v>BC-ST-09B</x:v>
      </x:c>
      <x:c r="K1678" s="35" t="str">
        <x:v>BC-ST-09</x:v>
      </x:c>
      <x:c r="L1678" s="31" t="str">
        <x:v>[NO LANGUAGE CHANNEL / INPUT]</x:v>
      </x:c>
      <x:c r="M1678" s="31" t="str">
        <x:v>Place the closed white cup in the bowl.</x:v>
      </x:c>
      <x:c r="N1678" s="31" t="str">
        <x:v>S-CF09-HELD: P1 white cup A=C/UR [TARGET]; P2 white cup B=O/UR [COMPETITOR]; P3 yellow-white striped cup A=C/UD; P4 brown cup B=O/UD.</x:v>
      </x:c>
      <x:c r="O1678" s="31" t="str">
        <x:v>white cup A</x:v>
      </x:c>
      <x:c r="P1678" s="31" t="str"/>
      <x:c r="Q1678" s="31" t="str"/>
      <x:c r="R1678" s="31" t="str"/>
      <x:c r="S1678" s="31" t="str">
        <x:f>IF('Blind Scoring'!I1678="","",'Blind Scoring'!I1678)</x:f>
      </x:c>
      <x:c r="T1678" s="31" t="str">
        <x:f>'Blind Scoring'!J1678</x:f>
        <x:v>No</x:v>
      </x:c>
      <x:c r="U1678" s="31" t="str">
        <x:f>IF('Blind Scoring'!L1678="","",'Blind Scoring'!L1678)</x:f>
      </x:c>
    </x:row>
    <x:row r="1679" ht="44" customHeight="1">
      <x:c r="A1679" s="35" t="str">
        <x:v>Not Started</x:v>
      </x:c>
      <x:c r="B1679" s="35" t="n">
        <x:v>1677</x:v>
      </x:c>
      <x:c r="C1679" s="35" t="str">
        <x:v>B28</x:v>
      </x:c>
      <x:c r="D1679" s="35" t="n">
        <x:v>4</x:v>
      </x:c>
      <x:c r="E1679" s="35" t="str">
        <x:v>BC Diagnostic</x:v>
      </x:c>
      <x:c r="F1679" s="35" t="str">
        <x:v>Vision-only BC (task-specific)</x:v>
      </x:c>
      <x:c r="G1679" s="35" t="n">
        <x:v>1</x:v>
      </x:c>
      <x:c r="H1679" s="35" t="str">
        <x:v>State Recognition</x:v>
      </x:c>
      <x:c r="I1679" s="35" t="str">
        <x:v>Vision-only counterfactual A</x:v>
      </x:c>
      <x:c r="J1679" s="35" t="str">
        <x:v>BC-ST-06A</x:v>
      </x:c>
      <x:c r="K1679" s="35" t="str">
        <x:v>BC-ST-06</x:v>
      </x:c>
      <x:c r="L1679" s="31" t="str">
        <x:v>[NO LANGUAGE CHANNEL / INPUT]</x:v>
      </x:c>
      <x:c r="M1679" s="31" t="str">
        <x:v>Place the upside-down glass spice container in the bowl.</x:v>
      </x:c>
      <x:c r="N1679" s="31" t="str">
        <x:v>S-CF06-SEEN: P1 white cup B=C/UR; P2 glass spice container A=O/UR [TARGET]; P3 glass spice container B=O/UD [COMPETITOR]; P4 yellow-white striped cup B=C/UD.</x:v>
      </x:c>
      <x:c r="O1679" s="31" t="str">
        <x:v>glass spice container B</x:v>
      </x:c>
      <x:c r="P1679" s="31" t="str"/>
      <x:c r="Q1679" s="31" t="str"/>
      <x:c r="R1679" s="31" t="str"/>
      <x:c r="S1679" s="31" t="str">
        <x:f>IF('Blind Scoring'!I1679="","",'Blind Scoring'!I1679)</x:f>
      </x:c>
      <x:c r="T1679" s="31" t="str">
        <x:f>'Blind Scoring'!J1679</x:f>
        <x:v>No</x:v>
      </x:c>
      <x:c r="U1679" s="31" t="str">
        <x:f>IF('Blind Scoring'!L1679="","",'Blind Scoring'!L1679)</x:f>
      </x:c>
    </x:row>
    <x:row r="1680" ht="44" customHeight="1">
      <x:c r="A1680" s="35" t="str">
        <x:v>Not Started</x:v>
      </x:c>
      <x:c r="B1680" s="35" t="n">
        <x:v>1678</x:v>
      </x:c>
      <x:c r="C1680" s="35" t="str">
        <x:v>B28</x:v>
      </x:c>
      <x:c r="D1680" s="35" t="n">
        <x:v>5</x:v>
      </x:c>
      <x:c r="E1680" s="35" t="str">
        <x:v>BC Diagnostic</x:v>
      </x:c>
      <x:c r="F1680" s="35" t="str">
        <x:v>Vision-only BC (task-specific)</x:v>
      </x:c>
      <x:c r="G1680" s="35" t="n">
        <x:v>1</x:v>
      </x:c>
      <x:c r="H1680" s="35" t="str">
        <x:v>State Recognition</x:v>
      </x:c>
      <x:c r="I1680" s="35" t="str">
        <x:v>Vision-only counterfactual A</x:v>
      </x:c>
      <x:c r="J1680" s="35" t="str">
        <x:v>BC-ST-05A</x:v>
      </x:c>
      <x:c r="K1680" s="35" t="str">
        <x:v>BC-ST-05</x:v>
      </x:c>
      <x:c r="L1680" s="31" t="str">
        <x:v>[NO LANGUAGE CHANNEL / INPUT]</x:v>
      </x:c>
      <x:c r="M1680" s="31" t="str">
        <x:v>Place the open brown cup in the bowl.</x:v>
      </x:c>
      <x:c r="N1680" s="31" t="str">
        <x:v>S-CF05-SEEN: P1 brown cup A=C/UR [TARGET]; P2 brown cup B=O/UR [COMPETITOR]; P3 glass spice container A=C/UD; P4 white cup B=O/UD.</x:v>
      </x:c>
      <x:c r="O1680" s="31" t="str">
        <x:v>brown cup B</x:v>
      </x:c>
      <x:c r="P1680" s="31" t="str"/>
      <x:c r="Q1680" s="31" t="str"/>
      <x:c r="R1680" s="31" t="str"/>
      <x:c r="S1680" s="31" t="str">
        <x:f>IF('Blind Scoring'!I1680="","",'Blind Scoring'!I1680)</x:f>
      </x:c>
      <x:c r="T1680" s="31" t="str">
        <x:f>'Blind Scoring'!J1680</x:f>
        <x:v>No</x:v>
      </x:c>
      <x:c r="U1680" s="31" t="str">
        <x:f>IF('Blind Scoring'!L1680="","",'Blind Scoring'!L1680)</x:f>
      </x:c>
    </x:row>
    <x:row r="1681" ht="44" customHeight="1">
      <x:c r="A1681" s="35" t="str">
        <x:v>Not Started</x:v>
      </x:c>
      <x:c r="B1681" s="35" t="n">
        <x:v>1679</x:v>
      </x:c>
      <x:c r="C1681" s="35" t="str">
        <x:v>B28</x:v>
      </x:c>
      <x:c r="D1681" s="35" t="n">
        <x:v>6</x:v>
      </x:c>
      <x:c r="E1681" s="35" t="str">
        <x:v>BC Diagnostic</x:v>
      </x:c>
      <x:c r="F1681" s="35" t="str">
        <x:v>Vision-only BC (task-specific)</x:v>
      </x:c>
      <x:c r="G1681" s="35" t="n">
        <x:v>1</x:v>
      </x:c>
      <x:c r="H1681" s="35" t="str">
        <x:v>State Recognition</x:v>
      </x:c>
      <x:c r="I1681" s="35" t="str">
        <x:v>Vision-only counterfactual B</x:v>
      </x:c>
      <x:c r="J1681" s="35" t="str">
        <x:v>BC-ST-06B</x:v>
      </x:c>
      <x:c r="K1681" s="35" t="str">
        <x:v>BC-ST-06</x:v>
      </x:c>
      <x:c r="L1681" s="31" t="str">
        <x:v>[NO LANGUAGE CHANNEL / INPUT]</x:v>
      </x:c>
      <x:c r="M1681" s="31" t="str">
        <x:v>Place the upright glass spice container in the bowl.</x:v>
      </x:c>
      <x:c r="N1681" s="31" t="str">
        <x:v>S-CF06-HELD: P1 white cup B=C/UR; P2 glass spice container A=O/UR [TARGET]; P3 glass spice container B=O/UD [COMPETITOR]; P4 yellow-white striped cup B=C/UD.</x:v>
      </x:c>
      <x:c r="O1681" s="31" t="str">
        <x:v>glass spice container A</x:v>
      </x:c>
      <x:c r="P1681" s="31" t="str"/>
      <x:c r="Q1681" s="31" t="str"/>
      <x:c r="R1681" s="31" t="str"/>
      <x:c r="S1681" s="31" t="str">
        <x:f>IF('Blind Scoring'!I1681="","",'Blind Scoring'!I1681)</x:f>
      </x:c>
      <x:c r="T1681" s="31" t="str">
        <x:f>'Blind Scoring'!J1681</x:f>
        <x:v>No</x:v>
      </x:c>
      <x:c r="U1681" s="31" t="str">
        <x:f>IF('Blind Scoring'!L1681="","",'Blind Scoring'!L1681)</x:f>
      </x:c>
    </x:row>
    <x:row r="1682" ht="44" customHeight="1">
      <x:c r="A1682" s="35" t="str">
        <x:v>Not Started</x:v>
      </x:c>
      <x:c r="B1682" s="35" t="n">
        <x:v>1680</x:v>
      </x:c>
      <x:c r="C1682" s="35" t="str">
        <x:v>B28</x:v>
      </x:c>
      <x:c r="D1682" s="35" t="n">
        <x:v>7</x:v>
      </x:c>
      <x:c r="E1682" s="35" t="str">
        <x:v>BC Diagnostic</x:v>
      </x:c>
      <x:c r="F1682" s="35" t="str">
        <x:v>Vision-only BC (task-specific)</x:v>
      </x:c>
      <x:c r="G1682" s="35" t="n">
        <x:v>1</x:v>
      </x:c>
      <x:c r="H1682" s="35" t="str">
        <x:v>State Recognition</x:v>
      </x:c>
      <x:c r="I1682" s="35" t="str">
        <x:v>Vision-only counterfactual B</x:v>
      </x:c>
      <x:c r="J1682" s="35" t="str">
        <x:v>BC-ST-07B</x:v>
      </x:c>
      <x:c r="K1682" s="35" t="str">
        <x:v>BC-ST-07</x:v>
      </x:c>
      <x:c r="L1682" s="31" t="str">
        <x:v>[NO LANGUAGE CHANNEL / INPUT]</x:v>
      </x:c>
      <x:c r="M1682" s="31" t="str">
        <x:v>Place the closed yellow-white striped cup in the bowl.</x:v>
      </x:c>
      <x:c r="N1682" s="31" t="str">
        <x:v>S-CF07-HELD: P1 brown cup A=C/UR; P2 glass spice container A=O/UR; P3 yellow-white striped cup A=C/UD [TARGET]; P4 yellow-white striped cup B=O/UD [COMPETITOR].</x:v>
      </x:c>
      <x:c r="O1682" s="31" t="str">
        <x:v>yellow-white striped cup A</x:v>
      </x:c>
      <x:c r="P1682" s="31" t="str"/>
      <x:c r="Q1682" s="31" t="str"/>
      <x:c r="R1682" s="31" t="str"/>
      <x:c r="S1682" s="31" t="str">
        <x:f>IF('Blind Scoring'!I1682="","",'Blind Scoring'!I1682)</x:f>
      </x:c>
      <x:c r="T1682" s="31" t="str">
        <x:f>'Blind Scoring'!J1682</x:f>
        <x:v>No</x:v>
      </x:c>
      <x:c r="U1682" s="31" t="str">
        <x:f>IF('Blind Scoring'!L1682="","",'Blind Scoring'!L1682)</x:f>
      </x:c>
    </x:row>
    <x:row r="1683" ht="44" customHeight="1">
      <x:c r="A1683" s="35" t="str">
        <x:v>Not Started</x:v>
      </x:c>
      <x:c r="B1683" s="35" t="n">
        <x:v>1681</x:v>
      </x:c>
      <x:c r="C1683" s="35" t="str">
        <x:v>B28</x:v>
      </x:c>
      <x:c r="D1683" s="35" t="n">
        <x:v>8</x:v>
      </x:c>
      <x:c r="E1683" s="35" t="str">
        <x:v>BC Diagnostic</x:v>
      </x:c>
      <x:c r="F1683" s="35" t="str">
        <x:v>Vision-only BC (task-specific)</x:v>
      </x:c>
      <x:c r="G1683" s="35" t="n">
        <x:v>1</x:v>
      </x:c>
      <x:c r="H1683" s="35" t="str">
        <x:v>State Recognition</x:v>
      </x:c>
      <x:c r="I1683" s="35" t="str">
        <x:v>Vision-only counterfactual B</x:v>
      </x:c>
      <x:c r="J1683" s="35" t="str">
        <x:v>BC-ST-01B</x:v>
      </x:c>
      <x:c r="K1683" s="35" t="str">
        <x:v>BC-ST-01</x:v>
      </x:c>
      <x:c r="L1683" s="31" t="str">
        <x:v>[NO LANGUAGE CHANNEL / INPUT]</x:v>
      </x:c>
      <x:c r="M1683" s="31" t="str">
        <x:v>Place the closed white cup in the bowl.</x:v>
      </x:c>
      <x:c r="N1683" s="31" t="str">
        <x:v>S-CF01-HELD: P1 white cup A=C/UR [TARGET]; P2 white cup B=O/UR [COMPETITOR]; P3 yellow-white striped cup A=C/UD; P4 brown cup B=O/UD.</x:v>
      </x:c>
      <x:c r="O1683" s="31" t="str">
        <x:v>white cup A</x:v>
      </x:c>
      <x:c r="P1683" s="31" t="str"/>
      <x:c r="Q1683" s="31" t="str"/>
      <x:c r="R1683" s="31" t="str"/>
      <x:c r="S1683" s="31" t="str">
        <x:f>IF('Blind Scoring'!I1683="","",'Blind Scoring'!I1683)</x:f>
      </x:c>
      <x:c r="T1683" s="31" t="str">
        <x:f>'Blind Scoring'!J1683</x:f>
        <x:v>No</x:v>
      </x:c>
      <x:c r="U1683" s="31" t="str">
        <x:f>IF('Blind Scoring'!L1683="","",'Blind Scoring'!L1683)</x:f>
      </x:c>
    </x:row>
    <x:row r="1684" ht="44" customHeight="1">
      <x:c r="A1684" s="35" t="str">
        <x:v>Not Started</x:v>
      </x:c>
      <x:c r="B1684" s="35" t="n">
        <x:v>1682</x:v>
      </x:c>
      <x:c r="C1684" s="35" t="str">
        <x:v>B28</x:v>
      </x:c>
      <x:c r="D1684" s="35" t="n">
        <x:v>9</x:v>
      </x:c>
      <x:c r="E1684" s="35" t="str">
        <x:v>BC Diagnostic</x:v>
      </x:c>
      <x:c r="F1684" s="35" t="str">
        <x:v>Vision-only BC (task-specific)</x:v>
      </x:c>
      <x:c r="G1684" s="35" t="n">
        <x:v>1</x:v>
      </x:c>
      <x:c r="H1684" s="35" t="str">
        <x:v>State Recognition</x:v>
      </x:c>
      <x:c r="I1684" s="35" t="str">
        <x:v>Vision-only counterfactual B</x:v>
      </x:c>
      <x:c r="J1684" s="35" t="str">
        <x:v>BC-ST-05B</x:v>
      </x:c>
      <x:c r="K1684" s="35" t="str">
        <x:v>BC-ST-05</x:v>
      </x:c>
      <x:c r="L1684" s="31" t="str">
        <x:v>[NO LANGUAGE CHANNEL / INPUT]</x:v>
      </x:c>
      <x:c r="M1684" s="31" t="str">
        <x:v>Place the closed brown cup in the bowl.</x:v>
      </x:c>
      <x:c r="N1684" s="31" t="str">
        <x:v>S-CF05-HELD: P1 brown cup A=C/UR [TARGET]; P2 brown cup B=O/UR [COMPETITOR]; P3 glass spice container A=C/UD; P4 white cup B=O/UD.</x:v>
      </x:c>
      <x:c r="O1684" s="31" t="str">
        <x:v>brown cup A</x:v>
      </x:c>
      <x:c r="P1684" s="31" t="str"/>
      <x:c r="Q1684" s="31" t="str"/>
      <x:c r="R1684" s="31" t="str"/>
      <x:c r="S1684" s="31" t="str">
        <x:f>IF('Blind Scoring'!I1684="","",'Blind Scoring'!I1684)</x:f>
      </x:c>
      <x:c r="T1684" s="31" t="str">
        <x:f>'Blind Scoring'!J1684</x:f>
        <x:v>No</x:v>
      </x:c>
      <x:c r="U1684" s="31" t="str">
        <x:f>IF('Blind Scoring'!L1684="","",'Blind Scoring'!L1684)</x:f>
      </x:c>
    </x:row>
    <x:row r="1685" ht="44" customHeight="1">
      <x:c r="A1685" s="35" t="str">
        <x:v>Not Started</x:v>
      </x:c>
      <x:c r="B1685" s="35" t="n">
        <x:v>1683</x:v>
      </x:c>
      <x:c r="C1685" s="35" t="str">
        <x:v>B28</x:v>
      </x:c>
      <x:c r="D1685" s="35" t="n">
        <x:v>10</x:v>
      </x:c>
      <x:c r="E1685" s="35" t="str">
        <x:v>BC Diagnostic</x:v>
      </x:c>
      <x:c r="F1685" s="35" t="str">
        <x:v>Vision-only BC (task-specific)</x:v>
      </x:c>
      <x:c r="G1685" s="35" t="n">
        <x:v>1</x:v>
      </x:c>
      <x:c r="H1685" s="35" t="str">
        <x:v>State Recognition</x:v>
      </x:c>
      <x:c r="I1685" s="35" t="str">
        <x:v>Vision-only counterfactual B</x:v>
      </x:c>
      <x:c r="J1685" s="35" t="str">
        <x:v>BC-ST-04B</x:v>
      </x:c>
      <x:c r="K1685" s="35" t="str">
        <x:v>BC-ST-04</x:v>
      </x:c>
      <x:c r="L1685" s="31" t="str">
        <x:v>[NO LANGUAGE CHANNEL / INPUT]</x:v>
      </x:c>
      <x:c r="M1685" s="31" t="str">
        <x:v>Place the upright white cup in the bowl.</x:v>
      </x:c>
      <x:c r="N1685" s="31" t="str">
        <x:v>S-CF04-HELD: P1 white cup A=C/UD [COMPETITOR]; P2 yellow-white striped cup B=O/UR; P3 brown cup A=O/UD; P4 white cup B=C/UR [TARGET].</x:v>
      </x:c>
      <x:c r="O1685" s="31" t="str">
        <x:v>white cup B</x:v>
      </x:c>
      <x:c r="P1685" s="31" t="str"/>
      <x:c r="Q1685" s="31" t="str"/>
      <x:c r="R1685" s="31" t="str"/>
      <x:c r="S1685" s="31" t="str">
        <x:f>IF('Blind Scoring'!I1685="","",'Blind Scoring'!I1685)</x:f>
      </x:c>
      <x:c r="T1685" s="31" t="str">
        <x:f>'Blind Scoring'!J1685</x:f>
        <x:v>No</x:v>
      </x:c>
      <x:c r="U1685" s="31" t="str">
        <x:f>IF('Blind Scoring'!L1685="","",'Blind Scoring'!L1685)</x:f>
      </x:c>
    </x:row>
    <x:row r="1686" ht="44" customHeight="1">
      <x:c r="A1686" s="35" t="str">
        <x:v>Not Started</x:v>
      </x:c>
      <x:c r="B1686" s="35" t="n">
        <x:v>1684</x:v>
      </x:c>
      <x:c r="C1686" s="35" t="str">
        <x:v>B28</x:v>
      </x:c>
      <x:c r="D1686" s="35" t="n">
        <x:v>11</x:v>
      </x:c>
      <x:c r="E1686" s="35" t="str">
        <x:v>BC Diagnostic</x:v>
      </x:c>
      <x:c r="F1686" s="35" t="str">
        <x:v>Vision-only BC (task-specific)</x:v>
      </x:c>
      <x:c r="G1686" s="35" t="n">
        <x:v>1</x:v>
      </x:c>
      <x:c r="H1686" s="35" t="str">
        <x:v>State Recognition</x:v>
      </x:c>
      <x:c r="I1686" s="35" t="str">
        <x:v>Vision-only counterfactual B</x:v>
      </x:c>
      <x:c r="J1686" s="35" t="str">
        <x:v>BC-ST-03B</x:v>
      </x:c>
      <x:c r="K1686" s="35" t="str">
        <x:v>BC-ST-03</x:v>
      </x:c>
      <x:c r="L1686" s="31" t="str">
        <x:v>[NO LANGUAGE CHANNEL / INPUT]</x:v>
      </x:c>
      <x:c r="M1686" s="31" t="str">
        <x:v>Place the closed glass spice container in the bowl.</x:v>
      </x:c>
      <x:c r="N1686" s="31" t="str">
        <x:v>S-CF03-HELD: P1 white cup A=C/UR; P2 yellow-white striped cup A=O/UR; P3 glass spice container B=C/UD [TARGET]; P4 glass spice container A=O/UD [COMPETITOR].</x:v>
      </x:c>
      <x:c r="O1686" s="31" t="str">
        <x:v>glass spice container B</x:v>
      </x:c>
      <x:c r="P1686" s="31" t="str"/>
      <x:c r="Q1686" s="31" t="str"/>
      <x:c r="R1686" s="31" t="str"/>
      <x:c r="S1686" s="31" t="str">
        <x:f>IF('Blind Scoring'!I1686="","",'Blind Scoring'!I1686)</x:f>
      </x:c>
      <x:c r="T1686" s="31" t="str">
        <x:f>'Blind Scoring'!J1686</x:f>
        <x:v>No</x:v>
      </x:c>
      <x:c r="U1686" s="31" t="str">
        <x:f>IF('Blind Scoring'!L1686="","",'Blind Scoring'!L1686)</x:f>
      </x:c>
    </x:row>
    <x:row r="1687" ht="44" customHeight="1">
      <x:c r="A1687" s="35" t="str">
        <x:v>Not Started</x:v>
      </x:c>
      <x:c r="B1687" s="35" t="n">
        <x:v>1685</x:v>
      </x:c>
      <x:c r="C1687" s="35" t="str">
        <x:v>B28</x:v>
      </x:c>
      <x:c r="D1687" s="35" t="n">
        <x:v>12</x:v>
      </x:c>
      <x:c r="E1687" s="35" t="str">
        <x:v>BC Diagnostic</x:v>
      </x:c>
      <x:c r="F1687" s="35" t="str">
        <x:v>Vision-only BC (task-specific)</x:v>
      </x:c>
      <x:c r="G1687" s="35" t="n">
        <x:v>1</x:v>
      </x:c>
      <x:c r="H1687" s="35" t="str">
        <x:v>State Recognition</x:v>
      </x:c>
      <x:c r="I1687" s="35" t="str">
        <x:v>Vision-only counterfactual A</x:v>
      </x:c>
      <x:c r="J1687" s="35" t="str">
        <x:v>BC-ST-07A</x:v>
      </x:c>
      <x:c r="K1687" s="35" t="str">
        <x:v>BC-ST-07</x:v>
      </x:c>
      <x:c r="L1687" s="31" t="str">
        <x:v>[NO LANGUAGE CHANNEL / INPUT]</x:v>
      </x:c>
      <x:c r="M1687" s="31" t="str">
        <x:v>Place the open yellow-white striped cup in the bowl.</x:v>
      </x:c>
      <x:c r="N1687" s="31" t="str">
        <x:v>S-CF07-SEEN: P1 brown cup A=C/UR; P2 glass spice container A=O/UR; P3 yellow-white striped cup A=C/UD [TARGET]; P4 yellow-white striped cup B=O/UD [COMPETITOR].</x:v>
      </x:c>
      <x:c r="O1687" s="31" t="str">
        <x:v>yellow-white striped cup B</x:v>
      </x:c>
      <x:c r="P1687" s="31" t="str"/>
      <x:c r="Q1687" s="31" t="str"/>
      <x:c r="R1687" s="31" t="str"/>
      <x:c r="S1687" s="31" t="str">
        <x:f>IF('Blind Scoring'!I1687="","",'Blind Scoring'!I1687)</x:f>
      </x:c>
      <x:c r="T1687" s="31" t="str">
        <x:f>'Blind Scoring'!J1687</x:f>
        <x:v>No</x:v>
      </x:c>
      <x:c r="U1687" s="31" t="str">
        <x:f>IF('Blind Scoring'!L1687="","",'Blind Scoring'!L1687)</x:f>
      </x:c>
    </x:row>
    <x:row r="1688" ht="44" customHeight="1">
      <x:c r="A1688" s="35" t="str">
        <x:v>Not Started</x:v>
      </x:c>
      <x:c r="B1688" s="35" t="n">
        <x:v>1686</x:v>
      </x:c>
      <x:c r="C1688" s="35" t="str">
        <x:v>B28</x:v>
      </x:c>
      <x:c r="D1688" s="35" t="n">
        <x:v>13</x:v>
      </x:c>
      <x:c r="E1688" s="35" t="str">
        <x:v>BC Diagnostic</x:v>
      </x:c>
      <x:c r="F1688" s="35" t="str">
        <x:v>Vision-only BC (task-specific)</x:v>
      </x:c>
      <x:c r="G1688" s="35" t="n">
        <x:v>1</x:v>
      </x:c>
      <x:c r="H1688" s="35" t="str">
        <x:v>State Recognition</x:v>
      </x:c>
      <x:c r="I1688" s="35" t="str">
        <x:v>Vision-only counterfactual A</x:v>
      </x:c>
      <x:c r="J1688" s="35" t="str">
        <x:v>BC-ST-10A</x:v>
      </x:c>
      <x:c r="K1688" s="35" t="str">
        <x:v>BC-ST-10</x:v>
      </x:c>
      <x:c r="L1688" s="31" t="str">
        <x:v>[NO LANGUAGE CHANNEL / INPUT]</x:v>
      </x:c>
      <x:c r="M1688" s="31" t="str">
        <x:v>Place the upside-down yellow-white striped cup in the bowl.</x:v>
      </x:c>
      <x:c r="N1688" s="31" t="str">
        <x:v>S-CF10-SEEN: P1 brown cup B=C/UR; P2 yellow-white striped cup B=O/UR [TARGET]; P3 yellow-white striped cup A=O/UD [COMPETITOR]; P4 glass spice container B=C/UD.</x:v>
      </x:c>
      <x:c r="O1688" s="31" t="str">
        <x:v>yellow-white striped cup A</x:v>
      </x:c>
      <x:c r="P1688" s="31" t="str"/>
      <x:c r="Q1688" s="31" t="str"/>
      <x:c r="R1688" s="31" t="str"/>
      <x:c r="S1688" s="31" t="str">
        <x:f>IF('Blind Scoring'!I1688="","",'Blind Scoring'!I1688)</x:f>
      </x:c>
      <x:c r="T1688" s="31" t="str">
        <x:f>'Blind Scoring'!J1688</x:f>
        <x:v>No</x:v>
      </x:c>
      <x:c r="U1688" s="31" t="str">
        <x:f>IF('Blind Scoring'!L1688="","",'Blind Scoring'!L1688)</x:f>
      </x:c>
    </x:row>
    <x:row r="1689" ht="44" customHeight="1">
      <x:c r="A1689" s="35" t="str">
        <x:v>Not Started</x:v>
      </x:c>
      <x:c r="B1689" s="35" t="n">
        <x:v>1687</x:v>
      </x:c>
      <x:c r="C1689" s="35" t="str">
        <x:v>B28</x:v>
      </x:c>
      <x:c r="D1689" s="35" t="n">
        <x:v>14</x:v>
      </x:c>
      <x:c r="E1689" s="35" t="str">
        <x:v>BC Diagnostic</x:v>
      </x:c>
      <x:c r="F1689" s="35" t="str">
        <x:v>Vision-only BC (task-specific)</x:v>
      </x:c>
      <x:c r="G1689" s="35" t="n">
        <x:v>1</x:v>
      </x:c>
      <x:c r="H1689" s="35" t="str">
        <x:v>State Recognition</x:v>
      </x:c>
      <x:c r="I1689" s="35" t="str">
        <x:v>Vision-only counterfactual A</x:v>
      </x:c>
      <x:c r="J1689" s="35" t="str">
        <x:v>BC-ST-01A</x:v>
      </x:c>
      <x:c r="K1689" s="35" t="str">
        <x:v>BC-ST-01</x:v>
      </x:c>
      <x:c r="L1689" s="31" t="str">
        <x:v>[NO LANGUAGE CHANNEL / INPUT]</x:v>
      </x:c>
      <x:c r="M1689" s="31" t="str">
        <x:v>Place the open white cup in the bowl.</x:v>
      </x:c>
      <x:c r="N1689" s="31" t="str">
        <x:v>S-CF01-SEEN: P1 white cup A=C/UR [TARGET]; P2 white cup B=O/UR [COMPETITOR]; P3 yellow-white striped cup A=C/UD; P4 brown cup B=O/UD.</x:v>
      </x:c>
      <x:c r="O1689" s="31" t="str">
        <x:v>white cup B</x:v>
      </x:c>
      <x:c r="P1689" s="31" t="str"/>
      <x:c r="Q1689" s="31" t="str"/>
      <x:c r="R1689" s="31" t="str"/>
      <x:c r="S1689" s="31" t="str">
        <x:f>IF('Blind Scoring'!I1689="","",'Blind Scoring'!I1689)</x:f>
      </x:c>
      <x:c r="T1689" s="31" t="str">
        <x:f>'Blind Scoring'!J1689</x:f>
        <x:v>No</x:v>
      </x:c>
      <x:c r="U1689" s="31" t="str">
        <x:f>IF('Blind Scoring'!L1689="","",'Blind Scoring'!L1689)</x:f>
      </x:c>
    </x:row>
    <x:row r="1690" ht="44" customHeight="1">
      <x:c r="A1690" s="35" t="str">
        <x:v>Not Started</x:v>
      </x:c>
      <x:c r="B1690" s="35" t="n">
        <x:v>1688</x:v>
      </x:c>
      <x:c r="C1690" s="35" t="str">
        <x:v>B28</x:v>
      </x:c>
      <x:c r="D1690" s="35" t="n">
        <x:v>15</x:v>
      </x:c>
      <x:c r="E1690" s="35" t="str">
        <x:v>BC Diagnostic</x:v>
      </x:c>
      <x:c r="F1690" s="35" t="str">
        <x:v>Vision-only BC (task-specific)</x:v>
      </x:c>
      <x:c r="G1690" s="35" t="n">
        <x:v>1</x:v>
      </x:c>
      <x:c r="H1690" s="35" t="str">
        <x:v>State Recognition</x:v>
      </x:c>
      <x:c r="I1690" s="35" t="str">
        <x:v>Vision-only counterfactual B</x:v>
      </x:c>
      <x:c r="J1690" s="35" t="str">
        <x:v>BC-ST-08B</x:v>
      </x:c>
      <x:c r="K1690" s="35" t="str">
        <x:v>BC-ST-08</x:v>
      </x:c>
      <x:c r="L1690" s="31" t="str">
        <x:v>[NO LANGUAGE CHANNEL / INPUT]</x:v>
      </x:c>
      <x:c r="M1690" s="31" t="str">
        <x:v>Place the upright brown cup in the bowl.</x:v>
      </x:c>
      <x:c r="N1690" s="31" t="str">
        <x:v>S-CF08-HELD: P1 brown cup A=C/UD [COMPETITOR]; P2 glass spice container B=O/UR; P3 white cup A=O/UD; P4 brown cup B=C/UR [TARGET].</x:v>
      </x:c>
      <x:c r="O1690" s="31" t="str">
        <x:v>brown cup B</x:v>
      </x:c>
      <x:c r="P1690" s="31" t="str"/>
      <x:c r="Q1690" s="31" t="str"/>
      <x:c r="R1690" s="31" t="str"/>
      <x:c r="S1690" s="31" t="str">
        <x:f>IF('Blind Scoring'!I1690="","",'Blind Scoring'!I1690)</x:f>
      </x:c>
      <x:c r="T1690" s="31" t="str">
        <x:f>'Blind Scoring'!J1690</x:f>
        <x:v>No</x:v>
      </x:c>
      <x:c r="U1690" s="31" t="str">
        <x:f>IF('Blind Scoring'!L1690="","",'Blind Scoring'!L1690)</x:f>
      </x:c>
    </x:row>
    <x:row r="1691" ht="44" customHeight="1">
      <x:c r="A1691" s="35" t="str">
        <x:v>Not Started</x:v>
      </x:c>
      <x:c r="B1691" s="35" t="n">
        <x:v>1689</x:v>
      </x:c>
      <x:c r="C1691" s="35" t="str">
        <x:v>B28</x:v>
      </x:c>
      <x:c r="D1691" s="35" t="n">
        <x:v>16</x:v>
      </x:c>
      <x:c r="E1691" s="35" t="str">
        <x:v>BC Diagnostic</x:v>
      </x:c>
      <x:c r="F1691" s="35" t="str">
        <x:v>Vision-only BC (task-specific)</x:v>
      </x:c>
      <x:c r="G1691" s="35" t="n">
        <x:v>1</x:v>
      </x:c>
      <x:c r="H1691" s="35" t="str">
        <x:v>State Recognition</x:v>
      </x:c>
      <x:c r="I1691" s="35" t="str">
        <x:v>Vision-only counterfactual A</x:v>
      </x:c>
      <x:c r="J1691" s="35" t="str">
        <x:v>BC-ST-08A</x:v>
      </x:c>
      <x:c r="K1691" s="35" t="str">
        <x:v>BC-ST-08</x:v>
      </x:c>
      <x:c r="L1691" s="31" t="str">
        <x:v>[NO LANGUAGE CHANNEL / INPUT]</x:v>
      </x:c>
      <x:c r="M1691" s="31" t="str">
        <x:v>Place the upside-down brown cup in the bowl.</x:v>
      </x:c>
      <x:c r="N1691" s="31" t="str">
        <x:v>S-CF08-SEEN: P1 brown cup A=C/UD [COMPETITOR]; P2 glass spice container B=O/UR; P3 white cup A=O/UD; P4 brown cup B=C/UR [TARGET].</x:v>
      </x:c>
      <x:c r="O1691" s="31" t="str">
        <x:v>brown cup A</x:v>
      </x:c>
      <x:c r="P1691" s="31" t="str"/>
      <x:c r="Q1691" s="31" t="str"/>
      <x:c r="R1691" s="31" t="str"/>
      <x:c r="S1691" s="31" t="str">
        <x:f>IF('Blind Scoring'!I1691="","",'Blind Scoring'!I1691)</x:f>
      </x:c>
      <x:c r="T1691" s="31" t="str">
        <x:f>'Blind Scoring'!J1691</x:f>
        <x:v>No</x:v>
      </x:c>
      <x:c r="U1691" s="31" t="str">
        <x:f>IF('Blind Scoring'!L1691="","",'Blind Scoring'!L1691)</x:f>
      </x:c>
    </x:row>
    <x:row r="1692" ht="44" customHeight="1">
      <x:c r="A1692" s="35" t="str">
        <x:v>Not Started</x:v>
      </x:c>
      <x:c r="B1692" s="35" t="n">
        <x:v>1690</x:v>
      </x:c>
      <x:c r="C1692" s="35" t="str">
        <x:v>B28</x:v>
      </x:c>
      <x:c r="D1692" s="35" t="n">
        <x:v>17</x:v>
      </x:c>
      <x:c r="E1692" s="35" t="str">
        <x:v>BC Diagnostic</x:v>
      </x:c>
      <x:c r="F1692" s="35" t="str">
        <x:v>Vision-only BC (task-specific)</x:v>
      </x:c>
      <x:c r="G1692" s="35" t="n">
        <x:v>1</x:v>
      </x:c>
      <x:c r="H1692" s="35" t="str">
        <x:v>State Recognition</x:v>
      </x:c>
      <x:c r="I1692" s="35" t="str">
        <x:v>Vision-only counterfactual A</x:v>
      </x:c>
      <x:c r="J1692" s="35" t="str">
        <x:v>BC-ST-03A</x:v>
      </x:c>
      <x:c r="K1692" s="35" t="str">
        <x:v>BC-ST-03</x:v>
      </x:c>
      <x:c r="L1692" s="31" t="str">
        <x:v>[NO LANGUAGE CHANNEL / INPUT]</x:v>
      </x:c>
      <x:c r="M1692" s="31" t="str">
        <x:v>Place the open glass spice container in the bowl.</x:v>
      </x:c>
      <x:c r="N1692" s="31" t="str">
        <x:v>S-CF03-SEEN: P1 white cup A=C/UR; P2 yellow-white striped cup A=O/UR; P3 glass spice container B=C/UD [TARGET]; P4 glass spice container A=O/UD [COMPETITOR].</x:v>
      </x:c>
      <x:c r="O1692" s="31" t="str">
        <x:v>glass spice container A</x:v>
      </x:c>
      <x:c r="P1692" s="31" t="str"/>
      <x:c r="Q1692" s="31" t="str"/>
      <x:c r="R1692" s="31" t="str"/>
      <x:c r="S1692" s="31" t="str">
        <x:f>IF('Blind Scoring'!I1692="","",'Blind Scoring'!I1692)</x:f>
      </x:c>
      <x:c r="T1692" s="31" t="str">
        <x:f>'Blind Scoring'!J1692</x:f>
        <x:v>No</x:v>
      </x:c>
      <x:c r="U1692" s="31" t="str">
        <x:f>IF('Blind Scoring'!L1692="","",'Blind Scoring'!L1692)</x:f>
      </x:c>
    </x:row>
    <x:row r="1693" ht="44" customHeight="1">
      <x:c r="A1693" s="35" t="str">
        <x:v>Not Started</x:v>
      </x:c>
      <x:c r="B1693" s="35" t="n">
        <x:v>1691</x:v>
      </x:c>
      <x:c r="C1693" s="35" t="str">
        <x:v>B28</x:v>
      </x:c>
      <x:c r="D1693" s="35" t="n">
        <x:v>18</x:v>
      </x:c>
      <x:c r="E1693" s="35" t="str">
        <x:v>BC Diagnostic</x:v>
      </x:c>
      <x:c r="F1693" s="35" t="str">
        <x:v>Vision-only BC (task-specific)</x:v>
      </x:c>
      <x:c r="G1693" s="35" t="n">
        <x:v>1</x:v>
      </x:c>
      <x:c r="H1693" s="35" t="str">
        <x:v>State Recognition</x:v>
      </x:c>
      <x:c r="I1693" s="35" t="str">
        <x:v>Vision-only counterfactual A</x:v>
      </x:c>
      <x:c r="J1693" s="35" t="str">
        <x:v>BC-ST-04A</x:v>
      </x:c>
      <x:c r="K1693" s="35" t="str">
        <x:v>BC-ST-04</x:v>
      </x:c>
      <x:c r="L1693" s="31" t="str">
        <x:v>[NO LANGUAGE CHANNEL / INPUT]</x:v>
      </x:c>
      <x:c r="M1693" s="31" t="str">
        <x:v>Place the upside-down white cup in the bowl.</x:v>
      </x:c>
      <x:c r="N1693" s="31" t="str">
        <x:v>S-CF04-SEEN: P1 white cup A=C/UD [COMPETITOR]; P2 yellow-white striped cup B=O/UR; P3 brown cup A=O/UD; P4 white cup B=C/UR [TARGET].</x:v>
      </x:c>
      <x:c r="O1693" s="31" t="str">
        <x:v>white cup A</x:v>
      </x:c>
      <x:c r="P1693" s="31" t="str"/>
      <x:c r="Q1693" s="31" t="str"/>
      <x:c r="R1693" s="31" t="str"/>
      <x:c r="S1693" s="31" t="str">
        <x:f>IF('Blind Scoring'!I1693="","",'Blind Scoring'!I1693)</x:f>
      </x:c>
      <x:c r="T1693" s="31" t="str">
        <x:f>'Blind Scoring'!J1693</x:f>
        <x:v>No</x:v>
      </x:c>
      <x:c r="U1693" s="31" t="str">
        <x:f>IF('Blind Scoring'!L1693="","",'Blind Scoring'!L1693)</x:f>
      </x:c>
    </x:row>
    <x:row r="1694" ht="44" customHeight="1">
      <x:c r="A1694" s="35" t="str">
        <x:v>Not Started</x:v>
      </x:c>
      <x:c r="B1694" s="35" t="n">
        <x:v>1692</x:v>
      </x:c>
      <x:c r="C1694" s="35" t="str">
        <x:v>B28</x:v>
      </x:c>
      <x:c r="D1694" s="35" t="n">
        <x:v>19</x:v>
      </x:c>
      <x:c r="E1694" s="35" t="str">
        <x:v>BC Diagnostic</x:v>
      </x:c>
      <x:c r="F1694" s="35" t="str">
        <x:v>Vision-only BC (task-specific)</x:v>
      </x:c>
      <x:c r="G1694" s="35" t="n">
        <x:v>1</x:v>
      </x:c>
      <x:c r="H1694" s="35" t="str">
        <x:v>State Recognition</x:v>
      </x:c>
      <x:c r="I1694" s="35" t="str">
        <x:v>Vision-only counterfactual A</x:v>
      </x:c>
      <x:c r="J1694" s="35" t="str">
        <x:v>BC-ST-02A</x:v>
      </x:c>
      <x:c r="K1694" s="35" t="str">
        <x:v>BC-ST-02</x:v>
      </x:c>
      <x:c r="L1694" s="31" t="str">
        <x:v>[NO LANGUAGE CHANNEL / INPUT]</x:v>
      </x:c>
      <x:c r="M1694" s="31" t="str">
        <x:v>Place the upside-down yellow-white striped cup in the bowl.</x:v>
      </x:c>
      <x:c r="N1694" s="31" t="str">
        <x:v>S-CF02-SEEN: P1 brown cup B=C/UR; P2 yellow-white striped cup B=O/UR [TARGET]; P3 yellow-white striped cup A=O/UD [COMPETITOR]; P4 glass spice container B=C/UD.</x:v>
      </x:c>
      <x:c r="O1694" s="31" t="str">
        <x:v>yellow-white striped cup A</x:v>
      </x:c>
      <x:c r="P1694" s="31" t="str"/>
      <x:c r="Q1694" s="31" t="str"/>
      <x:c r="R1694" s="31" t="str"/>
      <x:c r="S1694" s="31" t="str">
        <x:f>IF('Blind Scoring'!I1694="","",'Blind Scoring'!I1694)</x:f>
      </x:c>
      <x:c r="T1694" s="31" t="str">
        <x:f>'Blind Scoring'!J1694</x:f>
        <x:v>No</x:v>
      </x:c>
      <x:c r="U1694" s="31" t="str">
        <x:f>IF('Blind Scoring'!L1694="","",'Blind Scoring'!L1694)</x:f>
      </x:c>
    </x:row>
    <x:row r="1695" ht="44" customHeight="1">
      <x:c r="A1695" s="35" t="str">
        <x:v>Not Started</x:v>
      </x:c>
      <x:c r="B1695" s="35" t="n">
        <x:v>1693</x:v>
      </x:c>
      <x:c r="C1695" s="35" t="str">
        <x:v>B28</x:v>
      </x:c>
      <x:c r="D1695" s="35" t="n">
        <x:v>20</x:v>
      </x:c>
      <x:c r="E1695" s="35" t="str">
        <x:v>BC Diagnostic</x:v>
      </x:c>
      <x:c r="F1695" s="35" t="str">
        <x:v>Vision-only BC (task-specific)</x:v>
      </x:c>
      <x:c r="G1695" s="35" t="n">
        <x:v>1</x:v>
      </x:c>
      <x:c r="H1695" s="35" t="str">
        <x:v>State Recognition</x:v>
      </x:c>
      <x:c r="I1695" s="35" t="str">
        <x:v>Vision-only counterfactual A</x:v>
      </x:c>
      <x:c r="J1695" s="35" t="str">
        <x:v>BC-ST-09A</x:v>
      </x:c>
      <x:c r="K1695" s="35" t="str">
        <x:v>BC-ST-09</x:v>
      </x:c>
      <x:c r="L1695" s="31" t="str">
        <x:v>[NO LANGUAGE CHANNEL / INPUT]</x:v>
      </x:c>
      <x:c r="M1695" s="31" t="str">
        <x:v>Place the open white cup in the bowl.</x:v>
      </x:c>
      <x:c r="N1695" s="31" t="str">
        <x:v>S-CF09-SEEN: P1 white cup A=C/UR [TARGET]; P2 white cup B=O/UR [COMPETITOR]; P3 yellow-white striped cup A=C/UD; P4 brown cup B=O/UD.</x:v>
      </x:c>
      <x:c r="O1695" s="31" t="str">
        <x:v>white cup B</x:v>
      </x:c>
      <x:c r="P1695" s="31" t="str"/>
      <x:c r="Q1695" s="31" t="str"/>
      <x:c r="R1695" s="31" t="str"/>
      <x:c r="S1695" s="31" t="str">
        <x:f>IF('Blind Scoring'!I1695="","",'Blind Scoring'!I1695)</x:f>
      </x:c>
      <x:c r="T1695" s="31" t="str">
        <x:f>'Blind Scoring'!J1695</x:f>
        <x:v>No</x:v>
      </x:c>
      <x:c r="U1695" s="31" t="str">
        <x:f>IF('Blind Scoring'!L1695="","",'Blind Scoring'!L1695)</x:f>
      </x:c>
    </x:row>
    <x:row r="1696" ht="44" customHeight="1">
      <x:c r="A1696" s="35" t="str">
        <x:v>Not Started</x:v>
      </x:c>
      <x:c r="B1696" s="35" t="n">
        <x:v>1694</x:v>
      </x:c>
      <x:c r="C1696" s="35" t="str">
        <x:v>B29</x:v>
      </x:c>
      <x:c r="D1696" s="35" t="n">
        <x:v>1</x:v>
      </x:c>
      <x:c r="E1696" s="35" t="str">
        <x:v>BC Diagnostic</x:v>
      </x:c>
      <x:c r="F1696" s="35" t="str">
        <x:v>Vision-only BC (task-specific)</x:v>
      </x:c>
      <x:c r="G1696" s="35" t="n">
        <x:v>1</x:v>
      </x:c>
      <x:c r="H1696" s="35" t="str">
        <x:v>Relational Placement</x:v>
      </x:c>
      <x:c r="I1696" s="35" t="str">
        <x:v>Vision-only counterfactual B</x:v>
      </x:c>
      <x:c r="J1696" s="35" t="str">
        <x:v>BC-RP-05B</x:v>
      </x:c>
      <x:c r="K1696" s="35" t="str">
        <x:v>BC-RP-05</x:v>
      </x:c>
      <x:c r="L1696" s="31" t="str">
        <x:v>[NO LANGUAGE CHANNEL / INPUT]</x:v>
      </x:c>
      <x:c r="M1696" s="31" t="str">
        <x:v>Place the red block to the left of the green pen.</x:v>
      </x:c>
      <x:c r="N1696" s="31" t="str">
        <x:v>R-CF14-HELD: green pen at front-left [REFERENCE]; red block starts 21 cm to the left of the reference [TARGET START]; blue block and pink marker are distractors outside the commanded goal sector.</x:v>
      </x:c>
      <x:c r="O1696" s="31" t="str">
        <x:v>red block → to the left of green pen</x:v>
      </x:c>
      <x:c r="P1696" s="31" t="str"/>
      <x:c r="Q1696" s="31" t="str"/>
      <x:c r="R1696" s="31" t="str"/>
      <x:c r="S1696" s="31" t="str">
        <x:f>IF('Blind Scoring'!I1696="","",'Blind Scoring'!I1696)</x:f>
      </x:c>
      <x:c r="T1696" s="31" t="str">
        <x:f>'Blind Scoring'!J1696</x:f>
        <x:v>No</x:v>
      </x:c>
      <x:c r="U1696" s="31" t="str">
        <x:f>IF('Blind Scoring'!L1696="","",'Blind Scoring'!L1696)</x:f>
      </x:c>
    </x:row>
    <x:row r="1697" ht="44" customHeight="1">
      <x:c r="A1697" s="35" t="str">
        <x:v>Not Started</x:v>
      </x:c>
      <x:c r="B1697" s="35" t="n">
        <x:v>1695</x:v>
      </x:c>
      <x:c r="C1697" s="35" t="str">
        <x:v>B29</x:v>
      </x:c>
      <x:c r="D1697" s="35" t="n">
        <x:v>2</x:v>
      </x:c>
      <x:c r="E1697" s="35" t="str">
        <x:v>BC Diagnostic</x:v>
      </x:c>
      <x:c r="F1697" s="35" t="str">
        <x:v>Vision-only BC (task-specific)</x:v>
      </x:c>
      <x:c r="G1697" s="35" t="n">
        <x:v>1</x:v>
      </x:c>
      <x:c r="H1697" s="35" t="str">
        <x:v>Relational Placement</x:v>
      </x:c>
      <x:c r="I1697" s="35" t="str">
        <x:v>Vision-only counterfactual A</x:v>
      </x:c>
      <x:c r="J1697" s="35" t="str">
        <x:v>BC-RP-05A</x:v>
      </x:c>
      <x:c r="K1697" s="35" t="str">
        <x:v>BC-RP-05</x:v>
      </x:c>
      <x:c r="L1697" s="31" t="str">
        <x:v>[NO LANGUAGE CHANNEL / INPUT]</x:v>
      </x:c>
      <x:c r="M1697" s="31" t="str">
        <x:v>Place the red block to the right of the green pen.</x:v>
      </x:c>
      <x:c r="N1697" s="31" t="str">
        <x:v>R-CF14-HELD: green pen at front-left [REFERENCE]; red block starts 21 cm to the left of the reference [TARGET START]; blue block and pink marker are distractors outside the commanded goal sector.</x:v>
      </x:c>
      <x:c r="O1697" s="31" t="str">
        <x:v>red block → to the right of green pen</x:v>
      </x:c>
      <x:c r="P1697" s="31" t="str"/>
      <x:c r="Q1697" s="31" t="str"/>
      <x:c r="R1697" s="31" t="str"/>
      <x:c r="S1697" s="31" t="str">
        <x:f>IF('Blind Scoring'!I1697="","",'Blind Scoring'!I1697)</x:f>
      </x:c>
      <x:c r="T1697" s="31" t="str">
        <x:f>'Blind Scoring'!J1697</x:f>
        <x:v>No</x:v>
      </x:c>
      <x:c r="U1697" s="31" t="str">
        <x:f>IF('Blind Scoring'!L1697="","",'Blind Scoring'!L1697)</x:f>
      </x:c>
    </x:row>
    <x:row r="1698" ht="44" customHeight="1">
      <x:c r="A1698" s="35" t="str">
        <x:v>Not Started</x:v>
      </x:c>
      <x:c r="B1698" s="35" t="n">
        <x:v>1696</x:v>
      </x:c>
      <x:c r="C1698" s="35" t="str">
        <x:v>B29</x:v>
      </x:c>
      <x:c r="D1698" s="35" t="n">
        <x:v>3</x:v>
      </x:c>
      <x:c r="E1698" s="35" t="str">
        <x:v>BC Diagnostic</x:v>
      </x:c>
      <x:c r="F1698" s="35" t="str">
        <x:v>Vision-only BC (task-specific)</x:v>
      </x:c>
      <x:c r="G1698" s="35" t="n">
        <x:v>1</x:v>
      </x:c>
      <x:c r="H1698" s="35" t="str">
        <x:v>Relational Placement</x:v>
      </x:c>
      <x:c r="I1698" s="35" t="str">
        <x:v>Vision-only counterfactual B</x:v>
      </x:c>
      <x:c r="J1698" s="35" t="str">
        <x:v>BC-RP-09B</x:v>
      </x:c>
      <x:c r="K1698" s="35" t="str">
        <x:v>BC-RP-09</x:v>
      </x:c>
      <x:c r="L1698" s="31" t="str">
        <x:v>[NO LANGUAGE CHANNEL / INPUT]</x:v>
      </x:c>
      <x:c r="M1698" s="31" t="str">
        <x:v>Place the green pen to the left of the red block.</x:v>
      </x:c>
      <x:c r="N1698" s="31" t="str">
        <x:v>R-CF27-HELD: red block at back-left [REFERENCE]; green pen starts 24 cm to the left of the reference [TARGET START]; pink marker and blue block are distractors outside the commanded goal sector.</x:v>
      </x:c>
      <x:c r="O1698" s="31" t="str">
        <x:v>green pen → to the left of red block</x:v>
      </x:c>
      <x:c r="P1698" s="31" t="str"/>
      <x:c r="Q1698" s="31" t="str"/>
      <x:c r="R1698" s="31" t="str"/>
      <x:c r="S1698" s="31" t="str">
        <x:f>IF('Blind Scoring'!I1698="","",'Blind Scoring'!I1698)</x:f>
      </x:c>
      <x:c r="T1698" s="31" t="str">
        <x:f>'Blind Scoring'!J1698</x:f>
        <x:v>No</x:v>
      </x:c>
      <x:c r="U1698" s="31" t="str">
        <x:f>IF('Blind Scoring'!L1698="","",'Blind Scoring'!L1698)</x:f>
      </x:c>
    </x:row>
    <x:row r="1699" ht="44" customHeight="1">
      <x:c r="A1699" s="35" t="str">
        <x:v>Not Started</x:v>
      </x:c>
      <x:c r="B1699" s="35" t="n">
        <x:v>1697</x:v>
      </x:c>
      <x:c r="C1699" s="35" t="str">
        <x:v>B29</x:v>
      </x:c>
      <x:c r="D1699" s="35" t="n">
        <x:v>4</x:v>
      </x:c>
      <x:c r="E1699" s="35" t="str">
        <x:v>BC Diagnostic</x:v>
      </x:c>
      <x:c r="F1699" s="35" t="str">
        <x:v>Vision-only BC (task-specific)</x:v>
      </x:c>
      <x:c r="G1699" s="35" t="n">
        <x:v>1</x:v>
      </x:c>
      <x:c r="H1699" s="35" t="str">
        <x:v>Relational Placement</x:v>
      </x:c>
      <x:c r="I1699" s="35" t="str">
        <x:v>Vision-only counterfactual B</x:v>
      </x:c>
      <x:c r="J1699" s="35" t="str">
        <x:v>BC-RP-01B</x:v>
      </x:c>
      <x:c r="K1699" s="35" t="str">
        <x:v>BC-RP-01</x:v>
      </x:c>
      <x:c r="L1699" s="31" t="str">
        <x:v>[NO LANGUAGE CHANNEL / INPUT]</x:v>
      </x:c>
      <x:c r="M1699" s="31" t="str">
        <x:v>Place the green pen behind the red block.</x:v>
      </x:c>
      <x:c r="N1699" s="31" t="str">
        <x:v>R-CF01-HELD: red block at center [REFERENCE]; green pen starts 18 cm behind the reference [TARGET START]; pink marker and blue block are distractors outside the commanded goal sector.</x:v>
      </x:c>
      <x:c r="O1699" s="31" t="str">
        <x:v>green pen → behind red block</x:v>
      </x:c>
      <x:c r="P1699" s="31" t="str"/>
      <x:c r="Q1699" s="31" t="str"/>
      <x:c r="R1699" s="31" t="str"/>
      <x:c r="S1699" s="31" t="str">
        <x:f>IF('Blind Scoring'!I1699="","",'Blind Scoring'!I1699)</x:f>
      </x:c>
      <x:c r="T1699" s="31" t="str">
        <x:f>'Blind Scoring'!J1699</x:f>
        <x:v>No</x:v>
      </x:c>
      <x:c r="U1699" s="31" t="str">
        <x:f>IF('Blind Scoring'!L1699="","",'Blind Scoring'!L1699)</x:f>
      </x:c>
    </x:row>
    <x:row r="1700" ht="44" customHeight="1">
      <x:c r="A1700" s="35" t="str">
        <x:v>Not Started</x:v>
      </x:c>
      <x:c r="B1700" s="35" t="n">
        <x:v>1698</x:v>
      </x:c>
      <x:c r="C1700" s="35" t="str">
        <x:v>B29</x:v>
      </x:c>
      <x:c r="D1700" s="35" t="n">
        <x:v>5</x:v>
      </x:c>
      <x:c r="E1700" s="35" t="str">
        <x:v>BC Diagnostic</x:v>
      </x:c>
      <x:c r="F1700" s="35" t="str">
        <x:v>Vision-only BC (task-specific)</x:v>
      </x:c>
      <x:c r="G1700" s="35" t="n">
        <x:v>1</x:v>
      </x:c>
      <x:c r="H1700" s="35" t="str">
        <x:v>Relational Placement</x:v>
      </x:c>
      <x:c r="I1700" s="35" t="str">
        <x:v>Vision-only counterfactual A</x:v>
      </x:c>
      <x:c r="J1700" s="35" t="str">
        <x:v>BC-RP-07A</x:v>
      </x:c>
      <x:c r="K1700" s="35" t="str">
        <x:v>BC-RP-07</x:v>
      </x:c>
      <x:c r="L1700" s="31" t="str">
        <x:v>[NO LANGUAGE CHANNEL / INPUT]</x:v>
      </x:c>
      <x:c r="M1700" s="31" t="str">
        <x:v>Place the red block in front of the green pen.</x:v>
      </x:c>
      <x:c r="N1700" s="31" t="str">
        <x:v>R-CF20-HELD: green pen at front-right [REFERENCE]; red block starts 21 cm behind the reference [TARGET START]; blue block and pink marker are distractors outside the commanded goal sector.</x:v>
      </x:c>
      <x:c r="O1700" s="31" t="str">
        <x:v>red block → in front of green pen</x:v>
      </x:c>
      <x:c r="P1700" s="31" t="str"/>
      <x:c r="Q1700" s="31" t="str"/>
      <x:c r="R1700" s="31" t="str"/>
      <x:c r="S1700" s="31" t="str">
        <x:f>IF('Blind Scoring'!I1700="","",'Blind Scoring'!I1700)</x:f>
      </x:c>
      <x:c r="T1700" s="31" t="str">
        <x:f>'Blind Scoring'!J1700</x:f>
        <x:v>No</x:v>
      </x:c>
      <x:c r="U1700" s="31" t="str">
        <x:f>IF('Blind Scoring'!L1700="","",'Blind Scoring'!L1700)</x:f>
      </x:c>
    </x:row>
    <x:row r="1701" ht="44" customHeight="1">
      <x:c r="A1701" s="35" t="str">
        <x:v>Not Started</x:v>
      </x:c>
      <x:c r="B1701" s="35" t="n">
        <x:v>1699</x:v>
      </x:c>
      <x:c r="C1701" s="35" t="str">
        <x:v>B29</x:v>
      </x:c>
      <x:c r="D1701" s="35" t="n">
        <x:v>6</x:v>
      </x:c>
      <x:c r="E1701" s="35" t="str">
        <x:v>BC Diagnostic</x:v>
      </x:c>
      <x:c r="F1701" s="35" t="str">
        <x:v>Vision-only BC (task-specific)</x:v>
      </x:c>
      <x:c r="G1701" s="35" t="n">
        <x:v>1</x:v>
      </x:c>
      <x:c r="H1701" s="35" t="str">
        <x:v>Relational Placement</x:v>
      </x:c>
      <x:c r="I1701" s="35" t="str">
        <x:v>Vision-only counterfactual A</x:v>
      </x:c>
      <x:c r="J1701" s="35" t="str">
        <x:v>BC-RP-06A</x:v>
      </x:c>
      <x:c r="K1701" s="35" t="str">
        <x:v>BC-RP-06</x:v>
      </x:c>
      <x:c r="L1701" s="31" t="str">
        <x:v>[NO LANGUAGE CHANNEL / INPUT]</x:v>
      </x:c>
      <x:c r="M1701" s="31" t="str">
        <x:v>Place the green pen in front of the red block.</x:v>
      </x:c>
      <x:c r="N1701" s="31" t="str">
        <x:v>R-CF17-HELD: red block at back-left [REFERENCE]; green pen starts 21 cm behind the reference [TARGET START]; pink marker and blue block are distractors outside the commanded goal sector.</x:v>
      </x:c>
      <x:c r="O1701" s="31" t="str">
        <x:v>green pen → in front of red block</x:v>
      </x:c>
      <x:c r="P1701" s="31" t="str"/>
      <x:c r="Q1701" s="31" t="str"/>
      <x:c r="R1701" s="31" t="str"/>
      <x:c r="S1701" s="31" t="str">
        <x:f>IF('Blind Scoring'!I1701="","",'Blind Scoring'!I1701)</x:f>
      </x:c>
      <x:c r="T1701" s="31" t="str">
        <x:f>'Blind Scoring'!J1701</x:f>
        <x:v>No</x:v>
      </x:c>
      <x:c r="U1701" s="31" t="str">
        <x:f>IF('Blind Scoring'!L1701="","",'Blind Scoring'!L1701)</x:f>
      </x:c>
    </x:row>
    <x:row r="1702" ht="44" customHeight="1">
      <x:c r="A1702" s="35" t="str">
        <x:v>Not Started</x:v>
      </x:c>
      <x:c r="B1702" s="35" t="n">
        <x:v>1700</x:v>
      </x:c>
      <x:c r="C1702" s="35" t="str">
        <x:v>B29</x:v>
      </x:c>
      <x:c r="D1702" s="35" t="n">
        <x:v>7</x:v>
      </x:c>
      <x:c r="E1702" s="35" t="str">
        <x:v>BC Diagnostic</x:v>
      </x:c>
      <x:c r="F1702" s="35" t="str">
        <x:v>Vision-only BC (task-specific)</x:v>
      </x:c>
      <x:c r="G1702" s="35" t="n">
        <x:v>1</x:v>
      </x:c>
      <x:c r="H1702" s="35" t="str">
        <x:v>Relational Placement</x:v>
      </x:c>
      <x:c r="I1702" s="35" t="str">
        <x:v>Vision-only counterfactual B</x:v>
      </x:c>
      <x:c r="J1702" s="35" t="str">
        <x:v>BC-RP-03B</x:v>
      </x:c>
      <x:c r="K1702" s="35" t="str">
        <x:v>BC-RP-03</x:v>
      </x:c>
      <x:c r="L1702" s="31" t="str">
        <x:v>[NO LANGUAGE CHANNEL / INPUT]</x:v>
      </x:c>
      <x:c r="M1702" s="31" t="str">
        <x:v>Place the green pen in front of the red block.</x:v>
      </x:c>
      <x:c r="N1702" s="31" t="str">
        <x:v>R-CF07-HELD: red block at back-left [REFERENCE]; green pen starts 18 cm in front of the reference [TARGET START]; pink marker and blue block are distractors outside the commanded goal sector.</x:v>
      </x:c>
      <x:c r="O1702" s="31" t="str">
        <x:v>green pen → in front of red block</x:v>
      </x:c>
      <x:c r="P1702" s="31" t="str"/>
      <x:c r="Q1702" s="31" t="str"/>
      <x:c r="R1702" s="31" t="str"/>
      <x:c r="S1702" s="31" t="str">
        <x:f>IF('Blind Scoring'!I1702="","",'Blind Scoring'!I1702)</x:f>
      </x:c>
      <x:c r="T1702" s="31" t="str">
        <x:f>'Blind Scoring'!J1702</x:f>
        <x:v>No</x:v>
      </x:c>
      <x:c r="U1702" s="31" t="str">
        <x:f>IF('Blind Scoring'!L1702="","",'Blind Scoring'!L1702)</x:f>
      </x:c>
    </x:row>
    <x:row r="1703" ht="44" customHeight="1">
      <x:c r="A1703" s="35" t="str">
        <x:v>Not Started</x:v>
      </x:c>
      <x:c r="B1703" s="35" t="n">
        <x:v>1701</x:v>
      </x:c>
      <x:c r="C1703" s="35" t="str">
        <x:v>B29</x:v>
      </x:c>
      <x:c r="D1703" s="35" t="n">
        <x:v>8</x:v>
      </x:c>
      <x:c r="E1703" s="35" t="str">
        <x:v>BC Diagnostic</x:v>
      </x:c>
      <x:c r="F1703" s="35" t="str">
        <x:v>Vision-only BC (task-specific)</x:v>
      </x:c>
      <x:c r="G1703" s="35" t="n">
        <x:v>1</x:v>
      </x:c>
      <x:c r="H1703" s="35" t="str">
        <x:v>Relational Placement</x:v>
      </x:c>
      <x:c r="I1703" s="35" t="str">
        <x:v>Vision-only counterfactual A</x:v>
      </x:c>
      <x:c r="J1703" s="35" t="str">
        <x:v>BC-RP-09A</x:v>
      </x:c>
      <x:c r="K1703" s="35" t="str">
        <x:v>BC-RP-09</x:v>
      </x:c>
      <x:c r="L1703" s="31" t="str">
        <x:v>[NO LANGUAGE CHANNEL / INPUT]</x:v>
      </x:c>
      <x:c r="M1703" s="31" t="str">
        <x:v>Place the green pen to the right of the red block.</x:v>
      </x:c>
      <x:c r="N1703" s="31" t="str">
        <x:v>R-CF27-HELD: red block at back-left [REFERENCE]; green pen starts 24 cm to the left of the reference [TARGET START]; pink marker and blue block are distractors outside the commanded goal sector.</x:v>
      </x:c>
      <x:c r="O1703" s="31" t="str">
        <x:v>green pen → to the right of red block</x:v>
      </x:c>
      <x:c r="P1703" s="31" t="str"/>
      <x:c r="Q1703" s="31" t="str"/>
      <x:c r="R1703" s="31" t="str"/>
      <x:c r="S1703" s="31" t="str">
        <x:f>IF('Blind Scoring'!I1703="","",'Blind Scoring'!I1703)</x:f>
      </x:c>
      <x:c r="T1703" s="31" t="str">
        <x:f>'Blind Scoring'!J1703</x:f>
        <x:v>No</x:v>
      </x:c>
      <x:c r="U1703" s="31" t="str">
        <x:f>IF('Blind Scoring'!L1703="","",'Blind Scoring'!L1703)</x:f>
      </x:c>
    </x:row>
    <x:row r="1704" ht="44" customHeight="1">
      <x:c r="A1704" s="35" t="str">
        <x:v>Not Started</x:v>
      </x:c>
      <x:c r="B1704" s="35" t="n">
        <x:v>1702</x:v>
      </x:c>
      <x:c r="C1704" s="35" t="str">
        <x:v>B29</x:v>
      </x:c>
      <x:c r="D1704" s="35" t="n">
        <x:v>9</x:v>
      </x:c>
      <x:c r="E1704" s="35" t="str">
        <x:v>BC Diagnostic</x:v>
      </x:c>
      <x:c r="F1704" s="35" t="str">
        <x:v>Vision-only BC (task-specific)</x:v>
      </x:c>
      <x:c r="G1704" s="35" t="n">
        <x:v>1</x:v>
      </x:c>
      <x:c r="H1704" s="35" t="str">
        <x:v>Relational Placement</x:v>
      </x:c>
      <x:c r="I1704" s="35" t="str">
        <x:v>Vision-only counterfactual B</x:v>
      </x:c>
      <x:c r="J1704" s="35" t="str">
        <x:v>BC-RP-06B</x:v>
      </x:c>
      <x:c r="K1704" s="35" t="str">
        <x:v>BC-RP-06</x:v>
      </x:c>
      <x:c r="L1704" s="31" t="str">
        <x:v>[NO LANGUAGE CHANNEL / INPUT]</x:v>
      </x:c>
      <x:c r="M1704" s="31" t="str">
        <x:v>Place the green pen behind the red block.</x:v>
      </x:c>
      <x:c r="N1704" s="31" t="str">
        <x:v>R-CF17-HELD: red block at back-left [REFERENCE]; green pen starts 21 cm behind the reference [TARGET START]; pink marker and blue block are distractors outside the commanded goal sector.</x:v>
      </x:c>
      <x:c r="O1704" s="31" t="str">
        <x:v>green pen → behind red block</x:v>
      </x:c>
      <x:c r="P1704" s="31" t="str"/>
      <x:c r="Q1704" s="31" t="str"/>
      <x:c r="R1704" s="31" t="str"/>
      <x:c r="S1704" s="31" t="str">
        <x:f>IF('Blind Scoring'!I1704="","",'Blind Scoring'!I1704)</x:f>
      </x:c>
      <x:c r="T1704" s="31" t="str">
        <x:f>'Blind Scoring'!J1704</x:f>
        <x:v>No</x:v>
      </x:c>
      <x:c r="U1704" s="31" t="str">
        <x:f>IF('Blind Scoring'!L1704="","",'Blind Scoring'!L1704)</x:f>
      </x:c>
    </x:row>
    <x:row r="1705" ht="44" customHeight="1">
      <x:c r="A1705" s="35" t="str">
        <x:v>Not Started</x:v>
      </x:c>
      <x:c r="B1705" s="35" t="n">
        <x:v>1703</x:v>
      </x:c>
      <x:c r="C1705" s="35" t="str">
        <x:v>B29</x:v>
      </x:c>
      <x:c r="D1705" s="35" t="n">
        <x:v>10</x:v>
      </x:c>
      <x:c r="E1705" s="35" t="str">
        <x:v>BC Diagnostic</x:v>
      </x:c>
      <x:c r="F1705" s="35" t="str">
        <x:v>Vision-only BC (task-specific)</x:v>
      </x:c>
      <x:c r="G1705" s="35" t="n">
        <x:v>1</x:v>
      </x:c>
      <x:c r="H1705" s="35" t="str">
        <x:v>Relational Placement</x:v>
      </x:c>
      <x:c r="I1705" s="35" t="str">
        <x:v>Vision-only counterfactual A</x:v>
      </x:c>
      <x:c r="J1705" s="35" t="str">
        <x:v>BC-RP-03A</x:v>
      </x:c>
      <x:c r="K1705" s="35" t="str">
        <x:v>BC-RP-03</x:v>
      </x:c>
      <x:c r="L1705" s="31" t="str">
        <x:v>[NO LANGUAGE CHANNEL / INPUT]</x:v>
      </x:c>
      <x:c r="M1705" s="31" t="str">
        <x:v>Place the green pen behind the red block.</x:v>
      </x:c>
      <x:c r="N1705" s="31" t="str">
        <x:v>R-CF07-HELD: red block at back-left [REFERENCE]; green pen starts 18 cm in front of the reference [TARGET START]; pink marker and blue block are distractors outside the commanded goal sector.</x:v>
      </x:c>
      <x:c r="O1705" s="31" t="str">
        <x:v>green pen → behind red block</x:v>
      </x:c>
      <x:c r="P1705" s="31" t="str"/>
      <x:c r="Q1705" s="31" t="str"/>
      <x:c r="R1705" s="31" t="str"/>
      <x:c r="S1705" s="31" t="str">
        <x:f>IF('Blind Scoring'!I1705="","",'Blind Scoring'!I1705)</x:f>
      </x:c>
      <x:c r="T1705" s="31" t="str">
        <x:f>'Blind Scoring'!J1705</x:f>
        <x:v>No</x:v>
      </x:c>
      <x:c r="U1705" s="31" t="str">
        <x:f>IF('Blind Scoring'!L1705="","",'Blind Scoring'!L1705)</x:f>
      </x:c>
    </x:row>
    <x:row r="1706" ht="44" customHeight="1">
      <x:c r="A1706" s="35" t="str">
        <x:v>Not Started</x:v>
      </x:c>
      <x:c r="B1706" s="35" t="n">
        <x:v>1704</x:v>
      </x:c>
      <x:c r="C1706" s="35" t="str">
        <x:v>B29</x:v>
      </x:c>
      <x:c r="D1706" s="35" t="n">
        <x:v>11</x:v>
      </x:c>
      <x:c r="E1706" s="35" t="str">
        <x:v>BC Diagnostic</x:v>
      </x:c>
      <x:c r="F1706" s="35" t="str">
        <x:v>Vision-only BC (task-specific)</x:v>
      </x:c>
      <x:c r="G1706" s="35" t="n">
        <x:v>1</x:v>
      </x:c>
      <x:c r="H1706" s="35" t="str">
        <x:v>Relational Placement</x:v>
      </x:c>
      <x:c r="I1706" s="35" t="str">
        <x:v>Vision-only counterfactual B</x:v>
      </x:c>
      <x:c r="J1706" s="35" t="str">
        <x:v>BC-RP-10B</x:v>
      </x:c>
      <x:c r="K1706" s="35" t="str">
        <x:v>BC-RP-10</x:v>
      </x:c>
      <x:c r="L1706" s="31" t="str">
        <x:v>[NO LANGUAGE CHANNEL / INPUT]</x:v>
      </x:c>
      <x:c r="M1706" s="31" t="str">
        <x:v>Place the red block to the left of the green pen.</x:v>
      </x:c>
      <x:c r="N1706" s="31" t="str">
        <x:v>R-CF30-HELD: green pen at front-right [REFERENCE]; red block starts 24 cm to the left of the reference [TARGET START]; blue block and pink marker are distractors outside the commanded goal sector.</x:v>
      </x:c>
      <x:c r="O1706" s="31" t="str">
        <x:v>red block → to the left of green pen</x:v>
      </x:c>
      <x:c r="P1706" s="31" t="str"/>
      <x:c r="Q1706" s="31" t="str"/>
      <x:c r="R1706" s="31" t="str"/>
      <x:c r="S1706" s="31" t="str">
        <x:f>IF('Blind Scoring'!I1706="","",'Blind Scoring'!I1706)</x:f>
      </x:c>
      <x:c r="T1706" s="31" t="str">
        <x:f>'Blind Scoring'!J1706</x:f>
        <x:v>No</x:v>
      </x:c>
      <x:c r="U1706" s="31" t="str">
        <x:f>IF('Blind Scoring'!L1706="","",'Blind Scoring'!L1706)</x:f>
      </x:c>
    </x:row>
    <x:row r="1707" ht="44" customHeight="1">
      <x:c r="A1707" s="35" t="str">
        <x:v>Not Started</x:v>
      </x:c>
      <x:c r="B1707" s="35" t="n">
        <x:v>1705</x:v>
      </x:c>
      <x:c r="C1707" s="35" t="str">
        <x:v>B29</x:v>
      </x:c>
      <x:c r="D1707" s="35" t="n">
        <x:v>12</x:v>
      </x:c>
      <x:c r="E1707" s="35" t="str">
        <x:v>BC Diagnostic</x:v>
      </x:c>
      <x:c r="F1707" s="35" t="str">
        <x:v>Vision-only BC (task-specific)</x:v>
      </x:c>
      <x:c r="G1707" s="35" t="n">
        <x:v>1</x:v>
      </x:c>
      <x:c r="H1707" s="35" t="str">
        <x:v>Relational Placement</x:v>
      </x:c>
      <x:c r="I1707" s="35" t="str">
        <x:v>Vision-only counterfactual A</x:v>
      </x:c>
      <x:c r="J1707" s="35" t="str">
        <x:v>BC-RP-02A</x:v>
      </x:c>
      <x:c r="K1707" s="35" t="str">
        <x:v>BC-RP-02</x:v>
      </x:c>
      <x:c r="L1707" s="31" t="str">
        <x:v>[NO LANGUAGE CHANNEL / INPUT]</x:v>
      </x:c>
      <x:c r="M1707" s="31" t="str">
        <x:v>Place the red block in front of the green pen.</x:v>
      </x:c>
      <x:c r="N1707" s="31" t="str">
        <x:v>R-CF04-HELD: green pen at front-left [REFERENCE]; red block starts 18 cm behind the reference [TARGET START]; blue block and pink marker are distractors outside the commanded goal sector.</x:v>
      </x:c>
      <x:c r="O1707" s="31" t="str">
        <x:v>red block → in front of green pen</x:v>
      </x:c>
      <x:c r="P1707" s="31" t="str"/>
      <x:c r="Q1707" s="31" t="str"/>
      <x:c r="R1707" s="31" t="str"/>
      <x:c r="S1707" s="31" t="str">
        <x:f>IF('Blind Scoring'!I1707="","",'Blind Scoring'!I1707)</x:f>
      </x:c>
      <x:c r="T1707" s="31" t="str">
        <x:f>'Blind Scoring'!J1707</x:f>
        <x:v>No</x:v>
      </x:c>
      <x:c r="U1707" s="31" t="str">
        <x:f>IF('Blind Scoring'!L1707="","",'Blind Scoring'!L1707)</x:f>
      </x:c>
    </x:row>
    <x:row r="1708" ht="44" customHeight="1">
      <x:c r="A1708" s="35" t="str">
        <x:v>Not Started</x:v>
      </x:c>
      <x:c r="B1708" s="35" t="n">
        <x:v>1706</x:v>
      </x:c>
      <x:c r="C1708" s="35" t="str">
        <x:v>B29</x:v>
      </x:c>
      <x:c r="D1708" s="35" t="n">
        <x:v>13</x:v>
      </x:c>
      <x:c r="E1708" s="35" t="str">
        <x:v>BC Diagnostic</x:v>
      </x:c>
      <x:c r="F1708" s="35" t="str">
        <x:v>Vision-only BC (task-specific)</x:v>
      </x:c>
      <x:c r="G1708" s="35" t="n">
        <x:v>1</x:v>
      </x:c>
      <x:c r="H1708" s="35" t="str">
        <x:v>Relational Placement</x:v>
      </x:c>
      <x:c r="I1708" s="35" t="str">
        <x:v>Vision-only counterfactual B</x:v>
      </x:c>
      <x:c r="J1708" s="35" t="str">
        <x:v>BC-RP-07B</x:v>
      </x:c>
      <x:c r="K1708" s="35" t="str">
        <x:v>BC-RP-07</x:v>
      </x:c>
      <x:c r="L1708" s="31" t="str">
        <x:v>[NO LANGUAGE CHANNEL / INPUT]</x:v>
      </x:c>
      <x:c r="M1708" s="31" t="str">
        <x:v>Place the red block behind the green pen.</x:v>
      </x:c>
      <x:c r="N1708" s="31" t="str">
        <x:v>R-CF20-HELD: green pen at front-right [REFERENCE]; red block starts 21 cm behind the reference [TARGET START]; blue block and pink marker are distractors outside the commanded goal sector.</x:v>
      </x:c>
      <x:c r="O1708" s="31" t="str">
        <x:v>red block → behind green pen</x:v>
      </x:c>
      <x:c r="P1708" s="31" t="str"/>
      <x:c r="Q1708" s="31" t="str"/>
      <x:c r="R1708" s="31" t="str"/>
      <x:c r="S1708" s="31" t="str">
        <x:f>IF('Blind Scoring'!I1708="","",'Blind Scoring'!I1708)</x:f>
      </x:c>
      <x:c r="T1708" s="31" t="str">
        <x:f>'Blind Scoring'!J1708</x:f>
        <x:v>No</x:v>
      </x:c>
      <x:c r="U1708" s="31" t="str">
        <x:f>IF('Blind Scoring'!L1708="","",'Blind Scoring'!L1708)</x:f>
      </x:c>
    </x:row>
    <x:row r="1709" ht="44" customHeight="1">
      <x:c r="A1709" s="35" t="str">
        <x:v>Not Started</x:v>
      </x:c>
      <x:c r="B1709" s="35" t="n">
        <x:v>1707</x:v>
      </x:c>
      <x:c r="C1709" s="35" t="str">
        <x:v>B29</x:v>
      </x:c>
      <x:c r="D1709" s="35" t="n">
        <x:v>14</x:v>
      </x:c>
      <x:c r="E1709" s="35" t="str">
        <x:v>BC Diagnostic</x:v>
      </x:c>
      <x:c r="F1709" s="35" t="str">
        <x:v>Vision-only BC (task-specific)</x:v>
      </x:c>
      <x:c r="G1709" s="35" t="n">
        <x:v>1</x:v>
      </x:c>
      <x:c r="H1709" s="35" t="str">
        <x:v>Relational Placement</x:v>
      </x:c>
      <x:c r="I1709" s="35" t="str">
        <x:v>Vision-only counterfactual A</x:v>
      </x:c>
      <x:c r="J1709" s="35" t="str">
        <x:v>BC-RP-04A</x:v>
      </x:c>
      <x:c r="K1709" s="35" t="str">
        <x:v>BC-RP-04</x:v>
      </x:c>
      <x:c r="L1709" s="31" t="str">
        <x:v>[NO LANGUAGE CHANNEL / INPUT]</x:v>
      </x:c>
      <x:c r="M1709" s="31" t="str">
        <x:v>Place the green pen to the right of the red block.</x:v>
      </x:c>
      <x:c r="N1709" s="31" t="str">
        <x:v>R-CF11-HELD: red block at center [REFERENCE]; green pen starts 21 cm to the left of the reference [TARGET START]; pink marker and blue block are distractors outside the commanded goal sector.</x:v>
      </x:c>
      <x:c r="O1709" s="31" t="str">
        <x:v>green pen → to the right of red block</x:v>
      </x:c>
      <x:c r="P1709" s="31" t="str"/>
      <x:c r="Q1709" s="31" t="str"/>
      <x:c r="R1709" s="31" t="str"/>
      <x:c r="S1709" s="31" t="str">
        <x:f>IF('Blind Scoring'!I1709="","",'Blind Scoring'!I1709)</x:f>
      </x:c>
      <x:c r="T1709" s="31" t="str">
        <x:f>'Blind Scoring'!J1709</x:f>
        <x:v>No</x:v>
      </x:c>
      <x:c r="U1709" s="31" t="str">
        <x:f>IF('Blind Scoring'!L1709="","",'Blind Scoring'!L1709)</x:f>
      </x:c>
    </x:row>
    <x:row r="1710" ht="44" customHeight="1">
      <x:c r="A1710" s="35" t="str">
        <x:v>Not Started</x:v>
      </x:c>
      <x:c r="B1710" s="35" t="n">
        <x:v>1708</x:v>
      </x:c>
      <x:c r="C1710" s="35" t="str">
        <x:v>B29</x:v>
      </x:c>
      <x:c r="D1710" s="35" t="n">
        <x:v>15</x:v>
      </x:c>
      <x:c r="E1710" s="35" t="str">
        <x:v>BC Diagnostic</x:v>
      </x:c>
      <x:c r="F1710" s="35" t="str">
        <x:v>Vision-only BC (task-specific)</x:v>
      </x:c>
      <x:c r="G1710" s="35" t="n">
        <x:v>1</x:v>
      </x:c>
      <x:c r="H1710" s="35" t="str">
        <x:v>Relational Placement</x:v>
      </x:c>
      <x:c r="I1710" s="35" t="str">
        <x:v>Vision-only counterfactual A</x:v>
      </x:c>
      <x:c r="J1710" s="35" t="str">
        <x:v>BC-RP-01A</x:v>
      </x:c>
      <x:c r="K1710" s="35" t="str">
        <x:v>BC-RP-01</x:v>
      </x:c>
      <x:c r="L1710" s="31" t="str">
        <x:v>[NO LANGUAGE CHANNEL / INPUT]</x:v>
      </x:c>
      <x:c r="M1710" s="31" t="str">
        <x:v>Place the green pen in front of the red block.</x:v>
      </x:c>
      <x:c r="N1710" s="31" t="str">
        <x:v>R-CF01-HELD: red block at center [REFERENCE]; green pen starts 18 cm behind the reference [TARGET START]; pink marker and blue block are distractors outside the commanded goal sector.</x:v>
      </x:c>
      <x:c r="O1710" s="31" t="str">
        <x:v>green pen → in front of red block</x:v>
      </x:c>
      <x:c r="P1710" s="31" t="str"/>
      <x:c r="Q1710" s="31" t="str"/>
      <x:c r="R1710" s="31" t="str"/>
      <x:c r="S1710" s="31" t="str">
        <x:f>IF('Blind Scoring'!I1710="","",'Blind Scoring'!I1710)</x:f>
      </x:c>
      <x:c r="T1710" s="31" t="str">
        <x:f>'Blind Scoring'!J1710</x:f>
        <x:v>No</x:v>
      </x:c>
      <x:c r="U1710" s="31" t="str">
        <x:f>IF('Blind Scoring'!L1710="","",'Blind Scoring'!L1710)</x:f>
      </x:c>
    </x:row>
    <x:row r="1711" ht="44" customHeight="1">
      <x:c r="A1711" s="35" t="str">
        <x:v>Not Started</x:v>
      </x:c>
      <x:c r="B1711" s="35" t="n">
        <x:v>1709</x:v>
      </x:c>
      <x:c r="C1711" s="35" t="str">
        <x:v>B29</x:v>
      </x:c>
      <x:c r="D1711" s="35" t="n">
        <x:v>16</x:v>
      </x:c>
      <x:c r="E1711" s="35" t="str">
        <x:v>BC Diagnostic</x:v>
      </x:c>
      <x:c r="F1711" s="35" t="str">
        <x:v>Vision-only BC (task-specific)</x:v>
      </x:c>
      <x:c r="G1711" s="35" t="n">
        <x:v>1</x:v>
      </x:c>
      <x:c r="H1711" s="35" t="str">
        <x:v>Relational Placement</x:v>
      </x:c>
      <x:c r="I1711" s="35" t="str">
        <x:v>Vision-only counterfactual A</x:v>
      </x:c>
      <x:c r="J1711" s="35" t="str">
        <x:v>BC-RP-10A</x:v>
      </x:c>
      <x:c r="K1711" s="35" t="str">
        <x:v>BC-RP-10</x:v>
      </x:c>
      <x:c r="L1711" s="31" t="str">
        <x:v>[NO LANGUAGE CHANNEL / INPUT]</x:v>
      </x:c>
      <x:c r="M1711" s="31" t="str">
        <x:v>Place the red block to the right of the green pen.</x:v>
      </x:c>
      <x:c r="N1711" s="31" t="str">
        <x:v>R-CF30-HELD: green pen at front-right [REFERENCE]; red block starts 24 cm to the left of the reference [TARGET START]; blue block and pink marker are distractors outside the commanded goal sector.</x:v>
      </x:c>
      <x:c r="O1711" s="31" t="str">
        <x:v>red block → to the right of green pen</x:v>
      </x:c>
      <x:c r="P1711" s="31" t="str"/>
      <x:c r="Q1711" s="31" t="str"/>
      <x:c r="R1711" s="31" t="str"/>
      <x:c r="S1711" s="31" t="str">
        <x:f>IF('Blind Scoring'!I1711="","",'Blind Scoring'!I1711)</x:f>
      </x:c>
      <x:c r="T1711" s="31" t="str">
        <x:f>'Blind Scoring'!J1711</x:f>
        <x:v>No</x:v>
      </x:c>
      <x:c r="U1711" s="31" t="str">
        <x:f>IF('Blind Scoring'!L1711="","",'Blind Scoring'!L1711)</x:f>
      </x:c>
    </x:row>
    <x:row r="1712" ht="44" customHeight="1">
      <x:c r="A1712" s="35" t="str">
        <x:v>Not Started</x:v>
      </x:c>
      <x:c r="B1712" s="35" t="n">
        <x:v>1710</x:v>
      </x:c>
      <x:c r="C1712" s="35" t="str">
        <x:v>B29</x:v>
      </x:c>
      <x:c r="D1712" s="35" t="n">
        <x:v>17</x:v>
      </x:c>
      <x:c r="E1712" s="35" t="str">
        <x:v>BC Diagnostic</x:v>
      </x:c>
      <x:c r="F1712" s="35" t="str">
        <x:v>Vision-only BC (task-specific)</x:v>
      </x:c>
      <x:c r="G1712" s="35" t="n">
        <x:v>1</x:v>
      </x:c>
      <x:c r="H1712" s="35" t="str">
        <x:v>Relational Placement</x:v>
      </x:c>
      <x:c r="I1712" s="35" t="str">
        <x:v>Vision-only counterfactual A</x:v>
      </x:c>
      <x:c r="J1712" s="35" t="str">
        <x:v>BC-RP-08A</x:v>
      </x:c>
      <x:c r="K1712" s="35" t="str">
        <x:v>BC-RP-08</x:v>
      </x:c>
      <x:c r="L1712" s="31" t="str">
        <x:v>[NO LANGUAGE CHANNEL / INPUT]</x:v>
      </x:c>
      <x:c r="M1712" s="31" t="str">
        <x:v>Place the red block to the left of the green pen.</x:v>
      </x:c>
      <x:c r="N1712" s="31" t="str">
        <x:v>R-CF24-HELD: green pen at front-left [REFERENCE]; red block starts 24 cm to the right of the reference [TARGET START]; blue block and pink marker are distractors outside the commanded goal sector.</x:v>
      </x:c>
      <x:c r="O1712" s="31" t="str">
        <x:v>red block → to the left of green pen</x:v>
      </x:c>
      <x:c r="P1712" s="31" t="str"/>
      <x:c r="Q1712" s="31" t="str"/>
      <x:c r="R1712" s="31" t="str"/>
      <x:c r="S1712" s="31" t="str">
        <x:f>IF('Blind Scoring'!I1712="","",'Blind Scoring'!I1712)</x:f>
      </x:c>
      <x:c r="T1712" s="31" t="str">
        <x:f>'Blind Scoring'!J1712</x:f>
        <x:v>No</x:v>
      </x:c>
      <x:c r="U1712" s="31" t="str">
        <x:f>IF('Blind Scoring'!L1712="","",'Blind Scoring'!L1712)</x:f>
      </x:c>
    </x:row>
    <x:row r="1713" ht="44" customHeight="1">
      <x:c r="A1713" s="35" t="str">
        <x:v>Not Started</x:v>
      </x:c>
      <x:c r="B1713" s="35" t="n">
        <x:v>1711</x:v>
      </x:c>
      <x:c r="C1713" s="35" t="str">
        <x:v>B29</x:v>
      </x:c>
      <x:c r="D1713" s="35" t="n">
        <x:v>18</x:v>
      </x:c>
      <x:c r="E1713" s="35" t="str">
        <x:v>BC Diagnostic</x:v>
      </x:c>
      <x:c r="F1713" s="35" t="str">
        <x:v>Vision-only BC (task-specific)</x:v>
      </x:c>
      <x:c r="G1713" s="35" t="n">
        <x:v>1</x:v>
      </x:c>
      <x:c r="H1713" s="35" t="str">
        <x:v>Relational Placement</x:v>
      </x:c>
      <x:c r="I1713" s="35" t="str">
        <x:v>Vision-only counterfactual B</x:v>
      </x:c>
      <x:c r="J1713" s="35" t="str">
        <x:v>BC-RP-04B</x:v>
      </x:c>
      <x:c r="K1713" s="35" t="str">
        <x:v>BC-RP-04</x:v>
      </x:c>
      <x:c r="L1713" s="31" t="str">
        <x:v>[NO LANGUAGE CHANNEL / INPUT]</x:v>
      </x:c>
      <x:c r="M1713" s="31" t="str">
        <x:v>Place the green pen to the left of the red block.</x:v>
      </x:c>
      <x:c r="N1713" s="31" t="str">
        <x:v>R-CF11-HELD: red block at center [REFERENCE]; green pen starts 21 cm to the left of the reference [TARGET START]; pink marker and blue block are distractors outside the commanded goal sector.</x:v>
      </x:c>
      <x:c r="O1713" s="31" t="str">
        <x:v>green pen → to the left of red block</x:v>
      </x:c>
      <x:c r="P1713" s="31" t="str"/>
      <x:c r="Q1713" s="31" t="str"/>
      <x:c r="R1713" s="31" t="str"/>
      <x:c r="S1713" s="31" t="str">
        <x:f>IF('Blind Scoring'!I1713="","",'Blind Scoring'!I1713)</x:f>
      </x:c>
      <x:c r="T1713" s="31" t="str">
        <x:f>'Blind Scoring'!J1713</x:f>
        <x:v>No</x:v>
      </x:c>
      <x:c r="U1713" s="31" t="str">
        <x:f>IF('Blind Scoring'!L1713="","",'Blind Scoring'!L1713)</x:f>
      </x:c>
    </x:row>
    <x:row r="1714" ht="44" customHeight="1">
      <x:c r="A1714" s="35" t="str">
        <x:v>Not Started</x:v>
      </x:c>
      <x:c r="B1714" s="35" t="n">
        <x:v>1712</x:v>
      </x:c>
      <x:c r="C1714" s="35" t="str">
        <x:v>B29</x:v>
      </x:c>
      <x:c r="D1714" s="35" t="n">
        <x:v>19</x:v>
      </x:c>
      <x:c r="E1714" s="35" t="str">
        <x:v>BC Diagnostic</x:v>
      </x:c>
      <x:c r="F1714" s="35" t="str">
        <x:v>Vision-only BC (task-specific)</x:v>
      </x:c>
      <x:c r="G1714" s="35" t="n">
        <x:v>1</x:v>
      </x:c>
      <x:c r="H1714" s="35" t="str">
        <x:v>Relational Placement</x:v>
      </x:c>
      <x:c r="I1714" s="35" t="str">
        <x:v>Vision-only counterfactual B</x:v>
      </x:c>
      <x:c r="J1714" s="35" t="str">
        <x:v>BC-RP-02B</x:v>
      </x:c>
      <x:c r="K1714" s="35" t="str">
        <x:v>BC-RP-02</x:v>
      </x:c>
      <x:c r="L1714" s="31" t="str">
        <x:v>[NO LANGUAGE CHANNEL / INPUT]</x:v>
      </x:c>
      <x:c r="M1714" s="31" t="str">
        <x:v>Place the red block behind the green pen.</x:v>
      </x:c>
      <x:c r="N1714" s="31" t="str">
        <x:v>R-CF04-HELD: green pen at front-left [REFERENCE]; red block starts 18 cm behind the reference [TARGET START]; blue block and pink marker are distractors outside the commanded goal sector.</x:v>
      </x:c>
      <x:c r="O1714" s="31" t="str">
        <x:v>red block → behind green pen</x:v>
      </x:c>
      <x:c r="P1714" s="31" t="str"/>
      <x:c r="Q1714" s="31" t="str"/>
      <x:c r="R1714" s="31" t="str"/>
      <x:c r="S1714" s="31" t="str">
        <x:f>IF('Blind Scoring'!I1714="","",'Blind Scoring'!I1714)</x:f>
      </x:c>
      <x:c r="T1714" s="31" t="str">
        <x:f>'Blind Scoring'!J1714</x:f>
        <x:v>No</x:v>
      </x:c>
      <x:c r="U1714" s="31" t="str">
        <x:f>IF('Blind Scoring'!L1714="","",'Blind Scoring'!L1714)</x:f>
      </x:c>
    </x:row>
    <x:row r="1715" ht="44" customHeight="1">
      <x:c r="A1715" s="35" t="str">
        <x:v>Not Started</x:v>
      </x:c>
      <x:c r="B1715" s="35" t="n">
        <x:v>1713</x:v>
      </x:c>
      <x:c r="C1715" s="35" t="str">
        <x:v>B29</x:v>
      </x:c>
      <x:c r="D1715" s="35" t="n">
        <x:v>20</x:v>
      </x:c>
      <x:c r="E1715" s="35" t="str">
        <x:v>BC Diagnostic</x:v>
      </x:c>
      <x:c r="F1715" s="35" t="str">
        <x:v>Vision-only BC (task-specific)</x:v>
      </x:c>
      <x:c r="G1715" s="35" t="n">
        <x:v>1</x:v>
      </x:c>
      <x:c r="H1715" s="35" t="str">
        <x:v>Relational Placement</x:v>
      </x:c>
      <x:c r="I1715" s="35" t="str">
        <x:v>Vision-only counterfactual B</x:v>
      </x:c>
      <x:c r="J1715" s="35" t="str">
        <x:v>BC-RP-08B</x:v>
      </x:c>
      <x:c r="K1715" s="35" t="str">
        <x:v>BC-RP-08</x:v>
      </x:c>
      <x:c r="L1715" s="31" t="str">
        <x:v>[NO LANGUAGE CHANNEL / INPUT]</x:v>
      </x:c>
      <x:c r="M1715" s="31" t="str">
        <x:v>Place the red block to the right of the green pen.</x:v>
      </x:c>
      <x:c r="N1715" s="31" t="str">
        <x:v>R-CF24-HELD: green pen at front-left [REFERENCE]; red block starts 24 cm to the right of the reference [TARGET START]; blue block and pink marker are distractors outside the commanded goal sector.</x:v>
      </x:c>
      <x:c r="O1715" s="31" t="str">
        <x:v>red block → to the right of green pen</x:v>
      </x:c>
      <x:c r="P1715" s="31" t="str"/>
      <x:c r="Q1715" s="31" t="str"/>
      <x:c r="R1715" s="31" t="str"/>
      <x:c r="S1715" s="31" t="str">
        <x:f>IF('Blind Scoring'!I1715="","",'Blind Scoring'!I1715)</x:f>
      </x:c>
      <x:c r="T1715" s="31" t="str">
        <x:f>'Blind Scoring'!J1715</x:f>
        <x:v>No</x:v>
      </x:c>
      <x:c r="U1715" s="31" t="str">
        <x:f>IF('Blind Scoring'!L1715="","",'Blind Scoring'!L1715)</x:f>
      </x:c>
    </x:row>
    <x:row r="1716" ht="44" customHeight="1">
      <x:c r="A1716" s="35" t="str">
        <x:v>Not Started</x:v>
      </x:c>
      <x:c r="B1716" s="35" t="n">
        <x:v>1714</x:v>
      </x:c>
      <x:c r="C1716" s="35" t="str">
        <x:v>B30</x:v>
      </x:c>
      <x:c r="D1716" s="35" t="n">
        <x:v>1</x:v>
      </x:c>
      <x:c r="E1716" s="35" t="str">
        <x:v>BC Diagnostic</x:v>
      </x:c>
      <x:c r="F1716" s="35" t="str">
        <x:v>Vision-only BC (task-specific)</x:v>
      </x:c>
      <x:c r="G1716" s="35" t="n">
        <x:v>1</x:v>
      </x:c>
      <x:c r="H1716" s="35" t="str">
        <x:v>Counting</x:v>
      </x:c>
      <x:c r="I1716" s="35" t="str">
        <x:v>Vision-only counterfactual B</x:v>
      </x:c>
      <x:c r="J1716" s="35" t="str">
        <x:v>BC-CT-01B</x:v>
      </x:c>
      <x:c r="K1716" s="35" t="str">
        <x:v>BC-CT-01</x:v>
      </x:c>
      <x:c r="L1716" s="31" t="str">
        <x:v>[NO LANGUAGE CHANNEL / INPUT]</x:v>
      </x:c>
      <x:c r="M1716" s="31" t="str">
        <x:v>Leave exactly three objects in the bowl.</x:v>
      </x:c>
      <x:c r="N1716" s="31" t="str">
        <x:v>C-CF01B: bowl=[blue pen, yellow block] (2); table=[green pencil sharpener, airplane toy without propellers]; robot home; acceptable action=add either table object.</x:v>
      </x:c>
      <x:c r="O1716" s="31" t="str">
        <x:v>ADD one table object</x:v>
      </x:c>
      <x:c r="P1716" s="31" t="str"/>
      <x:c r="Q1716" s="31" t="str"/>
      <x:c r="R1716" s="31" t="str"/>
      <x:c r="S1716" s="31" t="str">
        <x:f>IF('Blind Scoring'!I1716="","",'Blind Scoring'!I1716)</x:f>
      </x:c>
      <x:c r="T1716" s="31" t="str">
        <x:f>'Blind Scoring'!J1716</x:f>
        <x:v>No</x:v>
      </x:c>
      <x:c r="U1716" s="31" t="str">
        <x:f>IF('Blind Scoring'!L1716="","",'Blind Scoring'!L1716)</x:f>
      </x:c>
    </x:row>
    <x:row r="1717" ht="44" customHeight="1">
      <x:c r="A1717" s="35" t="str">
        <x:v>Not Started</x:v>
      </x:c>
      <x:c r="B1717" s="35" t="n">
        <x:v>1715</x:v>
      </x:c>
      <x:c r="C1717" s="35" t="str">
        <x:v>B30</x:v>
      </x:c>
      <x:c r="D1717" s="35" t="n">
        <x:v>2</x:v>
      </x:c>
      <x:c r="E1717" s="35" t="str">
        <x:v>BC Diagnostic</x:v>
      </x:c>
      <x:c r="F1717" s="35" t="str">
        <x:v>Vision-only BC (task-specific)</x:v>
      </x:c>
      <x:c r="G1717" s="35" t="n">
        <x:v>1</x:v>
      </x:c>
      <x:c r="H1717" s="35" t="str">
        <x:v>Counting</x:v>
      </x:c>
      <x:c r="I1717" s="35" t="str">
        <x:v>Vision-only counterfactual A</x:v>
      </x:c>
      <x:c r="J1717" s="35" t="str">
        <x:v>BC-CT-01A</x:v>
      </x:c>
      <x:c r="K1717" s="35" t="str">
        <x:v>BC-CT-01</x:v>
      </x:c>
      <x:c r="L1717" s="31" t="str">
        <x:v>[NO LANGUAGE CHANNEL / INPUT]</x:v>
      </x:c>
      <x:c r="M1717" s="31" t="str">
        <x:v>Leave exactly one object in the bowl.</x:v>
      </x:c>
      <x:c r="N1717" s="31" t="str">
        <x:v>C-CF01A: bowl=[blue pen, yellow block] (2); table=[green pencil sharpener, airplane toy without propellers]; robot home; acceptable action=remove either bowl object.</x:v>
      </x:c>
      <x:c r="O1717" s="31" t="str">
        <x:v>REMOVE one bowl object</x:v>
      </x:c>
      <x:c r="P1717" s="31" t="str"/>
      <x:c r="Q1717" s="31" t="str"/>
      <x:c r="R1717" s="31" t="str"/>
      <x:c r="S1717" s="31" t="str">
        <x:f>IF('Blind Scoring'!I1717="","",'Blind Scoring'!I1717)</x:f>
      </x:c>
      <x:c r="T1717" s="31" t="str">
        <x:f>'Blind Scoring'!J1717</x:f>
        <x:v>No</x:v>
      </x:c>
      <x:c r="U1717" s="31" t="str">
        <x:f>IF('Blind Scoring'!L1717="","",'Blind Scoring'!L1717)</x:f>
      </x:c>
    </x:row>
    <x:row r="1718" ht="44" customHeight="1">
      <x:c r="A1718" s="35" t="str">
        <x:v>Not Started</x:v>
      </x:c>
      <x:c r="B1718" s="35" t="n">
        <x:v>1716</x:v>
      </x:c>
      <x:c r="C1718" s="35" t="str">
        <x:v>B30</x:v>
      </x:c>
      <x:c r="D1718" s="35" t="n">
        <x:v>3</x:v>
      </x:c>
      <x:c r="E1718" s="35" t="str">
        <x:v>BC Diagnostic</x:v>
      </x:c>
      <x:c r="F1718" s="35" t="str">
        <x:v>Vision-only BC (task-specific)</x:v>
      </x:c>
      <x:c r="G1718" s="35" t="n">
        <x:v>1</x:v>
      </x:c>
      <x:c r="H1718" s="35" t="str">
        <x:v>Counting</x:v>
      </x:c>
      <x:c r="I1718" s="35" t="str">
        <x:v>Vision-only counterfactual A</x:v>
      </x:c>
      <x:c r="J1718" s="35" t="str">
        <x:v>BC-CT-02A</x:v>
      </x:c>
      <x:c r="K1718" s="35" t="str">
        <x:v>BC-CT-02</x:v>
      </x:c>
      <x:c r="L1718" s="31" t="str">
        <x:v>[NO LANGUAGE CHANNEL / INPUT]</x:v>
      </x:c>
      <x:c r="M1718" s="31" t="str">
        <x:v>Leave exactly one object in the bowl.</x:v>
      </x:c>
      <x:c r="N1718" s="31" t="str">
        <x:v>C-CF02A: bowl=[yellow block, green pencil sharpener] (2); table=[airplane toy without propellers, blue pen]; robot home; acceptable action=remove either bowl object.</x:v>
      </x:c>
      <x:c r="O1718" s="31" t="str">
        <x:v>REMOVE one bowl object</x:v>
      </x:c>
      <x:c r="P1718" s="31" t="str"/>
      <x:c r="Q1718" s="31" t="str"/>
      <x:c r="R1718" s="31" t="str"/>
      <x:c r="S1718" s="31" t="str">
        <x:f>IF('Blind Scoring'!I1718="","",'Blind Scoring'!I1718)</x:f>
      </x:c>
      <x:c r="T1718" s="31" t="str">
        <x:f>'Blind Scoring'!J1718</x:f>
        <x:v>No</x:v>
      </x:c>
      <x:c r="U1718" s="31" t="str">
        <x:f>IF('Blind Scoring'!L1718="","",'Blind Scoring'!L1718)</x:f>
      </x:c>
    </x:row>
    <x:row r="1719" ht="44" customHeight="1">
      <x:c r="A1719" s="35" t="str">
        <x:v>Not Started</x:v>
      </x:c>
      <x:c r="B1719" s="35" t="n">
        <x:v>1717</x:v>
      </x:c>
      <x:c r="C1719" s="35" t="str">
        <x:v>B30</x:v>
      </x:c>
      <x:c r="D1719" s="35" t="n">
        <x:v>4</x:v>
      </x:c>
      <x:c r="E1719" s="35" t="str">
        <x:v>BC Diagnostic</x:v>
      </x:c>
      <x:c r="F1719" s="35" t="str">
        <x:v>Vision-only BC (task-specific)</x:v>
      </x:c>
      <x:c r="G1719" s="35" t="n">
        <x:v>1</x:v>
      </x:c>
      <x:c r="H1719" s="35" t="str">
        <x:v>Counting</x:v>
      </x:c>
      <x:c r="I1719" s="35" t="str">
        <x:v>Vision-only counterfactual A</x:v>
      </x:c>
      <x:c r="J1719" s="35" t="str">
        <x:v>BC-CT-03A</x:v>
      </x:c>
      <x:c r="K1719" s="35" t="str">
        <x:v>BC-CT-03</x:v>
      </x:c>
      <x:c r="L1719" s="31" t="str">
        <x:v>[NO LANGUAGE CHANNEL / INPUT]</x:v>
      </x:c>
      <x:c r="M1719" s="31" t="str">
        <x:v>Leave exactly one object in the bowl.</x:v>
      </x:c>
      <x:c r="N1719" s="31" t="str">
        <x:v>C-CF03A: bowl=[green pencil sharpener, airplane toy without propellers] (2); table=[blue pen, yellow block]; robot home; acceptable action=remove either bowl object.</x:v>
      </x:c>
      <x:c r="O1719" s="31" t="str">
        <x:v>REMOVE one bowl object</x:v>
      </x:c>
      <x:c r="P1719" s="31" t="str"/>
      <x:c r="Q1719" s="31" t="str"/>
      <x:c r="R1719" s="31" t="str"/>
      <x:c r="S1719" s="31" t="str">
        <x:f>IF('Blind Scoring'!I1719="","",'Blind Scoring'!I1719)</x:f>
      </x:c>
      <x:c r="T1719" s="31" t="str">
        <x:f>'Blind Scoring'!J1719</x:f>
        <x:v>No</x:v>
      </x:c>
      <x:c r="U1719" s="31" t="str">
        <x:f>IF('Blind Scoring'!L1719="","",'Blind Scoring'!L1719)</x:f>
      </x:c>
    </x:row>
    <x:row r="1720" ht="44" customHeight="1">
      <x:c r="A1720" s="35" t="str">
        <x:v>Not Started</x:v>
      </x:c>
      <x:c r="B1720" s="35" t="n">
        <x:v>1718</x:v>
      </x:c>
      <x:c r="C1720" s="35" t="str">
        <x:v>B30</x:v>
      </x:c>
      <x:c r="D1720" s="35" t="n">
        <x:v>5</x:v>
      </x:c>
      <x:c r="E1720" s="35" t="str">
        <x:v>BC Diagnostic</x:v>
      </x:c>
      <x:c r="F1720" s="35" t="str">
        <x:v>Vision-only BC (task-specific)</x:v>
      </x:c>
      <x:c r="G1720" s="35" t="n">
        <x:v>1</x:v>
      </x:c>
      <x:c r="H1720" s="35" t="str">
        <x:v>Counting</x:v>
      </x:c>
      <x:c r="I1720" s="35" t="str">
        <x:v>Vision-only counterfactual A</x:v>
      </x:c>
      <x:c r="J1720" s="35" t="str">
        <x:v>BC-CT-07A</x:v>
      </x:c>
      <x:c r="K1720" s="35" t="str">
        <x:v>BC-CT-07</x:v>
      </x:c>
      <x:c r="L1720" s="31" t="str">
        <x:v>[NO LANGUAGE CHANNEL / INPUT]</x:v>
      </x:c>
      <x:c r="M1720" s="31" t="str">
        <x:v>Leave exactly one object in the bowl.</x:v>
      </x:c>
      <x:c r="N1720" s="31" t="str">
        <x:v>C-CF07A: bowl=[green pencil sharpener, airplane toy without propellers] (2); table=[blue pen, yellow block]; robot home; acceptable action=remove either bowl object.</x:v>
      </x:c>
      <x:c r="O1720" s="31" t="str">
        <x:v>REMOVE one bowl object</x:v>
      </x:c>
      <x:c r="P1720" s="31" t="str"/>
      <x:c r="Q1720" s="31" t="str"/>
      <x:c r="R1720" s="31" t="str"/>
      <x:c r="S1720" s="31" t="str">
        <x:f>IF('Blind Scoring'!I1720="","",'Blind Scoring'!I1720)</x:f>
      </x:c>
      <x:c r="T1720" s="31" t="str">
        <x:f>'Blind Scoring'!J1720</x:f>
        <x:v>No</x:v>
      </x:c>
      <x:c r="U1720" s="31" t="str">
        <x:f>IF('Blind Scoring'!L1720="","",'Blind Scoring'!L1720)</x:f>
      </x:c>
    </x:row>
    <x:row r="1721" ht="44" customHeight="1">
      <x:c r="A1721" s="35" t="str">
        <x:v>Not Started</x:v>
      </x:c>
      <x:c r="B1721" s="35" t="n">
        <x:v>1719</x:v>
      </x:c>
      <x:c r="C1721" s="35" t="str">
        <x:v>B30</x:v>
      </x:c>
      <x:c r="D1721" s="35" t="n">
        <x:v>6</x:v>
      </x:c>
      <x:c r="E1721" s="35" t="str">
        <x:v>BC Diagnostic</x:v>
      </x:c>
      <x:c r="F1721" s="35" t="str">
        <x:v>Vision-only BC (task-specific)</x:v>
      </x:c>
      <x:c r="G1721" s="35" t="n">
        <x:v>1</x:v>
      </x:c>
      <x:c r="H1721" s="35" t="str">
        <x:v>Counting</x:v>
      </x:c>
      <x:c r="I1721" s="35" t="str">
        <x:v>Vision-only counterfactual B</x:v>
      </x:c>
      <x:c r="J1721" s="35" t="str">
        <x:v>BC-CT-09B</x:v>
      </x:c>
      <x:c r="K1721" s="35" t="str">
        <x:v>BC-CT-09</x:v>
      </x:c>
      <x:c r="L1721" s="31" t="str">
        <x:v>[NO LANGUAGE CHANNEL / INPUT]</x:v>
      </x:c>
      <x:c r="M1721" s="31" t="str">
        <x:v>Leave exactly three objects in the bowl.</x:v>
      </x:c>
      <x:c r="N1721" s="31" t="str">
        <x:v>C-CF09B: bowl=[blue pen, yellow block] (2); table=[green pencil sharpener, airplane toy without propellers]; robot home; acceptable action=add either table object.</x:v>
      </x:c>
      <x:c r="O1721" s="31" t="str">
        <x:v>ADD one table object</x:v>
      </x:c>
      <x:c r="P1721" s="31" t="str"/>
      <x:c r="Q1721" s="31" t="str"/>
      <x:c r="R1721" s="31" t="str"/>
      <x:c r="S1721" s="31" t="str">
        <x:f>IF('Blind Scoring'!I1721="","",'Blind Scoring'!I1721)</x:f>
      </x:c>
      <x:c r="T1721" s="31" t="str">
        <x:f>'Blind Scoring'!J1721</x:f>
        <x:v>No</x:v>
      </x:c>
      <x:c r="U1721" s="31" t="str">
        <x:f>IF('Blind Scoring'!L1721="","",'Blind Scoring'!L1721)</x:f>
      </x:c>
    </x:row>
    <x:row r="1722" ht="44" customHeight="1">
      <x:c r="A1722" s="35" t="str">
        <x:v>Not Started</x:v>
      </x:c>
      <x:c r="B1722" s="35" t="n">
        <x:v>1720</x:v>
      </x:c>
      <x:c r="C1722" s="35" t="str">
        <x:v>B30</x:v>
      </x:c>
      <x:c r="D1722" s="35" t="n">
        <x:v>7</x:v>
      </x:c>
      <x:c r="E1722" s="35" t="str">
        <x:v>BC Diagnostic</x:v>
      </x:c>
      <x:c r="F1722" s="35" t="str">
        <x:v>Vision-only BC (task-specific)</x:v>
      </x:c>
      <x:c r="G1722" s="35" t="n">
        <x:v>1</x:v>
      </x:c>
      <x:c r="H1722" s="35" t="str">
        <x:v>Counting</x:v>
      </x:c>
      <x:c r="I1722" s="35" t="str">
        <x:v>Vision-only counterfactual A</x:v>
      </x:c>
      <x:c r="J1722" s="35" t="str">
        <x:v>BC-CT-09A</x:v>
      </x:c>
      <x:c r="K1722" s="35" t="str">
        <x:v>BC-CT-09</x:v>
      </x:c>
      <x:c r="L1722" s="31" t="str">
        <x:v>[NO LANGUAGE CHANNEL / INPUT]</x:v>
      </x:c>
      <x:c r="M1722" s="31" t="str">
        <x:v>Leave exactly one object in the bowl.</x:v>
      </x:c>
      <x:c r="N1722" s="31" t="str">
        <x:v>C-CF09A: bowl=[blue pen, yellow block] (2); table=[green pencil sharpener, airplane toy without propellers]; robot home; acceptable action=remove either bowl object.</x:v>
      </x:c>
      <x:c r="O1722" s="31" t="str">
        <x:v>REMOVE one bowl object</x:v>
      </x:c>
      <x:c r="P1722" s="31" t="str"/>
      <x:c r="Q1722" s="31" t="str"/>
      <x:c r="R1722" s="31" t="str"/>
      <x:c r="S1722" s="31" t="str">
        <x:f>IF('Blind Scoring'!I1722="","",'Blind Scoring'!I1722)</x:f>
      </x:c>
      <x:c r="T1722" s="31" t="str">
        <x:f>'Blind Scoring'!J1722</x:f>
        <x:v>No</x:v>
      </x:c>
      <x:c r="U1722" s="31" t="str">
        <x:f>IF('Blind Scoring'!L1722="","",'Blind Scoring'!L1722)</x:f>
      </x:c>
    </x:row>
    <x:row r="1723" ht="44" customHeight="1">
      <x:c r="A1723" s="35" t="str">
        <x:v>Not Started</x:v>
      </x:c>
      <x:c r="B1723" s="35" t="n">
        <x:v>1721</x:v>
      </x:c>
      <x:c r="C1723" s="35" t="str">
        <x:v>B30</x:v>
      </x:c>
      <x:c r="D1723" s="35" t="n">
        <x:v>8</x:v>
      </x:c>
      <x:c r="E1723" s="35" t="str">
        <x:v>BC Diagnostic</x:v>
      </x:c>
      <x:c r="F1723" s="35" t="str">
        <x:v>Vision-only BC (task-specific)</x:v>
      </x:c>
      <x:c r="G1723" s="35" t="n">
        <x:v>1</x:v>
      </x:c>
      <x:c r="H1723" s="35" t="str">
        <x:v>Counting</x:v>
      </x:c>
      <x:c r="I1723" s="35" t="str">
        <x:v>Vision-only counterfactual B</x:v>
      </x:c>
      <x:c r="J1723" s="35" t="str">
        <x:v>BC-CT-10B</x:v>
      </x:c>
      <x:c r="K1723" s="35" t="str">
        <x:v>BC-CT-10</x:v>
      </x:c>
      <x:c r="L1723" s="31" t="str">
        <x:v>[NO LANGUAGE CHANNEL / INPUT]</x:v>
      </x:c>
      <x:c r="M1723" s="31" t="str">
        <x:v>Leave exactly three objects in the bowl.</x:v>
      </x:c>
      <x:c r="N1723" s="31" t="str">
        <x:v>C-CF10B: bowl=[yellow block, green pencil sharpener] (2); table=[airplane toy without propellers, blue pen]; robot home; acceptable action=add either table object.</x:v>
      </x:c>
      <x:c r="O1723" s="31" t="str">
        <x:v>ADD one table object</x:v>
      </x:c>
      <x:c r="P1723" s="31" t="str"/>
      <x:c r="Q1723" s="31" t="str"/>
      <x:c r="R1723" s="31" t="str"/>
      <x:c r="S1723" s="31" t="str">
        <x:f>IF('Blind Scoring'!I1723="","",'Blind Scoring'!I1723)</x:f>
      </x:c>
      <x:c r="T1723" s="31" t="str">
        <x:f>'Blind Scoring'!J1723</x:f>
        <x:v>No</x:v>
      </x:c>
      <x:c r="U1723" s="31" t="str">
        <x:f>IF('Blind Scoring'!L1723="","",'Blind Scoring'!L1723)</x:f>
      </x:c>
    </x:row>
    <x:row r="1724" ht="44" customHeight="1">
      <x:c r="A1724" s="35" t="str">
        <x:v>Not Started</x:v>
      </x:c>
      <x:c r="B1724" s="35" t="n">
        <x:v>1722</x:v>
      </x:c>
      <x:c r="C1724" s="35" t="str">
        <x:v>B30</x:v>
      </x:c>
      <x:c r="D1724" s="35" t="n">
        <x:v>9</x:v>
      </x:c>
      <x:c r="E1724" s="35" t="str">
        <x:v>BC Diagnostic</x:v>
      </x:c>
      <x:c r="F1724" s="35" t="str">
        <x:v>Vision-only BC (task-specific)</x:v>
      </x:c>
      <x:c r="G1724" s="35" t="n">
        <x:v>1</x:v>
      </x:c>
      <x:c r="H1724" s="35" t="str">
        <x:v>Counting</x:v>
      </x:c>
      <x:c r="I1724" s="35" t="str">
        <x:v>Vision-only counterfactual B</x:v>
      </x:c>
      <x:c r="J1724" s="35" t="str">
        <x:v>BC-CT-02B</x:v>
      </x:c>
      <x:c r="K1724" s="35" t="str">
        <x:v>BC-CT-02</x:v>
      </x:c>
      <x:c r="L1724" s="31" t="str">
        <x:v>[NO LANGUAGE CHANNEL / INPUT]</x:v>
      </x:c>
      <x:c r="M1724" s="31" t="str">
        <x:v>Leave exactly three objects in the bowl.</x:v>
      </x:c>
      <x:c r="N1724" s="31" t="str">
        <x:v>C-CF02B: bowl=[yellow block, green pencil sharpener] (2); table=[airplane toy without propellers, blue pen]; robot home; acceptable action=add either table object.</x:v>
      </x:c>
      <x:c r="O1724" s="31" t="str">
        <x:v>ADD one table object</x:v>
      </x:c>
      <x:c r="P1724" s="31" t="str"/>
      <x:c r="Q1724" s="31" t="str"/>
      <x:c r="R1724" s="31" t="str"/>
      <x:c r="S1724" s="31" t="str">
        <x:f>IF('Blind Scoring'!I1724="","",'Blind Scoring'!I1724)</x:f>
      </x:c>
      <x:c r="T1724" s="31" t="str">
        <x:f>'Blind Scoring'!J1724</x:f>
        <x:v>No</x:v>
      </x:c>
      <x:c r="U1724" s="31" t="str">
        <x:f>IF('Blind Scoring'!L1724="","",'Blind Scoring'!L1724)</x:f>
      </x:c>
    </x:row>
    <x:row r="1725" ht="44" customHeight="1">
      <x:c r="A1725" s="35" t="str">
        <x:v>Not Started</x:v>
      </x:c>
      <x:c r="B1725" s="35" t="n">
        <x:v>1723</x:v>
      </x:c>
      <x:c r="C1725" s="35" t="str">
        <x:v>B30</x:v>
      </x:c>
      <x:c r="D1725" s="35" t="n">
        <x:v>10</x:v>
      </x:c>
      <x:c r="E1725" s="35" t="str">
        <x:v>BC Diagnostic</x:v>
      </x:c>
      <x:c r="F1725" s="35" t="str">
        <x:v>Vision-only BC (task-specific)</x:v>
      </x:c>
      <x:c r="G1725" s="35" t="n">
        <x:v>1</x:v>
      </x:c>
      <x:c r="H1725" s="35" t="str">
        <x:v>Counting</x:v>
      </x:c>
      <x:c r="I1725" s="35" t="str">
        <x:v>Vision-only counterfactual A</x:v>
      </x:c>
      <x:c r="J1725" s="35" t="str">
        <x:v>BC-CT-08A</x:v>
      </x:c>
      <x:c r="K1725" s="35" t="str">
        <x:v>BC-CT-08</x:v>
      </x:c>
      <x:c r="L1725" s="31" t="str">
        <x:v>[NO LANGUAGE CHANNEL / INPUT]</x:v>
      </x:c>
      <x:c r="M1725" s="31" t="str">
        <x:v>Leave exactly one object in the bowl.</x:v>
      </x:c>
      <x:c r="N1725" s="31" t="str">
        <x:v>C-CF08A: bowl=[airplane toy without propellers, blue pen] (2); table=[yellow block, green pencil sharpener]; robot home; acceptable action=remove either bowl object.</x:v>
      </x:c>
      <x:c r="O1725" s="31" t="str">
        <x:v>REMOVE one bowl object</x:v>
      </x:c>
      <x:c r="P1725" s="31" t="str"/>
      <x:c r="Q1725" s="31" t="str"/>
      <x:c r="R1725" s="31" t="str"/>
      <x:c r="S1725" s="31" t="str">
        <x:f>IF('Blind Scoring'!I1725="","",'Blind Scoring'!I1725)</x:f>
      </x:c>
      <x:c r="T1725" s="31" t="str">
        <x:f>'Blind Scoring'!J1725</x:f>
        <x:v>No</x:v>
      </x:c>
      <x:c r="U1725" s="31" t="str">
        <x:f>IF('Blind Scoring'!L1725="","",'Blind Scoring'!L1725)</x:f>
      </x:c>
    </x:row>
    <x:row r="1726" ht="44" customHeight="1">
      <x:c r="A1726" s="35" t="str">
        <x:v>Not Started</x:v>
      </x:c>
      <x:c r="B1726" s="35" t="n">
        <x:v>1724</x:v>
      </x:c>
      <x:c r="C1726" s="35" t="str">
        <x:v>B30</x:v>
      </x:c>
      <x:c r="D1726" s="35" t="n">
        <x:v>11</x:v>
      </x:c>
      <x:c r="E1726" s="35" t="str">
        <x:v>BC Diagnostic</x:v>
      </x:c>
      <x:c r="F1726" s="35" t="str">
        <x:v>Vision-only BC (task-specific)</x:v>
      </x:c>
      <x:c r="G1726" s="35" t="n">
        <x:v>1</x:v>
      </x:c>
      <x:c r="H1726" s="35" t="str">
        <x:v>Counting</x:v>
      </x:c>
      <x:c r="I1726" s="35" t="str">
        <x:v>Vision-only counterfactual A</x:v>
      </x:c>
      <x:c r="J1726" s="35" t="str">
        <x:v>BC-CT-10A</x:v>
      </x:c>
      <x:c r="K1726" s="35" t="str">
        <x:v>BC-CT-10</x:v>
      </x:c>
      <x:c r="L1726" s="31" t="str">
        <x:v>[NO LANGUAGE CHANNEL / INPUT]</x:v>
      </x:c>
      <x:c r="M1726" s="31" t="str">
        <x:v>Leave exactly one object in the bowl.</x:v>
      </x:c>
      <x:c r="N1726" s="31" t="str">
        <x:v>C-CF10A: bowl=[yellow block, green pencil sharpener] (2); table=[airplane toy without propellers, blue pen]; robot home; acceptable action=remove either bowl object.</x:v>
      </x:c>
      <x:c r="O1726" s="31" t="str">
        <x:v>REMOVE one bowl object</x:v>
      </x:c>
      <x:c r="P1726" s="31" t="str"/>
      <x:c r="Q1726" s="31" t="str"/>
      <x:c r="R1726" s="31" t="str"/>
      <x:c r="S1726" s="31" t="str">
        <x:f>IF('Blind Scoring'!I1726="","",'Blind Scoring'!I1726)</x:f>
      </x:c>
      <x:c r="T1726" s="31" t="str">
        <x:f>'Blind Scoring'!J1726</x:f>
        <x:v>No</x:v>
      </x:c>
      <x:c r="U1726" s="31" t="str">
        <x:f>IF('Blind Scoring'!L1726="","",'Blind Scoring'!L1726)</x:f>
      </x:c>
    </x:row>
    <x:row r="1727" ht="44" customHeight="1">
      <x:c r="A1727" s="35" t="str">
        <x:v>Not Started</x:v>
      </x:c>
      <x:c r="B1727" s="35" t="n">
        <x:v>1725</x:v>
      </x:c>
      <x:c r="C1727" s="35" t="str">
        <x:v>B30</x:v>
      </x:c>
      <x:c r="D1727" s="35" t="n">
        <x:v>12</x:v>
      </x:c>
      <x:c r="E1727" s="35" t="str">
        <x:v>BC Diagnostic</x:v>
      </x:c>
      <x:c r="F1727" s="35" t="str">
        <x:v>Vision-only BC (task-specific)</x:v>
      </x:c>
      <x:c r="G1727" s="35" t="n">
        <x:v>1</x:v>
      </x:c>
      <x:c r="H1727" s="35" t="str">
        <x:v>Counting</x:v>
      </x:c>
      <x:c r="I1727" s="35" t="str">
        <x:v>Vision-only counterfactual A</x:v>
      </x:c>
      <x:c r="J1727" s="35" t="str">
        <x:v>BC-CT-04A</x:v>
      </x:c>
      <x:c r="K1727" s="35" t="str">
        <x:v>BC-CT-04</x:v>
      </x:c>
      <x:c r="L1727" s="31" t="str">
        <x:v>[NO LANGUAGE CHANNEL / INPUT]</x:v>
      </x:c>
      <x:c r="M1727" s="31" t="str">
        <x:v>Leave exactly one object in the bowl.</x:v>
      </x:c>
      <x:c r="N1727" s="31" t="str">
        <x:v>C-CF04A: bowl=[airplane toy without propellers, blue pen] (2); table=[yellow block, green pencil sharpener]; robot home; acceptable action=remove either bowl object.</x:v>
      </x:c>
      <x:c r="O1727" s="31" t="str">
        <x:v>REMOVE one bowl object</x:v>
      </x:c>
      <x:c r="P1727" s="31" t="str"/>
      <x:c r="Q1727" s="31" t="str"/>
      <x:c r="R1727" s="31" t="str"/>
      <x:c r="S1727" s="31" t="str">
        <x:f>IF('Blind Scoring'!I1727="","",'Blind Scoring'!I1727)</x:f>
      </x:c>
      <x:c r="T1727" s="31" t="str">
        <x:f>'Blind Scoring'!J1727</x:f>
        <x:v>No</x:v>
      </x:c>
      <x:c r="U1727" s="31" t="str">
        <x:f>IF('Blind Scoring'!L1727="","",'Blind Scoring'!L1727)</x:f>
      </x:c>
    </x:row>
    <x:row r="1728" ht="44" customHeight="1">
      <x:c r="A1728" s="35" t="str">
        <x:v>Not Started</x:v>
      </x:c>
      <x:c r="B1728" s="35" t="n">
        <x:v>1726</x:v>
      </x:c>
      <x:c r="C1728" s="35" t="str">
        <x:v>B30</x:v>
      </x:c>
      <x:c r="D1728" s="35" t="n">
        <x:v>13</x:v>
      </x:c>
      <x:c r="E1728" s="35" t="str">
        <x:v>BC Diagnostic</x:v>
      </x:c>
      <x:c r="F1728" s="35" t="str">
        <x:v>Vision-only BC (task-specific)</x:v>
      </x:c>
      <x:c r="G1728" s="35" t="n">
        <x:v>1</x:v>
      </x:c>
      <x:c r="H1728" s="35" t="str">
        <x:v>Counting</x:v>
      </x:c>
      <x:c r="I1728" s="35" t="str">
        <x:v>Vision-only counterfactual A</x:v>
      </x:c>
      <x:c r="J1728" s="35" t="str">
        <x:v>BC-CT-06A</x:v>
      </x:c>
      <x:c r="K1728" s="35" t="str">
        <x:v>BC-CT-06</x:v>
      </x:c>
      <x:c r="L1728" s="31" t="str">
        <x:v>[NO LANGUAGE CHANNEL / INPUT]</x:v>
      </x:c>
      <x:c r="M1728" s="31" t="str">
        <x:v>Leave exactly one object in the bowl.</x:v>
      </x:c>
      <x:c r="N1728" s="31" t="str">
        <x:v>C-CF06A: bowl=[yellow block, green pencil sharpener] (2); table=[airplane toy without propellers, blue pen]; robot home; acceptable action=remove either bowl object.</x:v>
      </x:c>
      <x:c r="O1728" s="31" t="str">
        <x:v>REMOVE one bowl object</x:v>
      </x:c>
      <x:c r="P1728" s="31" t="str"/>
      <x:c r="Q1728" s="31" t="str"/>
      <x:c r="R1728" s="31" t="str"/>
      <x:c r="S1728" s="31" t="str">
        <x:f>IF('Blind Scoring'!I1728="","",'Blind Scoring'!I1728)</x:f>
      </x:c>
      <x:c r="T1728" s="31" t="str">
        <x:f>'Blind Scoring'!J1728</x:f>
        <x:v>No</x:v>
      </x:c>
      <x:c r="U1728" s="31" t="str">
        <x:f>IF('Blind Scoring'!L1728="","",'Blind Scoring'!L1728)</x:f>
      </x:c>
    </x:row>
    <x:row r="1729" ht="44" customHeight="1">
      <x:c r="A1729" s="35" t="str">
        <x:v>Not Started</x:v>
      </x:c>
      <x:c r="B1729" s="35" t="n">
        <x:v>1727</x:v>
      </x:c>
      <x:c r="C1729" s="35" t="str">
        <x:v>B30</x:v>
      </x:c>
      <x:c r="D1729" s="35" t="n">
        <x:v>14</x:v>
      </x:c>
      <x:c r="E1729" s="35" t="str">
        <x:v>BC Diagnostic</x:v>
      </x:c>
      <x:c r="F1729" s="35" t="str">
        <x:v>Vision-only BC (task-specific)</x:v>
      </x:c>
      <x:c r="G1729" s="35" t="n">
        <x:v>1</x:v>
      </x:c>
      <x:c r="H1729" s="35" t="str">
        <x:v>Counting</x:v>
      </x:c>
      <x:c r="I1729" s="35" t="str">
        <x:v>Vision-only counterfactual B</x:v>
      </x:c>
      <x:c r="J1729" s="35" t="str">
        <x:v>BC-CT-07B</x:v>
      </x:c>
      <x:c r="K1729" s="35" t="str">
        <x:v>BC-CT-07</x:v>
      </x:c>
      <x:c r="L1729" s="31" t="str">
        <x:v>[NO LANGUAGE CHANNEL / INPUT]</x:v>
      </x:c>
      <x:c r="M1729" s="31" t="str">
        <x:v>Leave exactly three objects in the bowl.</x:v>
      </x:c>
      <x:c r="N1729" s="31" t="str">
        <x:v>C-CF07B: bowl=[green pencil sharpener, airplane toy without propellers] (2); table=[blue pen, yellow block]; robot home; acceptable action=add either table object.</x:v>
      </x:c>
      <x:c r="O1729" s="31" t="str">
        <x:v>ADD one table object</x:v>
      </x:c>
      <x:c r="P1729" s="31" t="str"/>
      <x:c r="Q1729" s="31" t="str"/>
      <x:c r="R1729" s="31" t="str"/>
      <x:c r="S1729" s="31" t="str">
        <x:f>IF('Blind Scoring'!I1729="","",'Blind Scoring'!I1729)</x:f>
      </x:c>
      <x:c r="T1729" s="31" t="str">
        <x:f>'Blind Scoring'!J1729</x:f>
        <x:v>No</x:v>
      </x:c>
      <x:c r="U1729" s="31" t="str">
        <x:f>IF('Blind Scoring'!L1729="","",'Blind Scoring'!L1729)</x:f>
      </x:c>
    </x:row>
    <x:row r="1730" ht="44" customHeight="1">
      <x:c r="A1730" s="35" t="str">
        <x:v>Not Started</x:v>
      </x:c>
      <x:c r="B1730" s="35" t="n">
        <x:v>1728</x:v>
      </x:c>
      <x:c r="C1730" s="35" t="str">
        <x:v>B30</x:v>
      </x:c>
      <x:c r="D1730" s="35" t="n">
        <x:v>15</x:v>
      </x:c>
      <x:c r="E1730" s="35" t="str">
        <x:v>BC Diagnostic</x:v>
      </x:c>
      <x:c r="F1730" s="35" t="str">
        <x:v>Vision-only BC (task-specific)</x:v>
      </x:c>
      <x:c r="G1730" s="35" t="n">
        <x:v>1</x:v>
      </x:c>
      <x:c r="H1730" s="35" t="str">
        <x:v>Counting</x:v>
      </x:c>
      <x:c r="I1730" s="35" t="str">
        <x:v>Vision-only counterfactual B</x:v>
      </x:c>
      <x:c r="J1730" s="35" t="str">
        <x:v>BC-CT-05B</x:v>
      </x:c>
      <x:c r="K1730" s="35" t="str">
        <x:v>BC-CT-05</x:v>
      </x:c>
      <x:c r="L1730" s="31" t="str">
        <x:v>[NO LANGUAGE CHANNEL / INPUT]</x:v>
      </x:c>
      <x:c r="M1730" s="31" t="str">
        <x:v>Leave exactly three objects in the bowl.</x:v>
      </x:c>
      <x:c r="N1730" s="31" t="str">
        <x:v>C-CF05B: bowl=[blue pen, yellow block] (2); table=[green pencil sharpener, airplane toy without propellers]; robot home; acceptable action=add either table object.</x:v>
      </x:c>
      <x:c r="O1730" s="31" t="str">
        <x:v>ADD one table object</x:v>
      </x:c>
      <x:c r="P1730" s="31" t="str"/>
      <x:c r="Q1730" s="31" t="str"/>
      <x:c r="R1730" s="31" t="str"/>
      <x:c r="S1730" s="31" t="str">
        <x:f>IF('Blind Scoring'!I1730="","",'Blind Scoring'!I1730)</x:f>
      </x:c>
      <x:c r="T1730" s="31" t="str">
        <x:f>'Blind Scoring'!J1730</x:f>
        <x:v>No</x:v>
      </x:c>
      <x:c r="U1730" s="31" t="str">
        <x:f>IF('Blind Scoring'!L1730="","",'Blind Scoring'!L1730)</x:f>
      </x:c>
    </x:row>
    <x:row r="1731" ht="44" customHeight="1">
      <x:c r="A1731" s="35" t="str">
        <x:v>Not Started</x:v>
      </x:c>
      <x:c r="B1731" s="35" t="n">
        <x:v>1729</x:v>
      </x:c>
      <x:c r="C1731" s="35" t="str">
        <x:v>B30</x:v>
      </x:c>
      <x:c r="D1731" s="35" t="n">
        <x:v>16</x:v>
      </x:c>
      <x:c r="E1731" s="35" t="str">
        <x:v>BC Diagnostic</x:v>
      </x:c>
      <x:c r="F1731" s="35" t="str">
        <x:v>Vision-only BC (task-specific)</x:v>
      </x:c>
      <x:c r="G1731" s="35" t="n">
        <x:v>1</x:v>
      </x:c>
      <x:c r="H1731" s="35" t="str">
        <x:v>Counting</x:v>
      </x:c>
      <x:c r="I1731" s="35" t="str">
        <x:v>Vision-only counterfactual B</x:v>
      </x:c>
      <x:c r="J1731" s="35" t="str">
        <x:v>BC-CT-06B</x:v>
      </x:c>
      <x:c r="K1731" s="35" t="str">
        <x:v>BC-CT-06</x:v>
      </x:c>
      <x:c r="L1731" s="31" t="str">
        <x:v>[NO LANGUAGE CHANNEL / INPUT]</x:v>
      </x:c>
      <x:c r="M1731" s="31" t="str">
        <x:v>Leave exactly three objects in the bowl.</x:v>
      </x:c>
      <x:c r="N1731" s="31" t="str">
        <x:v>C-CF06B: bowl=[yellow block, green pencil sharpener] (2); table=[airplane toy without propellers, blue pen]; robot home; acceptable action=add either table object.</x:v>
      </x:c>
      <x:c r="O1731" s="31" t="str">
        <x:v>ADD one table object</x:v>
      </x:c>
      <x:c r="P1731" s="31" t="str"/>
      <x:c r="Q1731" s="31" t="str"/>
      <x:c r="R1731" s="31" t="str"/>
      <x:c r="S1731" s="31" t="str">
        <x:f>IF('Blind Scoring'!I1731="","",'Blind Scoring'!I1731)</x:f>
      </x:c>
      <x:c r="T1731" s="31" t="str">
        <x:f>'Blind Scoring'!J1731</x:f>
        <x:v>No</x:v>
      </x:c>
      <x:c r="U1731" s="31" t="str">
        <x:f>IF('Blind Scoring'!L1731="","",'Blind Scoring'!L1731)</x:f>
      </x:c>
    </x:row>
    <x:row r="1732" ht="44" customHeight="1">
      <x:c r="A1732" s="35" t="str">
        <x:v>Not Started</x:v>
      </x:c>
      <x:c r="B1732" s="35" t="n">
        <x:v>1730</x:v>
      </x:c>
      <x:c r="C1732" s="35" t="str">
        <x:v>B30</x:v>
      </x:c>
      <x:c r="D1732" s="35" t="n">
        <x:v>17</x:v>
      </x:c>
      <x:c r="E1732" s="35" t="str">
        <x:v>BC Diagnostic</x:v>
      </x:c>
      <x:c r="F1732" s="35" t="str">
        <x:v>Vision-only BC (task-specific)</x:v>
      </x:c>
      <x:c r="G1732" s="35" t="n">
        <x:v>1</x:v>
      </x:c>
      <x:c r="H1732" s="35" t="str">
        <x:v>Counting</x:v>
      </x:c>
      <x:c r="I1732" s="35" t="str">
        <x:v>Vision-only counterfactual A</x:v>
      </x:c>
      <x:c r="J1732" s="35" t="str">
        <x:v>BC-CT-05A</x:v>
      </x:c>
      <x:c r="K1732" s="35" t="str">
        <x:v>BC-CT-05</x:v>
      </x:c>
      <x:c r="L1732" s="31" t="str">
        <x:v>[NO LANGUAGE CHANNEL / INPUT]</x:v>
      </x:c>
      <x:c r="M1732" s="31" t="str">
        <x:v>Leave exactly one object in the bowl.</x:v>
      </x:c>
      <x:c r="N1732" s="31" t="str">
        <x:v>C-CF05A: bowl=[blue pen, yellow block] (2); table=[green pencil sharpener, airplane toy without propellers]; robot home; acceptable action=remove either bowl object.</x:v>
      </x:c>
      <x:c r="O1732" s="31" t="str">
        <x:v>REMOVE one bowl object</x:v>
      </x:c>
      <x:c r="P1732" s="31" t="str"/>
      <x:c r="Q1732" s="31" t="str"/>
      <x:c r="R1732" s="31" t="str"/>
      <x:c r="S1732" s="31" t="str">
        <x:f>IF('Blind Scoring'!I1732="","",'Blind Scoring'!I1732)</x:f>
      </x:c>
      <x:c r="T1732" s="31" t="str">
        <x:f>'Blind Scoring'!J1732</x:f>
        <x:v>No</x:v>
      </x:c>
      <x:c r="U1732" s="31" t="str">
        <x:f>IF('Blind Scoring'!L1732="","",'Blind Scoring'!L1732)</x:f>
      </x:c>
    </x:row>
    <x:row r="1733" ht="44" customHeight="1">
      <x:c r="A1733" s="35" t="str">
        <x:v>Not Started</x:v>
      </x:c>
      <x:c r="B1733" s="35" t="n">
        <x:v>1731</x:v>
      </x:c>
      <x:c r="C1733" s="35" t="str">
        <x:v>B30</x:v>
      </x:c>
      <x:c r="D1733" s="35" t="n">
        <x:v>18</x:v>
      </x:c>
      <x:c r="E1733" s="35" t="str">
        <x:v>BC Diagnostic</x:v>
      </x:c>
      <x:c r="F1733" s="35" t="str">
        <x:v>Vision-only BC (task-specific)</x:v>
      </x:c>
      <x:c r="G1733" s="35" t="n">
        <x:v>1</x:v>
      </x:c>
      <x:c r="H1733" s="35" t="str">
        <x:v>Counting</x:v>
      </x:c>
      <x:c r="I1733" s="35" t="str">
        <x:v>Vision-only counterfactual B</x:v>
      </x:c>
      <x:c r="J1733" s="35" t="str">
        <x:v>BC-CT-03B</x:v>
      </x:c>
      <x:c r="K1733" s="35" t="str">
        <x:v>BC-CT-03</x:v>
      </x:c>
      <x:c r="L1733" s="31" t="str">
        <x:v>[NO LANGUAGE CHANNEL / INPUT]</x:v>
      </x:c>
      <x:c r="M1733" s="31" t="str">
        <x:v>Leave exactly three objects in the bowl.</x:v>
      </x:c>
      <x:c r="N1733" s="31" t="str">
        <x:v>C-CF03B: bowl=[green pencil sharpener, airplane toy without propellers] (2); table=[blue pen, yellow block]; robot home; acceptable action=add either table object.</x:v>
      </x:c>
      <x:c r="O1733" s="31" t="str">
        <x:v>ADD one table object</x:v>
      </x:c>
      <x:c r="P1733" s="31" t="str"/>
      <x:c r="Q1733" s="31" t="str"/>
      <x:c r="R1733" s="31" t="str"/>
      <x:c r="S1733" s="31" t="str">
        <x:f>IF('Blind Scoring'!I1733="","",'Blind Scoring'!I1733)</x:f>
      </x:c>
      <x:c r="T1733" s="31" t="str">
        <x:f>'Blind Scoring'!J1733</x:f>
        <x:v>No</x:v>
      </x:c>
      <x:c r="U1733" s="31" t="str">
        <x:f>IF('Blind Scoring'!L1733="","",'Blind Scoring'!L1733)</x:f>
      </x:c>
    </x:row>
    <x:row r="1734" ht="44" customHeight="1">
      <x:c r="A1734" s="35" t="str">
        <x:v>Not Started</x:v>
      </x:c>
      <x:c r="B1734" s="35" t="n">
        <x:v>1732</x:v>
      </x:c>
      <x:c r="C1734" s="35" t="str">
        <x:v>B30</x:v>
      </x:c>
      <x:c r="D1734" s="35" t="n">
        <x:v>19</x:v>
      </x:c>
      <x:c r="E1734" s="35" t="str">
        <x:v>BC Diagnostic</x:v>
      </x:c>
      <x:c r="F1734" s="35" t="str">
        <x:v>Vision-only BC (task-specific)</x:v>
      </x:c>
      <x:c r="G1734" s="35" t="n">
        <x:v>1</x:v>
      </x:c>
      <x:c r="H1734" s="35" t="str">
        <x:v>Counting</x:v>
      </x:c>
      <x:c r="I1734" s="35" t="str">
        <x:v>Vision-only counterfactual B</x:v>
      </x:c>
      <x:c r="J1734" s="35" t="str">
        <x:v>BC-CT-04B</x:v>
      </x:c>
      <x:c r="K1734" s="35" t="str">
        <x:v>BC-CT-04</x:v>
      </x:c>
      <x:c r="L1734" s="31" t="str">
        <x:v>[NO LANGUAGE CHANNEL / INPUT]</x:v>
      </x:c>
      <x:c r="M1734" s="31" t="str">
        <x:v>Leave exactly three objects in the bowl.</x:v>
      </x:c>
      <x:c r="N1734" s="31" t="str">
        <x:v>C-CF04B: bowl=[airplane toy without propellers, blue pen] (2); table=[yellow block, green pencil sharpener]; robot home; acceptable action=add either table object.</x:v>
      </x:c>
      <x:c r="O1734" s="31" t="str">
        <x:v>ADD one table object</x:v>
      </x:c>
      <x:c r="P1734" s="31" t="str"/>
      <x:c r="Q1734" s="31" t="str"/>
      <x:c r="R1734" s="31" t="str"/>
      <x:c r="S1734" s="31" t="str">
        <x:f>IF('Blind Scoring'!I1734="","",'Blind Scoring'!I1734)</x:f>
      </x:c>
      <x:c r="T1734" s="31" t="str">
        <x:f>'Blind Scoring'!J1734</x:f>
        <x:v>No</x:v>
      </x:c>
      <x:c r="U1734" s="31" t="str">
        <x:f>IF('Blind Scoring'!L1734="","",'Blind Scoring'!L1734)</x:f>
      </x:c>
    </x:row>
    <x:row r="1735" ht="44" customHeight="1">
      <x:c r="A1735" s="35" t="str">
        <x:v>Not Started</x:v>
      </x:c>
      <x:c r="B1735" s="35" t="n">
        <x:v>1733</x:v>
      </x:c>
      <x:c r="C1735" s="35" t="str">
        <x:v>B30</x:v>
      </x:c>
      <x:c r="D1735" s="35" t="n">
        <x:v>20</x:v>
      </x:c>
      <x:c r="E1735" s="35" t="str">
        <x:v>BC Diagnostic</x:v>
      </x:c>
      <x:c r="F1735" s="35" t="str">
        <x:v>Vision-only BC (task-specific)</x:v>
      </x:c>
      <x:c r="G1735" s="35" t="n">
        <x:v>1</x:v>
      </x:c>
      <x:c r="H1735" s="35" t="str">
        <x:v>Counting</x:v>
      </x:c>
      <x:c r="I1735" s="35" t="str">
        <x:v>Vision-only counterfactual B</x:v>
      </x:c>
      <x:c r="J1735" s="35" t="str">
        <x:v>BC-CT-08B</x:v>
      </x:c>
      <x:c r="K1735" s="35" t="str">
        <x:v>BC-CT-08</x:v>
      </x:c>
      <x:c r="L1735" s="31" t="str">
        <x:v>[NO LANGUAGE CHANNEL / INPUT]</x:v>
      </x:c>
      <x:c r="M1735" s="31" t="str">
        <x:v>Leave exactly three objects in the bowl.</x:v>
      </x:c>
      <x:c r="N1735" s="31" t="str">
        <x:v>C-CF08B: bowl=[airplane toy without propellers, blue pen] (2); table=[yellow block, green pencil sharpener]; robot home; acceptable action=add either table object.</x:v>
      </x:c>
      <x:c r="O1735" s="31" t="str">
        <x:v>ADD one table object</x:v>
      </x:c>
      <x:c r="P1735" s="31" t="str"/>
      <x:c r="Q1735" s="31" t="str"/>
      <x:c r="R1735" s="31" t="str"/>
      <x:c r="S1735" s="31" t="str">
        <x:f>IF('Blind Scoring'!I1735="","",'Blind Scoring'!I1735)</x:f>
      </x:c>
      <x:c r="T1735" s="31" t="str">
        <x:f>'Blind Scoring'!J1735</x:f>
        <x:v>No</x:v>
      </x:c>
      <x:c r="U1735" s="31" t="str">
        <x:f>IF('Blind Scoring'!L1735="","",'Blind Scoring'!L1735)</x:f>
      </x:c>
    </x:row>
    <x:row r="1736" ht="44" customHeight="1">
      <x:c r="A1736" s="35" t="str">
        <x:v>Not Started</x:v>
      </x:c>
      <x:c r="B1736" s="35" t="n">
        <x:v>1734</x:v>
      </x:c>
      <x:c r="C1736" s="35" t="str">
        <x:v>B31</x:v>
      </x:c>
      <x:c r="D1736" s="35" t="n">
        <x:v>1</x:v>
      </x:c>
      <x:c r="E1736" s="35" t="str">
        <x:v>BC Diagnostic</x:v>
      </x:c>
      <x:c r="F1736" s="35" t="str">
        <x:v>Vision-only BC (task-specific)</x:v>
      </x:c>
      <x:c r="G1736" s="35" t="n">
        <x:v>2</x:v>
      </x:c>
      <x:c r="H1736" s="35" t="str">
        <x:v>Relational Placement</x:v>
      </x:c>
      <x:c r="I1736" s="35" t="str">
        <x:v>Vision-only counterfactual B</x:v>
      </x:c>
      <x:c r="J1736" s="35" t="str">
        <x:v>BC-RP-08B</x:v>
      </x:c>
      <x:c r="K1736" s="35" t="str">
        <x:v>BC-RP-08</x:v>
      </x:c>
      <x:c r="L1736" s="31" t="str">
        <x:v>[NO LANGUAGE CHANNEL / INPUT]</x:v>
      </x:c>
      <x:c r="M1736" s="31" t="str">
        <x:v>Place the red block to the right of the green pen.</x:v>
      </x:c>
      <x:c r="N1736" s="31" t="str">
        <x:v>R-CF24-HELD: green pen at front-left [REFERENCE]; red block starts 24 cm to the right of the reference [TARGET START]; blue block and pink marker are distractors outside the commanded goal sector.</x:v>
      </x:c>
      <x:c r="O1736" s="31" t="str">
        <x:v>red block → to the right of green pen</x:v>
      </x:c>
      <x:c r="P1736" s="31" t="str"/>
      <x:c r="Q1736" s="31" t="str"/>
      <x:c r="R1736" s="31" t="str"/>
      <x:c r="S1736" s="31" t="str">
        <x:f>IF('Blind Scoring'!I1736="","",'Blind Scoring'!I1736)</x:f>
      </x:c>
      <x:c r="T1736" s="31" t="str">
        <x:f>'Blind Scoring'!J1736</x:f>
        <x:v>No</x:v>
      </x:c>
      <x:c r="U1736" s="31" t="str">
        <x:f>IF('Blind Scoring'!L1736="","",'Blind Scoring'!L1736)</x:f>
      </x:c>
    </x:row>
    <x:row r="1737" ht="44" customHeight="1">
      <x:c r="A1737" s="35" t="str">
        <x:v>Not Started</x:v>
      </x:c>
      <x:c r="B1737" s="35" t="n">
        <x:v>1735</x:v>
      </x:c>
      <x:c r="C1737" s="35" t="str">
        <x:v>B31</x:v>
      </x:c>
      <x:c r="D1737" s="35" t="n">
        <x:v>2</x:v>
      </x:c>
      <x:c r="E1737" s="35" t="str">
        <x:v>BC Diagnostic</x:v>
      </x:c>
      <x:c r="F1737" s="35" t="str">
        <x:v>Vision-only BC (task-specific)</x:v>
      </x:c>
      <x:c r="G1737" s="35" t="n">
        <x:v>2</x:v>
      </x:c>
      <x:c r="H1737" s="35" t="str">
        <x:v>Relational Placement</x:v>
      </x:c>
      <x:c r="I1737" s="35" t="str">
        <x:v>Vision-only counterfactual A</x:v>
      </x:c>
      <x:c r="J1737" s="35" t="str">
        <x:v>BC-RP-08A</x:v>
      </x:c>
      <x:c r="K1737" s="35" t="str">
        <x:v>BC-RP-08</x:v>
      </x:c>
      <x:c r="L1737" s="31" t="str">
        <x:v>[NO LANGUAGE CHANNEL / INPUT]</x:v>
      </x:c>
      <x:c r="M1737" s="31" t="str">
        <x:v>Place the red block to the left of the green pen.</x:v>
      </x:c>
      <x:c r="N1737" s="31" t="str">
        <x:v>R-CF24-HELD: green pen at front-left [REFERENCE]; red block starts 24 cm to the right of the reference [TARGET START]; blue block and pink marker are distractors outside the commanded goal sector.</x:v>
      </x:c>
      <x:c r="O1737" s="31" t="str">
        <x:v>red block → to the left of green pen</x:v>
      </x:c>
      <x:c r="P1737" s="31" t="str"/>
      <x:c r="Q1737" s="31" t="str"/>
      <x:c r="R1737" s="31" t="str"/>
      <x:c r="S1737" s="31" t="str">
        <x:f>IF('Blind Scoring'!I1737="","",'Blind Scoring'!I1737)</x:f>
      </x:c>
      <x:c r="T1737" s="31" t="str">
        <x:f>'Blind Scoring'!J1737</x:f>
        <x:v>No</x:v>
      </x:c>
      <x:c r="U1737" s="31" t="str">
        <x:f>IF('Blind Scoring'!L1737="","",'Blind Scoring'!L1737)</x:f>
      </x:c>
    </x:row>
    <x:row r="1738" ht="44" customHeight="1">
      <x:c r="A1738" s="35" t="str">
        <x:v>Not Started</x:v>
      </x:c>
      <x:c r="B1738" s="35" t="n">
        <x:v>1736</x:v>
      </x:c>
      <x:c r="C1738" s="35" t="str">
        <x:v>B31</x:v>
      </x:c>
      <x:c r="D1738" s="35" t="n">
        <x:v>3</x:v>
      </x:c>
      <x:c r="E1738" s="35" t="str">
        <x:v>BC Diagnostic</x:v>
      </x:c>
      <x:c r="F1738" s="35" t="str">
        <x:v>Vision-only BC (task-specific)</x:v>
      </x:c>
      <x:c r="G1738" s="35" t="n">
        <x:v>2</x:v>
      </x:c>
      <x:c r="H1738" s="35" t="str">
        <x:v>Relational Placement</x:v>
      </x:c>
      <x:c r="I1738" s="35" t="str">
        <x:v>Vision-only counterfactual A</x:v>
      </x:c>
      <x:c r="J1738" s="35" t="str">
        <x:v>BC-RP-02A</x:v>
      </x:c>
      <x:c r="K1738" s="35" t="str">
        <x:v>BC-RP-02</x:v>
      </x:c>
      <x:c r="L1738" s="31" t="str">
        <x:v>[NO LANGUAGE CHANNEL / INPUT]</x:v>
      </x:c>
      <x:c r="M1738" s="31" t="str">
        <x:v>Place the red block in front of the green pen.</x:v>
      </x:c>
      <x:c r="N1738" s="31" t="str">
        <x:v>R-CF04-HELD: green pen at front-left [REFERENCE]; red block starts 18 cm behind the reference [TARGET START]; blue block and pink marker are distractors outside the commanded goal sector.</x:v>
      </x:c>
      <x:c r="O1738" s="31" t="str">
        <x:v>red block → in front of green pen</x:v>
      </x:c>
      <x:c r="P1738" s="31" t="str"/>
      <x:c r="Q1738" s="31" t="str"/>
      <x:c r="R1738" s="31" t="str"/>
      <x:c r="S1738" s="31" t="str">
        <x:f>IF('Blind Scoring'!I1738="","",'Blind Scoring'!I1738)</x:f>
      </x:c>
      <x:c r="T1738" s="31" t="str">
        <x:f>'Blind Scoring'!J1738</x:f>
        <x:v>No</x:v>
      </x:c>
      <x:c r="U1738" s="31" t="str">
        <x:f>IF('Blind Scoring'!L1738="","",'Blind Scoring'!L1738)</x:f>
      </x:c>
    </x:row>
    <x:row r="1739" ht="44" customHeight="1">
      <x:c r="A1739" s="35" t="str">
        <x:v>Not Started</x:v>
      </x:c>
      <x:c r="B1739" s="35" t="n">
        <x:v>1737</x:v>
      </x:c>
      <x:c r="C1739" s="35" t="str">
        <x:v>B31</x:v>
      </x:c>
      <x:c r="D1739" s="35" t="n">
        <x:v>4</x:v>
      </x:c>
      <x:c r="E1739" s="35" t="str">
        <x:v>BC Diagnostic</x:v>
      </x:c>
      <x:c r="F1739" s="35" t="str">
        <x:v>Vision-only BC (task-specific)</x:v>
      </x:c>
      <x:c r="G1739" s="35" t="n">
        <x:v>2</x:v>
      </x:c>
      <x:c r="H1739" s="35" t="str">
        <x:v>Relational Placement</x:v>
      </x:c>
      <x:c r="I1739" s="35" t="str">
        <x:v>Vision-only counterfactual B</x:v>
      </x:c>
      <x:c r="J1739" s="35" t="str">
        <x:v>BC-RP-07B</x:v>
      </x:c>
      <x:c r="K1739" s="35" t="str">
        <x:v>BC-RP-07</x:v>
      </x:c>
      <x:c r="L1739" s="31" t="str">
        <x:v>[NO LANGUAGE CHANNEL / INPUT]</x:v>
      </x:c>
      <x:c r="M1739" s="31" t="str">
        <x:v>Place the red block behind the green pen.</x:v>
      </x:c>
      <x:c r="N1739" s="31" t="str">
        <x:v>R-CF20-HELD: green pen at front-right [REFERENCE]; red block starts 21 cm behind the reference [TARGET START]; blue block and pink marker are distractors outside the commanded goal sector.</x:v>
      </x:c>
      <x:c r="O1739" s="31" t="str">
        <x:v>red block → behind green pen</x:v>
      </x:c>
      <x:c r="P1739" s="31" t="str"/>
      <x:c r="Q1739" s="31" t="str"/>
      <x:c r="R1739" s="31" t="str"/>
      <x:c r="S1739" s="31" t="str">
        <x:f>IF('Blind Scoring'!I1739="","",'Blind Scoring'!I1739)</x:f>
      </x:c>
      <x:c r="T1739" s="31" t="str">
        <x:f>'Blind Scoring'!J1739</x:f>
        <x:v>No</x:v>
      </x:c>
      <x:c r="U1739" s="31" t="str">
        <x:f>IF('Blind Scoring'!L1739="","",'Blind Scoring'!L1739)</x:f>
      </x:c>
    </x:row>
    <x:row r="1740" ht="44" customHeight="1">
      <x:c r="A1740" s="35" t="str">
        <x:v>Not Started</x:v>
      </x:c>
      <x:c r="B1740" s="35" t="n">
        <x:v>1738</x:v>
      </x:c>
      <x:c r="C1740" s="35" t="str">
        <x:v>B31</x:v>
      </x:c>
      <x:c r="D1740" s="35" t="n">
        <x:v>5</x:v>
      </x:c>
      <x:c r="E1740" s="35" t="str">
        <x:v>BC Diagnostic</x:v>
      </x:c>
      <x:c r="F1740" s="35" t="str">
        <x:v>Vision-only BC (task-specific)</x:v>
      </x:c>
      <x:c r="G1740" s="35" t="n">
        <x:v>2</x:v>
      </x:c>
      <x:c r="H1740" s="35" t="str">
        <x:v>Relational Placement</x:v>
      </x:c>
      <x:c r="I1740" s="35" t="str">
        <x:v>Vision-only counterfactual B</x:v>
      </x:c>
      <x:c r="J1740" s="35" t="str">
        <x:v>BC-RP-06B</x:v>
      </x:c>
      <x:c r="K1740" s="35" t="str">
        <x:v>BC-RP-06</x:v>
      </x:c>
      <x:c r="L1740" s="31" t="str">
        <x:v>[NO LANGUAGE CHANNEL / INPUT]</x:v>
      </x:c>
      <x:c r="M1740" s="31" t="str">
        <x:v>Place the green pen behind the red block.</x:v>
      </x:c>
      <x:c r="N1740" s="31" t="str">
        <x:v>R-CF17-HELD: red block at back-left [REFERENCE]; green pen starts 21 cm behind the reference [TARGET START]; pink marker and blue block are distractors outside the commanded goal sector.</x:v>
      </x:c>
      <x:c r="O1740" s="31" t="str">
        <x:v>green pen → behind red block</x:v>
      </x:c>
      <x:c r="P1740" s="31" t="str"/>
      <x:c r="Q1740" s="31" t="str"/>
      <x:c r="R1740" s="31" t="str"/>
      <x:c r="S1740" s="31" t="str">
        <x:f>IF('Blind Scoring'!I1740="","",'Blind Scoring'!I1740)</x:f>
      </x:c>
      <x:c r="T1740" s="31" t="str">
        <x:f>'Blind Scoring'!J1740</x:f>
        <x:v>No</x:v>
      </x:c>
      <x:c r="U1740" s="31" t="str">
        <x:f>IF('Blind Scoring'!L1740="","",'Blind Scoring'!L1740)</x:f>
      </x:c>
    </x:row>
    <x:row r="1741" ht="44" customHeight="1">
      <x:c r="A1741" s="35" t="str">
        <x:v>Not Started</x:v>
      </x:c>
      <x:c r="B1741" s="35" t="n">
        <x:v>1739</x:v>
      </x:c>
      <x:c r="C1741" s="35" t="str">
        <x:v>B31</x:v>
      </x:c>
      <x:c r="D1741" s="35" t="n">
        <x:v>6</x:v>
      </x:c>
      <x:c r="E1741" s="35" t="str">
        <x:v>BC Diagnostic</x:v>
      </x:c>
      <x:c r="F1741" s="35" t="str">
        <x:v>Vision-only BC (task-specific)</x:v>
      </x:c>
      <x:c r="G1741" s="35" t="n">
        <x:v>2</x:v>
      </x:c>
      <x:c r="H1741" s="35" t="str">
        <x:v>Relational Placement</x:v>
      </x:c>
      <x:c r="I1741" s="35" t="str">
        <x:v>Vision-only counterfactual A</x:v>
      </x:c>
      <x:c r="J1741" s="35" t="str">
        <x:v>BC-RP-03A</x:v>
      </x:c>
      <x:c r="K1741" s="35" t="str">
        <x:v>BC-RP-03</x:v>
      </x:c>
      <x:c r="L1741" s="31" t="str">
        <x:v>[NO LANGUAGE CHANNEL / INPUT]</x:v>
      </x:c>
      <x:c r="M1741" s="31" t="str">
        <x:v>Place the green pen behind the red block.</x:v>
      </x:c>
      <x:c r="N1741" s="31" t="str">
        <x:v>R-CF07-HELD: red block at back-left [REFERENCE]; green pen starts 18 cm in front of the reference [TARGET START]; pink marker and blue block are distractors outside the commanded goal sector.</x:v>
      </x:c>
      <x:c r="O1741" s="31" t="str">
        <x:v>green pen → behind red block</x:v>
      </x:c>
      <x:c r="P1741" s="31" t="str"/>
      <x:c r="Q1741" s="31" t="str"/>
      <x:c r="R1741" s="31" t="str"/>
      <x:c r="S1741" s="31" t="str">
        <x:f>IF('Blind Scoring'!I1741="","",'Blind Scoring'!I1741)</x:f>
      </x:c>
      <x:c r="T1741" s="31" t="str">
        <x:f>'Blind Scoring'!J1741</x:f>
        <x:v>No</x:v>
      </x:c>
      <x:c r="U1741" s="31" t="str">
        <x:f>IF('Blind Scoring'!L1741="","",'Blind Scoring'!L1741)</x:f>
      </x:c>
    </x:row>
    <x:row r="1742" ht="44" customHeight="1">
      <x:c r="A1742" s="35" t="str">
        <x:v>Not Started</x:v>
      </x:c>
      <x:c r="B1742" s="35" t="n">
        <x:v>1740</x:v>
      </x:c>
      <x:c r="C1742" s="35" t="str">
        <x:v>B31</x:v>
      </x:c>
      <x:c r="D1742" s="35" t="n">
        <x:v>7</x:v>
      </x:c>
      <x:c r="E1742" s="35" t="str">
        <x:v>BC Diagnostic</x:v>
      </x:c>
      <x:c r="F1742" s="35" t="str">
        <x:v>Vision-only BC (task-specific)</x:v>
      </x:c>
      <x:c r="G1742" s="35" t="n">
        <x:v>2</x:v>
      </x:c>
      <x:c r="H1742" s="35" t="str">
        <x:v>Relational Placement</x:v>
      </x:c>
      <x:c r="I1742" s="35" t="str">
        <x:v>Vision-only counterfactual A</x:v>
      </x:c>
      <x:c r="J1742" s="35" t="str">
        <x:v>BC-RP-07A</x:v>
      </x:c>
      <x:c r="K1742" s="35" t="str">
        <x:v>BC-RP-07</x:v>
      </x:c>
      <x:c r="L1742" s="31" t="str">
        <x:v>[NO LANGUAGE CHANNEL / INPUT]</x:v>
      </x:c>
      <x:c r="M1742" s="31" t="str">
        <x:v>Place the red block in front of the green pen.</x:v>
      </x:c>
      <x:c r="N1742" s="31" t="str">
        <x:v>R-CF20-HELD: green pen at front-right [REFERENCE]; red block starts 21 cm behind the reference [TARGET START]; blue block and pink marker are distractors outside the commanded goal sector.</x:v>
      </x:c>
      <x:c r="O1742" s="31" t="str">
        <x:v>red block → in front of green pen</x:v>
      </x:c>
      <x:c r="P1742" s="31" t="str"/>
      <x:c r="Q1742" s="31" t="str"/>
      <x:c r="R1742" s="31" t="str"/>
      <x:c r="S1742" s="31" t="str">
        <x:f>IF('Blind Scoring'!I1742="","",'Blind Scoring'!I1742)</x:f>
      </x:c>
      <x:c r="T1742" s="31" t="str">
        <x:f>'Blind Scoring'!J1742</x:f>
        <x:v>No</x:v>
      </x:c>
      <x:c r="U1742" s="31" t="str">
        <x:f>IF('Blind Scoring'!L1742="","",'Blind Scoring'!L1742)</x:f>
      </x:c>
    </x:row>
    <x:row r="1743" ht="44" customHeight="1">
      <x:c r="A1743" s="35" t="str">
        <x:v>Not Started</x:v>
      </x:c>
      <x:c r="B1743" s="35" t="n">
        <x:v>1741</x:v>
      </x:c>
      <x:c r="C1743" s="35" t="str">
        <x:v>B31</x:v>
      </x:c>
      <x:c r="D1743" s="35" t="n">
        <x:v>8</x:v>
      </x:c>
      <x:c r="E1743" s="35" t="str">
        <x:v>BC Diagnostic</x:v>
      </x:c>
      <x:c r="F1743" s="35" t="str">
        <x:v>Vision-only BC (task-specific)</x:v>
      </x:c>
      <x:c r="G1743" s="35" t="n">
        <x:v>2</x:v>
      </x:c>
      <x:c r="H1743" s="35" t="str">
        <x:v>Relational Placement</x:v>
      </x:c>
      <x:c r="I1743" s="35" t="str">
        <x:v>Vision-only counterfactual B</x:v>
      </x:c>
      <x:c r="J1743" s="35" t="str">
        <x:v>BC-RP-01B</x:v>
      </x:c>
      <x:c r="K1743" s="35" t="str">
        <x:v>BC-RP-01</x:v>
      </x:c>
      <x:c r="L1743" s="31" t="str">
        <x:v>[NO LANGUAGE CHANNEL / INPUT]</x:v>
      </x:c>
      <x:c r="M1743" s="31" t="str">
        <x:v>Place the green pen behind the red block.</x:v>
      </x:c>
      <x:c r="N1743" s="31" t="str">
        <x:v>R-CF01-HELD: red block at center [REFERENCE]; green pen starts 18 cm behind the reference [TARGET START]; pink marker and blue block are distractors outside the commanded goal sector.</x:v>
      </x:c>
      <x:c r="O1743" s="31" t="str">
        <x:v>green pen → behind red block</x:v>
      </x:c>
      <x:c r="P1743" s="31" t="str"/>
      <x:c r="Q1743" s="31" t="str"/>
      <x:c r="R1743" s="31" t="str"/>
      <x:c r="S1743" s="31" t="str">
        <x:f>IF('Blind Scoring'!I1743="","",'Blind Scoring'!I1743)</x:f>
      </x:c>
      <x:c r="T1743" s="31" t="str">
        <x:f>'Blind Scoring'!J1743</x:f>
        <x:v>No</x:v>
      </x:c>
      <x:c r="U1743" s="31" t="str">
        <x:f>IF('Blind Scoring'!L1743="","",'Blind Scoring'!L1743)</x:f>
      </x:c>
    </x:row>
    <x:row r="1744" ht="44" customHeight="1">
      <x:c r="A1744" s="35" t="str">
        <x:v>Not Started</x:v>
      </x:c>
      <x:c r="B1744" s="35" t="n">
        <x:v>1742</x:v>
      </x:c>
      <x:c r="C1744" s="35" t="str">
        <x:v>B31</x:v>
      </x:c>
      <x:c r="D1744" s="35" t="n">
        <x:v>9</x:v>
      </x:c>
      <x:c r="E1744" s="35" t="str">
        <x:v>BC Diagnostic</x:v>
      </x:c>
      <x:c r="F1744" s="35" t="str">
        <x:v>Vision-only BC (task-specific)</x:v>
      </x:c>
      <x:c r="G1744" s="35" t="n">
        <x:v>2</x:v>
      </x:c>
      <x:c r="H1744" s="35" t="str">
        <x:v>Relational Placement</x:v>
      </x:c>
      <x:c r="I1744" s="35" t="str">
        <x:v>Vision-only counterfactual B</x:v>
      </x:c>
      <x:c r="J1744" s="35" t="str">
        <x:v>BC-RP-10B</x:v>
      </x:c>
      <x:c r="K1744" s="35" t="str">
        <x:v>BC-RP-10</x:v>
      </x:c>
      <x:c r="L1744" s="31" t="str">
        <x:v>[NO LANGUAGE CHANNEL / INPUT]</x:v>
      </x:c>
      <x:c r="M1744" s="31" t="str">
        <x:v>Place the red block to the left of the green pen.</x:v>
      </x:c>
      <x:c r="N1744" s="31" t="str">
        <x:v>R-CF30-HELD: green pen at front-right [REFERENCE]; red block starts 24 cm to the left of the reference [TARGET START]; blue block and pink marker are distractors outside the commanded goal sector.</x:v>
      </x:c>
      <x:c r="O1744" s="31" t="str">
        <x:v>red block → to the left of green pen</x:v>
      </x:c>
      <x:c r="P1744" s="31" t="str"/>
      <x:c r="Q1744" s="31" t="str"/>
      <x:c r="R1744" s="31" t="str"/>
      <x:c r="S1744" s="31" t="str">
        <x:f>IF('Blind Scoring'!I1744="","",'Blind Scoring'!I1744)</x:f>
      </x:c>
      <x:c r="T1744" s="31" t="str">
        <x:f>'Blind Scoring'!J1744</x:f>
        <x:v>No</x:v>
      </x:c>
      <x:c r="U1744" s="31" t="str">
        <x:f>IF('Blind Scoring'!L1744="","",'Blind Scoring'!L1744)</x:f>
      </x:c>
    </x:row>
    <x:row r="1745" ht="44" customHeight="1">
      <x:c r="A1745" s="35" t="str">
        <x:v>Not Started</x:v>
      </x:c>
      <x:c r="B1745" s="35" t="n">
        <x:v>1743</x:v>
      </x:c>
      <x:c r="C1745" s="35" t="str">
        <x:v>B31</x:v>
      </x:c>
      <x:c r="D1745" s="35" t="n">
        <x:v>10</x:v>
      </x:c>
      <x:c r="E1745" s="35" t="str">
        <x:v>BC Diagnostic</x:v>
      </x:c>
      <x:c r="F1745" s="35" t="str">
        <x:v>Vision-only BC (task-specific)</x:v>
      </x:c>
      <x:c r="G1745" s="35" t="n">
        <x:v>2</x:v>
      </x:c>
      <x:c r="H1745" s="35" t="str">
        <x:v>Relational Placement</x:v>
      </x:c>
      <x:c r="I1745" s="35" t="str">
        <x:v>Vision-only counterfactual A</x:v>
      </x:c>
      <x:c r="J1745" s="35" t="str">
        <x:v>BC-RP-04A</x:v>
      </x:c>
      <x:c r="K1745" s="35" t="str">
        <x:v>BC-RP-04</x:v>
      </x:c>
      <x:c r="L1745" s="31" t="str">
        <x:v>[NO LANGUAGE CHANNEL / INPUT]</x:v>
      </x:c>
      <x:c r="M1745" s="31" t="str">
        <x:v>Place the green pen to the right of the red block.</x:v>
      </x:c>
      <x:c r="N1745" s="31" t="str">
        <x:v>R-CF11-HELD: red block at center [REFERENCE]; green pen starts 21 cm to the left of the reference [TARGET START]; pink marker and blue block are distractors outside the commanded goal sector.</x:v>
      </x:c>
      <x:c r="O1745" s="31" t="str">
        <x:v>green pen → to the right of red block</x:v>
      </x:c>
      <x:c r="P1745" s="31" t="str"/>
      <x:c r="Q1745" s="31" t="str"/>
      <x:c r="R1745" s="31" t="str"/>
      <x:c r="S1745" s="31" t="str">
        <x:f>IF('Blind Scoring'!I1745="","",'Blind Scoring'!I1745)</x:f>
      </x:c>
      <x:c r="T1745" s="31" t="str">
        <x:f>'Blind Scoring'!J1745</x:f>
        <x:v>No</x:v>
      </x:c>
      <x:c r="U1745" s="31" t="str">
        <x:f>IF('Blind Scoring'!L1745="","",'Blind Scoring'!L1745)</x:f>
      </x:c>
    </x:row>
    <x:row r="1746" ht="44" customHeight="1">
      <x:c r="A1746" s="35" t="str">
        <x:v>Not Started</x:v>
      </x:c>
      <x:c r="B1746" s="35" t="n">
        <x:v>1744</x:v>
      </x:c>
      <x:c r="C1746" s="35" t="str">
        <x:v>B31</x:v>
      </x:c>
      <x:c r="D1746" s="35" t="n">
        <x:v>11</x:v>
      </x:c>
      <x:c r="E1746" s="35" t="str">
        <x:v>BC Diagnostic</x:v>
      </x:c>
      <x:c r="F1746" s="35" t="str">
        <x:v>Vision-only BC (task-specific)</x:v>
      </x:c>
      <x:c r="G1746" s="35" t="n">
        <x:v>2</x:v>
      </x:c>
      <x:c r="H1746" s="35" t="str">
        <x:v>Relational Placement</x:v>
      </x:c>
      <x:c r="I1746" s="35" t="str">
        <x:v>Vision-only counterfactual B</x:v>
      </x:c>
      <x:c r="J1746" s="35" t="str">
        <x:v>BC-RP-04B</x:v>
      </x:c>
      <x:c r="K1746" s="35" t="str">
        <x:v>BC-RP-04</x:v>
      </x:c>
      <x:c r="L1746" s="31" t="str">
        <x:v>[NO LANGUAGE CHANNEL / INPUT]</x:v>
      </x:c>
      <x:c r="M1746" s="31" t="str">
        <x:v>Place the green pen to the left of the red block.</x:v>
      </x:c>
      <x:c r="N1746" s="31" t="str">
        <x:v>R-CF11-HELD: red block at center [REFERENCE]; green pen starts 21 cm to the left of the reference [TARGET START]; pink marker and blue block are distractors outside the commanded goal sector.</x:v>
      </x:c>
      <x:c r="O1746" s="31" t="str">
        <x:v>green pen → to the left of red block</x:v>
      </x:c>
      <x:c r="P1746" s="31" t="str"/>
      <x:c r="Q1746" s="31" t="str"/>
      <x:c r="R1746" s="31" t="str"/>
      <x:c r="S1746" s="31" t="str">
        <x:f>IF('Blind Scoring'!I1746="","",'Blind Scoring'!I1746)</x:f>
      </x:c>
      <x:c r="T1746" s="31" t="str">
        <x:f>'Blind Scoring'!J1746</x:f>
        <x:v>No</x:v>
      </x:c>
      <x:c r="U1746" s="31" t="str">
        <x:f>IF('Blind Scoring'!L1746="","",'Blind Scoring'!L1746)</x:f>
      </x:c>
    </x:row>
    <x:row r="1747" ht="44" customHeight="1">
      <x:c r="A1747" s="35" t="str">
        <x:v>Not Started</x:v>
      </x:c>
      <x:c r="B1747" s="35" t="n">
        <x:v>1745</x:v>
      </x:c>
      <x:c r="C1747" s="35" t="str">
        <x:v>B31</x:v>
      </x:c>
      <x:c r="D1747" s="35" t="n">
        <x:v>12</x:v>
      </x:c>
      <x:c r="E1747" s="35" t="str">
        <x:v>BC Diagnostic</x:v>
      </x:c>
      <x:c r="F1747" s="35" t="str">
        <x:v>Vision-only BC (task-specific)</x:v>
      </x:c>
      <x:c r="G1747" s="35" t="n">
        <x:v>2</x:v>
      </x:c>
      <x:c r="H1747" s="35" t="str">
        <x:v>Relational Placement</x:v>
      </x:c>
      <x:c r="I1747" s="35" t="str">
        <x:v>Vision-only counterfactual B</x:v>
      </x:c>
      <x:c r="J1747" s="35" t="str">
        <x:v>BC-RP-09B</x:v>
      </x:c>
      <x:c r="K1747" s="35" t="str">
        <x:v>BC-RP-09</x:v>
      </x:c>
      <x:c r="L1747" s="31" t="str">
        <x:v>[NO LANGUAGE CHANNEL / INPUT]</x:v>
      </x:c>
      <x:c r="M1747" s="31" t="str">
        <x:v>Place the green pen to the left of the red block.</x:v>
      </x:c>
      <x:c r="N1747" s="31" t="str">
        <x:v>R-CF27-HELD: red block at back-left [REFERENCE]; green pen starts 24 cm to the left of the reference [TARGET START]; pink marker and blue block are distractors outside the commanded goal sector.</x:v>
      </x:c>
      <x:c r="O1747" s="31" t="str">
        <x:v>green pen → to the left of red block</x:v>
      </x:c>
      <x:c r="P1747" s="31" t="str"/>
      <x:c r="Q1747" s="31" t="str"/>
      <x:c r="R1747" s="31" t="str"/>
      <x:c r="S1747" s="31" t="str">
        <x:f>IF('Blind Scoring'!I1747="","",'Blind Scoring'!I1747)</x:f>
      </x:c>
      <x:c r="T1747" s="31" t="str">
        <x:f>'Blind Scoring'!J1747</x:f>
        <x:v>No</x:v>
      </x:c>
      <x:c r="U1747" s="31" t="str">
        <x:f>IF('Blind Scoring'!L1747="","",'Blind Scoring'!L1747)</x:f>
      </x:c>
    </x:row>
    <x:row r="1748" ht="44" customHeight="1">
      <x:c r="A1748" s="35" t="str">
        <x:v>Not Started</x:v>
      </x:c>
      <x:c r="B1748" s="35" t="n">
        <x:v>1746</x:v>
      </x:c>
      <x:c r="C1748" s="35" t="str">
        <x:v>B31</x:v>
      </x:c>
      <x:c r="D1748" s="35" t="n">
        <x:v>13</x:v>
      </x:c>
      <x:c r="E1748" s="35" t="str">
        <x:v>BC Diagnostic</x:v>
      </x:c>
      <x:c r="F1748" s="35" t="str">
        <x:v>Vision-only BC (task-specific)</x:v>
      </x:c>
      <x:c r="G1748" s="35" t="n">
        <x:v>2</x:v>
      </x:c>
      <x:c r="H1748" s="35" t="str">
        <x:v>Relational Placement</x:v>
      </x:c>
      <x:c r="I1748" s="35" t="str">
        <x:v>Vision-only counterfactual A</x:v>
      </x:c>
      <x:c r="J1748" s="35" t="str">
        <x:v>BC-RP-05A</x:v>
      </x:c>
      <x:c r="K1748" s="35" t="str">
        <x:v>BC-RP-05</x:v>
      </x:c>
      <x:c r="L1748" s="31" t="str">
        <x:v>[NO LANGUAGE CHANNEL / INPUT]</x:v>
      </x:c>
      <x:c r="M1748" s="31" t="str">
        <x:v>Place the red block to the right of the green pen.</x:v>
      </x:c>
      <x:c r="N1748" s="31" t="str">
        <x:v>R-CF14-HELD: green pen at front-left [REFERENCE]; red block starts 21 cm to the left of the reference [TARGET START]; blue block and pink marker are distractors outside the commanded goal sector.</x:v>
      </x:c>
      <x:c r="O1748" s="31" t="str">
        <x:v>red block → to the right of green pen</x:v>
      </x:c>
      <x:c r="P1748" s="31" t="str"/>
      <x:c r="Q1748" s="31" t="str"/>
      <x:c r="R1748" s="31" t="str"/>
      <x:c r="S1748" s="31" t="str">
        <x:f>IF('Blind Scoring'!I1748="","",'Blind Scoring'!I1748)</x:f>
      </x:c>
      <x:c r="T1748" s="31" t="str">
        <x:f>'Blind Scoring'!J1748</x:f>
        <x:v>No</x:v>
      </x:c>
      <x:c r="U1748" s="31" t="str">
        <x:f>IF('Blind Scoring'!L1748="","",'Blind Scoring'!L1748)</x:f>
      </x:c>
    </x:row>
    <x:row r="1749" ht="44" customHeight="1">
      <x:c r="A1749" s="35" t="str">
        <x:v>Not Started</x:v>
      </x:c>
      <x:c r="B1749" s="35" t="n">
        <x:v>1747</x:v>
      </x:c>
      <x:c r="C1749" s="35" t="str">
        <x:v>B31</x:v>
      </x:c>
      <x:c r="D1749" s="35" t="n">
        <x:v>14</x:v>
      </x:c>
      <x:c r="E1749" s="35" t="str">
        <x:v>BC Diagnostic</x:v>
      </x:c>
      <x:c r="F1749" s="35" t="str">
        <x:v>Vision-only BC (task-specific)</x:v>
      </x:c>
      <x:c r="G1749" s="35" t="n">
        <x:v>2</x:v>
      </x:c>
      <x:c r="H1749" s="35" t="str">
        <x:v>Relational Placement</x:v>
      </x:c>
      <x:c r="I1749" s="35" t="str">
        <x:v>Vision-only counterfactual B</x:v>
      </x:c>
      <x:c r="J1749" s="35" t="str">
        <x:v>BC-RP-02B</x:v>
      </x:c>
      <x:c r="K1749" s="35" t="str">
        <x:v>BC-RP-02</x:v>
      </x:c>
      <x:c r="L1749" s="31" t="str">
        <x:v>[NO LANGUAGE CHANNEL / INPUT]</x:v>
      </x:c>
      <x:c r="M1749" s="31" t="str">
        <x:v>Place the red block behind the green pen.</x:v>
      </x:c>
      <x:c r="N1749" s="31" t="str">
        <x:v>R-CF04-HELD: green pen at front-left [REFERENCE]; red block starts 18 cm behind the reference [TARGET START]; blue block and pink marker are distractors outside the commanded goal sector.</x:v>
      </x:c>
      <x:c r="O1749" s="31" t="str">
        <x:v>red block → behind green pen</x:v>
      </x:c>
      <x:c r="P1749" s="31" t="str"/>
      <x:c r="Q1749" s="31" t="str"/>
      <x:c r="R1749" s="31" t="str"/>
      <x:c r="S1749" s="31" t="str">
        <x:f>IF('Blind Scoring'!I1749="","",'Blind Scoring'!I1749)</x:f>
      </x:c>
      <x:c r="T1749" s="31" t="str">
        <x:f>'Blind Scoring'!J1749</x:f>
        <x:v>No</x:v>
      </x:c>
      <x:c r="U1749" s="31" t="str">
        <x:f>IF('Blind Scoring'!L1749="","",'Blind Scoring'!L1749)</x:f>
      </x:c>
    </x:row>
    <x:row r="1750" ht="44" customHeight="1">
      <x:c r="A1750" s="35" t="str">
        <x:v>Not Started</x:v>
      </x:c>
      <x:c r="B1750" s="35" t="n">
        <x:v>1748</x:v>
      </x:c>
      <x:c r="C1750" s="35" t="str">
        <x:v>B31</x:v>
      </x:c>
      <x:c r="D1750" s="35" t="n">
        <x:v>15</x:v>
      </x:c>
      <x:c r="E1750" s="35" t="str">
        <x:v>BC Diagnostic</x:v>
      </x:c>
      <x:c r="F1750" s="35" t="str">
        <x:v>Vision-only BC (task-specific)</x:v>
      </x:c>
      <x:c r="G1750" s="35" t="n">
        <x:v>2</x:v>
      </x:c>
      <x:c r="H1750" s="35" t="str">
        <x:v>Relational Placement</x:v>
      </x:c>
      <x:c r="I1750" s="35" t="str">
        <x:v>Vision-only counterfactual B</x:v>
      </x:c>
      <x:c r="J1750" s="35" t="str">
        <x:v>BC-RP-03B</x:v>
      </x:c>
      <x:c r="K1750" s="35" t="str">
        <x:v>BC-RP-03</x:v>
      </x:c>
      <x:c r="L1750" s="31" t="str">
        <x:v>[NO LANGUAGE CHANNEL / INPUT]</x:v>
      </x:c>
      <x:c r="M1750" s="31" t="str">
        <x:v>Place the green pen in front of the red block.</x:v>
      </x:c>
      <x:c r="N1750" s="31" t="str">
        <x:v>R-CF07-HELD: red block at back-left [REFERENCE]; green pen starts 18 cm in front of the reference [TARGET START]; pink marker and blue block are distractors outside the commanded goal sector.</x:v>
      </x:c>
      <x:c r="O1750" s="31" t="str">
        <x:v>green pen → in front of red block</x:v>
      </x:c>
      <x:c r="P1750" s="31" t="str"/>
      <x:c r="Q1750" s="31" t="str"/>
      <x:c r="R1750" s="31" t="str"/>
      <x:c r="S1750" s="31" t="str">
        <x:f>IF('Blind Scoring'!I1750="","",'Blind Scoring'!I1750)</x:f>
      </x:c>
      <x:c r="T1750" s="31" t="str">
        <x:f>'Blind Scoring'!J1750</x:f>
        <x:v>No</x:v>
      </x:c>
      <x:c r="U1750" s="31" t="str">
        <x:f>IF('Blind Scoring'!L1750="","",'Blind Scoring'!L1750)</x:f>
      </x:c>
    </x:row>
    <x:row r="1751" ht="44" customHeight="1">
      <x:c r="A1751" s="35" t="str">
        <x:v>Not Started</x:v>
      </x:c>
      <x:c r="B1751" s="35" t="n">
        <x:v>1749</x:v>
      </x:c>
      <x:c r="C1751" s="35" t="str">
        <x:v>B31</x:v>
      </x:c>
      <x:c r="D1751" s="35" t="n">
        <x:v>16</x:v>
      </x:c>
      <x:c r="E1751" s="35" t="str">
        <x:v>BC Diagnostic</x:v>
      </x:c>
      <x:c r="F1751" s="35" t="str">
        <x:v>Vision-only BC (task-specific)</x:v>
      </x:c>
      <x:c r="G1751" s="35" t="n">
        <x:v>2</x:v>
      </x:c>
      <x:c r="H1751" s="35" t="str">
        <x:v>Relational Placement</x:v>
      </x:c>
      <x:c r="I1751" s="35" t="str">
        <x:v>Vision-only counterfactual A</x:v>
      </x:c>
      <x:c r="J1751" s="35" t="str">
        <x:v>BC-RP-06A</x:v>
      </x:c>
      <x:c r="K1751" s="35" t="str">
        <x:v>BC-RP-06</x:v>
      </x:c>
      <x:c r="L1751" s="31" t="str">
        <x:v>[NO LANGUAGE CHANNEL / INPUT]</x:v>
      </x:c>
      <x:c r="M1751" s="31" t="str">
        <x:v>Place the green pen in front of the red block.</x:v>
      </x:c>
      <x:c r="N1751" s="31" t="str">
        <x:v>R-CF17-HELD: red block at back-left [REFERENCE]; green pen starts 21 cm behind the reference [TARGET START]; pink marker and blue block are distractors outside the commanded goal sector.</x:v>
      </x:c>
      <x:c r="O1751" s="31" t="str">
        <x:v>green pen → in front of red block</x:v>
      </x:c>
      <x:c r="P1751" s="31" t="str"/>
      <x:c r="Q1751" s="31" t="str"/>
      <x:c r="R1751" s="31" t="str"/>
      <x:c r="S1751" s="31" t="str">
        <x:f>IF('Blind Scoring'!I1751="","",'Blind Scoring'!I1751)</x:f>
      </x:c>
      <x:c r="T1751" s="31" t="str">
        <x:f>'Blind Scoring'!J1751</x:f>
        <x:v>No</x:v>
      </x:c>
      <x:c r="U1751" s="31" t="str">
        <x:f>IF('Blind Scoring'!L1751="","",'Blind Scoring'!L1751)</x:f>
      </x:c>
    </x:row>
    <x:row r="1752" ht="44" customHeight="1">
      <x:c r="A1752" s="35" t="str">
        <x:v>Not Started</x:v>
      </x:c>
      <x:c r="B1752" s="35" t="n">
        <x:v>1750</x:v>
      </x:c>
      <x:c r="C1752" s="35" t="str">
        <x:v>B31</x:v>
      </x:c>
      <x:c r="D1752" s="35" t="n">
        <x:v>17</x:v>
      </x:c>
      <x:c r="E1752" s="35" t="str">
        <x:v>BC Diagnostic</x:v>
      </x:c>
      <x:c r="F1752" s="35" t="str">
        <x:v>Vision-only BC (task-specific)</x:v>
      </x:c>
      <x:c r="G1752" s="35" t="n">
        <x:v>2</x:v>
      </x:c>
      <x:c r="H1752" s="35" t="str">
        <x:v>Relational Placement</x:v>
      </x:c>
      <x:c r="I1752" s="35" t="str">
        <x:v>Vision-only counterfactual A</x:v>
      </x:c>
      <x:c r="J1752" s="35" t="str">
        <x:v>BC-RP-01A</x:v>
      </x:c>
      <x:c r="K1752" s="35" t="str">
        <x:v>BC-RP-01</x:v>
      </x:c>
      <x:c r="L1752" s="31" t="str">
        <x:v>[NO LANGUAGE CHANNEL / INPUT]</x:v>
      </x:c>
      <x:c r="M1752" s="31" t="str">
        <x:v>Place the green pen in front of the red block.</x:v>
      </x:c>
      <x:c r="N1752" s="31" t="str">
        <x:v>R-CF01-HELD: red block at center [REFERENCE]; green pen starts 18 cm behind the reference [TARGET START]; pink marker and blue block are distractors outside the commanded goal sector.</x:v>
      </x:c>
      <x:c r="O1752" s="31" t="str">
        <x:v>green pen → in front of red block</x:v>
      </x:c>
      <x:c r="P1752" s="31" t="str"/>
      <x:c r="Q1752" s="31" t="str"/>
      <x:c r="R1752" s="31" t="str"/>
      <x:c r="S1752" s="31" t="str">
        <x:f>IF('Blind Scoring'!I1752="","",'Blind Scoring'!I1752)</x:f>
      </x:c>
      <x:c r="T1752" s="31" t="str">
        <x:f>'Blind Scoring'!J1752</x:f>
        <x:v>No</x:v>
      </x:c>
      <x:c r="U1752" s="31" t="str">
        <x:f>IF('Blind Scoring'!L1752="","",'Blind Scoring'!L1752)</x:f>
      </x:c>
    </x:row>
    <x:row r="1753" ht="44" customHeight="1">
      <x:c r="A1753" s="35" t="str">
        <x:v>Not Started</x:v>
      </x:c>
      <x:c r="B1753" s="35" t="n">
        <x:v>1751</x:v>
      </x:c>
      <x:c r="C1753" s="35" t="str">
        <x:v>B31</x:v>
      </x:c>
      <x:c r="D1753" s="35" t="n">
        <x:v>18</x:v>
      </x:c>
      <x:c r="E1753" s="35" t="str">
        <x:v>BC Diagnostic</x:v>
      </x:c>
      <x:c r="F1753" s="35" t="str">
        <x:v>Vision-only BC (task-specific)</x:v>
      </x:c>
      <x:c r="G1753" s="35" t="n">
        <x:v>2</x:v>
      </x:c>
      <x:c r="H1753" s="35" t="str">
        <x:v>Relational Placement</x:v>
      </x:c>
      <x:c r="I1753" s="35" t="str">
        <x:v>Vision-only counterfactual A</x:v>
      </x:c>
      <x:c r="J1753" s="35" t="str">
        <x:v>BC-RP-09A</x:v>
      </x:c>
      <x:c r="K1753" s="35" t="str">
        <x:v>BC-RP-09</x:v>
      </x:c>
      <x:c r="L1753" s="31" t="str">
        <x:v>[NO LANGUAGE CHANNEL / INPUT]</x:v>
      </x:c>
      <x:c r="M1753" s="31" t="str">
        <x:v>Place the green pen to the right of the red block.</x:v>
      </x:c>
      <x:c r="N1753" s="31" t="str">
        <x:v>R-CF27-HELD: red block at back-left [REFERENCE]; green pen starts 24 cm to the left of the reference [TARGET START]; pink marker and blue block are distractors outside the commanded goal sector.</x:v>
      </x:c>
      <x:c r="O1753" s="31" t="str">
        <x:v>green pen → to the right of red block</x:v>
      </x:c>
      <x:c r="P1753" s="31" t="str"/>
      <x:c r="Q1753" s="31" t="str"/>
      <x:c r="R1753" s="31" t="str"/>
      <x:c r="S1753" s="31" t="str">
        <x:f>IF('Blind Scoring'!I1753="","",'Blind Scoring'!I1753)</x:f>
      </x:c>
      <x:c r="T1753" s="31" t="str">
        <x:f>'Blind Scoring'!J1753</x:f>
        <x:v>No</x:v>
      </x:c>
      <x:c r="U1753" s="31" t="str">
        <x:f>IF('Blind Scoring'!L1753="","",'Blind Scoring'!L1753)</x:f>
      </x:c>
    </x:row>
    <x:row r="1754" ht="44" customHeight="1">
      <x:c r="A1754" s="35" t="str">
        <x:v>Not Started</x:v>
      </x:c>
      <x:c r="B1754" s="35" t="n">
        <x:v>1752</x:v>
      </x:c>
      <x:c r="C1754" s="35" t="str">
        <x:v>B31</x:v>
      </x:c>
      <x:c r="D1754" s="35" t="n">
        <x:v>19</x:v>
      </x:c>
      <x:c r="E1754" s="35" t="str">
        <x:v>BC Diagnostic</x:v>
      </x:c>
      <x:c r="F1754" s="35" t="str">
        <x:v>Vision-only BC (task-specific)</x:v>
      </x:c>
      <x:c r="G1754" s="35" t="n">
        <x:v>2</x:v>
      </x:c>
      <x:c r="H1754" s="35" t="str">
        <x:v>Relational Placement</x:v>
      </x:c>
      <x:c r="I1754" s="35" t="str">
        <x:v>Vision-only counterfactual B</x:v>
      </x:c>
      <x:c r="J1754" s="35" t="str">
        <x:v>BC-RP-05B</x:v>
      </x:c>
      <x:c r="K1754" s="35" t="str">
        <x:v>BC-RP-05</x:v>
      </x:c>
      <x:c r="L1754" s="31" t="str">
        <x:v>[NO LANGUAGE CHANNEL / INPUT]</x:v>
      </x:c>
      <x:c r="M1754" s="31" t="str">
        <x:v>Place the red block to the left of the green pen.</x:v>
      </x:c>
      <x:c r="N1754" s="31" t="str">
        <x:v>R-CF14-HELD: green pen at front-left [REFERENCE]; red block starts 21 cm to the left of the reference [TARGET START]; blue block and pink marker are distractors outside the commanded goal sector.</x:v>
      </x:c>
      <x:c r="O1754" s="31" t="str">
        <x:v>red block → to the left of green pen</x:v>
      </x:c>
      <x:c r="P1754" s="31" t="str"/>
      <x:c r="Q1754" s="31" t="str"/>
      <x:c r="R1754" s="31" t="str"/>
      <x:c r="S1754" s="31" t="str">
        <x:f>IF('Blind Scoring'!I1754="","",'Blind Scoring'!I1754)</x:f>
      </x:c>
      <x:c r="T1754" s="31" t="str">
        <x:f>'Blind Scoring'!J1754</x:f>
        <x:v>No</x:v>
      </x:c>
      <x:c r="U1754" s="31" t="str">
        <x:f>IF('Blind Scoring'!L1754="","",'Blind Scoring'!L1754)</x:f>
      </x:c>
    </x:row>
    <x:row r="1755" ht="44" customHeight="1">
      <x:c r="A1755" s="35" t="str">
        <x:v>Not Started</x:v>
      </x:c>
      <x:c r="B1755" s="35" t="n">
        <x:v>1753</x:v>
      </x:c>
      <x:c r="C1755" s="35" t="str">
        <x:v>B31</x:v>
      </x:c>
      <x:c r="D1755" s="35" t="n">
        <x:v>20</x:v>
      </x:c>
      <x:c r="E1755" s="35" t="str">
        <x:v>BC Diagnostic</x:v>
      </x:c>
      <x:c r="F1755" s="35" t="str">
        <x:v>Vision-only BC (task-specific)</x:v>
      </x:c>
      <x:c r="G1755" s="35" t="n">
        <x:v>2</x:v>
      </x:c>
      <x:c r="H1755" s="35" t="str">
        <x:v>Relational Placement</x:v>
      </x:c>
      <x:c r="I1755" s="35" t="str">
        <x:v>Vision-only counterfactual A</x:v>
      </x:c>
      <x:c r="J1755" s="35" t="str">
        <x:v>BC-RP-10A</x:v>
      </x:c>
      <x:c r="K1755" s="35" t="str">
        <x:v>BC-RP-10</x:v>
      </x:c>
      <x:c r="L1755" s="31" t="str">
        <x:v>[NO LANGUAGE CHANNEL / INPUT]</x:v>
      </x:c>
      <x:c r="M1755" s="31" t="str">
        <x:v>Place the red block to the right of the green pen.</x:v>
      </x:c>
      <x:c r="N1755" s="31" t="str">
        <x:v>R-CF30-HELD: green pen at front-right [REFERENCE]; red block starts 24 cm to the left of the reference [TARGET START]; blue block and pink marker are distractors outside the commanded goal sector.</x:v>
      </x:c>
      <x:c r="O1755" s="31" t="str">
        <x:v>red block → to the right of green pen</x:v>
      </x:c>
      <x:c r="P1755" s="31" t="str"/>
      <x:c r="Q1755" s="31" t="str"/>
      <x:c r="R1755" s="31" t="str"/>
      <x:c r="S1755" s="31" t="str">
        <x:f>IF('Blind Scoring'!I1755="","",'Blind Scoring'!I1755)</x:f>
      </x:c>
      <x:c r="T1755" s="31" t="str">
        <x:f>'Blind Scoring'!J1755</x:f>
        <x:v>No</x:v>
      </x:c>
      <x:c r="U1755" s="31" t="str">
        <x:f>IF('Blind Scoring'!L1755="","",'Blind Scoring'!L1755)</x:f>
      </x:c>
    </x:row>
    <x:row r="1756" ht="44" customHeight="1">
      <x:c r="A1756" s="35" t="str">
        <x:v>Not Started</x:v>
      </x:c>
      <x:c r="B1756" s="35" t="n">
        <x:v>1754</x:v>
      </x:c>
      <x:c r="C1756" s="35" t="str">
        <x:v>B32</x:v>
      </x:c>
      <x:c r="D1756" s="35" t="n">
        <x:v>1</x:v>
      </x:c>
      <x:c r="E1756" s="35" t="str">
        <x:v>BC Diagnostic</x:v>
      </x:c>
      <x:c r="F1756" s="35" t="str">
        <x:v>Vision-only BC (task-specific)</x:v>
      </x:c>
      <x:c r="G1756" s="35" t="n">
        <x:v>2</x:v>
      </x:c>
      <x:c r="H1756" s="35" t="str">
        <x:v>Counting</x:v>
      </x:c>
      <x:c r="I1756" s="35" t="str">
        <x:v>Vision-only counterfactual A</x:v>
      </x:c>
      <x:c r="J1756" s="35" t="str">
        <x:v>BC-CT-08A</x:v>
      </x:c>
      <x:c r="K1756" s="35" t="str">
        <x:v>BC-CT-08</x:v>
      </x:c>
      <x:c r="L1756" s="31" t="str">
        <x:v>[NO LANGUAGE CHANNEL / INPUT]</x:v>
      </x:c>
      <x:c r="M1756" s="31" t="str">
        <x:v>Leave exactly one object in the bowl.</x:v>
      </x:c>
      <x:c r="N1756" s="31" t="str">
        <x:v>C-CF08A: bowl=[airplane toy without propellers, blue pen] (2); table=[yellow block, green pencil sharpener]; robot home; acceptable action=remove either bowl object.</x:v>
      </x:c>
      <x:c r="O1756" s="31" t="str">
        <x:v>REMOVE one bowl object</x:v>
      </x:c>
      <x:c r="P1756" s="31" t="str"/>
      <x:c r="Q1756" s="31" t="str"/>
      <x:c r="R1756" s="31" t="str"/>
      <x:c r="S1756" s="31" t="str">
        <x:f>IF('Blind Scoring'!I1756="","",'Blind Scoring'!I1756)</x:f>
      </x:c>
      <x:c r="T1756" s="31" t="str">
        <x:f>'Blind Scoring'!J1756</x:f>
        <x:v>No</x:v>
      </x:c>
      <x:c r="U1756" s="31" t="str">
        <x:f>IF('Blind Scoring'!L1756="","",'Blind Scoring'!L1756)</x:f>
      </x:c>
    </x:row>
    <x:row r="1757" ht="44" customHeight="1">
      <x:c r="A1757" s="35" t="str">
        <x:v>Not Started</x:v>
      </x:c>
      <x:c r="B1757" s="35" t="n">
        <x:v>1755</x:v>
      </x:c>
      <x:c r="C1757" s="35" t="str">
        <x:v>B32</x:v>
      </x:c>
      <x:c r="D1757" s="35" t="n">
        <x:v>2</x:v>
      </x:c>
      <x:c r="E1757" s="35" t="str">
        <x:v>BC Diagnostic</x:v>
      </x:c>
      <x:c r="F1757" s="35" t="str">
        <x:v>Vision-only BC (task-specific)</x:v>
      </x:c>
      <x:c r="G1757" s="35" t="n">
        <x:v>2</x:v>
      </x:c>
      <x:c r="H1757" s="35" t="str">
        <x:v>Counting</x:v>
      </x:c>
      <x:c r="I1757" s="35" t="str">
        <x:v>Vision-only counterfactual B</x:v>
      </x:c>
      <x:c r="J1757" s="35" t="str">
        <x:v>BC-CT-05B</x:v>
      </x:c>
      <x:c r="K1757" s="35" t="str">
        <x:v>BC-CT-05</x:v>
      </x:c>
      <x:c r="L1757" s="31" t="str">
        <x:v>[NO LANGUAGE CHANNEL / INPUT]</x:v>
      </x:c>
      <x:c r="M1757" s="31" t="str">
        <x:v>Leave exactly three objects in the bowl.</x:v>
      </x:c>
      <x:c r="N1757" s="31" t="str">
        <x:v>C-CF05B: bowl=[blue pen, yellow block] (2); table=[green pencil sharpener, airplane toy without propellers]; robot home; acceptable action=add either table object.</x:v>
      </x:c>
      <x:c r="O1757" s="31" t="str">
        <x:v>ADD one table object</x:v>
      </x:c>
      <x:c r="P1757" s="31" t="str"/>
      <x:c r="Q1757" s="31" t="str"/>
      <x:c r="R1757" s="31" t="str"/>
      <x:c r="S1757" s="31" t="str">
        <x:f>IF('Blind Scoring'!I1757="","",'Blind Scoring'!I1757)</x:f>
      </x:c>
      <x:c r="T1757" s="31" t="str">
        <x:f>'Blind Scoring'!J1757</x:f>
        <x:v>No</x:v>
      </x:c>
      <x:c r="U1757" s="31" t="str">
        <x:f>IF('Blind Scoring'!L1757="","",'Blind Scoring'!L1757)</x:f>
      </x:c>
    </x:row>
    <x:row r="1758" ht="44" customHeight="1">
      <x:c r="A1758" s="35" t="str">
        <x:v>Not Started</x:v>
      </x:c>
      <x:c r="B1758" s="35" t="n">
        <x:v>1756</x:v>
      </x:c>
      <x:c r="C1758" s="35" t="str">
        <x:v>B32</x:v>
      </x:c>
      <x:c r="D1758" s="35" t="n">
        <x:v>3</x:v>
      </x:c>
      <x:c r="E1758" s="35" t="str">
        <x:v>BC Diagnostic</x:v>
      </x:c>
      <x:c r="F1758" s="35" t="str">
        <x:v>Vision-only BC (task-specific)</x:v>
      </x:c>
      <x:c r="G1758" s="35" t="n">
        <x:v>2</x:v>
      </x:c>
      <x:c r="H1758" s="35" t="str">
        <x:v>Counting</x:v>
      </x:c>
      <x:c r="I1758" s="35" t="str">
        <x:v>Vision-only counterfactual A</x:v>
      </x:c>
      <x:c r="J1758" s="35" t="str">
        <x:v>BC-CT-05A</x:v>
      </x:c>
      <x:c r="K1758" s="35" t="str">
        <x:v>BC-CT-05</x:v>
      </x:c>
      <x:c r="L1758" s="31" t="str">
        <x:v>[NO LANGUAGE CHANNEL / INPUT]</x:v>
      </x:c>
      <x:c r="M1758" s="31" t="str">
        <x:v>Leave exactly one object in the bowl.</x:v>
      </x:c>
      <x:c r="N1758" s="31" t="str">
        <x:v>C-CF05A: bowl=[blue pen, yellow block] (2); table=[green pencil sharpener, airplane toy without propellers]; robot home; acceptable action=remove either bowl object.</x:v>
      </x:c>
      <x:c r="O1758" s="31" t="str">
        <x:v>REMOVE one bowl object</x:v>
      </x:c>
      <x:c r="P1758" s="31" t="str"/>
      <x:c r="Q1758" s="31" t="str"/>
      <x:c r="R1758" s="31" t="str"/>
      <x:c r="S1758" s="31" t="str">
        <x:f>IF('Blind Scoring'!I1758="","",'Blind Scoring'!I1758)</x:f>
      </x:c>
      <x:c r="T1758" s="31" t="str">
        <x:f>'Blind Scoring'!J1758</x:f>
        <x:v>No</x:v>
      </x:c>
      <x:c r="U1758" s="31" t="str">
        <x:f>IF('Blind Scoring'!L1758="","",'Blind Scoring'!L1758)</x:f>
      </x:c>
    </x:row>
    <x:row r="1759" ht="44" customHeight="1">
      <x:c r="A1759" s="35" t="str">
        <x:v>Not Started</x:v>
      </x:c>
      <x:c r="B1759" s="35" t="n">
        <x:v>1757</x:v>
      </x:c>
      <x:c r="C1759" s="35" t="str">
        <x:v>B32</x:v>
      </x:c>
      <x:c r="D1759" s="35" t="n">
        <x:v>4</x:v>
      </x:c>
      <x:c r="E1759" s="35" t="str">
        <x:v>BC Diagnostic</x:v>
      </x:c>
      <x:c r="F1759" s="35" t="str">
        <x:v>Vision-only BC (task-specific)</x:v>
      </x:c>
      <x:c r="G1759" s="35" t="n">
        <x:v>2</x:v>
      </x:c>
      <x:c r="H1759" s="35" t="str">
        <x:v>Counting</x:v>
      </x:c>
      <x:c r="I1759" s="35" t="str">
        <x:v>Vision-only counterfactual B</x:v>
      </x:c>
      <x:c r="J1759" s="35" t="str">
        <x:v>BC-CT-04B</x:v>
      </x:c>
      <x:c r="K1759" s="35" t="str">
        <x:v>BC-CT-04</x:v>
      </x:c>
      <x:c r="L1759" s="31" t="str">
        <x:v>[NO LANGUAGE CHANNEL / INPUT]</x:v>
      </x:c>
      <x:c r="M1759" s="31" t="str">
        <x:v>Leave exactly three objects in the bowl.</x:v>
      </x:c>
      <x:c r="N1759" s="31" t="str">
        <x:v>C-CF04B: bowl=[airplane toy without propellers, blue pen] (2); table=[yellow block, green pencil sharpener]; robot home; acceptable action=add either table object.</x:v>
      </x:c>
      <x:c r="O1759" s="31" t="str">
        <x:v>ADD one table object</x:v>
      </x:c>
      <x:c r="P1759" s="31" t="str"/>
      <x:c r="Q1759" s="31" t="str"/>
      <x:c r="R1759" s="31" t="str"/>
      <x:c r="S1759" s="31" t="str">
        <x:f>IF('Blind Scoring'!I1759="","",'Blind Scoring'!I1759)</x:f>
      </x:c>
      <x:c r="T1759" s="31" t="str">
        <x:f>'Blind Scoring'!J1759</x:f>
        <x:v>No</x:v>
      </x:c>
      <x:c r="U1759" s="31" t="str">
        <x:f>IF('Blind Scoring'!L1759="","",'Blind Scoring'!L1759)</x:f>
      </x:c>
    </x:row>
    <x:row r="1760" ht="44" customHeight="1">
      <x:c r="A1760" s="35" t="str">
        <x:v>Not Started</x:v>
      </x:c>
      <x:c r="B1760" s="35" t="n">
        <x:v>1758</x:v>
      </x:c>
      <x:c r="C1760" s="35" t="str">
        <x:v>B32</x:v>
      </x:c>
      <x:c r="D1760" s="35" t="n">
        <x:v>5</x:v>
      </x:c>
      <x:c r="E1760" s="35" t="str">
        <x:v>BC Diagnostic</x:v>
      </x:c>
      <x:c r="F1760" s="35" t="str">
        <x:v>Vision-only BC (task-specific)</x:v>
      </x:c>
      <x:c r="G1760" s="35" t="n">
        <x:v>2</x:v>
      </x:c>
      <x:c r="H1760" s="35" t="str">
        <x:v>Counting</x:v>
      </x:c>
      <x:c r="I1760" s="35" t="str">
        <x:v>Vision-only counterfactual B</x:v>
      </x:c>
      <x:c r="J1760" s="35" t="str">
        <x:v>BC-CT-08B</x:v>
      </x:c>
      <x:c r="K1760" s="35" t="str">
        <x:v>BC-CT-08</x:v>
      </x:c>
      <x:c r="L1760" s="31" t="str">
        <x:v>[NO LANGUAGE CHANNEL / INPUT]</x:v>
      </x:c>
      <x:c r="M1760" s="31" t="str">
        <x:v>Leave exactly three objects in the bowl.</x:v>
      </x:c>
      <x:c r="N1760" s="31" t="str">
        <x:v>C-CF08B: bowl=[airplane toy without propellers, blue pen] (2); table=[yellow block, green pencil sharpener]; robot home; acceptable action=add either table object.</x:v>
      </x:c>
      <x:c r="O1760" s="31" t="str">
        <x:v>ADD one table object</x:v>
      </x:c>
      <x:c r="P1760" s="31" t="str"/>
      <x:c r="Q1760" s="31" t="str"/>
      <x:c r="R1760" s="31" t="str"/>
      <x:c r="S1760" s="31" t="str">
        <x:f>IF('Blind Scoring'!I1760="","",'Blind Scoring'!I1760)</x:f>
      </x:c>
      <x:c r="T1760" s="31" t="str">
        <x:f>'Blind Scoring'!J1760</x:f>
        <x:v>No</x:v>
      </x:c>
      <x:c r="U1760" s="31" t="str">
        <x:f>IF('Blind Scoring'!L1760="","",'Blind Scoring'!L1760)</x:f>
      </x:c>
    </x:row>
    <x:row r="1761" ht="44" customHeight="1">
      <x:c r="A1761" s="35" t="str">
        <x:v>Not Started</x:v>
      </x:c>
      <x:c r="B1761" s="35" t="n">
        <x:v>1759</x:v>
      </x:c>
      <x:c r="C1761" s="35" t="str">
        <x:v>B32</x:v>
      </x:c>
      <x:c r="D1761" s="35" t="n">
        <x:v>6</x:v>
      </x:c>
      <x:c r="E1761" s="35" t="str">
        <x:v>BC Diagnostic</x:v>
      </x:c>
      <x:c r="F1761" s="35" t="str">
        <x:v>Vision-only BC (task-specific)</x:v>
      </x:c>
      <x:c r="G1761" s="35" t="n">
        <x:v>2</x:v>
      </x:c>
      <x:c r="H1761" s="35" t="str">
        <x:v>Counting</x:v>
      </x:c>
      <x:c r="I1761" s="35" t="str">
        <x:v>Vision-only counterfactual A</x:v>
      </x:c>
      <x:c r="J1761" s="35" t="str">
        <x:v>BC-CT-07A</x:v>
      </x:c>
      <x:c r="K1761" s="35" t="str">
        <x:v>BC-CT-07</x:v>
      </x:c>
      <x:c r="L1761" s="31" t="str">
        <x:v>[NO LANGUAGE CHANNEL / INPUT]</x:v>
      </x:c>
      <x:c r="M1761" s="31" t="str">
        <x:v>Leave exactly one object in the bowl.</x:v>
      </x:c>
      <x:c r="N1761" s="31" t="str">
        <x:v>C-CF07A: bowl=[green pencil sharpener, airplane toy without propellers] (2); table=[blue pen, yellow block]; robot home; acceptable action=remove either bowl object.</x:v>
      </x:c>
      <x:c r="O1761" s="31" t="str">
        <x:v>REMOVE one bowl object</x:v>
      </x:c>
      <x:c r="P1761" s="31" t="str"/>
      <x:c r="Q1761" s="31" t="str"/>
      <x:c r="R1761" s="31" t="str"/>
      <x:c r="S1761" s="31" t="str">
        <x:f>IF('Blind Scoring'!I1761="","",'Blind Scoring'!I1761)</x:f>
      </x:c>
      <x:c r="T1761" s="31" t="str">
        <x:f>'Blind Scoring'!J1761</x:f>
        <x:v>No</x:v>
      </x:c>
      <x:c r="U1761" s="31" t="str">
        <x:f>IF('Blind Scoring'!L1761="","",'Blind Scoring'!L1761)</x:f>
      </x:c>
    </x:row>
    <x:row r="1762" ht="44" customHeight="1">
      <x:c r="A1762" s="35" t="str">
        <x:v>Not Started</x:v>
      </x:c>
      <x:c r="B1762" s="35" t="n">
        <x:v>1760</x:v>
      </x:c>
      <x:c r="C1762" s="35" t="str">
        <x:v>B32</x:v>
      </x:c>
      <x:c r="D1762" s="35" t="n">
        <x:v>7</x:v>
      </x:c>
      <x:c r="E1762" s="35" t="str">
        <x:v>BC Diagnostic</x:v>
      </x:c>
      <x:c r="F1762" s="35" t="str">
        <x:v>Vision-only BC (task-specific)</x:v>
      </x:c>
      <x:c r="G1762" s="35" t="n">
        <x:v>2</x:v>
      </x:c>
      <x:c r="H1762" s="35" t="str">
        <x:v>Counting</x:v>
      </x:c>
      <x:c r="I1762" s="35" t="str">
        <x:v>Vision-only counterfactual A</x:v>
      </x:c>
      <x:c r="J1762" s="35" t="str">
        <x:v>BC-CT-03A</x:v>
      </x:c>
      <x:c r="K1762" s="35" t="str">
        <x:v>BC-CT-03</x:v>
      </x:c>
      <x:c r="L1762" s="31" t="str">
        <x:v>[NO LANGUAGE CHANNEL / INPUT]</x:v>
      </x:c>
      <x:c r="M1762" s="31" t="str">
        <x:v>Leave exactly one object in the bowl.</x:v>
      </x:c>
      <x:c r="N1762" s="31" t="str">
        <x:v>C-CF03A: bowl=[green pencil sharpener, airplane toy without propellers] (2); table=[blue pen, yellow block]; robot home; acceptable action=remove either bowl object.</x:v>
      </x:c>
      <x:c r="O1762" s="31" t="str">
        <x:v>REMOVE one bowl object</x:v>
      </x:c>
      <x:c r="P1762" s="31" t="str"/>
      <x:c r="Q1762" s="31" t="str"/>
      <x:c r="R1762" s="31" t="str"/>
      <x:c r="S1762" s="31" t="str">
        <x:f>IF('Blind Scoring'!I1762="","",'Blind Scoring'!I1762)</x:f>
      </x:c>
      <x:c r="T1762" s="31" t="str">
        <x:f>'Blind Scoring'!J1762</x:f>
        <x:v>No</x:v>
      </x:c>
      <x:c r="U1762" s="31" t="str">
        <x:f>IF('Blind Scoring'!L1762="","",'Blind Scoring'!L1762)</x:f>
      </x:c>
    </x:row>
    <x:row r="1763" ht="44" customHeight="1">
      <x:c r="A1763" s="35" t="str">
        <x:v>Not Started</x:v>
      </x:c>
      <x:c r="B1763" s="35" t="n">
        <x:v>1761</x:v>
      </x:c>
      <x:c r="C1763" s="35" t="str">
        <x:v>B32</x:v>
      </x:c>
      <x:c r="D1763" s="35" t="n">
        <x:v>8</x:v>
      </x:c>
      <x:c r="E1763" s="35" t="str">
        <x:v>BC Diagnostic</x:v>
      </x:c>
      <x:c r="F1763" s="35" t="str">
        <x:v>Vision-only BC (task-specific)</x:v>
      </x:c>
      <x:c r="G1763" s="35" t="n">
        <x:v>2</x:v>
      </x:c>
      <x:c r="H1763" s="35" t="str">
        <x:v>Counting</x:v>
      </x:c>
      <x:c r="I1763" s="35" t="str">
        <x:v>Vision-only counterfactual B</x:v>
      </x:c>
      <x:c r="J1763" s="35" t="str">
        <x:v>BC-CT-10B</x:v>
      </x:c>
      <x:c r="K1763" s="35" t="str">
        <x:v>BC-CT-10</x:v>
      </x:c>
      <x:c r="L1763" s="31" t="str">
        <x:v>[NO LANGUAGE CHANNEL / INPUT]</x:v>
      </x:c>
      <x:c r="M1763" s="31" t="str">
        <x:v>Leave exactly three objects in the bowl.</x:v>
      </x:c>
      <x:c r="N1763" s="31" t="str">
        <x:v>C-CF10B: bowl=[yellow block, green pencil sharpener] (2); table=[airplane toy without propellers, blue pen]; robot home; acceptable action=add either table object.</x:v>
      </x:c>
      <x:c r="O1763" s="31" t="str">
        <x:v>ADD one table object</x:v>
      </x:c>
      <x:c r="P1763" s="31" t="str"/>
      <x:c r="Q1763" s="31" t="str"/>
      <x:c r="R1763" s="31" t="str"/>
      <x:c r="S1763" s="31" t="str">
        <x:f>IF('Blind Scoring'!I1763="","",'Blind Scoring'!I1763)</x:f>
      </x:c>
      <x:c r="T1763" s="31" t="str">
        <x:f>'Blind Scoring'!J1763</x:f>
        <x:v>No</x:v>
      </x:c>
      <x:c r="U1763" s="31" t="str">
        <x:f>IF('Blind Scoring'!L1763="","",'Blind Scoring'!L1763)</x:f>
      </x:c>
    </x:row>
    <x:row r="1764" ht="44" customHeight="1">
      <x:c r="A1764" s="35" t="str">
        <x:v>Not Started</x:v>
      </x:c>
      <x:c r="B1764" s="35" t="n">
        <x:v>1762</x:v>
      </x:c>
      <x:c r="C1764" s="35" t="str">
        <x:v>B32</x:v>
      </x:c>
      <x:c r="D1764" s="35" t="n">
        <x:v>9</x:v>
      </x:c>
      <x:c r="E1764" s="35" t="str">
        <x:v>BC Diagnostic</x:v>
      </x:c>
      <x:c r="F1764" s="35" t="str">
        <x:v>Vision-only BC (task-specific)</x:v>
      </x:c>
      <x:c r="G1764" s="35" t="n">
        <x:v>2</x:v>
      </x:c>
      <x:c r="H1764" s="35" t="str">
        <x:v>Counting</x:v>
      </x:c>
      <x:c r="I1764" s="35" t="str">
        <x:v>Vision-only counterfactual B</x:v>
      </x:c>
      <x:c r="J1764" s="35" t="str">
        <x:v>BC-CT-02B</x:v>
      </x:c>
      <x:c r="K1764" s="35" t="str">
        <x:v>BC-CT-02</x:v>
      </x:c>
      <x:c r="L1764" s="31" t="str">
        <x:v>[NO LANGUAGE CHANNEL / INPUT]</x:v>
      </x:c>
      <x:c r="M1764" s="31" t="str">
        <x:v>Leave exactly three objects in the bowl.</x:v>
      </x:c>
      <x:c r="N1764" s="31" t="str">
        <x:v>C-CF02B: bowl=[yellow block, green pencil sharpener] (2); table=[airplane toy without propellers, blue pen]; robot home; acceptable action=add either table object.</x:v>
      </x:c>
      <x:c r="O1764" s="31" t="str">
        <x:v>ADD one table object</x:v>
      </x:c>
      <x:c r="P1764" s="31" t="str"/>
      <x:c r="Q1764" s="31" t="str"/>
      <x:c r="R1764" s="31" t="str"/>
      <x:c r="S1764" s="31" t="str">
        <x:f>IF('Blind Scoring'!I1764="","",'Blind Scoring'!I1764)</x:f>
      </x:c>
      <x:c r="T1764" s="31" t="str">
        <x:f>'Blind Scoring'!J1764</x:f>
        <x:v>No</x:v>
      </x:c>
      <x:c r="U1764" s="31" t="str">
        <x:f>IF('Blind Scoring'!L1764="","",'Blind Scoring'!L1764)</x:f>
      </x:c>
    </x:row>
    <x:row r="1765" ht="44" customHeight="1">
      <x:c r="A1765" s="35" t="str">
        <x:v>Not Started</x:v>
      </x:c>
      <x:c r="B1765" s="35" t="n">
        <x:v>1763</x:v>
      </x:c>
      <x:c r="C1765" s="35" t="str">
        <x:v>B32</x:v>
      </x:c>
      <x:c r="D1765" s="35" t="n">
        <x:v>10</x:v>
      </x:c>
      <x:c r="E1765" s="35" t="str">
        <x:v>BC Diagnostic</x:v>
      </x:c>
      <x:c r="F1765" s="35" t="str">
        <x:v>Vision-only BC (task-specific)</x:v>
      </x:c>
      <x:c r="G1765" s="35" t="n">
        <x:v>2</x:v>
      </x:c>
      <x:c r="H1765" s="35" t="str">
        <x:v>Counting</x:v>
      </x:c>
      <x:c r="I1765" s="35" t="str">
        <x:v>Vision-only counterfactual A</x:v>
      </x:c>
      <x:c r="J1765" s="35" t="str">
        <x:v>BC-CT-06A</x:v>
      </x:c>
      <x:c r="K1765" s="35" t="str">
        <x:v>BC-CT-06</x:v>
      </x:c>
      <x:c r="L1765" s="31" t="str">
        <x:v>[NO LANGUAGE CHANNEL / INPUT]</x:v>
      </x:c>
      <x:c r="M1765" s="31" t="str">
        <x:v>Leave exactly one object in the bowl.</x:v>
      </x:c>
      <x:c r="N1765" s="31" t="str">
        <x:v>C-CF06A: bowl=[yellow block, green pencil sharpener] (2); table=[airplane toy without propellers, blue pen]; robot home; acceptable action=remove either bowl object.</x:v>
      </x:c>
      <x:c r="O1765" s="31" t="str">
        <x:v>REMOVE one bowl object</x:v>
      </x:c>
      <x:c r="P1765" s="31" t="str"/>
      <x:c r="Q1765" s="31" t="str"/>
      <x:c r="R1765" s="31" t="str"/>
      <x:c r="S1765" s="31" t="str">
        <x:f>IF('Blind Scoring'!I1765="","",'Blind Scoring'!I1765)</x:f>
      </x:c>
      <x:c r="T1765" s="31" t="str">
        <x:f>'Blind Scoring'!J1765</x:f>
        <x:v>No</x:v>
      </x:c>
      <x:c r="U1765" s="31" t="str">
        <x:f>IF('Blind Scoring'!L1765="","",'Blind Scoring'!L1765)</x:f>
      </x:c>
    </x:row>
    <x:row r="1766" ht="44" customHeight="1">
      <x:c r="A1766" s="35" t="str">
        <x:v>Not Started</x:v>
      </x:c>
      <x:c r="B1766" s="35" t="n">
        <x:v>1764</x:v>
      </x:c>
      <x:c r="C1766" s="35" t="str">
        <x:v>B32</x:v>
      </x:c>
      <x:c r="D1766" s="35" t="n">
        <x:v>11</x:v>
      </x:c>
      <x:c r="E1766" s="35" t="str">
        <x:v>BC Diagnostic</x:v>
      </x:c>
      <x:c r="F1766" s="35" t="str">
        <x:v>Vision-only BC (task-specific)</x:v>
      </x:c>
      <x:c r="G1766" s="35" t="n">
        <x:v>2</x:v>
      </x:c>
      <x:c r="H1766" s="35" t="str">
        <x:v>Counting</x:v>
      </x:c>
      <x:c r="I1766" s="35" t="str">
        <x:v>Vision-only counterfactual A</x:v>
      </x:c>
      <x:c r="J1766" s="35" t="str">
        <x:v>BC-CT-10A</x:v>
      </x:c>
      <x:c r="K1766" s="35" t="str">
        <x:v>BC-CT-10</x:v>
      </x:c>
      <x:c r="L1766" s="31" t="str">
        <x:v>[NO LANGUAGE CHANNEL / INPUT]</x:v>
      </x:c>
      <x:c r="M1766" s="31" t="str">
        <x:v>Leave exactly one object in the bowl.</x:v>
      </x:c>
      <x:c r="N1766" s="31" t="str">
        <x:v>C-CF10A: bowl=[yellow block, green pencil sharpener] (2); table=[airplane toy without propellers, blue pen]; robot home; acceptable action=remove either bowl object.</x:v>
      </x:c>
      <x:c r="O1766" s="31" t="str">
        <x:v>REMOVE one bowl object</x:v>
      </x:c>
      <x:c r="P1766" s="31" t="str"/>
      <x:c r="Q1766" s="31" t="str"/>
      <x:c r="R1766" s="31" t="str"/>
      <x:c r="S1766" s="31" t="str">
        <x:f>IF('Blind Scoring'!I1766="","",'Blind Scoring'!I1766)</x:f>
      </x:c>
      <x:c r="T1766" s="31" t="str">
        <x:f>'Blind Scoring'!J1766</x:f>
        <x:v>No</x:v>
      </x:c>
      <x:c r="U1766" s="31" t="str">
        <x:f>IF('Blind Scoring'!L1766="","",'Blind Scoring'!L1766)</x:f>
      </x:c>
    </x:row>
    <x:row r="1767" ht="44" customHeight="1">
      <x:c r="A1767" s="35" t="str">
        <x:v>Not Started</x:v>
      </x:c>
      <x:c r="B1767" s="35" t="n">
        <x:v>1765</x:v>
      </x:c>
      <x:c r="C1767" s="35" t="str">
        <x:v>B32</x:v>
      </x:c>
      <x:c r="D1767" s="35" t="n">
        <x:v>12</x:v>
      </x:c>
      <x:c r="E1767" s="35" t="str">
        <x:v>BC Diagnostic</x:v>
      </x:c>
      <x:c r="F1767" s="35" t="str">
        <x:v>Vision-only BC (task-specific)</x:v>
      </x:c>
      <x:c r="G1767" s="35" t="n">
        <x:v>2</x:v>
      </x:c>
      <x:c r="H1767" s="35" t="str">
        <x:v>Counting</x:v>
      </x:c>
      <x:c r="I1767" s="35" t="str">
        <x:v>Vision-only counterfactual A</x:v>
      </x:c>
      <x:c r="J1767" s="35" t="str">
        <x:v>BC-CT-02A</x:v>
      </x:c>
      <x:c r="K1767" s="35" t="str">
        <x:v>BC-CT-02</x:v>
      </x:c>
      <x:c r="L1767" s="31" t="str">
        <x:v>[NO LANGUAGE CHANNEL / INPUT]</x:v>
      </x:c>
      <x:c r="M1767" s="31" t="str">
        <x:v>Leave exactly one object in the bowl.</x:v>
      </x:c>
      <x:c r="N1767" s="31" t="str">
        <x:v>C-CF02A: bowl=[yellow block, green pencil sharpener] (2); table=[airplane toy without propellers, blue pen]; robot home; acceptable action=remove either bowl object.</x:v>
      </x:c>
      <x:c r="O1767" s="31" t="str">
        <x:v>REMOVE one bowl object</x:v>
      </x:c>
      <x:c r="P1767" s="31" t="str"/>
      <x:c r="Q1767" s="31" t="str"/>
      <x:c r="R1767" s="31" t="str"/>
      <x:c r="S1767" s="31" t="str">
        <x:f>IF('Blind Scoring'!I1767="","",'Blind Scoring'!I1767)</x:f>
      </x:c>
      <x:c r="T1767" s="31" t="str">
        <x:f>'Blind Scoring'!J1767</x:f>
        <x:v>No</x:v>
      </x:c>
      <x:c r="U1767" s="31" t="str">
        <x:f>IF('Blind Scoring'!L1767="","",'Blind Scoring'!L1767)</x:f>
      </x:c>
    </x:row>
    <x:row r="1768" ht="44" customHeight="1">
      <x:c r="A1768" s="35" t="str">
        <x:v>Not Started</x:v>
      </x:c>
      <x:c r="B1768" s="35" t="n">
        <x:v>1766</x:v>
      </x:c>
      <x:c r="C1768" s="35" t="str">
        <x:v>B32</x:v>
      </x:c>
      <x:c r="D1768" s="35" t="n">
        <x:v>13</x:v>
      </x:c>
      <x:c r="E1768" s="35" t="str">
        <x:v>BC Diagnostic</x:v>
      </x:c>
      <x:c r="F1768" s="35" t="str">
        <x:v>Vision-only BC (task-specific)</x:v>
      </x:c>
      <x:c r="G1768" s="35" t="n">
        <x:v>2</x:v>
      </x:c>
      <x:c r="H1768" s="35" t="str">
        <x:v>Counting</x:v>
      </x:c>
      <x:c r="I1768" s="35" t="str">
        <x:v>Vision-only counterfactual A</x:v>
      </x:c>
      <x:c r="J1768" s="35" t="str">
        <x:v>BC-CT-04A</x:v>
      </x:c>
      <x:c r="K1768" s="35" t="str">
        <x:v>BC-CT-04</x:v>
      </x:c>
      <x:c r="L1768" s="31" t="str">
        <x:v>[NO LANGUAGE CHANNEL / INPUT]</x:v>
      </x:c>
      <x:c r="M1768" s="31" t="str">
        <x:v>Leave exactly one object in the bowl.</x:v>
      </x:c>
      <x:c r="N1768" s="31" t="str">
        <x:v>C-CF04A: bowl=[airplane toy without propellers, blue pen] (2); table=[yellow block, green pencil sharpener]; robot home; acceptable action=remove either bowl object.</x:v>
      </x:c>
      <x:c r="O1768" s="31" t="str">
        <x:v>REMOVE one bowl object</x:v>
      </x:c>
      <x:c r="P1768" s="31" t="str"/>
      <x:c r="Q1768" s="31" t="str"/>
      <x:c r="R1768" s="31" t="str"/>
      <x:c r="S1768" s="31" t="str">
        <x:f>IF('Blind Scoring'!I1768="","",'Blind Scoring'!I1768)</x:f>
      </x:c>
      <x:c r="T1768" s="31" t="str">
        <x:f>'Blind Scoring'!J1768</x:f>
        <x:v>No</x:v>
      </x:c>
      <x:c r="U1768" s="31" t="str">
        <x:f>IF('Blind Scoring'!L1768="","",'Blind Scoring'!L1768)</x:f>
      </x:c>
    </x:row>
    <x:row r="1769" ht="44" customHeight="1">
      <x:c r="A1769" s="35" t="str">
        <x:v>Not Started</x:v>
      </x:c>
      <x:c r="B1769" s="35" t="n">
        <x:v>1767</x:v>
      </x:c>
      <x:c r="C1769" s="35" t="str">
        <x:v>B32</x:v>
      </x:c>
      <x:c r="D1769" s="35" t="n">
        <x:v>14</x:v>
      </x:c>
      <x:c r="E1769" s="35" t="str">
        <x:v>BC Diagnostic</x:v>
      </x:c>
      <x:c r="F1769" s="35" t="str">
        <x:v>Vision-only BC (task-specific)</x:v>
      </x:c>
      <x:c r="G1769" s="35" t="n">
        <x:v>2</x:v>
      </x:c>
      <x:c r="H1769" s="35" t="str">
        <x:v>Counting</x:v>
      </x:c>
      <x:c r="I1769" s="35" t="str">
        <x:v>Vision-only counterfactual A</x:v>
      </x:c>
      <x:c r="J1769" s="35" t="str">
        <x:v>BC-CT-09A</x:v>
      </x:c>
      <x:c r="K1769" s="35" t="str">
        <x:v>BC-CT-09</x:v>
      </x:c>
      <x:c r="L1769" s="31" t="str">
        <x:v>[NO LANGUAGE CHANNEL / INPUT]</x:v>
      </x:c>
      <x:c r="M1769" s="31" t="str">
        <x:v>Leave exactly one object in the bowl.</x:v>
      </x:c>
      <x:c r="N1769" s="31" t="str">
        <x:v>C-CF09A: bowl=[blue pen, yellow block] (2); table=[green pencil sharpener, airplane toy without propellers]; robot home; acceptable action=remove either bowl object.</x:v>
      </x:c>
      <x:c r="O1769" s="31" t="str">
        <x:v>REMOVE one bowl object</x:v>
      </x:c>
      <x:c r="P1769" s="31" t="str"/>
      <x:c r="Q1769" s="31" t="str"/>
      <x:c r="R1769" s="31" t="str"/>
      <x:c r="S1769" s="31" t="str">
        <x:f>IF('Blind Scoring'!I1769="","",'Blind Scoring'!I1769)</x:f>
      </x:c>
      <x:c r="T1769" s="31" t="str">
        <x:f>'Blind Scoring'!J1769</x:f>
        <x:v>No</x:v>
      </x:c>
      <x:c r="U1769" s="31" t="str">
        <x:f>IF('Blind Scoring'!L1769="","",'Blind Scoring'!L1769)</x:f>
      </x:c>
    </x:row>
    <x:row r="1770" ht="44" customHeight="1">
      <x:c r="A1770" s="35" t="str">
        <x:v>Not Started</x:v>
      </x:c>
      <x:c r="B1770" s="35" t="n">
        <x:v>1768</x:v>
      </x:c>
      <x:c r="C1770" s="35" t="str">
        <x:v>B32</x:v>
      </x:c>
      <x:c r="D1770" s="35" t="n">
        <x:v>15</x:v>
      </x:c>
      <x:c r="E1770" s="35" t="str">
        <x:v>BC Diagnostic</x:v>
      </x:c>
      <x:c r="F1770" s="35" t="str">
        <x:v>Vision-only BC (task-specific)</x:v>
      </x:c>
      <x:c r="G1770" s="35" t="n">
        <x:v>2</x:v>
      </x:c>
      <x:c r="H1770" s="35" t="str">
        <x:v>Counting</x:v>
      </x:c>
      <x:c r="I1770" s="35" t="str">
        <x:v>Vision-only counterfactual A</x:v>
      </x:c>
      <x:c r="J1770" s="35" t="str">
        <x:v>BC-CT-01A</x:v>
      </x:c>
      <x:c r="K1770" s="35" t="str">
        <x:v>BC-CT-01</x:v>
      </x:c>
      <x:c r="L1770" s="31" t="str">
        <x:v>[NO LANGUAGE CHANNEL / INPUT]</x:v>
      </x:c>
      <x:c r="M1770" s="31" t="str">
        <x:v>Leave exactly one object in the bowl.</x:v>
      </x:c>
      <x:c r="N1770" s="31" t="str">
        <x:v>C-CF01A: bowl=[blue pen, yellow block] (2); table=[green pencil sharpener, airplane toy without propellers]; robot home; acceptable action=remove either bowl object.</x:v>
      </x:c>
      <x:c r="O1770" s="31" t="str">
        <x:v>REMOVE one bowl object</x:v>
      </x:c>
      <x:c r="P1770" s="31" t="str"/>
      <x:c r="Q1770" s="31" t="str"/>
      <x:c r="R1770" s="31" t="str"/>
      <x:c r="S1770" s="31" t="str">
        <x:f>IF('Blind Scoring'!I1770="","",'Blind Scoring'!I1770)</x:f>
      </x:c>
      <x:c r="T1770" s="31" t="str">
        <x:f>'Blind Scoring'!J1770</x:f>
        <x:v>No</x:v>
      </x:c>
      <x:c r="U1770" s="31" t="str">
        <x:f>IF('Blind Scoring'!L1770="","",'Blind Scoring'!L1770)</x:f>
      </x:c>
    </x:row>
    <x:row r="1771" ht="44" customHeight="1">
      <x:c r="A1771" s="35" t="str">
        <x:v>Not Started</x:v>
      </x:c>
      <x:c r="B1771" s="35" t="n">
        <x:v>1769</x:v>
      </x:c>
      <x:c r="C1771" s="35" t="str">
        <x:v>B32</x:v>
      </x:c>
      <x:c r="D1771" s="35" t="n">
        <x:v>16</x:v>
      </x:c>
      <x:c r="E1771" s="35" t="str">
        <x:v>BC Diagnostic</x:v>
      </x:c>
      <x:c r="F1771" s="35" t="str">
        <x:v>Vision-only BC (task-specific)</x:v>
      </x:c>
      <x:c r="G1771" s="35" t="n">
        <x:v>2</x:v>
      </x:c>
      <x:c r="H1771" s="35" t="str">
        <x:v>Counting</x:v>
      </x:c>
      <x:c r="I1771" s="35" t="str">
        <x:v>Vision-only counterfactual B</x:v>
      </x:c>
      <x:c r="J1771" s="35" t="str">
        <x:v>BC-CT-07B</x:v>
      </x:c>
      <x:c r="K1771" s="35" t="str">
        <x:v>BC-CT-07</x:v>
      </x:c>
      <x:c r="L1771" s="31" t="str">
        <x:v>[NO LANGUAGE CHANNEL / INPUT]</x:v>
      </x:c>
      <x:c r="M1771" s="31" t="str">
        <x:v>Leave exactly three objects in the bowl.</x:v>
      </x:c>
      <x:c r="N1771" s="31" t="str">
        <x:v>C-CF07B: bowl=[green pencil sharpener, airplane toy without propellers] (2); table=[blue pen, yellow block]; robot home; acceptable action=add either table object.</x:v>
      </x:c>
      <x:c r="O1771" s="31" t="str">
        <x:v>ADD one table object</x:v>
      </x:c>
      <x:c r="P1771" s="31" t="str"/>
      <x:c r="Q1771" s="31" t="str"/>
      <x:c r="R1771" s="31" t="str"/>
      <x:c r="S1771" s="31" t="str">
        <x:f>IF('Blind Scoring'!I1771="","",'Blind Scoring'!I1771)</x:f>
      </x:c>
      <x:c r="T1771" s="31" t="str">
        <x:f>'Blind Scoring'!J1771</x:f>
        <x:v>No</x:v>
      </x:c>
      <x:c r="U1771" s="31" t="str">
        <x:f>IF('Blind Scoring'!L1771="","",'Blind Scoring'!L1771)</x:f>
      </x:c>
    </x:row>
    <x:row r="1772" ht="44" customHeight="1">
      <x:c r="A1772" s="35" t="str">
        <x:v>Not Started</x:v>
      </x:c>
      <x:c r="B1772" s="35" t="n">
        <x:v>1770</x:v>
      </x:c>
      <x:c r="C1772" s="35" t="str">
        <x:v>B32</x:v>
      </x:c>
      <x:c r="D1772" s="35" t="n">
        <x:v>17</x:v>
      </x:c>
      <x:c r="E1772" s="35" t="str">
        <x:v>BC Diagnostic</x:v>
      </x:c>
      <x:c r="F1772" s="35" t="str">
        <x:v>Vision-only BC (task-specific)</x:v>
      </x:c>
      <x:c r="G1772" s="35" t="n">
        <x:v>2</x:v>
      </x:c>
      <x:c r="H1772" s="35" t="str">
        <x:v>Counting</x:v>
      </x:c>
      <x:c r="I1772" s="35" t="str">
        <x:v>Vision-only counterfactual B</x:v>
      </x:c>
      <x:c r="J1772" s="35" t="str">
        <x:v>BC-CT-01B</x:v>
      </x:c>
      <x:c r="K1772" s="35" t="str">
        <x:v>BC-CT-01</x:v>
      </x:c>
      <x:c r="L1772" s="31" t="str">
        <x:v>[NO LANGUAGE CHANNEL / INPUT]</x:v>
      </x:c>
      <x:c r="M1772" s="31" t="str">
        <x:v>Leave exactly three objects in the bowl.</x:v>
      </x:c>
      <x:c r="N1772" s="31" t="str">
        <x:v>C-CF01B: bowl=[blue pen, yellow block] (2); table=[green pencil sharpener, airplane toy without propellers]; robot home; acceptable action=add either table object.</x:v>
      </x:c>
      <x:c r="O1772" s="31" t="str">
        <x:v>ADD one table object</x:v>
      </x:c>
      <x:c r="P1772" s="31" t="str"/>
      <x:c r="Q1772" s="31" t="str"/>
      <x:c r="R1772" s="31" t="str"/>
      <x:c r="S1772" s="31" t="str">
        <x:f>IF('Blind Scoring'!I1772="","",'Blind Scoring'!I1772)</x:f>
      </x:c>
      <x:c r="T1772" s="31" t="str">
        <x:f>'Blind Scoring'!J1772</x:f>
        <x:v>No</x:v>
      </x:c>
      <x:c r="U1772" s="31" t="str">
        <x:f>IF('Blind Scoring'!L1772="","",'Blind Scoring'!L1772)</x:f>
      </x:c>
    </x:row>
    <x:row r="1773" ht="44" customHeight="1">
      <x:c r="A1773" s="35" t="str">
        <x:v>Not Started</x:v>
      </x:c>
      <x:c r="B1773" s="35" t="n">
        <x:v>1771</x:v>
      </x:c>
      <x:c r="C1773" s="35" t="str">
        <x:v>B32</x:v>
      </x:c>
      <x:c r="D1773" s="35" t="n">
        <x:v>18</x:v>
      </x:c>
      <x:c r="E1773" s="35" t="str">
        <x:v>BC Diagnostic</x:v>
      </x:c>
      <x:c r="F1773" s="35" t="str">
        <x:v>Vision-only BC (task-specific)</x:v>
      </x:c>
      <x:c r="G1773" s="35" t="n">
        <x:v>2</x:v>
      </x:c>
      <x:c r="H1773" s="35" t="str">
        <x:v>Counting</x:v>
      </x:c>
      <x:c r="I1773" s="35" t="str">
        <x:v>Vision-only counterfactual B</x:v>
      </x:c>
      <x:c r="J1773" s="35" t="str">
        <x:v>BC-CT-06B</x:v>
      </x:c>
      <x:c r="K1773" s="35" t="str">
        <x:v>BC-CT-06</x:v>
      </x:c>
      <x:c r="L1773" s="31" t="str">
        <x:v>[NO LANGUAGE CHANNEL / INPUT]</x:v>
      </x:c>
      <x:c r="M1773" s="31" t="str">
        <x:v>Leave exactly three objects in the bowl.</x:v>
      </x:c>
      <x:c r="N1773" s="31" t="str">
        <x:v>C-CF06B: bowl=[yellow block, green pencil sharpener] (2); table=[airplane toy without propellers, blue pen]; robot home; acceptable action=add either table object.</x:v>
      </x:c>
      <x:c r="O1773" s="31" t="str">
        <x:v>ADD one table object</x:v>
      </x:c>
      <x:c r="P1773" s="31" t="str"/>
      <x:c r="Q1773" s="31" t="str"/>
      <x:c r="R1773" s="31" t="str"/>
      <x:c r="S1773" s="31" t="str">
        <x:f>IF('Blind Scoring'!I1773="","",'Blind Scoring'!I1773)</x:f>
      </x:c>
      <x:c r="T1773" s="31" t="str">
        <x:f>'Blind Scoring'!J1773</x:f>
        <x:v>No</x:v>
      </x:c>
      <x:c r="U1773" s="31" t="str">
        <x:f>IF('Blind Scoring'!L1773="","",'Blind Scoring'!L1773)</x:f>
      </x:c>
    </x:row>
    <x:row r="1774" ht="44" customHeight="1">
      <x:c r="A1774" s="35" t="str">
        <x:v>Not Started</x:v>
      </x:c>
      <x:c r="B1774" s="35" t="n">
        <x:v>1772</x:v>
      </x:c>
      <x:c r="C1774" s="35" t="str">
        <x:v>B32</x:v>
      </x:c>
      <x:c r="D1774" s="35" t="n">
        <x:v>19</x:v>
      </x:c>
      <x:c r="E1774" s="35" t="str">
        <x:v>BC Diagnostic</x:v>
      </x:c>
      <x:c r="F1774" s="35" t="str">
        <x:v>Vision-only BC (task-specific)</x:v>
      </x:c>
      <x:c r="G1774" s="35" t="n">
        <x:v>2</x:v>
      </x:c>
      <x:c r="H1774" s="35" t="str">
        <x:v>Counting</x:v>
      </x:c>
      <x:c r="I1774" s="35" t="str">
        <x:v>Vision-only counterfactual B</x:v>
      </x:c>
      <x:c r="J1774" s="35" t="str">
        <x:v>BC-CT-09B</x:v>
      </x:c>
      <x:c r="K1774" s="35" t="str">
        <x:v>BC-CT-09</x:v>
      </x:c>
      <x:c r="L1774" s="31" t="str">
        <x:v>[NO LANGUAGE CHANNEL / INPUT]</x:v>
      </x:c>
      <x:c r="M1774" s="31" t="str">
        <x:v>Leave exactly three objects in the bowl.</x:v>
      </x:c>
      <x:c r="N1774" s="31" t="str">
        <x:v>C-CF09B: bowl=[blue pen, yellow block] (2); table=[green pencil sharpener, airplane toy without propellers]; robot home; acceptable action=add either table object.</x:v>
      </x:c>
      <x:c r="O1774" s="31" t="str">
        <x:v>ADD one table object</x:v>
      </x:c>
      <x:c r="P1774" s="31" t="str"/>
      <x:c r="Q1774" s="31" t="str"/>
      <x:c r="R1774" s="31" t="str"/>
      <x:c r="S1774" s="31" t="str">
        <x:f>IF('Blind Scoring'!I1774="","",'Blind Scoring'!I1774)</x:f>
      </x:c>
      <x:c r="T1774" s="31" t="str">
        <x:f>'Blind Scoring'!J1774</x:f>
        <x:v>No</x:v>
      </x:c>
      <x:c r="U1774" s="31" t="str">
        <x:f>IF('Blind Scoring'!L1774="","",'Blind Scoring'!L1774)</x:f>
      </x:c>
    </x:row>
    <x:row r="1775" ht="44" customHeight="1">
      <x:c r="A1775" s="35" t="str">
        <x:v>Not Started</x:v>
      </x:c>
      <x:c r="B1775" s="35" t="n">
        <x:v>1773</x:v>
      </x:c>
      <x:c r="C1775" s="35" t="str">
        <x:v>B32</x:v>
      </x:c>
      <x:c r="D1775" s="35" t="n">
        <x:v>20</x:v>
      </x:c>
      <x:c r="E1775" s="35" t="str">
        <x:v>BC Diagnostic</x:v>
      </x:c>
      <x:c r="F1775" s="35" t="str">
        <x:v>Vision-only BC (task-specific)</x:v>
      </x:c>
      <x:c r="G1775" s="35" t="n">
        <x:v>2</x:v>
      </x:c>
      <x:c r="H1775" s="35" t="str">
        <x:v>Counting</x:v>
      </x:c>
      <x:c r="I1775" s="35" t="str">
        <x:v>Vision-only counterfactual B</x:v>
      </x:c>
      <x:c r="J1775" s="35" t="str">
        <x:v>BC-CT-03B</x:v>
      </x:c>
      <x:c r="K1775" s="35" t="str">
        <x:v>BC-CT-03</x:v>
      </x:c>
      <x:c r="L1775" s="31" t="str">
        <x:v>[NO LANGUAGE CHANNEL / INPUT]</x:v>
      </x:c>
      <x:c r="M1775" s="31" t="str">
        <x:v>Leave exactly three objects in the bowl.</x:v>
      </x:c>
      <x:c r="N1775" s="31" t="str">
        <x:v>C-CF03B: bowl=[green pencil sharpener, airplane toy without propellers] (2); table=[blue pen, yellow block]; robot home; acceptable action=add either table object.</x:v>
      </x:c>
      <x:c r="O1775" s="31" t="str">
        <x:v>ADD one table object</x:v>
      </x:c>
      <x:c r="P1775" s="31" t="str"/>
      <x:c r="Q1775" s="31" t="str"/>
      <x:c r="R1775" s="31" t="str"/>
      <x:c r="S1775" s="31" t="str">
        <x:f>IF('Blind Scoring'!I1775="","",'Blind Scoring'!I1775)</x:f>
      </x:c>
      <x:c r="T1775" s="31" t="str">
        <x:f>'Blind Scoring'!J1775</x:f>
        <x:v>No</x:v>
      </x:c>
      <x:c r="U1775" s="31" t="str">
        <x:f>IF('Blind Scoring'!L1775="","",'Blind Scoring'!L1775)</x:f>
      </x:c>
    </x:row>
    <x:row r="1776" ht="44" customHeight="1">
      <x:c r="A1776" s="35" t="str">
        <x:v>Not Started</x:v>
      </x:c>
      <x:c r="B1776" s="35" t="n">
        <x:v>1774</x:v>
      </x:c>
      <x:c r="C1776" s="35" t="str">
        <x:v>B33</x:v>
      </x:c>
      <x:c r="D1776" s="35" t="n">
        <x:v>1</x:v>
      </x:c>
      <x:c r="E1776" s="35" t="str">
        <x:v>BC Diagnostic</x:v>
      </x:c>
      <x:c r="F1776" s="35" t="str">
        <x:v>Vision-only BC (task-specific)</x:v>
      </x:c>
      <x:c r="G1776" s="35" t="n">
        <x:v>2</x:v>
      </x:c>
      <x:c r="H1776" s="35" t="str">
        <x:v>State Recognition</x:v>
      </x:c>
      <x:c r="I1776" s="35" t="str">
        <x:v>Vision-only counterfactual A</x:v>
      </x:c>
      <x:c r="J1776" s="35" t="str">
        <x:v>BC-ST-10A</x:v>
      </x:c>
      <x:c r="K1776" s="35" t="str">
        <x:v>BC-ST-10</x:v>
      </x:c>
      <x:c r="L1776" s="31" t="str">
        <x:v>[NO LANGUAGE CHANNEL / INPUT]</x:v>
      </x:c>
      <x:c r="M1776" s="31" t="str">
        <x:v>Place the upside-down yellow-white striped cup in the bowl.</x:v>
      </x:c>
      <x:c r="N1776" s="31" t="str">
        <x:v>S-CF10-SEEN: P1 brown cup B=C/UR; P2 yellow-white striped cup B=O/UR [TARGET]; P3 yellow-white striped cup A=O/UD [COMPETITOR]; P4 glass spice container B=C/UD.</x:v>
      </x:c>
      <x:c r="O1776" s="31" t="str">
        <x:v>yellow-white striped cup A</x:v>
      </x:c>
      <x:c r="P1776" s="31" t="str"/>
      <x:c r="Q1776" s="31" t="str"/>
      <x:c r="R1776" s="31" t="str"/>
      <x:c r="S1776" s="31" t="str">
        <x:f>IF('Blind Scoring'!I1776="","",'Blind Scoring'!I1776)</x:f>
      </x:c>
      <x:c r="T1776" s="31" t="str">
        <x:f>'Blind Scoring'!J1776</x:f>
        <x:v>No</x:v>
      </x:c>
      <x:c r="U1776" s="31" t="str">
        <x:f>IF('Blind Scoring'!L1776="","",'Blind Scoring'!L1776)</x:f>
      </x:c>
    </x:row>
    <x:row r="1777" ht="44" customHeight="1">
      <x:c r="A1777" s="35" t="str">
        <x:v>Not Started</x:v>
      </x:c>
      <x:c r="B1777" s="35" t="n">
        <x:v>1775</x:v>
      </x:c>
      <x:c r="C1777" s="35" t="str">
        <x:v>B33</x:v>
      </x:c>
      <x:c r="D1777" s="35" t="n">
        <x:v>2</x:v>
      </x:c>
      <x:c r="E1777" s="35" t="str">
        <x:v>BC Diagnostic</x:v>
      </x:c>
      <x:c r="F1777" s="35" t="str">
        <x:v>Vision-only BC (task-specific)</x:v>
      </x:c>
      <x:c r="G1777" s="35" t="n">
        <x:v>2</x:v>
      </x:c>
      <x:c r="H1777" s="35" t="str">
        <x:v>State Recognition</x:v>
      </x:c>
      <x:c r="I1777" s="35" t="str">
        <x:v>Vision-only counterfactual B</x:v>
      </x:c>
      <x:c r="J1777" s="35" t="str">
        <x:v>BC-ST-01B</x:v>
      </x:c>
      <x:c r="K1777" s="35" t="str">
        <x:v>BC-ST-01</x:v>
      </x:c>
      <x:c r="L1777" s="31" t="str">
        <x:v>[NO LANGUAGE CHANNEL / INPUT]</x:v>
      </x:c>
      <x:c r="M1777" s="31" t="str">
        <x:v>Place the closed white cup in the bowl.</x:v>
      </x:c>
      <x:c r="N1777" s="31" t="str">
        <x:v>S-CF01-HELD: P1 white cup A=C/UR [TARGET]; P2 white cup B=O/UR [COMPETITOR]; P3 yellow-white striped cup A=C/UD; P4 brown cup B=O/UD.</x:v>
      </x:c>
      <x:c r="O1777" s="31" t="str">
        <x:v>white cup A</x:v>
      </x:c>
      <x:c r="P1777" s="31" t="str"/>
      <x:c r="Q1777" s="31" t="str"/>
      <x:c r="R1777" s="31" t="str"/>
      <x:c r="S1777" s="31" t="str">
        <x:f>IF('Blind Scoring'!I1777="","",'Blind Scoring'!I1777)</x:f>
      </x:c>
      <x:c r="T1777" s="31" t="str">
        <x:f>'Blind Scoring'!J1777</x:f>
        <x:v>No</x:v>
      </x:c>
      <x:c r="U1777" s="31" t="str">
        <x:f>IF('Blind Scoring'!L1777="","",'Blind Scoring'!L1777)</x:f>
      </x:c>
    </x:row>
    <x:row r="1778" ht="44" customHeight="1">
      <x:c r="A1778" s="35" t="str">
        <x:v>Not Started</x:v>
      </x:c>
      <x:c r="B1778" s="35" t="n">
        <x:v>1776</x:v>
      </x:c>
      <x:c r="C1778" s="35" t="str">
        <x:v>B33</x:v>
      </x:c>
      <x:c r="D1778" s="35" t="n">
        <x:v>3</x:v>
      </x:c>
      <x:c r="E1778" s="35" t="str">
        <x:v>BC Diagnostic</x:v>
      </x:c>
      <x:c r="F1778" s="35" t="str">
        <x:v>Vision-only BC (task-specific)</x:v>
      </x:c>
      <x:c r="G1778" s="35" t="n">
        <x:v>2</x:v>
      </x:c>
      <x:c r="H1778" s="35" t="str">
        <x:v>State Recognition</x:v>
      </x:c>
      <x:c r="I1778" s="35" t="str">
        <x:v>Vision-only counterfactual B</x:v>
      </x:c>
      <x:c r="J1778" s="35" t="str">
        <x:v>BC-ST-03B</x:v>
      </x:c>
      <x:c r="K1778" s="35" t="str">
        <x:v>BC-ST-03</x:v>
      </x:c>
      <x:c r="L1778" s="31" t="str">
        <x:v>[NO LANGUAGE CHANNEL / INPUT]</x:v>
      </x:c>
      <x:c r="M1778" s="31" t="str">
        <x:v>Place the closed glass spice container in the bowl.</x:v>
      </x:c>
      <x:c r="N1778" s="31" t="str">
        <x:v>S-CF03-HELD: P1 white cup A=C/UR; P2 yellow-white striped cup A=O/UR; P3 glass spice container B=C/UD [TARGET]; P4 glass spice container A=O/UD [COMPETITOR].</x:v>
      </x:c>
      <x:c r="O1778" s="31" t="str">
        <x:v>glass spice container B</x:v>
      </x:c>
      <x:c r="P1778" s="31" t="str"/>
      <x:c r="Q1778" s="31" t="str"/>
      <x:c r="R1778" s="31" t="str"/>
      <x:c r="S1778" s="31" t="str">
        <x:f>IF('Blind Scoring'!I1778="","",'Blind Scoring'!I1778)</x:f>
      </x:c>
      <x:c r="T1778" s="31" t="str">
        <x:f>'Blind Scoring'!J1778</x:f>
        <x:v>No</x:v>
      </x:c>
      <x:c r="U1778" s="31" t="str">
        <x:f>IF('Blind Scoring'!L1778="","",'Blind Scoring'!L1778)</x:f>
      </x:c>
    </x:row>
    <x:row r="1779" ht="44" customHeight="1">
      <x:c r="A1779" s="35" t="str">
        <x:v>Not Started</x:v>
      </x:c>
      <x:c r="B1779" s="35" t="n">
        <x:v>1777</x:v>
      </x:c>
      <x:c r="C1779" s="35" t="str">
        <x:v>B33</x:v>
      </x:c>
      <x:c r="D1779" s="35" t="n">
        <x:v>4</x:v>
      </x:c>
      <x:c r="E1779" s="35" t="str">
        <x:v>BC Diagnostic</x:v>
      </x:c>
      <x:c r="F1779" s="35" t="str">
        <x:v>Vision-only BC (task-specific)</x:v>
      </x:c>
      <x:c r="G1779" s="35" t="n">
        <x:v>2</x:v>
      </x:c>
      <x:c r="H1779" s="35" t="str">
        <x:v>State Recognition</x:v>
      </x:c>
      <x:c r="I1779" s="35" t="str">
        <x:v>Vision-only counterfactual A</x:v>
      </x:c>
      <x:c r="J1779" s="35" t="str">
        <x:v>BC-ST-04A</x:v>
      </x:c>
      <x:c r="K1779" s="35" t="str">
        <x:v>BC-ST-04</x:v>
      </x:c>
      <x:c r="L1779" s="31" t="str">
        <x:v>[NO LANGUAGE CHANNEL / INPUT]</x:v>
      </x:c>
      <x:c r="M1779" s="31" t="str">
        <x:v>Place the upside-down white cup in the bowl.</x:v>
      </x:c>
      <x:c r="N1779" s="31" t="str">
        <x:v>S-CF04-SEEN: P1 white cup A=C/UD [COMPETITOR]; P2 yellow-white striped cup B=O/UR; P3 brown cup A=O/UD; P4 white cup B=C/UR [TARGET].</x:v>
      </x:c>
      <x:c r="O1779" s="31" t="str">
        <x:v>white cup A</x:v>
      </x:c>
      <x:c r="P1779" s="31" t="str"/>
      <x:c r="Q1779" s="31" t="str"/>
      <x:c r="R1779" s="31" t="str"/>
      <x:c r="S1779" s="31" t="str">
        <x:f>IF('Blind Scoring'!I1779="","",'Blind Scoring'!I1779)</x:f>
      </x:c>
      <x:c r="T1779" s="31" t="str">
        <x:f>'Blind Scoring'!J1779</x:f>
        <x:v>No</x:v>
      </x:c>
      <x:c r="U1779" s="31" t="str">
        <x:f>IF('Blind Scoring'!L1779="","",'Blind Scoring'!L1779)</x:f>
      </x:c>
    </x:row>
    <x:row r="1780" ht="44" customHeight="1">
      <x:c r="A1780" s="35" t="str">
        <x:v>Not Started</x:v>
      </x:c>
      <x:c r="B1780" s="35" t="n">
        <x:v>1778</x:v>
      </x:c>
      <x:c r="C1780" s="35" t="str">
        <x:v>B33</x:v>
      </x:c>
      <x:c r="D1780" s="35" t="n">
        <x:v>5</x:v>
      </x:c>
      <x:c r="E1780" s="35" t="str">
        <x:v>BC Diagnostic</x:v>
      </x:c>
      <x:c r="F1780" s="35" t="str">
        <x:v>Vision-only BC (task-specific)</x:v>
      </x:c>
      <x:c r="G1780" s="35" t="n">
        <x:v>2</x:v>
      </x:c>
      <x:c r="H1780" s="35" t="str">
        <x:v>State Recognition</x:v>
      </x:c>
      <x:c r="I1780" s="35" t="str">
        <x:v>Vision-only counterfactual B</x:v>
      </x:c>
      <x:c r="J1780" s="35" t="str">
        <x:v>BC-ST-09B</x:v>
      </x:c>
      <x:c r="K1780" s="35" t="str">
        <x:v>BC-ST-09</x:v>
      </x:c>
      <x:c r="L1780" s="31" t="str">
        <x:v>[NO LANGUAGE CHANNEL / INPUT]</x:v>
      </x:c>
      <x:c r="M1780" s="31" t="str">
        <x:v>Place the closed white cup in the bowl.</x:v>
      </x:c>
      <x:c r="N1780" s="31" t="str">
        <x:v>S-CF09-HELD: P1 white cup A=C/UR [TARGET]; P2 white cup B=O/UR [COMPETITOR]; P3 yellow-white striped cup A=C/UD; P4 brown cup B=O/UD.</x:v>
      </x:c>
      <x:c r="O1780" s="31" t="str">
        <x:v>white cup A</x:v>
      </x:c>
      <x:c r="P1780" s="31" t="str"/>
      <x:c r="Q1780" s="31" t="str"/>
      <x:c r="R1780" s="31" t="str"/>
      <x:c r="S1780" s="31" t="str">
        <x:f>IF('Blind Scoring'!I1780="","",'Blind Scoring'!I1780)</x:f>
      </x:c>
      <x:c r="T1780" s="31" t="str">
        <x:f>'Blind Scoring'!J1780</x:f>
        <x:v>No</x:v>
      </x:c>
      <x:c r="U1780" s="31" t="str">
        <x:f>IF('Blind Scoring'!L1780="","",'Blind Scoring'!L1780)</x:f>
      </x:c>
    </x:row>
    <x:row r="1781" ht="44" customHeight="1">
      <x:c r="A1781" s="35" t="str">
        <x:v>Not Started</x:v>
      </x:c>
      <x:c r="B1781" s="35" t="n">
        <x:v>1779</x:v>
      </x:c>
      <x:c r="C1781" s="35" t="str">
        <x:v>B33</x:v>
      </x:c>
      <x:c r="D1781" s="35" t="n">
        <x:v>6</x:v>
      </x:c>
      <x:c r="E1781" s="35" t="str">
        <x:v>BC Diagnostic</x:v>
      </x:c>
      <x:c r="F1781" s="35" t="str">
        <x:v>Vision-only BC (task-specific)</x:v>
      </x:c>
      <x:c r="G1781" s="35" t="n">
        <x:v>2</x:v>
      </x:c>
      <x:c r="H1781" s="35" t="str">
        <x:v>State Recognition</x:v>
      </x:c>
      <x:c r="I1781" s="35" t="str">
        <x:v>Vision-only counterfactual B</x:v>
      </x:c>
      <x:c r="J1781" s="35" t="str">
        <x:v>BC-ST-07B</x:v>
      </x:c>
      <x:c r="K1781" s="35" t="str">
        <x:v>BC-ST-07</x:v>
      </x:c>
      <x:c r="L1781" s="31" t="str">
        <x:v>[NO LANGUAGE CHANNEL / INPUT]</x:v>
      </x:c>
      <x:c r="M1781" s="31" t="str">
        <x:v>Place the closed yellow-white striped cup in the bowl.</x:v>
      </x:c>
      <x:c r="N1781" s="31" t="str">
        <x:v>S-CF07-HELD: P1 brown cup A=C/UR; P2 glass spice container A=O/UR; P3 yellow-white striped cup A=C/UD [TARGET]; P4 yellow-white striped cup B=O/UD [COMPETITOR].</x:v>
      </x:c>
      <x:c r="O1781" s="31" t="str">
        <x:v>yellow-white striped cup A</x:v>
      </x:c>
      <x:c r="P1781" s="31" t="str"/>
      <x:c r="Q1781" s="31" t="str"/>
      <x:c r="R1781" s="31" t="str"/>
      <x:c r="S1781" s="31" t="str">
        <x:f>IF('Blind Scoring'!I1781="","",'Blind Scoring'!I1781)</x:f>
      </x:c>
      <x:c r="T1781" s="31" t="str">
        <x:f>'Blind Scoring'!J1781</x:f>
        <x:v>No</x:v>
      </x:c>
      <x:c r="U1781" s="31" t="str">
        <x:f>IF('Blind Scoring'!L1781="","",'Blind Scoring'!L1781)</x:f>
      </x:c>
    </x:row>
    <x:row r="1782" ht="44" customHeight="1">
      <x:c r="A1782" s="35" t="str">
        <x:v>Not Started</x:v>
      </x:c>
      <x:c r="B1782" s="35" t="n">
        <x:v>1780</x:v>
      </x:c>
      <x:c r="C1782" s="35" t="str">
        <x:v>B33</x:v>
      </x:c>
      <x:c r="D1782" s="35" t="n">
        <x:v>7</x:v>
      </x:c>
      <x:c r="E1782" s="35" t="str">
        <x:v>BC Diagnostic</x:v>
      </x:c>
      <x:c r="F1782" s="35" t="str">
        <x:v>Vision-only BC (task-specific)</x:v>
      </x:c>
      <x:c r="G1782" s="35" t="n">
        <x:v>2</x:v>
      </x:c>
      <x:c r="H1782" s="35" t="str">
        <x:v>State Recognition</x:v>
      </x:c>
      <x:c r="I1782" s="35" t="str">
        <x:v>Vision-only counterfactual B</x:v>
      </x:c>
      <x:c r="J1782" s="35" t="str">
        <x:v>BC-ST-06B</x:v>
      </x:c>
      <x:c r="K1782" s="35" t="str">
        <x:v>BC-ST-06</x:v>
      </x:c>
      <x:c r="L1782" s="31" t="str">
        <x:v>[NO LANGUAGE CHANNEL / INPUT]</x:v>
      </x:c>
      <x:c r="M1782" s="31" t="str">
        <x:v>Place the upright glass spice container in the bowl.</x:v>
      </x:c>
      <x:c r="N1782" s="31" t="str">
        <x:v>S-CF06-HELD: P1 white cup B=C/UR; P2 glass spice container A=O/UR [TARGET]; P3 glass spice container B=O/UD [COMPETITOR]; P4 yellow-white striped cup B=C/UD.</x:v>
      </x:c>
      <x:c r="O1782" s="31" t="str">
        <x:v>glass spice container A</x:v>
      </x:c>
      <x:c r="P1782" s="31" t="str"/>
      <x:c r="Q1782" s="31" t="str"/>
      <x:c r="R1782" s="31" t="str"/>
      <x:c r="S1782" s="31" t="str">
        <x:f>IF('Blind Scoring'!I1782="","",'Blind Scoring'!I1782)</x:f>
      </x:c>
      <x:c r="T1782" s="31" t="str">
        <x:f>'Blind Scoring'!J1782</x:f>
        <x:v>No</x:v>
      </x:c>
      <x:c r="U1782" s="31" t="str">
        <x:f>IF('Blind Scoring'!L1782="","",'Blind Scoring'!L1782)</x:f>
      </x:c>
    </x:row>
    <x:row r="1783" ht="44" customHeight="1">
      <x:c r="A1783" s="35" t="str">
        <x:v>Not Started</x:v>
      </x:c>
      <x:c r="B1783" s="35" t="n">
        <x:v>1781</x:v>
      </x:c>
      <x:c r="C1783" s="35" t="str">
        <x:v>B33</x:v>
      </x:c>
      <x:c r="D1783" s="35" t="n">
        <x:v>8</x:v>
      </x:c>
      <x:c r="E1783" s="35" t="str">
        <x:v>BC Diagnostic</x:v>
      </x:c>
      <x:c r="F1783" s="35" t="str">
        <x:v>Vision-only BC (task-specific)</x:v>
      </x:c>
      <x:c r="G1783" s="35" t="n">
        <x:v>2</x:v>
      </x:c>
      <x:c r="H1783" s="35" t="str">
        <x:v>State Recognition</x:v>
      </x:c>
      <x:c r="I1783" s="35" t="str">
        <x:v>Vision-only counterfactual B</x:v>
      </x:c>
      <x:c r="J1783" s="35" t="str">
        <x:v>BC-ST-08B</x:v>
      </x:c>
      <x:c r="K1783" s="35" t="str">
        <x:v>BC-ST-08</x:v>
      </x:c>
      <x:c r="L1783" s="31" t="str">
        <x:v>[NO LANGUAGE CHANNEL / INPUT]</x:v>
      </x:c>
      <x:c r="M1783" s="31" t="str">
        <x:v>Place the upright brown cup in the bowl.</x:v>
      </x:c>
      <x:c r="N1783" s="31" t="str">
        <x:v>S-CF08-HELD: P1 brown cup A=C/UD [COMPETITOR]; P2 glass spice container B=O/UR; P3 white cup A=O/UD; P4 brown cup B=C/UR [TARGET].</x:v>
      </x:c>
      <x:c r="O1783" s="31" t="str">
        <x:v>brown cup B</x:v>
      </x:c>
      <x:c r="P1783" s="31" t="str"/>
      <x:c r="Q1783" s="31" t="str"/>
      <x:c r="R1783" s="31" t="str"/>
      <x:c r="S1783" s="31" t="str">
        <x:f>IF('Blind Scoring'!I1783="","",'Blind Scoring'!I1783)</x:f>
      </x:c>
      <x:c r="T1783" s="31" t="str">
        <x:f>'Blind Scoring'!J1783</x:f>
        <x:v>No</x:v>
      </x:c>
      <x:c r="U1783" s="31" t="str">
        <x:f>IF('Blind Scoring'!L1783="","",'Blind Scoring'!L1783)</x:f>
      </x:c>
    </x:row>
    <x:row r="1784" ht="44" customHeight="1">
      <x:c r="A1784" s="35" t="str">
        <x:v>Not Started</x:v>
      </x:c>
      <x:c r="B1784" s="35" t="n">
        <x:v>1782</x:v>
      </x:c>
      <x:c r="C1784" s="35" t="str">
        <x:v>B33</x:v>
      </x:c>
      <x:c r="D1784" s="35" t="n">
        <x:v>9</x:v>
      </x:c>
      <x:c r="E1784" s="35" t="str">
        <x:v>BC Diagnostic</x:v>
      </x:c>
      <x:c r="F1784" s="35" t="str">
        <x:v>Vision-only BC (task-specific)</x:v>
      </x:c>
      <x:c r="G1784" s="35" t="n">
        <x:v>2</x:v>
      </x:c>
      <x:c r="H1784" s="35" t="str">
        <x:v>State Recognition</x:v>
      </x:c>
      <x:c r="I1784" s="35" t="str">
        <x:v>Vision-only counterfactual B</x:v>
      </x:c>
      <x:c r="J1784" s="35" t="str">
        <x:v>BC-ST-02B</x:v>
      </x:c>
      <x:c r="K1784" s="35" t="str">
        <x:v>BC-ST-02</x:v>
      </x:c>
      <x:c r="L1784" s="31" t="str">
        <x:v>[NO LANGUAGE CHANNEL / INPUT]</x:v>
      </x:c>
      <x:c r="M1784" s="31" t="str">
        <x:v>Place the upright yellow-white striped cup in the bowl.</x:v>
      </x:c>
      <x:c r="N1784" s="31" t="str">
        <x:v>S-CF02-HELD: P1 brown cup B=C/UR; P2 yellow-white striped cup B=O/UR [TARGET]; P3 yellow-white striped cup A=O/UD [COMPETITOR]; P4 glass spice container B=C/UD.</x:v>
      </x:c>
      <x:c r="O1784" s="31" t="str">
        <x:v>yellow-white striped cup B</x:v>
      </x:c>
      <x:c r="P1784" s="31" t="str"/>
      <x:c r="Q1784" s="31" t="str"/>
      <x:c r="R1784" s="31" t="str"/>
      <x:c r="S1784" s="31" t="str">
        <x:f>IF('Blind Scoring'!I1784="","",'Blind Scoring'!I1784)</x:f>
      </x:c>
      <x:c r="T1784" s="31" t="str">
        <x:f>'Blind Scoring'!J1784</x:f>
        <x:v>No</x:v>
      </x:c>
      <x:c r="U1784" s="31" t="str">
        <x:f>IF('Blind Scoring'!L1784="","",'Blind Scoring'!L1784)</x:f>
      </x:c>
    </x:row>
    <x:row r="1785" ht="44" customHeight="1">
      <x:c r="A1785" s="35" t="str">
        <x:v>Not Started</x:v>
      </x:c>
      <x:c r="B1785" s="35" t="n">
        <x:v>1783</x:v>
      </x:c>
      <x:c r="C1785" s="35" t="str">
        <x:v>B33</x:v>
      </x:c>
      <x:c r="D1785" s="35" t="n">
        <x:v>10</x:v>
      </x:c>
      <x:c r="E1785" s="35" t="str">
        <x:v>BC Diagnostic</x:v>
      </x:c>
      <x:c r="F1785" s="35" t="str">
        <x:v>Vision-only BC (task-specific)</x:v>
      </x:c>
      <x:c r="G1785" s="35" t="n">
        <x:v>2</x:v>
      </x:c>
      <x:c r="H1785" s="35" t="str">
        <x:v>State Recognition</x:v>
      </x:c>
      <x:c r="I1785" s="35" t="str">
        <x:v>Vision-only counterfactual A</x:v>
      </x:c>
      <x:c r="J1785" s="35" t="str">
        <x:v>BC-ST-01A</x:v>
      </x:c>
      <x:c r="K1785" s="35" t="str">
        <x:v>BC-ST-01</x:v>
      </x:c>
      <x:c r="L1785" s="31" t="str">
        <x:v>[NO LANGUAGE CHANNEL / INPUT]</x:v>
      </x:c>
      <x:c r="M1785" s="31" t="str">
        <x:v>Place the open white cup in the bowl.</x:v>
      </x:c>
      <x:c r="N1785" s="31" t="str">
        <x:v>S-CF01-SEEN: P1 white cup A=C/UR [TARGET]; P2 white cup B=O/UR [COMPETITOR]; P3 yellow-white striped cup A=C/UD; P4 brown cup B=O/UD.</x:v>
      </x:c>
      <x:c r="O1785" s="31" t="str">
        <x:v>white cup B</x:v>
      </x:c>
      <x:c r="P1785" s="31" t="str"/>
      <x:c r="Q1785" s="31" t="str"/>
      <x:c r="R1785" s="31" t="str"/>
      <x:c r="S1785" s="31" t="str">
        <x:f>IF('Blind Scoring'!I1785="","",'Blind Scoring'!I1785)</x:f>
      </x:c>
      <x:c r="T1785" s="31" t="str">
        <x:f>'Blind Scoring'!J1785</x:f>
        <x:v>No</x:v>
      </x:c>
      <x:c r="U1785" s="31" t="str">
        <x:f>IF('Blind Scoring'!L1785="","",'Blind Scoring'!L1785)</x:f>
      </x:c>
    </x:row>
    <x:row r="1786" ht="44" customHeight="1">
      <x:c r="A1786" s="35" t="str">
        <x:v>Not Started</x:v>
      </x:c>
      <x:c r="B1786" s="35" t="n">
        <x:v>1784</x:v>
      </x:c>
      <x:c r="C1786" s="35" t="str">
        <x:v>B33</x:v>
      </x:c>
      <x:c r="D1786" s="35" t="n">
        <x:v>11</x:v>
      </x:c>
      <x:c r="E1786" s="35" t="str">
        <x:v>BC Diagnostic</x:v>
      </x:c>
      <x:c r="F1786" s="35" t="str">
        <x:v>Vision-only BC (task-specific)</x:v>
      </x:c>
      <x:c r="G1786" s="35" t="n">
        <x:v>2</x:v>
      </x:c>
      <x:c r="H1786" s="35" t="str">
        <x:v>State Recognition</x:v>
      </x:c>
      <x:c r="I1786" s="35" t="str">
        <x:v>Vision-only counterfactual A</x:v>
      </x:c>
      <x:c r="J1786" s="35" t="str">
        <x:v>BC-ST-06A</x:v>
      </x:c>
      <x:c r="K1786" s="35" t="str">
        <x:v>BC-ST-06</x:v>
      </x:c>
      <x:c r="L1786" s="31" t="str">
        <x:v>[NO LANGUAGE CHANNEL / INPUT]</x:v>
      </x:c>
      <x:c r="M1786" s="31" t="str">
        <x:v>Place the upside-down glass spice container in the bowl.</x:v>
      </x:c>
      <x:c r="N1786" s="31" t="str">
        <x:v>S-CF06-SEEN: P1 white cup B=C/UR; P2 glass spice container A=O/UR [TARGET]; P3 glass spice container B=O/UD [COMPETITOR]; P4 yellow-white striped cup B=C/UD.</x:v>
      </x:c>
      <x:c r="O1786" s="31" t="str">
        <x:v>glass spice container B</x:v>
      </x:c>
      <x:c r="P1786" s="31" t="str"/>
      <x:c r="Q1786" s="31" t="str"/>
      <x:c r="R1786" s="31" t="str"/>
      <x:c r="S1786" s="31" t="str">
        <x:f>IF('Blind Scoring'!I1786="","",'Blind Scoring'!I1786)</x:f>
      </x:c>
      <x:c r="T1786" s="31" t="str">
        <x:f>'Blind Scoring'!J1786</x:f>
        <x:v>No</x:v>
      </x:c>
      <x:c r="U1786" s="31" t="str">
        <x:f>IF('Blind Scoring'!L1786="","",'Blind Scoring'!L1786)</x:f>
      </x:c>
    </x:row>
    <x:row r="1787" ht="44" customHeight="1">
      <x:c r="A1787" s="35" t="str">
        <x:v>Not Started</x:v>
      </x:c>
      <x:c r="B1787" s="35" t="n">
        <x:v>1785</x:v>
      </x:c>
      <x:c r="C1787" s="35" t="str">
        <x:v>B33</x:v>
      </x:c>
      <x:c r="D1787" s="35" t="n">
        <x:v>12</x:v>
      </x:c>
      <x:c r="E1787" s="35" t="str">
        <x:v>BC Diagnostic</x:v>
      </x:c>
      <x:c r="F1787" s="35" t="str">
        <x:v>Vision-only BC (task-specific)</x:v>
      </x:c>
      <x:c r="G1787" s="35" t="n">
        <x:v>2</x:v>
      </x:c>
      <x:c r="H1787" s="35" t="str">
        <x:v>State Recognition</x:v>
      </x:c>
      <x:c r="I1787" s="35" t="str">
        <x:v>Vision-only counterfactual B</x:v>
      </x:c>
      <x:c r="J1787" s="35" t="str">
        <x:v>BC-ST-04B</x:v>
      </x:c>
      <x:c r="K1787" s="35" t="str">
        <x:v>BC-ST-04</x:v>
      </x:c>
      <x:c r="L1787" s="31" t="str">
        <x:v>[NO LANGUAGE CHANNEL / INPUT]</x:v>
      </x:c>
      <x:c r="M1787" s="31" t="str">
        <x:v>Place the upright white cup in the bowl.</x:v>
      </x:c>
      <x:c r="N1787" s="31" t="str">
        <x:v>S-CF04-HELD: P1 white cup A=C/UD [COMPETITOR]; P2 yellow-white striped cup B=O/UR; P3 brown cup A=O/UD; P4 white cup B=C/UR [TARGET].</x:v>
      </x:c>
      <x:c r="O1787" s="31" t="str">
        <x:v>white cup B</x:v>
      </x:c>
      <x:c r="P1787" s="31" t="str"/>
      <x:c r="Q1787" s="31" t="str"/>
      <x:c r="R1787" s="31" t="str"/>
      <x:c r="S1787" s="31" t="str">
        <x:f>IF('Blind Scoring'!I1787="","",'Blind Scoring'!I1787)</x:f>
      </x:c>
      <x:c r="T1787" s="31" t="str">
        <x:f>'Blind Scoring'!J1787</x:f>
        <x:v>No</x:v>
      </x:c>
      <x:c r="U1787" s="31" t="str">
        <x:f>IF('Blind Scoring'!L1787="","",'Blind Scoring'!L1787)</x:f>
      </x:c>
    </x:row>
    <x:row r="1788" ht="44" customHeight="1">
      <x:c r="A1788" s="35" t="str">
        <x:v>Not Started</x:v>
      </x:c>
      <x:c r="B1788" s="35" t="n">
        <x:v>1786</x:v>
      </x:c>
      <x:c r="C1788" s="35" t="str">
        <x:v>B33</x:v>
      </x:c>
      <x:c r="D1788" s="35" t="n">
        <x:v>13</x:v>
      </x:c>
      <x:c r="E1788" s="35" t="str">
        <x:v>BC Diagnostic</x:v>
      </x:c>
      <x:c r="F1788" s="35" t="str">
        <x:v>Vision-only BC (task-specific)</x:v>
      </x:c>
      <x:c r="G1788" s="35" t="n">
        <x:v>2</x:v>
      </x:c>
      <x:c r="H1788" s="35" t="str">
        <x:v>State Recognition</x:v>
      </x:c>
      <x:c r="I1788" s="35" t="str">
        <x:v>Vision-only counterfactual A</x:v>
      </x:c>
      <x:c r="J1788" s="35" t="str">
        <x:v>BC-ST-07A</x:v>
      </x:c>
      <x:c r="K1788" s="35" t="str">
        <x:v>BC-ST-07</x:v>
      </x:c>
      <x:c r="L1788" s="31" t="str">
        <x:v>[NO LANGUAGE CHANNEL / INPUT]</x:v>
      </x:c>
      <x:c r="M1788" s="31" t="str">
        <x:v>Place the open yellow-white striped cup in the bowl.</x:v>
      </x:c>
      <x:c r="N1788" s="31" t="str">
        <x:v>S-CF07-SEEN: P1 brown cup A=C/UR; P2 glass spice container A=O/UR; P3 yellow-white striped cup A=C/UD [TARGET]; P4 yellow-white striped cup B=O/UD [COMPETITOR].</x:v>
      </x:c>
      <x:c r="O1788" s="31" t="str">
        <x:v>yellow-white striped cup B</x:v>
      </x:c>
      <x:c r="P1788" s="31" t="str"/>
      <x:c r="Q1788" s="31" t="str"/>
      <x:c r="R1788" s="31" t="str"/>
      <x:c r="S1788" s="31" t="str">
        <x:f>IF('Blind Scoring'!I1788="","",'Blind Scoring'!I1788)</x:f>
      </x:c>
      <x:c r="T1788" s="31" t="str">
        <x:f>'Blind Scoring'!J1788</x:f>
        <x:v>No</x:v>
      </x:c>
      <x:c r="U1788" s="31" t="str">
        <x:f>IF('Blind Scoring'!L1788="","",'Blind Scoring'!L1788)</x:f>
      </x:c>
    </x:row>
    <x:row r="1789" ht="44" customHeight="1">
      <x:c r="A1789" s="35" t="str">
        <x:v>Not Started</x:v>
      </x:c>
      <x:c r="B1789" s="35" t="n">
        <x:v>1787</x:v>
      </x:c>
      <x:c r="C1789" s="35" t="str">
        <x:v>B33</x:v>
      </x:c>
      <x:c r="D1789" s="35" t="n">
        <x:v>14</x:v>
      </x:c>
      <x:c r="E1789" s="35" t="str">
        <x:v>BC Diagnostic</x:v>
      </x:c>
      <x:c r="F1789" s="35" t="str">
        <x:v>Vision-only BC (task-specific)</x:v>
      </x:c>
      <x:c r="G1789" s="35" t="n">
        <x:v>2</x:v>
      </x:c>
      <x:c r="H1789" s="35" t="str">
        <x:v>State Recognition</x:v>
      </x:c>
      <x:c r="I1789" s="35" t="str">
        <x:v>Vision-only counterfactual A</x:v>
      </x:c>
      <x:c r="J1789" s="35" t="str">
        <x:v>BC-ST-02A</x:v>
      </x:c>
      <x:c r="K1789" s="35" t="str">
        <x:v>BC-ST-02</x:v>
      </x:c>
      <x:c r="L1789" s="31" t="str">
        <x:v>[NO LANGUAGE CHANNEL / INPUT]</x:v>
      </x:c>
      <x:c r="M1789" s="31" t="str">
        <x:v>Place the upside-down yellow-white striped cup in the bowl.</x:v>
      </x:c>
      <x:c r="N1789" s="31" t="str">
        <x:v>S-CF02-SEEN: P1 brown cup B=C/UR; P2 yellow-white striped cup B=O/UR [TARGET]; P3 yellow-white striped cup A=O/UD [COMPETITOR]; P4 glass spice container B=C/UD.</x:v>
      </x:c>
      <x:c r="O1789" s="31" t="str">
        <x:v>yellow-white striped cup A</x:v>
      </x:c>
      <x:c r="P1789" s="31" t="str"/>
      <x:c r="Q1789" s="31" t="str"/>
      <x:c r="R1789" s="31" t="str"/>
      <x:c r="S1789" s="31" t="str">
        <x:f>IF('Blind Scoring'!I1789="","",'Blind Scoring'!I1789)</x:f>
      </x:c>
      <x:c r="T1789" s="31" t="str">
        <x:f>'Blind Scoring'!J1789</x:f>
        <x:v>No</x:v>
      </x:c>
      <x:c r="U1789" s="31" t="str">
        <x:f>IF('Blind Scoring'!L1789="","",'Blind Scoring'!L1789)</x:f>
      </x:c>
    </x:row>
    <x:row r="1790" ht="44" customHeight="1">
      <x:c r="A1790" s="35" t="str">
        <x:v>Not Started</x:v>
      </x:c>
      <x:c r="B1790" s="35" t="n">
        <x:v>1788</x:v>
      </x:c>
      <x:c r="C1790" s="35" t="str">
        <x:v>B33</x:v>
      </x:c>
      <x:c r="D1790" s="35" t="n">
        <x:v>15</x:v>
      </x:c>
      <x:c r="E1790" s="35" t="str">
        <x:v>BC Diagnostic</x:v>
      </x:c>
      <x:c r="F1790" s="35" t="str">
        <x:v>Vision-only BC (task-specific)</x:v>
      </x:c>
      <x:c r="G1790" s="35" t="n">
        <x:v>2</x:v>
      </x:c>
      <x:c r="H1790" s="35" t="str">
        <x:v>State Recognition</x:v>
      </x:c>
      <x:c r="I1790" s="35" t="str">
        <x:v>Vision-only counterfactual A</x:v>
      </x:c>
      <x:c r="J1790" s="35" t="str">
        <x:v>BC-ST-09A</x:v>
      </x:c>
      <x:c r="K1790" s="35" t="str">
        <x:v>BC-ST-09</x:v>
      </x:c>
      <x:c r="L1790" s="31" t="str">
        <x:v>[NO LANGUAGE CHANNEL / INPUT]</x:v>
      </x:c>
      <x:c r="M1790" s="31" t="str">
        <x:v>Place the open white cup in the bowl.</x:v>
      </x:c>
      <x:c r="N1790" s="31" t="str">
        <x:v>S-CF09-SEEN: P1 white cup A=C/UR [TARGET]; P2 white cup B=O/UR [COMPETITOR]; P3 yellow-white striped cup A=C/UD; P4 brown cup B=O/UD.</x:v>
      </x:c>
      <x:c r="O1790" s="31" t="str">
        <x:v>white cup B</x:v>
      </x:c>
      <x:c r="P1790" s="31" t="str"/>
      <x:c r="Q1790" s="31" t="str"/>
      <x:c r="R1790" s="31" t="str"/>
      <x:c r="S1790" s="31" t="str">
        <x:f>IF('Blind Scoring'!I1790="","",'Blind Scoring'!I1790)</x:f>
      </x:c>
      <x:c r="T1790" s="31" t="str">
        <x:f>'Blind Scoring'!J1790</x:f>
        <x:v>No</x:v>
      </x:c>
      <x:c r="U1790" s="31" t="str">
        <x:f>IF('Blind Scoring'!L1790="","",'Blind Scoring'!L1790)</x:f>
      </x:c>
    </x:row>
    <x:row r="1791" ht="44" customHeight="1">
      <x:c r="A1791" s="35" t="str">
        <x:v>Not Started</x:v>
      </x:c>
      <x:c r="B1791" s="35" t="n">
        <x:v>1789</x:v>
      </x:c>
      <x:c r="C1791" s="35" t="str">
        <x:v>B33</x:v>
      </x:c>
      <x:c r="D1791" s="35" t="n">
        <x:v>16</x:v>
      </x:c>
      <x:c r="E1791" s="35" t="str">
        <x:v>BC Diagnostic</x:v>
      </x:c>
      <x:c r="F1791" s="35" t="str">
        <x:v>Vision-only BC (task-specific)</x:v>
      </x:c>
      <x:c r="G1791" s="35" t="n">
        <x:v>2</x:v>
      </x:c>
      <x:c r="H1791" s="35" t="str">
        <x:v>State Recognition</x:v>
      </x:c>
      <x:c r="I1791" s="35" t="str">
        <x:v>Vision-only counterfactual A</x:v>
      </x:c>
      <x:c r="J1791" s="35" t="str">
        <x:v>BC-ST-05A</x:v>
      </x:c>
      <x:c r="K1791" s="35" t="str">
        <x:v>BC-ST-05</x:v>
      </x:c>
      <x:c r="L1791" s="31" t="str">
        <x:v>[NO LANGUAGE CHANNEL / INPUT]</x:v>
      </x:c>
      <x:c r="M1791" s="31" t="str">
        <x:v>Place the open brown cup in the bowl.</x:v>
      </x:c>
      <x:c r="N1791" s="31" t="str">
        <x:v>S-CF05-SEEN: P1 brown cup A=C/UR [TARGET]; P2 brown cup B=O/UR [COMPETITOR]; P3 glass spice container A=C/UD; P4 white cup B=O/UD.</x:v>
      </x:c>
      <x:c r="O1791" s="31" t="str">
        <x:v>brown cup B</x:v>
      </x:c>
      <x:c r="P1791" s="31" t="str"/>
      <x:c r="Q1791" s="31" t="str"/>
      <x:c r="R1791" s="31" t="str"/>
      <x:c r="S1791" s="31" t="str">
        <x:f>IF('Blind Scoring'!I1791="","",'Blind Scoring'!I1791)</x:f>
      </x:c>
      <x:c r="T1791" s="31" t="str">
        <x:f>'Blind Scoring'!J1791</x:f>
        <x:v>No</x:v>
      </x:c>
      <x:c r="U1791" s="31" t="str">
        <x:f>IF('Blind Scoring'!L1791="","",'Blind Scoring'!L1791)</x:f>
      </x:c>
    </x:row>
    <x:row r="1792" ht="44" customHeight="1">
      <x:c r="A1792" s="35" t="str">
        <x:v>Not Started</x:v>
      </x:c>
      <x:c r="B1792" s="35" t="n">
        <x:v>1790</x:v>
      </x:c>
      <x:c r="C1792" s="35" t="str">
        <x:v>B33</x:v>
      </x:c>
      <x:c r="D1792" s="35" t="n">
        <x:v>17</x:v>
      </x:c>
      <x:c r="E1792" s="35" t="str">
        <x:v>BC Diagnostic</x:v>
      </x:c>
      <x:c r="F1792" s="35" t="str">
        <x:v>Vision-only BC (task-specific)</x:v>
      </x:c>
      <x:c r="G1792" s="35" t="n">
        <x:v>2</x:v>
      </x:c>
      <x:c r="H1792" s="35" t="str">
        <x:v>State Recognition</x:v>
      </x:c>
      <x:c r="I1792" s="35" t="str">
        <x:v>Vision-only counterfactual B</x:v>
      </x:c>
      <x:c r="J1792" s="35" t="str">
        <x:v>BC-ST-05B</x:v>
      </x:c>
      <x:c r="K1792" s="35" t="str">
        <x:v>BC-ST-05</x:v>
      </x:c>
      <x:c r="L1792" s="31" t="str">
        <x:v>[NO LANGUAGE CHANNEL / INPUT]</x:v>
      </x:c>
      <x:c r="M1792" s="31" t="str">
        <x:v>Place the closed brown cup in the bowl.</x:v>
      </x:c>
      <x:c r="N1792" s="31" t="str">
        <x:v>S-CF05-HELD: P1 brown cup A=C/UR [TARGET]; P2 brown cup B=O/UR [COMPETITOR]; P3 glass spice container A=C/UD; P4 white cup B=O/UD.</x:v>
      </x:c>
      <x:c r="O1792" s="31" t="str">
        <x:v>brown cup A</x:v>
      </x:c>
      <x:c r="P1792" s="31" t="str"/>
      <x:c r="Q1792" s="31" t="str"/>
      <x:c r="R1792" s="31" t="str"/>
      <x:c r="S1792" s="31" t="str">
        <x:f>IF('Blind Scoring'!I1792="","",'Blind Scoring'!I1792)</x:f>
      </x:c>
      <x:c r="T1792" s="31" t="str">
        <x:f>'Blind Scoring'!J1792</x:f>
        <x:v>No</x:v>
      </x:c>
      <x:c r="U1792" s="31" t="str">
        <x:f>IF('Blind Scoring'!L1792="","",'Blind Scoring'!L1792)</x:f>
      </x:c>
    </x:row>
    <x:row r="1793" ht="44" customHeight="1">
      <x:c r="A1793" s="35" t="str">
        <x:v>Not Started</x:v>
      </x:c>
      <x:c r="B1793" s="35" t="n">
        <x:v>1791</x:v>
      </x:c>
      <x:c r="C1793" s="35" t="str">
        <x:v>B33</x:v>
      </x:c>
      <x:c r="D1793" s="35" t="n">
        <x:v>18</x:v>
      </x:c>
      <x:c r="E1793" s="35" t="str">
        <x:v>BC Diagnostic</x:v>
      </x:c>
      <x:c r="F1793" s="35" t="str">
        <x:v>Vision-only BC (task-specific)</x:v>
      </x:c>
      <x:c r="G1793" s="35" t="n">
        <x:v>2</x:v>
      </x:c>
      <x:c r="H1793" s="35" t="str">
        <x:v>State Recognition</x:v>
      </x:c>
      <x:c r="I1793" s="35" t="str">
        <x:v>Vision-only counterfactual B</x:v>
      </x:c>
      <x:c r="J1793" s="35" t="str">
        <x:v>BC-ST-10B</x:v>
      </x:c>
      <x:c r="K1793" s="35" t="str">
        <x:v>BC-ST-10</x:v>
      </x:c>
      <x:c r="L1793" s="31" t="str">
        <x:v>[NO LANGUAGE CHANNEL / INPUT]</x:v>
      </x:c>
      <x:c r="M1793" s="31" t="str">
        <x:v>Place the upright yellow-white striped cup in the bowl.</x:v>
      </x:c>
      <x:c r="N1793" s="31" t="str">
        <x:v>S-CF10-HELD: P1 brown cup B=C/UR; P2 yellow-white striped cup B=O/UR [TARGET]; P3 yellow-white striped cup A=O/UD [COMPETITOR]; P4 glass spice container B=C/UD.</x:v>
      </x:c>
      <x:c r="O1793" s="31" t="str">
        <x:v>yellow-white striped cup B</x:v>
      </x:c>
      <x:c r="P1793" s="31" t="str"/>
      <x:c r="Q1793" s="31" t="str"/>
      <x:c r="R1793" s="31" t="str"/>
      <x:c r="S1793" s="31" t="str">
        <x:f>IF('Blind Scoring'!I1793="","",'Blind Scoring'!I1793)</x:f>
      </x:c>
      <x:c r="T1793" s="31" t="str">
        <x:f>'Blind Scoring'!J1793</x:f>
        <x:v>No</x:v>
      </x:c>
      <x:c r="U1793" s="31" t="str">
        <x:f>IF('Blind Scoring'!L1793="","",'Blind Scoring'!L1793)</x:f>
      </x:c>
    </x:row>
    <x:row r="1794" ht="44" customHeight="1">
      <x:c r="A1794" s="35" t="str">
        <x:v>Not Started</x:v>
      </x:c>
      <x:c r="B1794" s="35" t="n">
        <x:v>1792</x:v>
      </x:c>
      <x:c r="C1794" s="35" t="str">
        <x:v>B33</x:v>
      </x:c>
      <x:c r="D1794" s="35" t="n">
        <x:v>19</x:v>
      </x:c>
      <x:c r="E1794" s="35" t="str">
        <x:v>BC Diagnostic</x:v>
      </x:c>
      <x:c r="F1794" s="35" t="str">
        <x:v>Vision-only BC (task-specific)</x:v>
      </x:c>
      <x:c r="G1794" s="35" t="n">
        <x:v>2</x:v>
      </x:c>
      <x:c r="H1794" s="35" t="str">
        <x:v>State Recognition</x:v>
      </x:c>
      <x:c r="I1794" s="35" t="str">
        <x:v>Vision-only counterfactual A</x:v>
      </x:c>
      <x:c r="J1794" s="35" t="str">
        <x:v>BC-ST-08A</x:v>
      </x:c>
      <x:c r="K1794" s="35" t="str">
        <x:v>BC-ST-08</x:v>
      </x:c>
      <x:c r="L1794" s="31" t="str">
        <x:v>[NO LANGUAGE CHANNEL / INPUT]</x:v>
      </x:c>
      <x:c r="M1794" s="31" t="str">
        <x:v>Place the upside-down brown cup in the bowl.</x:v>
      </x:c>
      <x:c r="N1794" s="31" t="str">
        <x:v>S-CF08-SEEN: P1 brown cup A=C/UD [COMPETITOR]; P2 glass spice container B=O/UR; P3 white cup A=O/UD; P4 brown cup B=C/UR [TARGET].</x:v>
      </x:c>
      <x:c r="O1794" s="31" t="str">
        <x:v>brown cup A</x:v>
      </x:c>
      <x:c r="P1794" s="31" t="str"/>
      <x:c r="Q1794" s="31" t="str"/>
      <x:c r="R1794" s="31" t="str"/>
      <x:c r="S1794" s="31" t="str">
        <x:f>IF('Blind Scoring'!I1794="","",'Blind Scoring'!I1794)</x:f>
      </x:c>
      <x:c r="T1794" s="31" t="str">
        <x:f>'Blind Scoring'!J1794</x:f>
        <x:v>No</x:v>
      </x:c>
      <x:c r="U1794" s="31" t="str">
        <x:f>IF('Blind Scoring'!L1794="","",'Blind Scoring'!L1794)</x:f>
      </x:c>
    </x:row>
    <x:row r="1795" ht="44" customHeight="1">
      <x:c r="A1795" s="35" t="str">
        <x:v>Not Started</x:v>
      </x:c>
      <x:c r="B1795" s="35" t="n">
        <x:v>1793</x:v>
      </x:c>
      <x:c r="C1795" s="35" t="str">
        <x:v>B33</x:v>
      </x:c>
      <x:c r="D1795" s="35" t="n">
        <x:v>20</x:v>
      </x:c>
      <x:c r="E1795" s="35" t="str">
        <x:v>BC Diagnostic</x:v>
      </x:c>
      <x:c r="F1795" s="35" t="str">
        <x:v>Vision-only BC (task-specific)</x:v>
      </x:c>
      <x:c r="G1795" s="35" t="n">
        <x:v>2</x:v>
      </x:c>
      <x:c r="H1795" s="35" t="str">
        <x:v>State Recognition</x:v>
      </x:c>
      <x:c r="I1795" s="35" t="str">
        <x:v>Vision-only counterfactual A</x:v>
      </x:c>
      <x:c r="J1795" s="35" t="str">
        <x:v>BC-ST-03A</x:v>
      </x:c>
      <x:c r="K1795" s="35" t="str">
        <x:v>BC-ST-03</x:v>
      </x:c>
      <x:c r="L1795" s="31" t="str">
        <x:v>[NO LANGUAGE CHANNEL / INPUT]</x:v>
      </x:c>
      <x:c r="M1795" s="31" t="str">
        <x:v>Place the open glass spice container in the bowl.</x:v>
      </x:c>
      <x:c r="N1795" s="31" t="str">
        <x:v>S-CF03-SEEN: P1 white cup A=C/UR; P2 yellow-white striped cup A=O/UR; P3 glass spice container B=C/UD [TARGET]; P4 glass spice container A=O/UD [COMPETITOR].</x:v>
      </x:c>
      <x:c r="O1795" s="31" t="str">
        <x:v>glass spice container A</x:v>
      </x:c>
      <x:c r="P1795" s="31" t="str"/>
      <x:c r="Q1795" s="31" t="str"/>
      <x:c r="R1795" s="31" t="str"/>
      <x:c r="S1795" s="31" t="str">
        <x:f>IF('Blind Scoring'!I1795="","",'Blind Scoring'!I1795)</x:f>
      </x:c>
      <x:c r="T1795" s="31" t="str">
        <x:f>'Blind Scoring'!J1795</x:f>
        <x:v>No</x:v>
      </x:c>
      <x:c r="U1795" s="31" t="str">
        <x:f>IF('Blind Scoring'!L1795="","",'Blind Scoring'!L1795)</x:f>
      </x:c>
    </x:row>
    <x:row r="1796" ht="44" customHeight="1">
      <x:c r="A1796" s="35" t="str">
        <x:v>Not Started</x:v>
      </x:c>
      <x:c r="B1796" s="35" t="n">
        <x:v>1794</x:v>
      </x:c>
      <x:c r="C1796" s="35" t="str">
        <x:v>B34</x:v>
      </x:c>
      <x:c r="D1796" s="35" t="n">
        <x:v>1</x:v>
      </x:c>
      <x:c r="E1796" s="35" t="str">
        <x:v>BC Diagnostic</x:v>
      </x:c>
      <x:c r="F1796" s="35" t="str">
        <x:v>Vision-only BC (task-specific)</x:v>
      </x:c>
      <x:c r="G1796" s="35" t="n">
        <x:v>3</x:v>
      </x:c>
      <x:c r="H1796" s="35" t="str">
        <x:v>Counting</x:v>
      </x:c>
      <x:c r="I1796" s="35" t="str">
        <x:v>Vision-only counterfactual A</x:v>
      </x:c>
      <x:c r="J1796" s="35" t="str">
        <x:v>BC-CT-03A</x:v>
      </x:c>
      <x:c r="K1796" s="35" t="str">
        <x:v>BC-CT-03</x:v>
      </x:c>
      <x:c r="L1796" s="31" t="str">
        <x:v>[NO LANGUAGE CHANNEL / INPUT]</x:v>
      </x:c>
      <x:c r="M1796" s="31" t="str">
        <x:v>Leave exactly one object in the bowl.</x:v>
      </x:c>
      <x:c r="N1796" s="31" t="str">
        <x:v>C-CF03A: bowl=[green pencil sharpener, airplane toy without propellers] (2); table=[blue pen, yellow block]; robot home; acceptable action=remove either bowl object.</x:v>
      </x:c>
      <x:c r="O1796" s="31" t="str">
        <x:v>REMOVE one bowl object</x:v>
      </x:c>
      <x:c r="P1796" s="31" t="str"/>
      <x:c r="Q1796" s="31" t="str"/>
      <x:c r="R1796" s="31" t="str"/>
      <x:c r="S1796" s="31" t="str">
        <x:f>IF('Blind Scoring'!I1796="","",'Blind Scoring'!I1796)</x:f>
      </x:c>
      <x:c r="T1796" s="31" t="str">
        <x:f>'Blind Scoring'!J1796</x:f>
        <x:v>No</x:v>
      </x:c>
      <x:c r="U1796" s="31" t="str">
        <x:f>IF('Blind Scoring'!L1796="","",'Blind Scoring'!L1796)</x:f>
      </x:c>
    </x:row>
    <x:row r="1797" ht="44" customHeight="1">
      <x:c r="A1797" s="35" t="str">
        <x:v>Not Started</x:v>
      </x:c>
      <x:c r="B1797" s="35" t="n">
        <x:v>1795</x:v>
      </x:c>
      <x:c r="C1797" s="35" t="str">
        <x:v>B34</x:v>
      </x:c>
      <x:c r="D1797" s="35" t="n">
        <x:v>2</x:v>
      </x:c>
      <x:c r="E1797" s="35" t="str">
        <x:v>BC Diagnostic</x:v>
      </x:c>
      <x:c r="F1797" s="35" t="str">
        <x:v>Vision-only BC (task-specific)</x:v>
      </x:c>
      <x:c r="G1797" s="35" t="n">
        <x:v>3</x:v>
      </x:c>
      <x:c r="H1797" s="35" t="str">
        <x:v>Counting</x:v>
      </x:c>
      <x:c r="I1797" s="35" t="str">
        <x:v>Vision-only counterfactual B</x:v>
      </x:c>
      <x:c r="J1797" s="35" t="str">
        <x:v>BC-CT-06B</x:v>
      </x:c>
      <x:c r="K1797" s="35" t="str">
        <x:v>BC-CT-06</x:v>
      </x:c>
      <x:c r="L1797" s="31" t="str">
        <x:v>[NO LANGUAGE CHANNEL / INPUT]</x:v>
      </x:c>
      <x:c r="M1797" s="31" t="str">
        <x:v>Leave exactly three objects in the bowl.</x:v>
      </x:c>
      <x:c r="N1797" s="31" t="str">
        <x:v>C-CF06B: bowl=[yellow block, green pencil sharpener] (2); table=[airplane toy without propellers, blue pen]; robot home; acceptable action=add either table object.</x:v>
      </x:c>
      <x:c r="O1797" s="31" t="str">
        <x:v>ADD one table object</x:v>
      </x:c>
      <x:c r="P1797" s="31" t="str"/>
      <x:c r="Q1797" s="31" t="str"/>
      <x:c r="R1797" s="31" t="str"/>
      <x:c r="S1797" s="31" t="str">
        <x:f>IF('Blind Scoring'!I1797="","",'Blind Scoring'!I1797)</x:f>
      </x:c>
      <x:c r="T1797" s="31" t="str">
        <x:f>'Blind Scoring'!J1797</x:f>
        <x:v>No</x:v>
      </x:c>
      <x:c r="U1797" s="31" t="str">
        <x:f>IF('Blind Scoring'!L1797="","",'Blind Scoring'!L1797)</x:f>
      </x:c>
    </x:row>
    <x:row r="1798" ht="44" customHeight="1">
      <x:c r="A1798" s="35" t="str">
        <x:v>Not Started</x:v>
      </x:c>
      <x:c r="B1798" s="35" t="n">
        <x:v>1796</x:v>
      </x:c>
      <x:c r="C1798" s="35" t="str">
        <x:v>B34</x:v>
      </x:c>
      <x:c r="D1798" s="35" t="n">
        <x:v>3</x:v>
      </x:c>
      <x:c r="E1798" s="35" t="str">
        <x:v>BC Diagnostic</x:v>
      </x:c>
      <x:c r="F1798" s="35" t="str">
        <x:v>Vision-only BC (task-specific)</x:v>
      </x:c>
      <x:c r="G1798" s="35" t="n">
        <x:v>3</x:v>
      </x:c>
      <x:c r="H1798" s="35" t="str">
        <x:v>Counting</x:v>
      </x:c>
      <x:c r="I1798" s="35" t="str">
        <x:v>Vision-only counterfactual A</x:v>
      </x:c>
      <x:c r="J1798" s="35" t="str">
        <x:v>BC-CT-08A</x:v>
      </x:c>
      <x:c r="K1798" s="35" t="str">
        <x:v>BC-CT-08</x:v>
      </x:c>
      <x:c r="L1798" s="31" t="str">
        <x:v>[NO LANGUAGE CHANNEL / INPUT]</x:v>
      </x:c>
      <x:c r="M1798" s="31" t="str">
        <x:v>Leave exactly one object in the bowl.</x:v>
      </x:c>
      <x:c r="N1798" s="31" t="str">
        <x:v>C-CF08A: bowl=[airplane toy without propellers, blue pen] (2); table=[yellow block, green pencil sharpener]; robot home; acceptable action=remove either bowl object.</x:v>
      </x:c>
      <x:c r="O1798" s="31" t="str">
        <x:v>REMOVE one bowl object</x:v>
      </x:c>
      <x:c r="P1798" s="31" t="str"/>
      <x:c r="Q1798" s="31" t="str"/>
      <x:c r="R1798" s="31" t="str"/>
      <x:c r="S1798" s="31" t="str">
        <x:f>IF('Blind Scoring'!I1798="","",'Blind Scoring'!I1798)</x:f>
      </x:c>
      <x:c r="T1798" s="31" t="str">
        <x:f>'Blind Scoring'!J1798</x:f>
        <x:v>No</x:v>
      </x:c>
      <x:c r="U1798" s="31" t="str">
        <x:f>IF('Blind Scoring'!L1798="","",'Blind Scoring'!L1798)</x:f>
      </x:c>
    </x:row>
    <x:row r="1799" ht="44" customHeight="1">
      <x:c r="A1799" s="35" t="str">
        <x:v>Not Started</x:v>
      </x:c>
      <x:c r="B1799" s="35" t="n">
        <x:v>1797</x:v>
      </x:c>
      <x:c r="C1799" s="35" t="str">
        <x:v>B34</x:v>
      </x:c>
      <x:c r="D1799" s="35" t="n">
        <x:v>4</x:v>
      </x:c>
      <x:c r="E1799" s="35" t="str">
        <x:v>BC Diagnostic</x:v>
      </x:c>
      <x:c r="F1799" s="35" t="str">
        <x:v>Vision-only BC (task-specific)</x:v>
      </x:c>
      <x:c r="G1799" s="35" t="n">
        <x:v>3</x:v>
      </x:c>
      <x:c r="H1799" s="35" t="str">
        <x:v>Counting</x:v>
      </x:c>
      <x:c r="I1799" s="35" t="str">
        <x:v>Vision-only counterfactual A</x:v>
      </x:c>
      <x:c r="J1799" s="35" t="str">
        <x:v>BC-CT-04A</x:v>
      </x:c>
      <x:c r="K1799" s="35" t="str">
        <x:v>BC-CT-04</x:v>
      </x:c>
      <x:c r="L1799" s="31" t="str">
        <x:v>[NO LANGUAGE CHANNEL / INPUT]</x:v>
      </x:c>
      <x:c r="M1799" s="31" t="str">
        <x:v>Leave exactly one object in the bowl.</x:v>
      </x:c>
      <x:c r="N1799" s="31" t="str">
        <x:v>C-CF04A: bowl=[airplane toy without propellers, blue pen] (2); table=[yellow block, green pencil sharpener]; robot home; acceptable action=remove either bowl object.</x:v>
      </x:c>
      <x:c r="O1799" s="31" t="str">
        <x:v>REMOVE one bowl object</x:v>
      </x:c>
      <x:c r="P1799" s="31" t="str"/>
      <x:c r="Q1799" s="31" t="str"/>
      <x:c r="R1799" s="31" t="str"/>
      <x:c r="S1799" s="31" t="str">
        <x:f>IF('Blind Scoring'!I1799="","",'Blind Scoring'!I1799)</x:f>
      </x:c>
      <x:c r="T1799" s="31" t="str">
        <x:f>'Blind Scoring'!J1799</x:f>
        <x:v>No</x:v>
      </x:c>
      <x:c r="U1799" s="31" t="str">
        <x:f>IF('Blind Scoring'!L1799="","",'Blind Scoring'!L1799)</x:f>
      </x:c>
    </x:row>
    <x:row r="1800" ht="44" customHeight="1">
      <x:c r="A1800" s="35" t="str">
        <x:v>Not Started</x:v>
      </x:c>
      <x:c r="B1800" s="35" t="n">
        <x:v>1798</x:v>
      </x:c>
      <x:c r="C1800" s="35" t="str">
        <x:v>B34</x:v>
      </x:c>
      <x:c r="D1800" s="35" t="n">
        <x:v>5</x:v>
      </x:c>
      <x:c r="E1800" s="35" t="str">
        <x:v>BC Diagnostic</x:v>
      </x:c>
      <x:c r="F1800" s="35" t="str">
        <x:v>Vision-only BC (task-specific)</x:v>
      </x:c>
      <x:c r="G1800" s="35" t="n">
        <x:v>3</x:v>
      </x:c>
      <x:c r="H1800" s="35" t="str">
        <x:v>Counting</x:v>
      </x:c>
      <x:c r="I1800" s="35" t="str">
        <x:v>Vision-only counterfactual A</x:v>
      </x:c>
      <x:c r="J1800" s="35" t="str">
        <x:v>BC-CT-07A</x:v>
      </x:c>
      <x:c r="K1800" s="35" t="str">
        <x:v>BC-CT-07</x:v>
      </x:c>
      <x:c r="L1800" s="31" t="str">
        <x:v>[NO LANGUAGE CHANNEL / INPUT]</x:v>
      </x:c>
      <x:c r="M1800" s="31" t="str">
        <x:v>Leave exactly one object in the bowl.</x:v>
      </x:c>
      <x:c r="N1800" s="31" t="str">
        <x:v>C-CF07A: bowl=[green pencil sharpener, airplane toy without propellers] (2); table=[blue pen, yellow block]; robot home; acceptable action=remove either bowl object.</x:v>
      </x:c>
      <x:c r="O1800" s="31" t="str">
        <x:v>REMOVE one bowl object</x:v>
      </x:c>
      <x:c r="P1800" s="31" t="str"/>
      <x:c r="Q1800" s="31" t="str"/>
      <x:c r="R1800" s="31" t="str"/>
      <x:c r="S1800" s="31" t="str">
        <x:f>IF('Blind Scoring'!I1800="","",'Blind Scoring'!I1800)</x:f>
      </x:c>
      <x:c r="T1800" s="31" t="str">
        <x:f>'Blind Scoring'!J1800</x:f>
        <x:v>No</x:v>
      </x:c>
      <x:c r="U1800" s="31" t="str">
        <x:f>IF('Blind Scoring'!L1800="","",'Blind Scoring'!L1800)</x:f>
      </x:c>
    </x:row>
    <x:row r="1801" ht="44" customHeight="1">
      <x:c r="A1801" s="35" t="str">
        <x:v>Not Started</x:v>
      </x:c>
      <x:c r="B1801" s="35" t="n">
        <x:v>1799</x:v>
      </x:c>
      <x:c r="C1801" s="35" t="str">
        <x:v>B34</x:v>
      </x:c>
      <x:c r="D1801" s="35" t="n">
        <x:v>6</x:v>
      </x:c>
      <x:c r="E1801" s="35" t="str">
        <x:v>BC Diagnostic</x:v>
      </x:c>
      <x:c r="F1801" s="35" t="str">
        <x:v>Vision-only BC (task-specific)</x:v>
      </x:c>
      <x:c r="G1801" s="35" t="n">
        <x:v>3</x:v>
      </x:c>
      <x:c r="H1801" s="35" t="str">
        <x:v>Counting</x:v>
      </x:c>
      <x:c r="I1801" s="35" t="str">
        <x:v>Vision-only counterfactual B</x:v>
      </x:c>
      <x:c r="J1801" s="35" t="str">
        <x:v>BC-CT-04B</x:v>
      </x:c>
      <x:c r="K1801" s="35" t="str">
        <x:v>BC-CT-04</x:v>
      </x:c>
      <x:c r="L1801" s="31" t="str">
        <x:v>[NO LANGUAGE CHANNEL / INPUT]</x:v>
      </x:c>
      <x:c r="M1801" s="31" t="str">
        <x:v>Leave exactly three objects in the bowl.</x:v>
      </x:c>
      <x:c r="N1801" s="31" t="str">
        <x:v>C-CF04B: bowl=[airplane toy without propellers, blue pen] (2); table=[yellow block, green pencil sharpener]; robot home; acceptable action=add either table object.</x:v>
      </x:c>
      <x:c r="O1801" s="31" t="str">
        <x:v>ADD one table object</x:v>
      </x:c>
      <x:c r="P1801" s="31" t="str"/>
      <x:c r="Q1801" s="31" t="str"/>
      <x:c r="R1801" s="31" t="str"/>
      <x:c r="S1801" s="31" t="str">
        <x:f>IF('Blind Scoring'!I1801="","",'Blind Scoring'!I1801)</x:f>
      </x:c>
      <x:c r="T1801" s="31" t="str">
        <x:f>'Blind Scoring'!J1801</x:f>
        <x:v>No</x:v>
      </x:c>
      <x:c r="U1801" s="31" t="str">
        <x:f>IF('Blind Scoring'!L1801="","",'Blind Scoring'!L1801)</x:f>
      </x:c>
    </x:row>
    <x:row r="1802" ht="44" customHeight="1">
      <x:c r="A1802" s="35" t="str">
        <x:v>Not Started</x:v>
      </x:c>
      <x:c r="B1802" s="35" t="n">
        <x:v>1800</x:v>
      </x:c>
      <x:c r="C1802" s="35" t="str">
        <x:v>B34</x:v>
      </x:c>
      <x:c r="D1802" s="35" t="n">
        <x:v>7</x:v>
      </x:c>
      <x:c r="E1802" s="35" t="str">
        <x:v>BC Diagnostic</x:v>
      </x:c>
      <x:c r="F1802" s="35" t="str">
        <x:v>Vision-only BC (task-specific)</x:v>
      </x:c>
      <x:c r="G1802" s="35" t="n">
        <x:v>3</x:v>
      </x:c>
      <x:c r="H1802" s="35" t="str">
        <x:v>Counting</x:v>
      </x:c>
      <x:c r="I1802" s="35" t="str">
        <x:v>Vision-only counterfactual B</x:v>
      </x:c>
      <x:c r="J1802" s="35" t="str">
        <x:v>BC-CT-03B</x:v>
      </x:c>
      <x:c r="K1802" s="35" t="str">
        <x:v>BC-CT-03</x:v>
      </x:c>
      <x:c r="L1802" s="31" t="str">
        <x:v>[NO LANGUAGE CHANNEL / INPUT]</x:v>
      </x:c>
      <x:c r="M1802" s="31" t="str">
        <x:v>Leave exactly three objects in the bowl.</x:v>
      </x:c>
      <x:c r="N1802" s="31" t="str">
        <x:v>C-CF03B: bowl=[green pencil sharpener, airplane toy without propellers] (2); table=[blue pen, yellow block]; robot home; acceptable action=add either table object.</x:v>
      </x:c>
      <x:c r="O1802" s="31" t="str">
        <x:v>ADD one table object</x:v>
      </x:c>
      <x:c r="P1802" s="31" t="str"/>
      <x:c r="Q1802" s="31" t="str"/>
      <x:c r="R1802" s="31" t="str"/>
      <x:c r="S1802" s="31" t="str">
        <x:f>IF('Blind Scoring'!I1802="","",'Blind Scoring'!I1802)</x:f>
      </x:c>
      <x:c r="T1802" s="31" t="str">
        <x:f>'Blind Scoring'!J1802</x:f>
        <x:v>No</x:v>
      </x:c>
      <x:c r="U1802" s="31" t="str">
        <x:f>IF('Blind Scoring'!L1802="","",'Blind Scoring'!L1802)</x:f>
      </x:c>
    </x:row>
    <x:row r="1803" ht="44" customHeight="1">
      <x:c r="A1803" s="35" t="str">
        <x:v>Not Started</x:v>
      </x:c>
      <x:c r="B1803" s="35" t="n">
        <x:v>1801</x:v>
      </x:c>
      <x:c r="C1803" s="35" t="str">
        <x:v>B34</x:v>
      </x:c>
      <x:c r="D1803" s="35" t="n">
        <x:v>8</x:v>
      </x:c>
      <x:c r="E1803" s="35" t="str">
        <x:v>BC Diagnostic</x:v>
      </x:c>
      <x:c r="F1803" s="35" t="str">
        <x:v>Vision-only BC (task-specific)</x:v>
      </x:c>
      <x:c r="G1803" s="35" t="n">
        <x:v>3</x:v>
      </x:c>
      <x:c r="H1803" s="35" t="str">
        <x:v>Counting</x:v>
      </x:c>
      <x:c r="I1803" s="35" t="str">
        <x:v>Vision-only counterfactual A</x:v>
      </x:c>
      <x:c r="J1803" s="35" t="str">
        <x:v>BC-CT-05A</x:v>
      </x:c>
      <x:c r="K1803" s="35" t="str">
        <x:v>BC-CT-05</x:v>
      </x:c>
      <x:c r="L1803" s="31" t="str">
        <x:v>[NO LANGUAGE CHANNEL / INPUT]</x:v>
      </x:c>
      <x:c r="M1803" s="31" t="str">
        <x:v>Leave exactly one object in the bowl.</x:v>
      </x:c>
      <x:c r="N1803" s="31" t="str">
        <x:v>C-CF05A: bowl=[blue pen, yellow block] (2); table=[green pencil sharpener, airplane toy without propellers]; robot home; acceptable action=remove either bowl object.</x:v>
      </x:c>
      <x:c r="O1803" s="31" t="str">
        <x:v>REMOVE one bowl object</x:v>
      </x:c>
      <x:c r="P1803" s="31" t="str"/>
      <x:c r="Q1803" s="31" t="str"/>
      <x:c r="R1803" s="31" t="str"/>
      <x:c r="S1803" s="31" t="str">
        <x:f>IF('Blind Scoring'!I1803="","",'Blind Scoring'!I1803)</x:f>
      </x:c>
      <x:c r="T1803" s="31" t="str">
        <x:f>'Blind Scoring'!J1803</x:f>
        <x:v>No</x:v>
      </x:c>
      <x:c r="U1803" s="31" t="str">
        <x:f>IF('Blind Scoring'!L1803="","",'Blind Scoring'!L1803)</x:f>
      </x:c>
    </x:row>
    <x:row r="1804" ht="44" customHeight="1">
      <x:c r="A1804" s="35" t="str">
        <x:v>Not Started</x:v>
      </x:c>
      <x:c r="B1804" s="35" t="n">
        <x:v>1802</x:v>
      </x:c>
      <x:c r="C1804" s="35" t="str">
        <x:v>B34</x:v>
      </x:c>
      <x:c r="D1804" s="35" t="n">
        <x:v>9</x:v>
      </x:c>
      <x:c r="E1804" s="35" t="str">
        <x:v>BC Diagnostic</x:v>
      </x:c>
      <x:c r="F1804" s="35" t="str">
        <x:v>Vision-only BC (task-specific)</x:v>
      </x:c>
      <x:c r="G1804" s="35" t="n">
        <x:v>3</x:v>
      </x:c>
      <x:c r="H1804" s="35" t="str">
        <x:v>Counting</x:v>
      </x:c>
      <x:c r="I1804" s="35" t="str">
        <x:v>Vision-only counterfactual A</x:v>
      </x:c>
      <x:c r="J1804" s="35" t="str">
        <x:v>BC-CT-02A</x:v>
      </x:c>
      <x:c r="K1804" s="35" t="str">
        <x:v>BC-CT-02</x:v>
      </x:c>
      <x:c r="L1804" s="31" t="str">
        <x:v>[NO LANGUAGE CHANNEL / INPUT]</x:v>
      </x:c>
      <x:c r="M1804" s="31" t="str">
        <x:v>Leave exactly one object in the bowl.</x:v>
      </x:c>
      <x:c r="N1804" s="31" t="str">
        <x:v>C-CF02A: bowl=[yellow block, green pencil sharpener] (2); table=[airplane toy without propellers, blue pen]; robot home; acceptable action=remove either bowl object.</x:v>
      </x:c>
      <x:c r="O1804" s="31" t="str">
        <x:v>REMOVE one bowl object</x:v>
      </x:c>
      <x:c r="P1804" s="31" t="str"/>
      <x:c r="Q1804" s="31" t="str"/>
      <x:c r="R1804" s="31" t="str"/>
      <x:c r="S1804" s="31" t="str">
        <x:f>IF('Blind Scoring'!I1804="","",'Blind Scoring'!I1804)</x:f>
      </x:c>
      <x:c r="T1804" s="31" t="str">
        <x:f>'Blind Scoring'!J1804</x:f>
        <x:v>No</x:v>
      </x:c>
      <x:c r="U1804" s="31" t="str">
        <x:f>IF('Blind Scoring'!L1804="","",'Blind Scoring'!L1804)</x:f>
      </x:c>
    </x:row>
    <x:row r="1805" ht="44" customHeight="1">
      <x:c r="A1805" s="35" t="str">
        <x:v>Not Started</x:v>
      </x:c>
      <x:c r="B1805" s="35" t="n">
        <x:v>1803</x:v>
      </x:c>
      <x:c r="C1805" s="35" t="str">
        <x:v>B34</x:v>
      </x:c>
      <x:c r="D1805" s="35" t="n">
        <x:v>10</x:v>
      </x:c>
      <x:c r="E1805" s="35" t="str">
        <x:v>BC Diagnostic</x:v>
      </x:c>
      <x:c r="F1805" s="35" t="str">
        <x:v>Vision-only BC (task-specific)</x:v>
      </x:c>
      <x:c r="G1805" s="35" t="n">
        <x:v>3</x:v>
      </x:c>
      <x:c r="H1805" s="35" t="str">
        <x:v>Counting</x:v>
      </x:c>
      <x:c r="I1805" s="35" t="str">
        <x:v>Vision-only counterfactual B</x:v>
      </x:c>
      <x:c r="J1805" s="35" t="str">
        <x:v>BC-CT-10B</x:v>
      </x:c>
      <x:c r="K1805" s="35" t="str">
        <x:v>BC-CT-10</x:v>
      </x:c>
      <x:c r="L1805" s="31" t="str">
        <x:v>[NO LANGUAGE CHANNEL / INPUT]</x:v>
      </x:c>
      <x:c r="M1805" s="31" t="str">
        <x:v>Leave exactly three objects in the bowl.</x:v>
      </x:c>
      <x:c r="N1805" s="31" t="str">
        <x:v>C-CF10B: bowl=[yellow block, green pencil sharpener] (2); table=[airplane toy without propellers, blue pen]; robot home; acceptable action=add either table object.</x:v>
      </x:c>
      <x:c r="O1805" s="31" t="str">
        <x:v>ADD one table object</x:v>
      </x:c>
      <x:c r="P1805" s="31" t="str"/>
      <x:c r="Q1805" s="31" t="str"/>
      <x:c r="R1805" s="31" t="str"/>
      <x:c r="S1805" s="31" t="str">
        <x:f>IF('Blind Scoring'!I1805="","",'Blind Scoring'!I1805)</x:f>
      </x:c>
      <x:c r="T1805" s="31" t="str">
        <x:f>'Blind Scoring'!J1805</x:f>
        <x:v>No</x:v>
      </x:c>
      <x:c r="U1805" s="31" t="str">
        <x:f>IF('Blind Scoring'!L1805="","",'Blind Scoring'!L1805)</x:f>
      </x:c>
    </x:row>
    <x:row r="1806" ht="44" customHeight="1">
      <x:c r="A1806" s="35" t="str">
        <x:v>Not Started</x:v>
      </x:c>
      <x:c r="B1806" s="35" t="n">
        <x:v>1804</x:v>
      </x:c>
      <x:c r="C1806" s="35" t="str">
        <x:v>B34</x:v>
      </x:c>
      <x:c r="D1806" s="35" t="n">
        <x:v>11</x:v>
      </x:c>
      <x:c r="E1806" s="35" t="str">
        <x:v>BC Diagnostic</x:v>
      </x:c>
      <x:c r="F1806" s="35" t="str">
        <x:v>Vision-only BC (task-specific)</x:v>
      </x:c>
      <x:c r="G1806" s="35" t="n">
        <x:v>3</x:v>
      </x:c>
      <x:c r="H1806" s="35" t="str">
        <x:v>Counting</x:v>
      </x:c>
      <x:c r="I1806" s="35" t="str">
        <x:v>Vision-only counterfactual B</x:v>
      </x:c>
      <x:c r="J1806" s="35" t="str">
        <x:v>BC-CT-08B</x:v>
      </x:c>
      <x:c r="K1806" s="35" t="str">
        <x:v>BC-CT-08</x:v>
      </x:c>
      <x:c r="L1806" s="31" t="str">
        <x:v>[NO LANGUAGE CHANNEL / INPUT]</x:v>
      </x:c>
      <x:c r="M1806" s="31" t="str">
        <x:v>Leave exactly three objects in the bowl.</x:v>
      </x:c>
      <x:c r="N1806" s="31" t="str">
        <x:v>C-CF08B: bowl=[airplane toy without propellers, blue pen] (2); table=[yellow block, green pencil sharpener]; robot home; acceptable action=add either table object.</x:v>
      </x:c>
      <x:c r="O1806" s="31" t="str">
        <x:v>ADD one table object</x:v>
      </x:c>
      <x:c r="P1806" s="31" t="str"/>
      <x:c r="Q1806" s="31" t="str"/>
      <x:c r="R1806" s="31" t="str"/>
      <x:c r="S1806" s="31" t="str">
        <x:f>IF('Blind Scoring'!I1806="","",'Blind Scoring'!I1806)</x:f>
      </x:c>
      <x:c r="T1806" s="31" t="str">
        <x:f>'Blind Scoring'!J1806</x:f>
        <x:v>No</x:v>
      </x:c>
      <x:c r="U1806" s="31" t="str">
        <x:f>IF('Blind Scoring'!L1806="","",'Blind Scoring'!L1806)</x:f>
      </x:c>
    </x:row>
    <x:row r="1807" ht="44" customHeight="1">
      <x:c r="A1807" s="35" t="str">
        <x:v>Not Started</x:v>
      </x:c>
      <x:c r="B1807" s="35" t="n">
        <x:v>1805</x:v>
      </x:c>
      <x:c r="C1807" s="35" t="str">
        <x:v>B34</x:v>
      </x:c>
      <x:c r="D1807" s="35" t="n">
        <x:v>12</x:v>
      </x:c>
      <x:c r="E1807" s="35" t="str">
        <x:v>BC Diagnostic</x:v>
      </x:c>
      <x:c r="F1807" s="35" t="str">
        <x:v>Vision-only BC (task-specific)</x:v>
      </x:c>
      <x:c r="G1807" s="35" t="n">
        <x:v>3</x:v>
      </x:c>
      <x:c r="H1807" s="35" t="str">
        <x:v>Counting</x:v>
      </x:c>
      <x:c r="I1807" s="35" t="str">
        <x:v>Vision-only counterfactual A</x:v>
      </x:c>
      <x:c r="J1807" s="35" t="str">
        <x:v>BC-CT-09A</x:v>
      </x:c>
      <x:c r="K1807" s="35" t="str">
        <x:v>BC-CT-09</x:v>
      </x:c>
      <x:c r="L1807" s="31" t="str">
        <x:v>[NO LANGUAGE CHANNEL / INPUT]</x:v>
      </x:c>
      <x:c r="M1807" s="31" t="str">
        <x:v>Leave exactly one object in the bowl.</x:v>
      </x:c>
      <x:c r="N1807" s="31" t="str">
        <x:v>C-CF09A: bowl=[blue pen, yellow block] (2); table=[green pencil sharpener, airplane toy without propellers]; robot home; acceptable action=remove either bowl object.</x:v>
      </x:c>
      <x:c r="O1807" s="31" t="str">
        <x:v>REMOVE one bowl object</x:v>
      </x:c>
      <x:c r="P1807" s="31" t="str"/>
      <x:c r="Q1807" s="31" t="str"/>
      <x:c r="R1807" s="31" t="str"/>
      <x:c r="S1807" s="31" t="str">
        <x:f>IF('Blind Scoring'!I1807="","",'Blind Scoring'!I1807)</x:f>
      </x:c>
      <x:c r="T1807" s="31" t="str">
        <x:f>'Blind Scoring'!J1807</x:f>
        <x:v>No</x:v>
      </x:c>
      <x:c r="U1807" s="31" t="str">
        <x:f>IF('Blind Scoring'!L1807="","",'Blind Scoring'!L1807)</x:f>
      </x:c>
    </x:row>
    <x:row r="1808" ht="44" customHeight="1">
      <x:c r="A1808" s="35" t="str">
        <x:v>Not Started</x:v>
      </x:c>
      <x:c r="B1808" s="35" t="n">
        <x:v>1806</x:v>
      </x:c>
      <x:c r="C1808" s="35" t="str">
        <x:v>B34</x:v>
      </x:c>
      <x:c r="D1808" s="35" t="n">
        <x:v>13</x:v>
      </x:c>
      <x:c r="E1808" s="35" t="str">
        <x:v>BC Diagnostic</x:v>
      </x:c>
      <x:c r="F1808" s="35" t="str">
        <x:v>Vision-only BC (task-specific)</x:v>
      </x:c>
      <x:c r="G1808" s="35" t="n">
        <x:v>3</x:v>
      </x:c>
      <x:c r="H1808" s="35" t="str">
        <x:v>Counting</x:v>
      </x:c>
      <x:c r="I1808" s="35" t="str">
        <x:v>Vision-only counterfactual B</x:v>
      </x:c>
      <x:c r="J1808" s="35" t="str">
        <x:v>BC-CT-01B</x:v>
      </x:c>
      <x:c r="K1808" s="35" t="str">
        <x:v>BC-CT-01</x:v>
      </x:c>
      <x:c r="L1808" s="31" t="str">
        <x:v>[NO LANGUAGE CHANNEL / INPUT]</x:v>
      </x:c>
      <x:c r="M1808" s="31" t="str">
        <x:v>Leave exactly three objects in the bowl.</x:v>
      </x:c>
      <x:c r="N1808" s="31" t="str">
        <x:v>C-CF01B: bowl=[blue pen, yellow block] (2); table=[green pencil sharpener, airplane toy without propellers]; robot home; acceptable action=add either table object.</x:v>
      </x:c>
      <x:c r="O1808" s="31" t="str">
        <x:v>ADD one table object</x:v>
      </x:c>
      <x:c r="P1808" s="31" t="str"/>
      <x:c r="Q1808" s="31" t="str"/>
      <x:c r="R1808" s="31" t="str"/>
      <x:c r="S1808" s="31" t="str">
        <x:f>IF('Blind Scoring'!I1808="","",'Blind Scoring'!I1808)</x:f>
      </x:c>
      <x:c r="T1808" s="31" t="str">
        <x:f>'Blind Scoring'!J1808</x:f>
        <x:v>No</x:v>
      </x:c>
      <x:c r="U1808" s="31" t="str">
        <x:f>IF('Blind Scoring'!L1808="","",'Blind Scoring'!L1808)</x:f>
      </x:c>
    </x:row>
    <x:row r="1809" ht="44" customHeight="1">
      <x:c r="A1809" s="35" t="str">
        <x:v>Not Started</x:v>
      </x:c>
      <x:c r="B1809" s="35" t="n">
        <x:v>1807</x:v>
      </x:c>
      <x:c r="C1809" s="35" t="str">
        <x:v>B34</x:v>
      </x:c>
      <x:c r="D1809" s="35" t="n">
        <x:v>14</x:v>
      </x:c>
      <x:c r="E1809" s="35" t="str">
        <x:v>BC Diagnostic</x:v>
      </x:c>
      <x:c r="F1809" s="35" t="str">
        <x:v>Vision-only BC (task-specific)</x:v>
      </x:c>
      <x:c r="G1809" s="35" t="n">
        <x:v>3</x:v>
      </x:c>
      <x:c r="H1809" s="35" t="str">
        <x:v>Counting</x:v>
      </x:c>
      <x:c r="I1809" s="35" t="str">
        <x:v>Vision-only counterfactual A</x:v>
      </x:c>
      <x:c r="J1809" s="35" t="str">
        <x:v>BC-CT-10A</x:v>
      </x:c>
      <x:c r="K1809" s="35" t="str">
        <x:v>BC-CT-10</x:v>
      </x:c>
      <x:c r="L1809" s="31" t="str">
        <x:v>[NO LANGUAGE CHANNEL / INPUT]</x:v>
      </x:c>
      <x:c r="M1809" s="31" t="str">
        <x:v>Leave exactly one object in the bowl.</x:v>
      </x:c>
      <x:c r="N1809" s="31" t="str">
        <x:v>C-CF10A: bowl=[yellow block, green pencil sharpener] (2); table=[airplane toy without propellers, blue pen]; robot home; acceptable action=remove either bowl object.</x:v>
      </x:c>
      <x:c r="O1809" s="31" t="str">
        <x:v>REMOVE one bowl object</x:v>
      </x:c>
      <x:c r="P1809" s="31" t="str"/>
      <x:c r="Q1809" s="31" t="str"/>
      <x:c r="R1809" s="31" t="str"/>
      <x:c r="S1809" s="31" t="str">
        <x:f>IF('Blind Scoring'!I1809="","",'Blind Scoring'!I1809)</x:f>
      </x:c>
      <x:c r="T1809" s="31" t="str">
        <x:f>'Blind Scoring'!J1809</x:f>
        <x:v>No</x:v>
      </x:c>
      <x:c r="U1809" s="31" t="str">
        <x:f>IF('Blind Scoring'!L1809="","",'Blind Scoring'!L1809)</x:f>
      </x:c>
    </x:row>
    <x:row r="1810" ht="44" customHeight="1">
      <x:c r="A1810" s="35" t="str">
        <x:v>Not Started</x:v>
      </x:c>
      <x:c r="B1810" s="35" t="n">
        <x:v>1808</x:v>
      </x:c>
      <x:c r="C1810" s="35" t="str">
        <x:v>B34</x:v>
      </x:c>
      <x:c r="D1810" s="35" t="n">
        <x:v>15</x:v>
      </x:c>
      <x:c r="E1810" s="35" t="str">
        <x:v>BC Diagnostic</x:v>
      </x:c>
      <x:c r="F1810" s="35" t="str">
        <x:v>Vision-only BC (task-specific)</x:v>
      </x:c>
      <x:c r="G1810" s="35" t="n">
        <x:v>3</x:v>
      </x:c>
      <x:c r="H1810" s="35" t="str">
        <x:v>Counting</x:v>
      </x:c>
      <x:c r="I1810" s="35" t="str">
        <x:v>Vision-only counterfactual B</x:v>
      </x:c>
      <x:c r="J1810" s="35" t="str">
        <x:v>BC-CT-07B</x:v>
      </x:c>
      <x:c r="K1810" s="35" t="str">
        <x:v>BC-CT-07</x:v>
      </x:c>
      <x:c r="L1810" s="31" t="str">
        <x:v>[NO LANGUAGE CHANNEL / INPUT]</x:v>
      </x:c>
      <x:c r="M1810" s="31" t="str">
        <x:v>Leave exactly three objects in the bowl.</x:v>
      </x:c>
      <x:c r="N1810" s="31" t="str">
        <x:v>C-CF07B: bowl=[green pencil sharpener, airplane toy without propellers] (2); table=[blue pen, yellow block]; robot home; acceptable action=add either table object.</x:v>
      </x:c>
      <x:c r="O1810" s="31" t="str">
        <x:v>ADD one table object</x:v>
      </x:c>
      <x:c r="P1810" s="31" t="str"/>
      <x:c r="Q1810" s="31" t="str"/>
      <x:c r="R1810" s="31" t="str"/>
      <x:c r="S1810" s="31" t="str">
        <x:f>IF('Blind Scoring'!I1810="","",'Blind Scoring'!I1810)</x:f>
      </x:c>
      <x:c r="T1810" s="31" t="str">
        <x:f>'Blind Scoring'!J1810</x:f>
        <x:v>No</x:v>
      </x:c>
      <x:c r="U1810" s="31" t="str">
        <x:f>IF('Blind Scoring'!L1810="","",'Blind Scoring'!L1810)</x:f>
      </x:c>
    </x:row>
    <x:row r="1811" ht="44" customHeight="1">
      <x:c r="A1811" s="35" t="str">
        <x:v>Not Started</x:v>
      </x:c>
      <x:c r="B1811" s="35" t="n">
        <x:v>1809</x:v>
      </x:c>
      <x:c r="C1811" s="35" t="str">
        <x:v>B34</x:v>
      </x:c>
      <x:c r="D1811" s="35" t="n">
        <x:v>16</x:v>
      </x:c>
      <x:c r="E1811" s="35" t="str">
        <x:v>BC Diagnostic</x:v>
      </x:c>
      <x:c r="F1811" s="35" t="str">
        <x:v>Vision-only BC (task-specific)</x:v>
      </x:c>
      <x:c r="G1811" s="35" t="n">
        <x:v>3</x:v>
      </x:c>
      <x:c r="H1811" s="35" t="str">
        <x:v>Counting</x:v>
      </x:c>
      <x:c r="I1811" s="35" t="str">
        <x:v>Vision-only counterfactual B</x:v>
      </x:c>
      <x:c r="J1811" s="35" t="str">
        <x:v>BC-CT-05B</x:v>
      </x:c>
      <x:c r="K1811" s="35" t="str">
        <x:v>BC-CT-05</x:v>
      </x:c>
      <x:c r="L1811" s="31" t="str">
        <x:v>[NO LANGUAGE CHANNEL / INPUT]</x:v>
      </x:c>
      <x:c r="M1811" s="31" t="str">
        <x:v>Leave exactly three objects in the bowl.</x:v>
      </x:c>
      <x:c r="N1811" s="31" t="str">
        <x:v>C-CF05B: bowl=[blue pen, yellow block] (2); table=[green pencil sharpener, airplane toy without propellers]; robot home; acceptable action=add either table object.</x:v>
      </x:c>
      <x:c r="O1811" s="31" t="str">
        <x:v>ADD one table object</x:v>
      </x:c>
      <x:c r="P1811" s="31" t="str"/>
      <x:c r="Q1811" s="31" t="str"/>
      <x:c r="R1811" s="31" t="str"/>
      <x:c r="S1811" s="31" t="str">
        <x:f>IF('Blind Scoring'!I1811="","",'Blind Scoring'!I1811)</x:f>
      </x:c>
      <x:c r="T1811" s="31" t="str">
        <x:f>'Blind Scoring'!J1811</x:f>
        <x:v>No</x:v>
      </x:c>
      <x:c r="U1811" s="31" t="str">
        <x:f>IF('Blind Scoring'!L1811="","",'Blind Scoring'!L1811)</x:f>
      </x:c>
    </x:row>
    <x:row r="1812" ht="44" customHeight="1">
      <x:c r="A1812" s="35" t="str">
        <x:v>Not Started</x:v>
      </x:c>
      <x:c r="B1812" s="35" t="n">
        <x:v>1810</x:v>
      </x:c>
      <x:c r="C1812" s="35" t="str">
        <x:v>B34</x:v>
      </x:c>
      <x:c r="D1812" s="35" t="n">
        <x:v>17</x:v>
      </x:c>
      <x:c r="E1812" s="35" t="str">
        <x:v>BC Diagnostic</x:v>
      </x:c>
      <x:c r="F1812" s="35" t="str">
        <x:v>Vision-only BC (task-specific)</x:v>
      </x:c>
      <x:c r="G1812" s="35" t="n">
        <x:v>3</x:v>
      </x:c>
      <x:c r="H1812" s="35" t="str">
        <x:v>Counting</x:v>
      </x:c>
      <x:c r="I1812" s="35" t="str">
        <x:v>Vision-only counterfactual A</x:v>
      </x:c>
      <x:c r="J1812" s="35" t="str">
        <x:v>BC-CT-01A</x:v>
      </x:c>
      <x:c r="K1812" s="35" t="str">
        <x:v>BC-CT-01</x:v>
      </x:c>
      <x:c r="L1812" s="31" t="str">
        <x:v>[NO LANGUAGE CHANNEL / INPUT]</x:v>
      </x:c>
      <x:c r="M1812" s="31" t="str">
        <x:v>Leave exactly one object in the bowl.</x:v>
      </x:c>
      <x:c r="N1812" s="31" t="str">
        <x:v>C-CF01A: bowl=[blue pen, yellow block] (2); table=[green pencil sharpener, airplane toy without propellers]; robot home; acceptable action=remove either bowl object.</x:v>
      </x:c>
      <x:c r="O1812" s="31" t="str">
        <x:v>REMOVE one bowl object</x:v>
      </x:c>
      <x:c r="P1812" s="31" t="str"/>
      <x:c r="Q1812" s="31" t="str"/>
      <x:c r="R1812" s="31" t="str"/>
      <x:c r="S1812" s="31" t="str">
        <x:f>IF('Blind Scoring'!I1812="","",'Blind Scoring'!I1812)</x:f>
      </x:c>
      <x:c r="T1812" s="31" t="str">
        <x:f>'Blind Scoring'!J1812</x:f>
        <x:v>No</x:v>
      </x:c>
      <x:c r="U1812" s="31" t="str">
        <x:f>IF('Blind Scoring'!L1812="","",'Blind Scoring'!L1812)</x:f>
      </x:c>
    </x:row>
    <x:row r="1813" ht="44" customHeight="1">
      <x:c r="A1813" s="35" t="str">
        <x:v>Not Started</x:v>
      </x:c>
      <x:c r="B1813" s="35" t="n">
        <x:v>1811</x:v>
      </x:c>
      <x:c r="C1813" s="35" t="str">
        <x:v>B34</x:v>
      </x:c>
      <x:c r="D1813" s="35" t="n">
        <x:v>18</x:v>
      </x:c>
      <x:c r="E1813" s="35" t="str">
        <x:v>BC Diagnostic</x:v>
      </x:c>
      <x:c r="F1813" s="35" t="str">
        <x:v>Vision-only BC (task-specific)</x:v>
      </x:c>
      <x:c r="G1813" s="35" t="n">
        <x:v>3</x:v>
      </x:c>
      <x:c r="H1813" s="35" t="str">
        <x:v>Counting</x:v>
      </x:c>
      <x:c r="I1813" s="35" t="str">
        <x:v>Vision-only counterfactual A</x:v>
      </x:c>
      <x:c r="J1813" s="35" t="str">
        <x:v>BC-CT-06A</x:v>
      </x:c>
      <x:c r="K1813" s="35" t="str">
        <x:v>BC-CT-06</x:v>
      </x:c>
      <x:c r="L1813" s="31" t="str">
        <x:v>[NO LANGUAGE CHANNEL / INPUT]</x:v>
      </x:c>
      <x:c r="M1813" s="31" t="str">
        <x:v>Leave exactly one object in the bowl.</x:v>
      </x:c>
      <x:c r="N1813" s="31" t="str">
        <x:v>C-CF06A: bowl=[yellow block, green pencil sharpener] (2); table=[airplane toy without propellers, blue pen]; robot home; acceptable action=remove either bowl object.</x:v>
      </x:c>
      <x:c r="O1813" s="31" t="str">
        <x:v>REMOVE one bowl object</x:v>
      </x:c>
      <x:c r="P1813" s="31" t="str"/>
      <x:c r="Q1813" s="31" t="str"/>
      <x:c r="R1813" s="31" t="str"/>
      <x:c r="S1813" s="31" t="str">
        <x:f>IF('Blind Scoring'!I1813="","",'Blind Scoring'!I1813)</x:f>
      </x:c>
      <x:c r="T1813" s="31" t="str">
        <x:f>'Blind Scoring'!J1813</x:f>
        <x:v>No</x:v>
      </x:c>
      <x:c r="U1813" s="31" t="str">
        <x:f>IF('Blind Scoring'!L1813="","",'Blind Scoring'!L1813)</x:f>
      </x:c>
    </x:row>
    <x:row r="1814" ht="44" customHeight="1">
      <x:c r="A1814" s="35" t="str">
        <x:v>Not Started</x:v>
      </x:c>
      <x:c r="B1814" s="35" t="n">
        <x:v>1812</x:v>
      </x:c>
      <x:c r="C1814" s="35" t="str">
        <x:v>B34</x:v>
      </x:c>
      <x:c r="D1814" s="35" t="n">
        <x:v>19</x:v>
      </x:c>
      <x:c r="E1814" s="35" t="str">
        <x:v>BC Diagnostic</x:v>
      </x:c>
      <x:c r="F1814" s="35" t="str">
        <x:v>Vision-only BC (task-specific)</x:v>
      </x:c>
      <x:c r="G1814" s="35" t="n">
        <x:v>3</x:v>
      </x:c>
      <x:c r="H1814" s="35" t="str">
        <x:v>Counting</x:v>
      </x:c>
      <x:c r="I1814" s="35" t="str">
        <x:v>Vision-only counterfactual B</x:v>
      </x:c>
      <x:c r="J1814" s="35" t="str">
        <x:v>BC-CT-09B</x:v>
      </x:c>
      <x:c r="K1814" s="35" t="str">
        <x:v>BC-CT-09</x:v>
      </x:c>
      <x:c r="L1814" s="31" t="str">
        <x:v>[NO LANGUAGE CHANNEL / INPUT]</x:v>
      </x:c>
      <x:c r="M1814" s="31" t="str">
        <x:v>Leave exactly three objects in the bowl.</x:v>
      </x:c>
      <x:c r="N1814" s="31" t="str">
        <x:v>C-CF09B: bowl=[blue pen, yellow block] (2); table=[green pencil sharpener, airplane toy without propellers]; robot home; acceptable action=add either table object.</x:v>
      </x:c>
      <x:c r="O1814" s="31" t="str">
        <x:v>ADD one table object</x:v>
      </x:c>
      <x:c r="P1814" s="31" t="str"/>
      <x:c r="Q1814" s="31" t="str"/>
      <x:c r="R1814" s="31" t="str"/>
      <x:c r="S1814" s="31" t="str">
        <x:f>IF('Blind Scoring'!I1814="","",'Blind Scoring'!I1814)</x:f>
      </x:c>
      <x:c r="T1814" s="31" t="str">
        <x:f>'Blind Scoring'!J1814</x:f>
        <x:v>No</x:v>
      </x:c>
      <x:c r="U1814" s="31" t="str">
        <x:f>IF('Blind Scoring'!L1814="","",'Blind Scoring'!L1814)</x:f>
      </x:c>
    </x:row>
    <x:row r="1815" ht="44" customHeight="1">
      <x:c r="A1815" s="35" t="str">
        <x:v>Not Started</x:v>
      </x:c>
      <x:c r="B1815" s="35" t="n">
        <x:v>1813</x:v>
      </x:c>
      <x:c r="C1815" s="35" t="str">
        <x:v>B34</x:v>
      </x:c>
      <x:c r="D1815" s="35" t="n">
        <x:v>20</x:v>
      </x:c>
      <x:c r="E1815" s="35" t="str">
        <x:v>BC Diagnostic</x:v>
      </x:c>
      <x:c r="F1815" s="35" t="str">
        <x:v>Vision-only BC (task-specific)</x:v>
      </x:c>
      <x:c r="G1815" s="35" t="n">
        <x:v>3</x:v>
      </x:c>
      <x:c r="H1815" s="35" t="str">
        <x:v>Counting</x:v>
      </x:c>
      <x:c r="I1815" s="35" t="str">
        <x:v>Vision-only counterfactual B</x:v>
      </x:c>
      <x:c r="J1815" s="35" t="str">
        <x:v>BC-CT-02B</x:v>
      </x:c>
      <x:c r="K1815" s="35" t="str">
        <x:v>BC-CT-02</x:v>
      </x:c>
      <x:c r="L1815" s="31" t="str">
        <x:v>[NO LANGUAGE CHANNEL / INPUT]</x:v>
      </x:c>
      <x:c r="M1815" s="31" t="str">
        <x:v>Leave exactly three objects in the bowl.</x:v>
      </x:c>
      <x:c r="N1815" s="31" t="str">
        <x:v>C-CF02B: bowl=[yellow block, green pencil sharpener] (2); table=[airplane toy without propellers, blue pen]; robot home; acceptable action=add either table object.</x:v>
      </x:c>
      <x:c r="O1815" s="31" t="str">
        <x:v>ADD one table object</x:v>
      </x:c>
      <x:c r="P1815" s="31" t="str"/>
      <x:c r="Q1815" s="31" t="str"/>
      <x:c r="R1815" s="31" t="str"/>
      <x:c r="S1815" s="31" t="str">
        <x:f>IF('Blind Scoring'!I1815="","",'Blind Scoring'!I1815)</x:f>
      </x:c>
      <x:c r="T1815" s="31" t="str">
        <x:f>'Blind Scoring'!J1815</x:f>
        <x:v>No</x:v>
      </x:c>
      <x:c r="U1815" s="31" t="str">
        <x:f>IF('Blind Scoring'!L1815="","",'Blind Scoring'!L1815)</x:f>
      </x:c>
    </x:row>
    <x:row r="1816" ht="44" customHeight="1">
      <x:c r="A1816" s="35" t="str">
        <x:v>Not Started</x:v>
      </x:c>
      <x:c r="B1816" s="35" t="n">
        <x:v>1814</x:v>
      </x:c>
      <x:c r="C1816" s="35" t="str">
        <x:v>B35</x:v>
      </x:c>
      <x:c r="D1816" s="35" t="n">
        <x:v>1</x:v>
      </x:c>
      <x:c r="E1816" s="35" t="str">
        <x:v>BC Diagnostic</x:v>
      </x:c>
      <x:c r="F1816" s="35" t="str">
        <x:v>Vision-only BC (task-specific)</x:v>
      </x:c>
      <x:c r="G1816" s="35" t="n">
        <x:v>3</x:v>
      </x:c>
      <x:c r="H1816" s="35" t="str">
        <x:v>State Recognition</x:v>
      </x:c>
      <x:c r="I1816" s="35" t="str">
        <x:v>Vision-only counterfactual A</x:v>
      </x:c>
      <x:c r="J1816" s="35" t="str">
        <x:v>BC-ST-07A</x:v>
      </x:c>
      <x:c r="K1816" s="35" t="str">
        <x:v>BC-ST-07</x:v>
      </x:c>
      <x:c r="L1816" s="31" t="str">
        <x:v>[NO LANGUAGE CHANNEL / INPUT]</x:v>
      </x:c>
      <x:c r="M1816" s="31" t="str">
        <x:v>Place the open yellow-white striped cup in the bowl.</x:v>
      </x:c>
      <x:c r="N1816" s="31" t="str">
        <x:v>S-CF07-SEEN: P1 brown cup A=C/UR; P2 glass spice container A=O/UR; P3 yellow-white striped cup A=C/UD [TARGET]; P4 yellow-white striped cup B=O/UD [COMPETITOR].</x:v>
      </x:c>
      <x:c r="O1816" s="31" t="str">
        <x:v>yellow-white striped cup B</x:v>
      </x:c>
      <x:c r="P1816" s="31" t="str"/>
      <x:c r="Q1816" s="31" t="str"/>
      <x:c r="R1816" s="31" t="str"/>
      <x:c r="S1816" s="31" t="str">
        <x:f>IF('Blind Scoring'!I1816="","",'Blind Scoring'!I1816)</x:f>
      </x:c>
      <x:c r="T1816" s="31" t="str">
        <x:f>'Blind Scoring'!J1816</x:f>
        <x:v>No</x:v>
      </x:c>
      <x:c r="U1816" s="31" t="str">
        <x:f>IF('Blind Scoring'!L1816="","",'Blind Scoring'!L1816)</x:f>
      </x:c>
    </x:row>
    <x:row r="1817" ht="44" customHeight="1">
      <x:c r="A1817" s="35" t="str">
        <x:v>Not Started</x:v>
      </x:c>
      <x:c r="B1817" s="35" t="n">
        <x:v>1815</x:v>
      </x:c>
      <x:c r="C1817" s="35" t="str">
        <x:v>B35</x:v>
      </x:c>
      <x:c r="D1817" s="35" t="n">
        <x:v>2</x:v>
      </x:c>
      <x:c r="E1817" s="35" t="str">
        <x:v>BC Diagnostic</x:v>
      </x:c>
      <x:c r="F1817" s="35" t="str">
        <x:v>Vision-only BC (task-specific)</x:v>
      </x:c>
      <x:c r="G1817" s="35" t="n">
        <x:v>3</x:v>
      </x:c>
      <x:c r="H1817" s="35" t="str">
        <x:v>State Recognition</x:v>
      </x:c>
      <x:c r="I1817" s="35" t="str">
        <x:v>Vision-only counterfactual A</x:v>
      </x:c>
      <x:c r="J1817" s="35" t="str">
        <x:v>BC-ST-09A</x:v>
      </x:c>
      <x:c r="K1817" s="35" t="str">
        <x:v>BC-ST-09</x:v>
      </x:c>
      <x:c r="L1817" s="31" t="str">
        <x:v>[NO LANGUAGE CHANNEL / INPUT]</x:v>
      </x:c>
      <x:c r="M1817" s="31" t="str">
        <x:v>Place the open white cup in the bowl.</x:v>
      </x:c>
      <x:c r="N1817" s="31" t="str">
        <x:v>S-CF09-SEEN: P1 white cup A=C/UR [TARGET]; P2 white cup B=O/UR [COMPETITOR]; P3 yellow-white striped cup A=C/UD; P4 brown cup B=O/UD.</x:v>
      </x:c>
      <x:c r="O1817" s="31" t="str">
        <x:v>white cup B</x:v>
      </x:c>
      <x:c r="P1817" s="31" t="str"/>
      <x:c r="Q1817" s="31" t="str"/>
      <x:c r="R1817" s="31" t="str"/>
      <x:c r="S1817" s="31" t="str">
        <x:f>IF('Blind Scoring'!I1817="","",'Blind Scoring'!I1817)</x:f>
      </x:c>
      <x:c r="T1817" s="31" t="str">
        <x:f>'Blind Scoring'!J1817</x:f>
        <x:v>No</x:v>
      </x:c>
      <x:c r="U1817" s="31" t="str">
        <x:f>IF('Blind Scoring'!L1817="","",'Blind Scoring'!L1817)</x:f>
      </x:c>
    </x:row>
    <x:row r="1818" ht="44" customHeight="1">
      <x:c r="A1818" s="35" t="str">
        <x:v>Not Started</x:v>
      </x:c>
      <x:c r="B1818" s="35" t="n">
        <x:v>1816</x:v>
      </x:c>
      <x:c r="C1818" s="35" t="str">
        <x:v>B35</x:v>
      </x:c>
      <x:c r="D1818" s="35" t="n">
        <x:v>3</x:v>
      </x:c>
      <x:c r="E1818" s="35" t="str">
        <x:v>BC Diagnostic</x:v>
      </x:c>
      <x:c r="F1818" s="35" t="str">
        <x:v>Vision-only BC (task-specific)</x:v>
      </x:c>
      <x:c r="G1818" s="35" t="n">
        <x:v>3</x:v>
      </x:c>
      <x:c r="H1818" s="35" t="str">
        <x:v>State Recognition</x:v>
      </x:c>
      <x:c r="I1818" s="35" t="str">
        <x:v>Vision-only counterfactual A</x:v>
      </x:c>
      <x:c r="J1818" s="35" t="str">
        <x:v>BC-ST-02A</x:v>
      </x:c>
      <x:c r="K1818" s="35" t="str">
        <x:v>BC-ST-02</x:v>
      </x:c>
      <x:c r="L1818" s="31" t="str">
        <x:v>[NO LANGUAGE CHANNEL / INPUT]</x:v>
      </x:c>
      <x:c r="M1818" s="31" t="str">
        <x:v>Place the upside-down yellow-white striped cup in the bowl.</x:v>
      </x:c>
      <x:c r="N1818" s="31" t="str">
        <x:v>S-CF02-SEEN: P1 brown cup B=C/UR; P2 yellow-white striped cup B=O/UR [TARGET]; P3 yellow-white striped cup A=O/UD [COMPETITOR]; P4 glass spice container B=C/UD.</x:v>
      </x:c>
      <x:c r="O1818" s="31" t="str">
        <x:v>yellow-white striped cup A</x:v>
      </x:c>
      <x:c r="P1818" s="31" t="str"/>
      <x:c r="Q1818" s="31" t="str"/>
      <x:c r="R1818" s="31" t="str"/>
      <x:c r="S1818" s="31" t="str">
        <x:f>IF('Blind Scoring'!I1818="","",'Blind Scoring'!I1818)</x:f>
      </x:c>
      <x:c r="T1818" s="31" t="str">
        <x:f>'Blind Scoring'!J1818</x:f>
        <x:v>No</x:v>
      </x:c>
      <x:c r="U1818" s="31" t="str">
        <x:f>IF('Blind Scoring'!L1818="","",'Blind Scoring'!L1818)</x:f>
      </x:c>
    </x:row>
    <x:row r="1819" ht="44" customHeight="1">
      <x:c r="A1819" s="35" t="str">
        <x:v>Not Started</x:v>
      </x:c>
      <x:c r="B1819" s="35" t="n">
        <x:v>1817</x:v>
      </x:c>
      <x:c r="C1819" s="35" t="str">
        <x:v>B35</x:v>
      </x:c>
      <x:c r="D1819" s="35" t="n">
        <x:v>4</x:v>
      </x:c>
      <x:c r="E1819" s="35" t="str">
        <x:v>BC Diagnostic</x:v>
      </x:c>
      <x:c r="F1819" s="35" t="str">
        <x:v>Vision-only BC (task-specific)</x:v>
      </x:c>
      <x:c r="G1819" s="35" t="n">
        <x:v>3</x:v>
      </x:c>
      <x:c r="H1819" s="35" t="str">
        <x:v>State Recognition</x:v>
      </x:c>
      <x:c r="I1819" s="35" t="str">
        <x:v>Vision-only counterfactual A</x:v>
      </x:c>
      <x:c r="J1819" s="35" t="str">
        <x:v>BC-ST-08A</x:v>
      </x:c>
      <x:c r="K1819" s="35" t="str">
        <x:v>BC-ST-08</x:v>
      </x:c>
      <x:c r="L1819" s="31" t="str">
        <x:v>[NO LANGUAGE CHANNEL / INPUT]</x:v>
      </x:c>
      <x:c r="M1819" s="31" t="str">
        <x:v>Place the upside-down brown cup in the bowl.</x:v>
      </x:c>
      <x:c r="N1819" s="31" t="str">
        <x:v>S-CF08-SEEN: P1 brown cup A=C/UD [COMPETITOR]; P2 glass spice container B=O/UR; P3 white cup A=O/UD; P4 brown cup B=C/UR [TARGET].</x:v>
      </x:c>
      <x:c r="O1819" s="31" t="str">
        <x:v>brown cup A</x:v>
      </x:c>
      <x:c r="P1819" s="31" t="str"/>
      <x:c r="Q1819" s="31" t="str"/>
      <x:c r="R1819" s="31" t="str"/>
      <x:c r="S1819" s="31" t="str">
        <x:f>IF('Blind Scoring'!I1819="","",'Blind Scoring'!I1819)</x:f>
      </x:c>
      <x:c r="T1819" s="31" t="str">
        <x:f>'Blind Scoring'!J1819</x:f>
        <x:v>No</x:v>
      </x:c>
      <x:c r="U1819" s="31" t="str">
        <x:f>IF('Blind Scoring'!L1819="","",'Blind Scoring'!L1819)</x:f>
      </x:c>
    </x:row>
    <x:row r="1820" ht="44" customHeight="1">
      <x:c r="A1820" s="35" t="str">
        <x:v>Not Started</x:v>
      </x:c>
      <x:c r="B1820" s="35" t="n">
        <x:v>1818</x:v>
      </x:c>
      <x:c r="C1820" s="35" t="str">
        <x:v>B35</x:v>
      </x:c>
      <x:c r="D1820" s="35" t="n">
        <x:v>5</x:v>
      </x:c>
      <x:c r="E1820" s="35" t="str">
        <x:v>BC Diagnostic</x:v>
      </x:c>
      <x:c r="F1820" s="35" t="str">
        <x:v>Vision-only BC (task-specific)</x:v>
      </x:c>
      <x:c r="G1820" s="35" t="n">
        <x:v>3</x:v>
      </x:c>
      <x:c r="H1820" s="35" t="str">
        <x:v>State Recognition</x:v>
      </x:c>
      <x:c r="I1820" s="35" t="str">
        <x:v>Vision-only counterfactual B</x:v>
      </x:c>
      <x:c r="J1820" s="35" t="str">
        <x:v>BC-ST-08B</x:v>
      </x:c>
      <x:c r="K1820" s="35" t="str">
        <x:v>BC-ST-08</x:v>
      </x:c>
      <x:c r="L1820" s="31" t="str">
        <x:v>[NO LANGUAGE CHANNEL / INPUT]</x:v>
      </x:c>
      <x:c r="M1820" s="31" t="str">
        <x:v>Place the upright brown cup in the bowl.</x:v>
      </x:c>
      <x:c r="N1820" s="31" t="str">
        <x:v>S-CF08-HELD: P1 brown cup A=C/UD [COMPETITOR]; P2 glass spice container B=O/UR; P3 white cup A=O/UD; P4 brown cup B=C/UR [TARGET].</x:v>
      </x:c>
      <x:c r="O1820" s="31" t="str">
        <x:v>brown cup B</x:v>
      </x:c>
      <x:c r="P1820" s="31" t="str"/>
      <x:c r="Q1820" s="31" t="str"/>
      <x:c r="R1820" s="31" t="str"/>
      <x:c r="S1820" s="31" t="str">
        <x:f>IF('Blind Scoring'!I1820="","",'Blind Scoring'!I1820)</x:f>
      </x:c>
      <x:c r="T1820" s="31" t="str">
        <x:f>'Blind Scoring'!J1820</x:f>
        <x:v>No</x:v>
      </x:c>
      <x:c r="U1820" s="31" t="str">
        <x:f>IF('Blind Scoring'!L1820="","",'Blind Scoring'!L1820)</x:f>
      </x:c>
    </x:row>
    <x:row r="1821" ht="44" customHeight="1">
      <x:c r="A1821" s="35" t="str">
        <x:v>Not Started</x:v>
      </x:c>
      <x:c r="B1821" s="35" t="n">
        <x:v>1819</x:v>
      </x:c>
      <x:c r="C1821" s="35" t="str">
        <x:v>B35</x:v>
      </x:c>
      <x:c r="D1821" s="35" t="n">
        <x:v>6</x:v>
      </x:c>
      <x:c r="E1821" s="35" t="str">
        <x:v>BC Diagnostic</x:v>
      </x:c>
      <x:c r="F1821" s="35" t="str">
        <x:v>Vision-only BC (task-specific)</x:v>
      </x:c>
      <x:c r="G1821" s="35" t="n">
        <x:v>3</x:v>
      </x:c>
      <x:c r="H1821" s="35" t="str">
        <x:v>State Recognition</x:v>
      </x:c>
      <x:c r="I1821" s="35" t="str">
        <x:v>Vision-only counterfactual A</x:v>
      </x:c>
      <x:c r="J1821" s="35" t="str">
        <x:v>BC-ST-04A</x:v>
      </x:c>
      <x:c r="K1821" s="35" t="str">
        <x:v>BC-ST-04</x:v>
      </x:c>
      <x:c r="L1821" s="31" t="str">
        <x:v>[NO LANGUAGE CHANNEL / INPUT]</x:v>
      </x:c>
      <x:c r="M1821" s="31" t="str">
        <x:v>Place the upside-down white cup in the bowl.</x:v>
      </x:c>
      <x:c r="N1821" s="31" t="str">
        <x:v>S-CF04-SEEN: P1 white cup A=C/UD [COMPETITOR]; P2 yellow-white striped cup B=O/UR; P3 brown cup A=O/UD; P4 white cup B=C/UR [TARGET].</x:v>
      </x:c>
      <x:c r="O1821" s="31" t="str">
        <x:v>white cup A</x:v>
      </x:c>
      <x:c r="P1821" s="31" t="str"/>
      <x:c r="Q1821" s="31" t="str"/>
      <x:c r="R1821" s="31" t="str"/>
      <x:c r="S1821" s="31" t="str">
        <x:f>IF('Blind Scoring'!I1821="","",'Blind Scoring'!I1821)</x:f>
      </x:c>
      <x:c r="T1821" s="31" t="str">
        <x:f>'Blind Scoring'!J1821</x:f>
        <x:v>No</x:v>
      </x:c>
      <x:c r="U1821" s="31" t="str">
        <x:f>IF('Blind Scoring'!L1821="","",'Blind Scoring'!L1821)</x:f>
      </x:c>
    </x:row>
    <x:row r="1822" ht="44" customHeight="1">
      <x:c r="A1822" s="35" t="str">
        <x:v>Not Started</x:v>
      </x:c>
      <x:c r="B1822" s="35" t="n">
        <x:v>1820</x:v>
      </x:c>
      <x:c r="C1822" s="35" t="str">
        <x:v>B35</x:v>
      </x:c>
      <x:c r="D1822" s="35" t="n">
        <x:v>7</x:v>
      </x:c>
      <x:c r="E1822" s="35" t="str">
        <x:v>BC Diagnostic</x:v>
      </x:c>
      <x:c r="F1822" s="35" t="str">
        <x:v>Vision-only BC (task-specific)</x:v>
      </x:c>
      <x:c r="G1822" s="35" t="n">
        <x:v>3</x:v>
      </x:c>
      <x:c r="H1822" s="35" t="str">
        <x:v>State Recognition</x:v>
      </x:c>
      <x:c r="I1822" s="35" t="str">
        <x:v>Vision-only counterfactual A</x:v>
      </x:c>
      <x:c r="J1822" s="35" t="str">
        <x:v>BC-ST-10A</x:v>
      </x:c>
      <x:c r="K1822" s="35" t="str">
        <x:v>BC-ST-10</x:v>
      </x:c>
      <x:c r="L1822" s="31" t="str">
        <x:v>[NO LANGUAGE CHANNEL / INPUT]</x:v>
      </x:c>
      <x:c r="M1822" s="31" t="str">
        <x:v>Place the upside-down yellow-white striped cup in the bowl.</x:v>
      </x:c>
      <x:c r="N1822" s="31" t="str">
        <x:v>S-CF10-SEEN: P1 brown cup B=C/UR; P2 yellow-white striped cup B=O/UR [TARGET]; P3 yellow-white striped cup A=O/UD [COMPETITOR]; P4 glass spice container B=C/UD.</x:v>
      </x:c>
      <x:c r="O1822" s="31" t="str">
        <x:v>yellow-white striped cup A</x:v>
      </x:c>
      <x:c r="P1822" s="31" t="str"/>
      <x:c r="Q1822" s="31" t="str"/>
      <x:c r="R1822" s="31" t="str"/>
      <x:c r="S1822" s="31" t="str">
        <x:f>IF('Blind Scoring'!I1822="","",'Blind Scoring'!I1822)</x:f>
      </x:c>
      <x:c r="T1822" s="31" t="str">
        <x:f>'Blind Scoring'!J1822</x:f>
        <x:v>No</x:v>
      </x:c>
      <x:c r="U1822" s="31" t="str">
        <x:f>IF('Blind Scoring'!L1822="","",'Blind Scoring'!L1822)</x:f>
      </x:c>
    </x:row>
    <x:row r="1823" ht="44" customHeight="1">
      <x:c r="A1823" s="35" t="str">
        <x:v>Not Started</x:v>
      </x:c>
      <x:c r="B1823" s="35" t="n">
        <x:v>1821</x:v>
      </x:c>
      <x:c r="C1823" s="35" t="str">
        <x:v>B35</x:v>
      </x:c>
      <x:c r="D1823" s="35" t="n">
        <x:v>8</x:v>
      </x:c>
      <x:c r="E1823" s="35" t="str">
        <x:v>BC Diagnostic</x:v>
      </x:c>
      <x:c r="F1823" s="35" t="str">
        <x:v>Vision-only BC (task-specific)</x:v>
      </x:c>
      <x:c r="G1823" s="35" t="n">
        <x:v>3</x:v>
      </x:c>
      <x:c r="H1823" s="35" t="str">
        <x:v>State Recognition</x:v>
      </x:c>
      <x:c r="I1823" s="35" t="str">
        <x:v>Vision-only counterfactual A</x:v>
      </x:c>
      <x:c r="J1823" s="35" t="str">
        <x:v>BC-ST-05A</x:v>
      </x:c>
      <x:c r="K1823" s="35" t="str">
        <x:v>BC-ST-05</x:v>
      </x:c>
      <x:c r="L1823" s="31" t="str">
        <x:v>[NO LANGUAGE CHANNEL / INPUT]</x:v>
      </x:c>
      <x:c r="M1823" s="31" t="str">
        <x:v>Place the open brown cup in the bowl.</x:v>
      </x:c>
      <x:c r="N1823" s="31" t="str">
        <x:v>S-CF05-SEEN: P1 brown cup A=C/UR [TARGET]; P2 brown cup B=O/UR [COMPETITOR]; P3 glass spice container A=C/UD; P4 white cup B=O/UD.</x:v>
      </x:c>
      <x:c r="O1823" s="31" t="str">
        <x:v>brown cup B</x:v>
      </x:c>
      <x:c r="P1823" s="31" t="str"/>
      <x:c r="Q1823" s="31" t="str"/>
      <x:c r="R1823" s="31" t="str"/>
      <x:c r="S1823" s="31" t="str">
        <x:f>IF('Blind Scoring'!I1823="","",'Blind Scoring'!I1823)</x:f>
      </x:c>
      <x:c r="T1823" s="31" t="str">
        <x:f>'Blind Scoring'!J1823</x:f>
        <x:v>No</x:v>
      </x:c>
      <x:c r="U1823" s="31" t="str">
        <x:f>IF('Blind Scoring'!L1823="","",'Blind Scoring'!L1823)</x:f>
      </x:c>
    </x:row>
    <x:row r="1824" ht="44" customHeight="1">
      <x:c r="A1824" s="35" t="str">
        <x:v>Not Started</x:v>
      </x:c>
      <x:c r="B1824" s="35" t="n">
        <x:v>1822</x:v>
      </x:c>
      <x:c r="C1824" s="35" t="str">
        <x:v>B35</x:v>
      </x:c>
      <x:c r="D1824" s="35" t="n">
        <x:v>9</x:v>
      </x:c>
      <x:c r="E1824" s="35" t="str">
        <x:v>BC Diagnostic</x:v>
      </x:c>
      <x:c r="F1824" s="35" t="str">
        <x:v>Vision-only BC (task-specific)</x:v>
      </x:c>
      <x:c r="G1824" s="35" t="n">
        <x:v>3</x:v>
      </x:c>
      <x:c r="H1824" s="35" t="str">
        <x:v>State Recognition</x:v>
      </x:c>
      <x:c r="I1824" s="35" t="str">
        <x:v>Vision-only counterfactual B</x:v>
      </x:c>
      <x:c r="J1824" s="35" t="str">
        <x:v>BC-ST-05B</x:v>
      </x:c>
      <x:c r="K1824" s="35" t="str">
        <x:v>BC-ST-05</x:v>
      </x:c>
      <x:c r="L1824" s="31" t="str">
        <x:v>[NO LANGUAGE CHANNEL / INPUT]</x:v>
      </x:c>
      <x:c r="M1824" s="31" t="str">
        <x:v>Place the closed brown cup in the bowl.</x:v>
      </x:c>
      <x:c r="N1824" s="31" t="str">
        <x:v>S-CF05-HELD: P1 brown cup A=C/UR [TARGET]; P2 brown cup B=O/UR [COMPETITOR]; P3 glass spice container A=C/UD; P4 white cup B=O/UD.</x:v>
      </x:c>
      <x:c r="O1824" s="31" t="str">
        <x:v>brown cup A</x:v>
      </x:c>
      <x:c r="P1824" s="31" t="str"/>
      <x:c r="Q1824" s="31" t="str"/>
      <x:c r="R1824" s="31" t="str"/>
      <x:c r="S1824" s="31" t="str">
        <x:f>IF('Blind Scoring'!I1824="","",'Blind Scoring'!I1824)</x:f>
      </x:c>
      <x:c r="T1824" s="31" t="str">
        <x:f>'Blind Scoring'!J1824</x:f>
        <x:v>No</x:v>
      </x:c>
      <x:c r="U1824" s="31" t="str">
        <x:f>IF('Blind Scoring'!L1824="","",'Blind Scoring'!L1824)</x:f>
      </x:c>
    </x:row>
    <x:row r="1825" ht="44" customHeight="1">
      <x:c r="A1825" s="35" t="str">
        <x:v>Not Started</x:v>
      </x:c>
      <x:c r="B1825" s="35" t="n">
        <x:v>1823</x:v>
      </x:c>
      <x:c r="C1825" s="35" t="str">
        <x:v>B35</x:v>
      </x:c>
      <x:c r="D1825" s="35" t="n">
        <x:v>10</x:v>
      </x:c>
      <x:c r="E1825" s="35" t="str">
        <x:v>BC Diagnostic</x:v>
      </x:c>
      <x:c r="F1825" s="35" t="str">
        <x:v>Vision-only BC (task-specific)</x:v>
      </x:c>
      <x:c r="G1825" s="35" t="n">
        <x:v>3</x:v>
      </x:c>
      <x:c r="H1825" s="35" t="str">
        <x:v>State Recognition</x:v>
      </x:c>
      <x:c r="I1825" s="35" t="str">
        <x:v>Vision-only counterfactual B</x:v>
      </x:c>
      <x:c r="J1825" s="35" t="str">
        <x:v>BC-ST-03B</x:v>
      </x:c>
      <x:c r="K1825" s="35" t="str">
        <x:v>BC-ST-03</x:v>
      </x:c>
      <x:c r="L1825" s="31" t="str">
        <x:v>[NO LANGUAGE CHANNEL / INPUT]</x:v>
      </x:c>
      <x:c r="M1825" s="31" t="str">
        <x:v>Place the closed glass spice container in the bowl.</x:v>
      </x:c>
      <x:c r="N1825" s="31" t="str">
        <x:v>S-CF03-HELD: P1 white cup A=C/UR; P2 yellow-white striped cup A=O/UR; P3 glass spice container B=C/UD [TARGET]; P4 glass spice container A=O/UD [COMPETITOR].</x:v>
      </x:c>
      <x:c r="O1825" s="31" t="str">
        <x:v>glass spice container B</x:v>
      </x:c>
      <x:c r="P1825" s="31" t="str"/>
      <x:c r="Q1825" s="31" t="str"/>
      <x:c r="R1825" s="31" t="str"/>
      <x:c r="S1825" s="31" t="str">
        <x:f>IF('Blind Scoring'!I1825="","",'Blind Scoring'!I1825)</x:f>
      </x:c>
      <x:c r="T1825" s="31" t="str">
        <x:f>'Blind Scoring'!J1825</x:f>
        <x:v>No</x:v>
      </x:c>
      <x:c r="U1825" s="31" t="str">
        <x:f>IF('Blind Scoring'!L1825="","",'Blind Scoring'!L1825)</x:f>
      </x:c>
    </x:row>
    <x:row r="1826" ht="44" customHeight="1">
      <x:c r="A1826" s="35" t="str">
        <x:v>Not Started</x:v>
      </x:c>
      <x:c r="B1826" s="35" t="n">
        <x:v>1824</x:v>
      </x:c>
      <x:c r="C1826" s="35" t="str">
        <x:v>B35</x:v>
      </x:c>
      <x:c r="D1826" s="35" t="n">
        <x:v>11</x:v>
      </x:c>
      <x:c r="E1826" s="35" t="str">
        <x:v>BC Diagnostic</x:v>
      </x:c>
      <x:c r="F1826" s="35" t="str">
        <x:v>Vision-only BC (task-specific)</x:v>
      </x:c>
      <x:c r="G1826" s="35" t="n">
        <x:v>3</x:v>
      </x:c>
      <x:c r="H1826" s="35" t="str">
        <x:v>State Recognition</x:v>
      </x:c>
      <x:c r="I1826" s="35" t="str">
        <x:v>Vision-only counterfactual B</x:v>
      </x:c>
      <x:c r="J1826" s="35" t="str">
        <x:v>BC-ST-10B</x:v>
      </x:c>
      <x:c r="K1826" s="35" t="str">
        <x:v>BC-ST-10</x:v>
      </x:c>
      <x:c r="L1826" s="31" t="str">
        <x:v>[NO LANGUAGE CHANNEL / INPUT]</x:v>
      </x:c>
      <x:c r="M1826" s="31" t="str">
        <x:v>Place the upright yellow-white striped cup in the bowl.</x:v>
      </x:c>
      <x:c r="N1826" s="31" t="str">
        <x:v>S-CF10-HELD: P1 brown cup B=C/UR; P2 yellow-white striped cup B=O/UR [TARGET]; P3 yellow-white striped cup A=O/UD [COMPETITOR]; P4 glass spice container B=C/UD.</x:v>
      </x:c>
      <x:c r="O1826" s="31" t="str">
        <x:v>yellow-white striped cup B</x:v>
      </x:c>
      <x:c r="P1826" s="31" t="str"/>
      <x:c r="Q1826" s="31" t="str"/>
      <x:c r="R1826" s="31" t="str"/>
      <x:c r="S1826" s="31" t="str">
        <x:f>IF('Blind Scoring'!I1826="","",'Blind Scoring'!I1826)</x:f>
      </x:c>
      <x:c r="T1826" s="31" t="str">
        <x:f>'Blind Scoring'!J1826</x:f>
        <x:v>No</x:v>
      </x:c>
      <x:c r="U1826" s="31" t="str">
        <x:f>IF('Blind Scoring'!L1826="","",'Blind Scoring'!L1826)</x:f>
      </x:c>
    </x:row>
    <x:row r="1827" ht="44" customHeight="1">
      <x:c r="A1827" s="35" t="str">
        <x:v>Not Started</x:v>
      </x:c>
      <x:c r="B1827" s="35" t="n">
        <x:v>1825</x:v>
      </x:c>
      <x:c r="C1827" s="35" t="str">
        <x:v>B35</x:v>
      </x:c>
      <x:c r="D1827" s="35" t="n">
        <x:v>12</x:v>
      </x:c>
      <x:c r="E1827" s="35" t="str">
        <x:v>BC Diagnostic</x:v>
      </x:c>
      <x:c r="F1827" s="35" t="str">
        <x:v>Vision-only BC (task-specific)</x:v>
      </x:c>
      <x:c r="G1827" s="35" t="n">
        <x:v>3</x:v>
      </x:c>
      <x:c r="H1827" s="35" t="str">
        <x:v>State Recognition</x:v>
      </x:c>
      <x:c r="I1827" s="35" t="str">
        <x:v>Vision-only counterfactual B</x:v>
      </x:c>
      <x:c r="J1827" s="35" t="str">
        <x:v>BC-ST-06B</x:v>
      </x:c>
      <x:c r="K1827" s="35" t="str">
        <x:v>BC-ST-06</x:v>
      </x:c>
      <x:c r="L1827" s="31" t="str">
        <x:v>[NO LANGUAGE CHANNEL / INPUT]</x:v>
      </x:c>
      <x:c r="M1827" s="31" t="str">
        <x:v>Place the upright glass spice container in the bowl.</x:v>
      </x:c>
      <x:c r="N1827" s="31" t="str">
        <x:v>S-CF06-HELD: P1 white cup B=C/UR; P2 glass spice container A=O/UR [TARGET]; P3 glass spice container B=O/UD [COMPETITOR]; P4 yellow-white striped cup B=C/UD.</x:v>
      </x:c>
      <x:c r="O1827" s="31" t="str">
        <x:v>glass spice container A</x:v>
      </x:c>
      <x:c r="P1827" s="31" t="str"/>
      <x:c r="Q1827" s="31" t="str"/>
      <x:c r="R1827" s="31" t="str"/>
      <x:c r="S1827" s="31" t="str">
        <x:f>IF('Blind Scoring'!I1827="","",'Blind Scoring'!I1827)</x:f>
      </x:c>
      <x:c r="T1827" s="31" t="str">
        <x:f>'Blind Scoring'!J1827</x:f>
        <x:v>No</x:v>
      </x:c>
      <x:c r="U1827" s="31" t="str">
        <x:f>IF('Blind Scoring'!L1827="","",'Blind Scoring'!L1827)</x:f>
      </x:c>
    </x:row>
    <x:row r="1828" ht="44" customHeight="1">
      <x:c r="A1828" s="35" t="str">
        <x:v>Not Started</x:v>
      </x:c>
      <x:c r="B1828" s="35" t="n">
        <x:v>1826</x:v>
      </x:c>
      <x:c r="C1828" s="35" t="str">
        <x:v>B35</x:v>
      </x:c>
      <x:c r="D1828" s="35" t="n">
        <x:v>13</x:v>
      </x:c>
      <x:c r="E1828" s="35" t="str">
        <x:v>BC Diagnostic</x:v>
      </x:c>
      <x:c r="F1828" s="35" t="str">
        <x:v>Vision-only BC (task-specific)</x:v>
      </x:c>
      <x:c r="G1828" s="35" t="n">
        <x:v>3</x:v>
      </x:c>
      <x:c r="H1828" s="35" t="str">
        <x:v>State Recognition</x:v>
      </x:c>
      <x:c r="I1828" s="35" t="str">
        <x:v>Vision-only counterfactual B</x:v>
      </x:c>
      <x:c r="J1828" s="35" t="str">
        <x:v>BC-ST-02B</x:v>
      </x:c>
      <x:c r="K1828" s="35" t="str">
        <x:v>BC-ST-02</x:v>
      </x:c>
      <x:c r="L1828" s="31" t="str">
        <x:v>[NO LANGUAGE CHANNEL / INPUT]</x:v>
      </x:c>
      <x:c r="M1828" s="31" t="str">
        <x:v>Place the upright yellow-white striped cup in the bowl.</x:v>
      </x:c>
      <x:c r="N1828" s="31" t="str">
        <x:v>S-CF02-HELD: P1 brown cup B=C/UR; P2 yellow-white striped cup B=O/UR [TARGET]; P3 yellow-white striped cup A=O/UD [COMPETITOR]; P4 glass spice container B=C/UD.</x:v>
      </x:c>
      <x:c r="O1828" s="31" t="str">
        <x:v>yellow-white striped cup B</x:v>
      </x:c>
      <x:c r="P1828" s="31" t="str"/>
      <x:c r="Q1828" s="31" t="str"/>
      <x:c r="R1828" s="31" t="str"/>
      <x:c r="S1828" s="31" t="str">
        <x:f>IF('Blind Scoring'!I1828="","",'Blind Scoring'!I1828)</x:f>
      </x:c>
      <x:c r="T1828" s="31" t="str">
        <x:f>'Blind Scoring'!J1828</x:f>
        <x:v>No</x:v>
      </x:c>
      <x:c r="U1828" s="31" t="str">
        <x:f>IF('Blind Scoring'!L1828="","",'Blind Scoring'!L1828)</x:f>
      </x:c>
    </x:row>
    <x:row r="1829" ht="44" customHeight="1">
      <x:c r="A1829" s="35" t="str">
        <x:v>Not Started</x:v>
      </x:c>
      <x:c r="B1829" s="35" t="n">
        <x:v>1827</x:v>
      </x:c>
      <x:c r="C1829" s="35" t="str">
        <x:v>B35</x:v>
      </x:c>
      <x:c r="D1829" s="35" t="n">
        <x:v>14</x:v>
      </x:c>
      <x:c r="E1829" s="35" t="str">
        <x:v>BC Diagnostic</x:v>
      </x:c>
      <x:c r="F1829" s="35" t="str">
        <x:v>Vision-only BC (task-specific)</x:v>
      </x:c>
      <x:c r="G1829" s="35" t="n">
        <x:v>3</x:v>
      </x:c>
      <x:c r="H1829" s="35" t="str">
        <x:v>State Recognition</x:v>
      </x:c>
      <x:c r="I1829" s="35" t="str">
        <x:v>Vision-only counterfactual A</x:v>
      </x:c>
      <x:c r="J1829" s="35" t="str">
        <x:v>BC-ST-01A</x:v>
      </x:c>
      <x:c r="K1829" s="35" t="str">
        <x:v>BC-ST-01</x:v>
      </x:c>
      <x:c r="L1829" s="31" t="str">
        <x:v>[NO LANGUAGE CHANNEL / INPUT]</x:v>
      </x:c>
      <x:c r="M1829" s="31" t="str">
        <x:v>Place the open white cup in the bowl.</x:v>
      </x:c>
      <x:c r="N1829" s="31" t="str">
        <x:v>S-CF01-SEEN: P1 white cup A=C/UR [TARGET]; P2 white cup B=O/UR [COMPETITOR]; P3 yellow-white striped cup A=C/UD; P4 brown cup B=O/UD.</x:v>
      </x:c>
      <x:c r="O1829" s="31" t="str">
        <x:v>white cup B</x:v>
      </x:c>
      <x:c r="P1829" s="31" t="str"/>
      <x:c r="Q1829" s="31" t="str"/>
      <x:c r="R1829" s="31" t="str"/>
      <x:c r="S1829" s="31" t="str">
        <x:f>IF('Blind Scoring'!I1829="","",'Blind Scoring'!I1829)</x:f>
      </x:c>
      <x:c r="T1829" s="31" t="str">
        <x:f>'Blind Scoring'!J1829</x:f>
        <x:v>No</x:v>
      </x:c>
      <x:c r="U1829" s="31" t="str">
        <x:f>IF('Blind Scoring'!L1829="","",'Blind Scoring'!L1829)</x:f>
      </x:c>
    </x:row>
    <x:row r="1830" ht="44" customHeight="1">
      <x:c r="A1830" s="35" t="str">
        <x:v>Not Started</x:v>
      </x:c>
      <x:c r="B1830" s="35" t="n">
        <x:v>1828</x:v>
      </x:c>
      <x:c r="C1830" s="35" t="str">
        <x:v>B35</x:v>
      </x:c>
      <x:c r="D1830" s="35" t="n">
        <x:v>15</x:v>
      </x:c>
      <x:c r="E1830" s="35" t="str">
        <x:v>BC Diagnostic</x:v>
      </x:c>
      <x:c r="F1830" s="35" t="str">
        <x:v>Vision-only BC (task-specific)</x:v>
      </x:c>
      <x:c r="G1830" s="35" t="n">
        <x:v>3</x:v>
      </x:c>
      <x:c r="H1830" s="35" t="str">
        <x:v>State Recognition</x:v>
      </x:c>
      <x:c r="I1830" s="35" t="str">
        <x:v>Vision-only counterfactual B</x:v>
      </x:c>
      <x:c r="J1830" s="35" t="str">
        <x:v>BC-ST-04B</x:v>
      </x:c>
      <x:c r="K1830" s="35" t="str">
        <x:v>BC-ST-04</x:v>
      </x:c>
      <x:c r="L1830" s="31" t="str">
        <x:v>[NO LANGUAGE CHANNEL / INPUT]</x:v>
      </x:c>
      <x:c r="M1830" s="31" t="str">
        <x:v>Place the upright white cup in the bowl.</x:v>
      </x:c>
      <x:c r="N1830" s="31" t="str">
        <x:v>S-CF04-HELD: P1 white cup A=C/UD [COMPETITOR]; P2 yellow-white striped cup B=O/UR; P3 brown cup A=O/UD; P4 white cup B=C/UR [TARGET].</x:v>
      </x:c>
      <x:c r="O1830" s="31" t="str">
        <x:v>white cup B</x:v>
      </x:c>
      <x:c r="P1830" s="31" t="str"/>
      <x:c r="Q1830" s="31" t="str"/>
      <x:c r="R1830" s="31" t="str"/>
      <x:c r="S1830" s="31" t="str">
        <x:f>IF('Blind Scoring'!I1830="","",'Blind Scoring'!I1830)</x:f>
      </x:c>
      <x:c r="T1830" s="31" t="str">
        <x:f>'Blind Scoring'!J1830</x:f>
        <x:v>No</x:v>
      </x:c>
      <x:c r="U1830" s="31" t="str">
        <x:f>IF('Blind Scoring'!L1830="","",'Blind Scoring'!L1830)</x:f>
      </x:c>
    </x:row>
    <x:row r="1831" ht="44" customHeight="1">
      <x:c r="A1831" s="35" t="str">
        <x:v>Not Started</x:v>
      </x:c>
      <x:c r="B1831" s="35" t="n">
        <x:v>1829</x:v>
      </x:c>
      <x:c r="C1831" s="35" t="str">
        <x:v>B35</x:v>
      </x:c>
      <x:c r="D1831" s="35" t="n">
        <x:v>16</x:v>
      </x:c>
      <x:c r="E1831" s="35" t="str">
        <x:v>BC Diagnostic</x:v>
      </x:c>
      <x:c r="F1831" s="35" t="str">
        <x:v>Vision-only BC (task-specific)</x:v>
      </x:c>
      <x:c r="G1831" s="35" t="n">
        <x:v>3</x:v>
      </x:c>
      <x:c r="H1831" s="35" t="str">
        <x:v>State Recognition</x:v>
      </x:c>
      <x:c r="I1831" s="35" t="str">
        <x:v>Vision-only counterfactual B</x:v>
      </x:c>
      <x:c r="J1831" s="35" t="str">
        <x:v>BC-ST-09B</x:v>
      </x:c>
      <x:c r="K1831" s="35" t="str">
        <x:v>BC-ST-09</x:v>
      </x:c>
      <x:c r="L1831" s="31" t="str">
        <x:v>[NO LANGUAGE CHANNEL / INPUT]</x:v>
      </x:c>
      <x:c r="M1831" s="31" t="str">
        <x:v>Place the closed white cup in the bowl.</x:v>
      </x:c>
      <x:c r="N1831" s="31" t="str">
        <x:v>S-CF09-HELD: P1 white cup A=C/UR [TARGET]; P2 white cup B=O/UR [COMPETITOR]; P3 yellow-white striped cup A=C/UD; P4 brown cup B=O/UD.</x:v>
      </x:c>
      <x:c r="O1831" s="31" t="str">
        <x:v>white cup A</x:v>
      </x:c>
      <x:c r="P1831" s="31" t="str"/>
      <x:c r="Q1831" s="31" t="str"/>
      <x:c r="R1831" s="31" t="str"/>
      <x:c r="S1831" s="31" t="str">
        <x:f>IF('Blind Scoring'!I1831="","",'Blind Scoring'!I1831)</x:f>
      </x:c>
      <x:c r="T1831" s="31" t="str">
        <x:f>'Blind Scoring'!J1831</x:f>
        <x:v>No</x:v>
      </x:c>
      <x:c r="U1831" s="31" t="str">
        <x:f>IF('Blind Scoring'!L1831="","",'Blind Scoring'!L1831)</x:f>
      </x:c>
    </x:row>
    <x:row r="1832" ht="44" customHeight="1">
      <x:c r="A1832" s="35" t="str">
        <x:v>Not Started</x:v>
      </x:c>
      <x:c r="B1832" s="35" t="n">
        <x:v>1830</x:v>
      </x:c>
      <x:c r="C1832" s="35" t="str">
        <x:v>B35</x:v>
      </x:c>
      <x:c r="D1832" s="35" t="n">
        <x:v>17</x:v>
      </x:c>
      <x:c r="E1832" s="35" t="str">
        <x:v>BC Diagnostic</x:v>
      </x:c>
      <x:c r="F1832" s="35" t="str">
        <x:v>Vision-only BC (task-specific)</x:v>
      </x:c>
      <x:c r="G1832" s="35" t="n">
        <x:v>3</x:v>
      </x:c>
      <x:c r="H1832" s="35" t="str">
        <x:v>State Recognition</x:v>
      </x:c>
      <x:c r="I1832" s="35" t="str">
        <x:v>Vision-only counterfactual A</x:v>
      </x:c>
      <x:c r="J1832" s="35" t="str">
        <x:v>BC-ST-06A</x:v>
      </x:c>
      <x:c r="K1832" s="35" t="str">
        <x:v>BC-ST-06</x:v>
      </x:c>
      <x:c r="L1832" s="31" t="str">
        <x:v>[NO LANGUAGE CHANNEL / INPUT]</x:v>
      </x:c>
      <x:c r="M1832" s="31" t="str">
        <x:v>Place the upside-down glass spice container in the bowl.</x:v>
      </x:c>
      <x:c r="N1832" s="31" t="str">
        <x:v>S-CF06-SEEN: P1 white cup B=C/UR; P2 glass spice container A=O/UR [TARGET]; P3 glass spice container B=O/UD [COMPETITOR]; P4 yellow-white striped cup B=C/UD.</x:v>
      </x:c>
      <x:c r="O1832" s="31" t="str">
        <x:v>glass spice container B</x:v>
      </x:c>
      <x:c r="P1832" s="31" t="str"/>
      <x:c r="Q1832" s="31" t="str"/>
      <x:c r="R1832" s="31" t="str"/>
      <x:c r="S1832" s="31" t="str">
        <x:f>IF('Blind Scoring'!I1832="","",'Blind Scoring'!I1832)</x:f>
      </x:c>
      <x:c r="T1832" s="31" t="str">
        <x:f>'Blind Scoring'!J1832</x:f>
        <x:v>No</x:v>
      </x:c>
      <x:c r="U1832" s="31" t="str">
        <x:f>IF('Blind Scoring'!L1832="","",'Blind Scoring'!L1832)</x:f>
      </x:c>
    </x:row>
    <x:row r="1833" ht="44" customHeight="1">
      <x:c r="A1833" s="35" t="str">
        <x:v>Not Started</x:v>
      </x:c>
      <x:c r="B1833" s="35" t="n">
        <x:v>1831</x:v>
      </x:c>
      <x:c r="C1833" s="35" t="str">
        <x:v>B35</x:v>
      </x:c>
      <x:c r="D1833" s="35" t="n">
        <x:v>18</x:v>
      </x:c>
      <x:c r="E1833" s="35" t="str">
        <x:v>BC Diagnostic</x:v>
      </x:c>
      <x:c r="F1833" s="35" t="str">
        <x:v>Vision-only BC (task-specific)</x:v>
      </x:c>
      <x:c r="G1833" s="35" t="n">
        <x:v>3</x:v>
      </x:c>
      <x:c r="H1833" s="35" t="str">
        <x:v>State Recognition</x:v>
      </x:c>
      <x:c r="I1833" s="35" t="str">
        <x:v>Vision-only counterfactual A</x:v>
      </x:c>
      <x:c r="J1833" s="35" t="str">
        <x:v>BC-ST-03A</x:v>
      </x:c>
      <x:c r="K1833" s="35" t="str">
        <x:v>BC-ST-03</x:v>
      </x:c>
      <x:c r="L1833" s="31" t="str">
        <x:v>[NO LANGUAGE CHANNEL / INPUT]</x:v>
      </x:c>
      <x:c r="M1833" s="31" t="str">
        <x:v>Place the open glass spice container in the bowl.</x:v>
      </x:c>
      <x:c r="N1833" s="31" t="str">
        <x:v>S-CF03-SEEN: P1 white cup A=C/UR; P2 yellow-white striped cup A=O/UR; P3 glass spice container B=C/UD [TARGET]; P4 glass spice container A=O/UD [COMPETITOR].</x:v>
      </x:c>
      <x:c r="O1833" s="31" t="str">
        <x:v>glass spice container A</x:v>
      </x:c>
      <x:c r="P1833" s="31" t="str"/>
      <x:c r="Q1833" s="31" t="str"/>
      <x:c r="R1833" s="31" t="str"/>
      <x:c r="S1833" s="31" t="str">
        <x:f>IF('Blind Scoring'!I1833="","",'Blind Scoring'!I1833)</x:f>
      </x:c>
      <x:c r="T1833" s="31" t="str">
        <x:f>'Blind Scoring'!J1833</x:f>
        <x:v>No</x:v>
      </x:c>
      <x:c r="U1833" s="31" t="str">
        <x:f>IF('Blind Scoring'!L1833="","",'Blind Scoring'!L1833)</x:f>
      </x:c>
    </x:row>
    <x:row r="1834" ht="44" customHeight="1">
      <x:c r="A1834" s="35" t="str">
        <x:v>Not Started</x:v>
      </x:c>
      <x:c r="B1834" s="35" t="n">
        <x:v>1832</x:v>
      </x:c>
      <x:c r="C1834" s="35" t="str">
        <x:v>B35</x:v>
      </x:c>
      <x:c r="D1834" s="35" t="n">
        <x:v>19</x:v>
      </x:c>
      <x:c r="E1834" s="35" t="str">
        <x:v>BC Diagnostic</x:v>
      </x:c>
      <x:c r="F1834" s="35" t="str">
        <x:v>Vision-only BC (task-specific)</x:v>
      </x:c>
      <x:c r="G1834" s="35" t="n">
        <x:v>3</x:v>
      </x:c>
      <x:c r="H1834" s="35" t="str">
        <x:v>State Recognition</x:v>
      </x:c>
      <x:c r="I1834" s="35" t="str">
        <x:v>Vision-only counterfactual B</x:v>
      </x:c>
      <x:c r="J1834" s="35" t="str">
        <x:v>BC-ST-01B</x:v>
      </x:c>
      <x:c r="K1834" s="35" t="str">
        <x:v>BC-ST-01</x:v>
      </x:c>
      <x:c r="L1834" s="31" t="str">
        <x:v>[NO LANGUAGE CHANNEL / INPUT]</x:v>
      </x:c>
      <x:c r="M1834" s="31" t="str">
        <x:v>Place the closed white cup in the bowl.</x:v>
      </x:c>
      <x:c r="N1834" s="31" t="str">
        <x:v>S-CF01-HELD: P1 white cup A=C/UR [TARGET]; P2 white cup B=O/UR [COMPETITOR]; P3 yellow-white striped cup A=C/UD; P4 brown cup B=O/UD.</x:v>
      </x:c>
      <x:c r="O1834" s="31" t="str">
        <x:v>white cup A</x:v>
      </x:c>
      <x:c r="P1834" s="31" t="str"/>
      <x:c r="Q1834" s="31" t="str"/>
      <x:c r="R1834" s="31" t="str"/>
      <x:c r="S1834" s="31" t="str">
        <x:f>IF('Blind Scoring'!I1834="","",'Blind Scoring'!I1834)</x:f>
      </x:c>
      <x:c r="T1834" s="31" t="str">
        <x:f>'Blind Scoring'!J1834</x:f>
        <x:v>No</x:v>
      </x:c>
      <x:c r="U1834" s="31" t="str">
        <x:f>IF('Blind Scoring'!L1834="","",'Blind Scoring'!L1834)</x:f>
      </x:c>
    </x:row>
    <x:row r="1835" ht="44" customHeight="1">
      <x:c r="A1835" s="35" t="str">
        <x:v>Not Started</x:v>
      </x:c>
      <x:c r="B1835" s="35" t="n">
        <x:v>1833</x:v>
      </x:c>
      <x:c r="C1835" s="35" t="str">
        <x:v>B35</x:v>
      </x:c>
      <x:c r="D1835" s="35" t="n">
        <x:v>20</x:v>
      </x:c>
      <x:c r="E1835" s="35" t="str">
        <x:v>BC Diagnostic</x:v>
      </x:c>
      <x:c r="F1835" s="35" t="str">
        <x:v>Vision-only BC (task-specific)</x:v>
      </x:c>
      <x:c r="G1835" s="35" t="n">
        <x:v>3</x:v>
      </x:c>
      <x:c r="H1835" s="35" t="str">
        <x:v>State Recognition</x:v>
      </x:c>
      <x:c r="I1835" s="35" t="str">
        <x:v>Vision-only counterfactual B</x:v>
      </x:c>
      <x:c r="J1835" s="35" t="str">
        <x:v>BC-ST-07B</x:v>
      </x:c>
      <x:c r="K1835" s="35" t="str">
        <x:v>BC-ST-07</x:v>
      </x:c>
      <x:c r="L1835" s="31" t="str">
        <x:v>[NO LANGUAGE CHANNEL / INPUT]</x:v>
      </x:c>
      <x:c r="M1835" s="31" t="str">
        <x:v>Place the closed yellow-white striped cup in the bowl.</x:v>
      </x:c>
      <x:c r="N1835" s="31" t="str">
        <x:v>S-CF07-HELD: P1 brown cup A=C/UR; P2 glass spice container A=O/UR; P3 yellow-white striped cup A=C/UD [TARGET]; P4 yellow-white striped cup B=O/UD [COMPETITOR].</x:v>
      </x:c>
      <x:c r="O1835" s="31" t="str">
        <x:v>yellow-white striped cup A</x:v>
      </x:c>
      <x:c r="P1835" s="31" t="str"/>
      <x:c r="Q1835" s="31" t="str"/>
      <x:c r="R1835" s="31" t="str"/>
      <x:c r="S1835" s="31" t="str">
        <x:f>IF('Blind Scoring'!I1835="","",'Blind Scoring'!I1835)</x:f>
      </x:c>
      <x:c r="T1835" s="31" t="str">
        <x:f>'Blind Scoring'!J1835</x:f>
        <x:v>No</x:v>
      </x:c>
      <x:c r="U1835" s="31" t="str">
        <x:f>IF('Blind Scoring'!L1835="","",'Blind Scoring'!L1835)</x:f>
      </x:c>
    </x:row>
    <x:row r="1836" ht="44" customHeight="1">
      <x:c r="A1836" s="35" t="str">
        <x:v>Not Started</x:v>
      </x:c>
      <x:c r="B1836" s="35" t="n">
        <x:v>1834</x:v>
      </x:c>
      <x:c r="C1836" s="35" t="str">
        <x:v>B36</x:v>
      </x:c>
      <x:c r="D1836" s="35" t="n">
        <x:v>1</x:v>
      </x:c>
      <x:c r="E1836" s="35" t="str">
        <x:v>BC Diagnostic</x:v>
      </x:c>
      <x:c r="F1836" s="35" t="str">
        <x:v>Vision-only BC (task-specific)</x:v>
      </x:c>
      <x:c r="G1836" s="35" t="n">
        <x:v>3</x:v>
      </x:c>
      <x:c r="H1836" s="35" t="str">
        <x:v>Relational Placement</x:v>
      </x:c>
      <x:c r="I1836" s="35" t="str">
        <x:v>Vision-only counterfactual B</x:v>
      </x:c>
      <x:c r="J1836" s="35" t="str">
        <x:v>BC-RP-10B</x:v>
      </x:c>
      <x:c r="K1836" s="35" t="str">
        <x:v>BC-RP-10</x:v>
      </x:c>
      <x:c r="L1836" s="31" t="str">
        <x:v>[NO LANGUAGE CHANNEL / INPUT]</x:v>
      </x:c>
      <x:c r="M1836" s="31" t="str">
        <x:v>Place the red block to the left of the green pen.</x:v>
      </x:c>
      <x:c r="N1836" s="31" t="str">
        <x:v>R-CF30-HELD: green pen at front-right [REFERENCE]; red block starts 24 cm to the left of the reference [TARGET START]; blue block and pink marker are distractors outside the commanded goal sector.</x:v>
      </x:c>
      <x:c r="O1836" s="31" t="str">
        <x:v>red block → to the left of green pen</x:v>
      </x:c>
      <x:c r="P1836" s="31" t="str"/>
      <x:c r="Q1836" s="31" t="str"/>
      <x:c r="R1836" s="31" t="str"/>
      <x:c r="S1836" s="31" t="str">
        <x:f>IF('Blind Scoring'!I1836="","",'Blind Scoring'!I1836)</x:f>
      </x:c>
      <x:c r="T1836" s="31" t="str">
        <x:f>'Blind Scoring'!J1836</x:f>
        <x:v>No</x:v>
      </x:c>
      <x:c r="U1836" s="31" t="str">
        <x:f>IF('Blind Scoring'!L1836="","",'Blind Scoring'!L1836)</x:f>
      </x:c>
    </x:row>
    <x:row r="1837" ht="44" customHeight="1">
      <x:c r="A1837" s="35" t="str">
        <x:v>Not Started</x:v>
      </x:c>
      <x:c r="B1837" s="35" t="n">
        <x:v>1835</x:v>
      </x:c>
      <x:c r="C1837" s="35" t="str">
        <x:v>B36</x:v>
      </x:c>
      <x:c r="D1837" s="35" t="n">
        <x:v>2</x:v>
      </x:c>
      <x:c r="E1837" s="35" t="str">
        <x:v>BC Diagnostic</x:v>
      </x:c>
      <x:c r="F1837" s="35" t="str">
        <x:v>Vision-only BC (task-specific)</x:v>
      </x:c>
      <x:c r="G1837" s="35" t="n">
        <x:v>3</x:v>
      </x:c>
      <x:c r="H1837" s="35" t="str">
        <x:v>Relational Placement</x:v>
      </x:c>
      <x:c r="I1837" s="35" t="str">
        <x:v>Vision-only counterfactual A</x:v>
      </x:c>
      <x:c r="J1837" s="35" t="str">
        <x:v>BC-RP-01A</x:v>
      </x:c>
      <x:c r="K1837" s="35" t="str">
        <x:v>BC-RP-01</x:v>
      </x:c>
      <x:c r="L1837" s="31" t="str">
        <x:v>[NO LANGUAGE CHANNEL / INPUT]</x:v>
      </x:c>
      <x:c r="M1837" s="31" t="str">
        <x:v>Place the green pen in front of the red block.</x:v>
      </x:c>
      <x:c r="N1837" s="31" t="str">
        <x:v>R-CF01-HELD: red block at center [REFERENCE]; green pen starts 18 cm behind the reference [TARGET START]; pink marker and blue block are distractors outside the commanded goal sector.</x:v>
      </x:c>
      <x:c r="O1837" s="31" t="str">
        <x:v>green pen → in front of red block</x:v>
      </x:c>
      <x:c r="P1837" s="31" t="str"/>
      <x:c r="Q1837" s="31" t="str"/>
      <x:c r="R1837" s="31" t="str"/>
      <x:c r="S1837" s="31" t="str">
        <x:f>IF('Blind Scoring'!I1837="","",'Blind Scoring'!I1837)</x:f>
      </x:c>
      <x:c r="T1837" s="31" t="str">
        <x:f>'Blind Scoring'!J1837</x:f>
        <x:v>No</x:v>
      </x:c>
      <x:c r="U1837" s="31" t="str">
        <x:f>IF('Blind Scoring'!L1837="","",'Blind Scoring'!L1837)</x:f>
      </x:c>
    </x:row>
    <x:row r="1838" ht="44" customHeight="1">
      <x:c r="A1838" s="35" t="str">
        <x:v>Not Started</x:v>
      </x:c>
      <x:c r="B1838" s="35" t="n">
        <x:v>1836</x:v>
      </x:c>
      <x:c r="C1838" s="35" t="str">
        <x:v>B36</x:v>
      </x:c>
      <x:c r="D1838" s="35" t="n">
        <x:v>3</x:v>
      </x:c>
      <x:c r="E1838" s="35" t="str">
        <x:v>BC Diagnostic</x:v>
      </x:c>
      <x:c r="F1838" s="35" t="str">
        <x:v>Vision-only BC (task-specific)</x:v>
      </x:c>
      <x:c r="G1838" s="35" t="n">
        <x:v>3</x:v>
      </x:c>
      <x:c r="H1838" s="35" t="str">
        <x:v>Relational Placement</x:v>
      </x:c>
      <x:c r="I1838" s="35" t="str">
        <x:v>Vision-only counterfactual A</x:v>
      </x:c>
      <x:c r="J1838" s="35" t="str">
        <x:v>BC-RP-06A</x:v>
      </x:c>
      <x:c r="K1838" s="35" t="str">
        <x:v>BC-RP-06</x:v>
      </x:c>
      <x:c r="L1838" s="31" t="str">
        <x:v>[NO LANGUAGE CHANNEL / INPUT]</x:v>
      </x:c>
      <x:c r="M1838" s="31" t="str">
        <x:v>Place the green pen in front of the red block.</x:v>
      </x:c>
      <x:c r="N1838" s="31" t="str">
        <x:v>R-CF17-HELD: red block at back-left [REFERENCE]; green pen starts 21 cm behind the reference [TARGET START]; pink marker and blue block are distractors outside the commanded goal sector.</x:v>
      </x:c>
      <x:c r="O1838" s="31" t="str">
        <x:v>green pen → in front of red block</x:v>
      </x:c>
      <x:c r="P1838" s="31" t="str"/>
      <x:c r="Q1838" s="31" t="str"/>
      <x:c r="R1838" s="31" t="str"/>
      <x:c r="S1838" s="31" t="str">
        <x:f>IF('Blind Scoring'!I1838="","",'Blind Scoring'!I1838)</x:f>
      </x:c>
      <x:c r="T1838" s="31" t="str">
        <x:f>'Blind Scoring'!J1838</x:f>
        <x:v>No</x:v>
      </x:c>
      <x:c r="U1838" s="31" t="str">
        <x:f>IF('Blind Scoring'!L1838="","",'Blind Scoring'!L1838)</x:f>
      </x:c>
    </x:row>
    <x:row r="1839" ht="44" customHeight="1">
      <x:c r="A1839" s="35" t="str">
        <x:v>Not Started</x:v>
      </x:c>
      <x:c r="B1839" s="35" t="n">
        <x:v>1837</x:v>
      </x:c>
      <x:c r="C1839" s="35" t="str">
        <x:v>B36</x:v>
      </x:c>
      <x:c r="D1839" s="35" t="n">
        <x:v>4</x:v>
      </x:c>
      <x:c r="E1839" s="35" t="str">
        <x:v>BC Diagnostic</x:v>
      </x:c>
      <x:c r="F1839" s="35" t="str">
        <x:v>Vision-only BC (task-specific)</x:v>
      </x:c>
      <x:c r="G1839" s="35" t="n">
        <x:v>3</x:v>
      </x:c>
      <x:c r="H1839" s="35" t="str">
        <x:v>Relational Placement</x:v>
      </x:c>
      <x:c r="I1839" s="35" t="str">
        <x:v>Vision-only counterfactual B</x:v>
      </x:c>
      <x:c r="J1839" s="35" t="str">
        <x:v>BC-RP-05B</x:v>
      </x:c>
      <x:c r="K1839" s="35" t="str">
        <x:v>BC-RP-05</x:v>
      </x:c>
      <x:c r="L1839" s="31" t="str">
        <x:v>[NO LANGUAGE CHANNEL / INPUT]</x:v>
      </x:c>
      <x:c r="M1839" s="31" t="str">
        <x:v>Place the red block to the left of the green pen.</x:v>
      </x:c>
      <x:c r="N1839" s="31" t="str">
        <x:v>R-CF14-HELD: green pen at front-left [REFERENCE]; red block starts 21 cm to the left of the reference [TARGET START]; blue block and pink marker are distractors outside the commanded goal sector.</x:v>
      </x:c>
      <x:c r="O1839" s="31" t="str">
        <x:v>red block → to the left of green pen</x:v>
      </x:c>
      <x:c r="P1839" s="31" t="str"/>
      <x:c r="Q1839" s="31" t="str"/>
      <x:c r="R1839" s="31" t="str"/>
      <x:c r="S1839" s="31" t="str">
        <x:f>IF('Blind Scoring'!I1839="","",'Blind Scoring'!I1839)</x:f>
      </x:c>
      <x:c r="T1839" s="31" t="str">
        <x:f>'Blind Scoring'!J1839</x:f>
        <x:v>No</x:v>
      </x:c>
      <x:c r="U1839" s="31" t="str">
        <x:f>IF('Blind Scoring'!L1839="","",'Blind Scoring'!L1839)</x:f>
      </x:c>
    </x:row>
    <x:row r="1840" ht="44" customHeight="1">
      <x:c r="A1840" s="35" t="str">
        <x:v>Not Started</x:v>
      </x:c>
      <x:c r="B1840" s="35" t="n">
        <x:v>1838</x:v>
      </x:c>
      <x:c r="C1840" s="35" t="str">
        <x:v>B36</x:v>
      </x:c>
      <x:c r="D1840" s="35" t="n">
        <x:v>5</x:v>
      </x:c>
      <x:c r="E1840" s="35" t="str">
        <x:v>BC Diagnostic</x:v>
      </x:c>
      <x:c r="F1840" s="35" t="str">
        <x:v>Vision-only BC (task-specific)</x:v>
      </x:c>
      <x:c r="G1840" s="35" t="n">
        <x:v>3</x:v>
      </x:c>
      <x:c r="H1840" s="35" t="str">
        <x:v>Relational Placement</x:v>
      </x:c>
      <x:c r="I1840" s="35" t="str">
        <x:v>Vision-only counterfactual B</x:v>
      </x:c>
      <x:c r="J1840" s="35" t="str">
        <x:v>BC-RP-03B</x:v>
      </x:c>
      <x:c r="K1840" s="35" t="str">
        <x:v>BC-RP-03</x:v>
      </x:c>
      <x:c r="L1840" s="31" t="str">
        <x:v>[NO LANGUAGE CHANNEL / INPUT]</x:v>
      </x:c>
      <x:c r="M1840" s="31" t="str">
        <x:v>Place the green pen in front of the red block.</x:v>
      </x:c>
      <x:c r="N1840" s="31" t="str">
        <x:v>R-CF07-HELD: red block at back-left [REFERENCE]; green pen starts 18 cm in front of the reference [TARGET START]; pink marker and blue block are distractors outside the commanded goal sector.</x:v>
      </x:c>
      <x:c r="O1840" s="31" t="str">
        <x:v>green pen → in front of red block</x:v>
      </x:c>
      <x:c r="P1840" s="31" t="str"/>
      <x:c r="Q1840" s="31" t="str"/>
      <x:c r="R1840" s="31" t="str"/>
      <x:c r="S1840" s="31" t="str">
        <x:f>IF('Blind Scoring'!I1840="","",'Blind Scoring'!I1840)</x:f>
      </x:c>
      <x:c r="T1840" s="31" t="str">
        <x:f>'Blind Scoring'!J1840</x:f>
        <x:v>No</x:v>
      </x:c>
      <x:c r="U1840" s="31" t="str">
        <x:f>IF('Blind Scoring'!L1840="","",'Blind Scoring'!L1840)</x:f>
      </x:c>
    </x:row>
    <x:row r="1841" ht="44" customHeight="1">
      <x:c r="A1841" s="35" t="str">
        <x:v>Not Started</x:v>
      </x:c>
      <x:c r="B1841" s="35" t="n">
        <x:v>1839</x:v>
      </x:c>
      <x:c r="C1841" s="35" t="str">
        <x:v>B36</x:v>
      </x:c>
      <x:c r="D1841" s="35" t="n">
        <x:v>6</x:v>
      </x:c>
      <x:c r="E1841" s="35" t="str">
        <x:v>BC Diagnostic</x:v>
      </x:c>
      <x:c r="F1841" s="35" t="str">
        <x:v>Vision-only BC (task-specific)</x:v>
      </x:c>
      <x:c r="G1841" s="35" t="n">
        <x:v>3</x:v>
      </x:c>
      <x:c r="H1841" s="35" t="str">
        <x:v>Relational Placement</x:v>
      </x:c>
      <x:c r="I1841" s="35" t="str">
        <x:v>Vision-only counterfactual B</x:v>
      </x:c>
      <x:c r="J1841" s="35" t="str">
        <x:v>BC-RP-04B</x:v>
      </x:c>
      <x:c r="K1841" s="35" t="str">
        <x:v>BC-RP-04</x:v>
      </x:c>
      <x:c r="L1841" s="31" t="str">
        <x:v>[NO LANGUAGE CHANNEL / INPUT]</x:v>
      </x:c>
      <x:c r="M1841" s="31" t="str">
        <x:v>Place the green pen to the left of the red block.</x:v>
      </x:c>
      <x:c r="N1841" s="31" t="str">
        <x:v>R-CF11-HELD: red block at center [REFERENCE]; green pen starts 21 cm to the left of the reference [TARGET START]; pink marker and blue block are distractors outside the commanded goal sector.</x:v>
      </x:c>
      <x:c r="O1841" s="31" t="str">
        <x:v>green pen → to the left of red block</x:v>
      </x:c>
      <x:c r="P1841" s="31" t="str"/>
      <x:c r="Q1841" s="31" t="str"/>
      <x:c r="R1841" s="31" t="str"/>
      <x:c r="S1841" s="31" t="str">
        <x:f>IF('Blind Scoring'!I1841="","",'Blind Scoring'!I1841)</x:f>
      </x:c>
      <x:c r="T1841" s="31" t="str">
        <x:f>'Blind Scoring'!J1841</x:f>
        <x:v>No</x:v>
      </x:c>
      <x:c r="U1841" s="31" t="str">
        <x:f>IF('Blind Scoring'!L1841="","",'Blind Scoring'!L1841)</x:f>
      </x:c>
    </x:row>
    <x:row r="1842" ht="44" customHeight="1">
      <x:c r="A1842" s="35" t="str">
        <x:v>Not Started</x:v>
      </x:c>
      <x:c r="B1842" s="35" t="n">
        <x:v>1840</x:v>
      </x:c>
      <x:c r="C1842" s="35" t="str">
        <x:v>B36</x:v>
      </x:c>
      <x:c r="D1842" s="35" t="n">
        <x:v>7</x:v>
      </x:c>
      <x:c r="E1842" s="35" t="str">
        <x:v>BC Diagnostic</x:v>
      </x:c>
      <x:c r="F1842" s="35" t="str">
        <x:v>Vision-only BC (task-specific)</x:v>
      </x:c>
      <x:c r="G1842" s="35" t="n">
        <x:v>3</x:v>
      </x:c>
      <x:c r="H1842" s="35" t="str">
        <x:v>Relational Placement</x:v>
      </x:c>
      <x:c r="I1842" s="35" t="str">
        <x:v>Vision-only counterfactual A</x:v>
      </x:c>
      <x:c r="J1842" s="35" t="str">
        <x:v>BC-RP-10A</x:v>
      </x:c>
      <x:c r="K1842" s="35" t="str">
        <x:v>BC-RP-10</x:v>
      </x:c>
      <x:c r="L1842" s="31" t="str">
        <x:v>[NO LANGUAGE CHANNEL / INPUT]</x:v>
      </x:c>
      <x:c r="M1842" s="31" t="str">
        <x:v>Place the red block to the right of the green pen.</x:v>
      </x:c>
      <x:c r="N1842" s="31" t="str">
        <x:v>R-CF30-HELD: green pen at front-right [REFERENCE]; red block starts 24 cm to the left of the reference [TARGET START]; blue block and pink marker are distractors outside the commanded goal sector.</x:v>
      </x:c>
      <x:c r="O1842" s="31" t="str">
        <x:v>red block → to the right of green pen</x:v>
      </x:c>
      <x:c r="P1842" s="31" t="str"/>
      <x:c r="Q1842" s="31" t="str"/>
      <x:c r="R1842" s="31" t="str"/>
      <x:c r="S1842" s="31" t="str">
        <x:f>IF('Blind Scoring'!I1842="","",'Blind Scoring'!I1842)</x:f>
      </x:c>
      <x:c r="T1842" s="31" t="str">
        <x:f>'Blind Scoring'!J1842</x:f>
        <x:v>No</x:v>
      </x:c>
      <x:c r="U1842" s="31" t="str">
        <x:f>IF('Blind Scoring'!L1842="","",'Blind Scoring'!L1842)</x:f>
      </x:c>
    </x:row>
    <x:row r="1843" ht="44" customHeight="1">
      <x:c r="A1843" s="35" t="str">
        <x:v>Not Started</x:v>
      </x:c>
      <x:c r="B1843" s="35" t="n">
        <x:v>1841</x:v>
      </x:c>
      <x:c r="C1843" s="35" t="str">
        <x:v>B36</x:v>
      </x:c>
      <x:c r="D1843" s="35" t="n">
        <x:v>8</x:v>
      </x:c>
      <x:c r="E1843" s="35" t="str">
        <x:v>BC Diagnostic</x:v>
      </x:c>
      <x:c r="F1843" s="35" t="str">
        <x:v>Vision-only BC (task-specific)</x:v>
      </x:c>
      <x:c r="G1843" s="35" t="n">
        <x:v>3</x:v>
      </x:c>
      <x:c r="H1843" s="35" t="str">
        <x:v>Relational Placement</x:v>
      </x:c>
      <x:c r="I1843" s="35" t="str">
        <x:v>Vision-only counterfactual A</x:v>
      </x:c>
      <x:c r="J1843" s="35" t="str">
        <x:v>BC-RP-05A</x:v>
      </x:c>
      <x:c r="K1843" s="35" t="str">
        <x:v>BC-RP-05</x:v>
      </x:c>
      <x:c r="L1843" s="31" t="str">
        <x:v>[NO LANGUAGE CHANNEL / INPUT]</x:v>
      </x:c>
      <x:c r="M1843" s="31" t="str">
        <x:v>Place the red block to the right of the green pen.</x:v>
      </x:c>
      <x:c r="N1843" s="31" t="str">
        <x:v>R-CF14-HELD: green pen at front-left [REFERENCE]; red block starts 21 cm to the left of the reference [TARGET START]; blue block and pink marker are distractors outside the commanded goal sector.</x:v>
      </x:c>
      <x:c r="O1843" s="31" t="str">
        <x:v>red block → to the right of green pen</x:v>
      </x:c>
      <x:c r="P1843" s="31" t="str"/>
      <x:c r="Q1843" s="31" t="str"/>
      <x:c r="R1843" s="31" t="str"/>
      <x:c r="S1843" s="31" t="str">
        <x:f>IF('Blind Scoring'!I1843="","",'Blind Scoring'!I1843)</x:f>
      </x:c>
      <x:c r="T1843" s="31" t="str">
        <x:f>'Blind Scoring'!J1843</x:f>
        <x:v>No</x:v>
      </x:c>
      <x:c r="U1843" s="31" t="str">
        <x:f>IF('Blind Scoring'!L1843="","",'Blind Scoring'!L1843)</x:f>
      </x:c>
    </x:row>
    <x:row r="1844" ht="44" customHeight="1">
      <x:c r="A1844" s="35" t="str">
        <x:v>Not Started</x:v>
      </x:c>
      <x:c r="B1844" s="35" t="n">
        <x:v>1842</x:v>
      </x:c>
      <x:c r="C1844" s="35" t="str">
        <x:v>B36</x:v>
      </x:c>
      <x:c r="D1844" s="35" t="n">
        <x:v>9</x:v>
      </x:c>
      <x:c r="E1844" s="35" t="str">
        <x:v>BC Diagnostic</x:v>
      </x:c>
      <x:c r="F1844" s="35" t="str">
        <x:v>Vision-only BC (task-specific)</x:v>
      </x:c>
      <x:c r="G1844" s="35" t="n">
        <x:v>3</x:v>
      </x:c>
      <x:c r="H1844" s="35" t="str">
        <x:v>Relational Placement</x:v>
      </x:c>
      <x:c r="I1844" s="35" t="str">
        <x:v>Vision-only counterfactual A</x:v>
      </x:c>
      <x:c r="J1844" s="35" t="str">
        <x:v>BC-RP-02A</x:v>
      </x:c>
      <x:c r="K1844" s="35" t="str">
        <x:v>BC-RP-02</x:v>
      </x:c>
      <x:c r="L1844" s="31" t="str">
        <x:v>[NO LANGUAGE CHANNEL / INPUT]</x:v>
      </x:c>
      <x:c r="M1844" s="31" t="str">
        <x:v>Place the red block in front of the green pen.</x:v>
      </x:c>
      <x:c r="N1844" s="31" t="str">
        <x:v>R-CF04-HELD: green pen at front-left [REFERENCE]; red block starts 18 cm behind the reference [TARGET START]; blue block and pink marker are distractors outside the commanded goal sector.</x:v>
      </x:c>
      <x:c r="O1844" s="31" t="str">
        <x:v>red block → in front of green pen</x:v>
      </x:c>
      <x:c r="P1844" s="31" t="str"/>
      <x:c r="Q1844" s="31" t="str"/>
      <x:c r="R1844" s="31" t="str"/>
      <x:c r="S1844" s="31" t="str">
        <x:f>IF('Blind Scoring'!I1844="","",'Blind Scoring'!I1844)</x:f>
      </x:c>
      <x:c r="T1844" s="31" t="str">
        <x:f>'Blind Scoring'!J1844</x:f>
        <x:v>No</x:v>
      </x:c>
      <x:c r="U1844" s="31" t="str">
        <x:f>IF('Blind Scoring'!L1844="","",'Blind Scoring'!L1844)</x:f>
      </x:c>
    </x:row>
    <x:row r="1845" ht="44" customHeight="1">
      <x:c r="A1845" s="35" t="str">
        <x:v>Not Started</x:v>
      </x:c>
      <x:c r="B1845" s="35" t="n">
        <x:v>1843</x:v>
      </x:c>
      <x:c r="C1845" s="35" t="str">
        <x:v>B36</x:v>
      </x:c>
      <x:c r="D1845" s="35" t="n">
        <x:v>10</x:v>
      </x:c>
      <x:c r="E1845" s="35" t="str">
        <x:v>BC Diagnostic</x:v>
      </x:c>
      <x:c r="F1845" s="35" t="str">
        <x:v>Vision-only BC (task-specific)</x:v>
      </x:c>
      <x:c r="G1845" s="35" t="n">
        <x:v>3</x:v>
      </x:c>
      <x:c r="H1845" s="35" t="str">
        <x:v>Relational Placement</x:v>
      </x:c>
      <x:c r="I1845" s="35" t="str">
        <x:v>Vision-only counterfactual B</x:v>
      </x:c>
      <x:c r="J1845" s="35" t="str">
        <x:v>BC-RP-06B</x:v>
      </x:c>
      <x:c r="K1845" s="35" t="str">
        <x:v>BC-RP-06</x:v>
      </x:c>
      <x:c r="L1845" s="31" t="str">
        <x:v>[NO LANGUAGE CHANNEL / INPUT]</x:v>
      </x:c>
      <x:c r="M1845" s="31" t="str">
        <x:v>Place the green pen behind the red block.</x:v>
      </x:c>
      <x:c r="N1845" s="31" t="str">
        <x:v>R-CF17-HELD: red block at back-left [REFERENCE]; green pen starts 21 cm behind the reference [TARGET START]; pink marker and blue block are distractors outside the commanded goal sector.</x:v>
      </x:c>
      <x:c r="O1845" s="31" t="str">
        <x:v>green pen → behind red block</x:v>
      </x:c>
      <x:c r="P1845" s="31" t="str"/>
      <x:c r="Q1845" s="31" t="str"/>
      <x:c r="R1845" s="31" t="str"/>
      <x:c r="S1845" s="31" t="str">
        <x:f>IF('Blind Scoring'!I1845="","",'Blind Scoring'!I1845)</x:f>
      </x:c>
      <x:c r="T1845" s="31" t="str">
        <x:f>'Blind Scoring'!J1845</x:f>
        <x:v>No</x:v>
      </x:c>
      <x:c r="U1845" s="31" t="str">
        <x:f>IF('Blind Scoring'!L1845="","",'Blind Scoring'!L1845)</x:f>
      </x:c>
    </x:row>
    <x:row r="1846" ht="44" customHeight="1">
      <x:c r="A1846" s="35" t="str">
        <x:v>Not Started</x:v>
      </x:c>
      <x:c r="B1846" s="35" t="n">
        <x:v>1844</x:v>
      </x:c>
      <x:c r="C1846" s="35" t="str">
        <x:v>B36</x:v>
      </x:c>
      <x:c r="D1846" s="35" t="n">
        <x:v>11</x:v>
      </x:c>
      <x:c r="E1846" s="35" t="str">
        <x:v>BC Diagnostic</x:v>
      </x:c>
      <x:c r="F1846" s="35" t="str">
        <x:v>Vision-only BC (task-specific)</x:v>
      </x:c>
      <x:c r="G1846" s="35" t="n">
        <x:v>3</x:v>
      </x:c>
      <x:c r="H1846" s="35" t="str">
        <x:v>Relational Placement</x:v>
      </x:c>
      <x:c r="I1846" s="35" t="str">
        <x:v>Vision-only counterfactual B</x:v>
      </x:c>
      <x:c r="J1846" s="35" t="str">
        <x:v>BC-RP-02B</x:v>
      </x:c>
      <x:c r="K1846" s="35" t="str">
        <x:v>BC-RP-02</x:v>
      </x:c>
      <x:c r="L1846" s="31" t="str">
        <x:v>[NO LANGUAGE CHANNEL / INPUT]</x:v>
      </x:c>
      <x:c r="M1846" s="31" t="str">
        <x:v>Place the red block behind the green pen.</x:v>
      </x:c>
      <x:c r="N1846" s="31" t="str">
        <x:v>R-CF04-HELD: green pen at front-left [REFERENCE]; red block starts 18 cm behind the reference [TARGET START]; blue block and pink marker are distractors outside the commanded goal sector.</x:v>
      </x:c>
      <x:c r="O1846" s="31" t="str">
        <x:v>red block → behind green pen</x:v>
      </x:c>
      <x:c r="P1846" s="31" t="str"/>
      <x:c r="Q1846" s="31" t="str"/>
      <x:c r="R1846" s="31" t="str"/>
      <x:c r="S1846" s="31" t="str">
        <x:f>IF('Blind Scoring'!I1846="","",'Blind Scoring'!I1846)</x:f>
      </x:c>
      <x:c r="T1846" s="31" t="str">
        <x:f>'Blind Scoring'!J1846</x:f>
        <x:v>No</x:v>
      </x:c>
      <x:c r="U1846" s="31" t="str">
        <x:f>IF('Blind Scoring'!L1846="","",'Blind Scoring'!L1846)</x:f>
      </x:c>
    </x:row>
    <x:row r="1847" ht="44" customHeight="1">
      <x:c r="A1847" s="35" t="str">
        <x:v>Not Started</x:v>
      </x:c>
      <x:c r="B1847" s="35" t="n">
        <x:v>1845</x:v>
      </x:c>
      <x:c r="C1847" s="35" t="str">
        <x:v>B36</x:v>
      </x:c>
      <x:c r="D1847" s="35" t="n">
        <x:v>12</x:v>
      </x:c>
      <x:c r="E1847" s="35" t="str">
        <x:v>BC Diagnostic</x:v>
      </x:c>
      <x:c r="F1847" s="35" t="str">
        <x:v>Vision-only BC (task-specific)</x:v>
      </x:c>
      <x:c r="G1847" s="35" t="n">
        <x:v>3</x:v>
      </x:c>
      <x:c r="H1847" s="35" t="str">
        <x:v>Relational Placement</x:v>
      </x:c>
      <x:c r="I1847" s="35" t="str">
        <x:v>Vision-only counterfactual A</x:v>
      </x:c>
      <x:c r="J1847" s="35" t="str">
        <x:v>BC-RP-08A</x:v>
      </x:c>
      <x:c r="K1847" s="35" t="str">
        <x:v>BC-RP-08</x:v>
      </x:c>
      <x:c r="L1847" s="31" t="str">
        <x:v>[NO LANGUAGE CHANNEL / INPUT]</x:v>
      </x:c>
      <x:c r="M1847" s="31" t="str">
        <x:v>Place the red block to the left of the green pen.</x:v>
      </x:c>
      <x:c r="N1847" s="31" t="str">
        <x:v>R-CF24-HELD: green pen at front-left [REFERENCE]; red block starts 24 cm to the right of the reference [TARGET START]; blue block and pink marker are distractors outside the commanded goal sector.</x:v>
      </x:c>
      <x:c r="O1847" s="31" t="str">
        <x:v>red block → to the left of green pen</x:v>
      </x:c>
      <x:c r="P1847" s="31" t="str"/>
      <x:c r="Q1847" s="31" t="str"/>
      <x:c r="R1847" s="31" t="str"/>
      <x:c r="S1847" s="31" t="str">
        <x:f>IF('Blind Scoring'!I1847="","",'Blind Scoring'!I1847)</x:f>
      </x:c>
      <x:c r="T1847" s="31" t="str">
        <x:f>'Blind Scoring'!J1847</x:f>
        <x:v>No</x:v>
      </x:c>
      <x:c r="U1847" s="31" t="str">
        <x:f>IF('Blind Scoring'!L1847="","",'Blind Scoring'!L1847)</x:f>
      </x:c>
    </x:row>
    <x:row r="1848" ht="44" customHeight="1">
      <x:c r="A1848" s="35" t="str">
        <x:v>Not Started</x:v>
      </x:c>
      <x:c r="B1848" s="35" t="n">
        <x:v>1846</x:v>
      </x:c>
      <x:c r="C1848" s="35" t="str">
        <x:v>B36</x:v>
      </x:c>
      <x:c r="D1848" s="35" t="n">
        <x:v>13</x:v>
      </x:c>
      <x:c r="E1848" s="35" t="str">
        <x:v>BC Diagnostic</x:v>
      </x:c>
      <x:c r="F1848" s="35" t="str">
        <x:v>Vision-only BC (task-specific)</x:v>
      </x:c>
      <x:c r="G1848" s="35" t="n">
        <x:v>3</x:v>
      </x:c>
      <x:c r="H1848" s="35" t="str">
        <x:v>Relational Placement</x:v>
      </x:c>
      <x:c r="I1848" s="35" t="str">
        <x:v>Vision-only counterfactual B</x:v>
      </x:c>
      <x:c r="J1848" s="35" t="str">
        <x:v>BC-RP-07B</x:v>
      </x:c>
      <x:c r="K1848" s="35" t="str">
        <x:v>BC-RP-07</x:v>
      </x:c>
      <x:c r="L1848" s="31" t="str">
        <x:v>[NO LANGUAGE CHANNEL / INPUT]</x:v>
      </x:c>
      <x:c r="M1848" s="31" t="str">
        <x:v>Place the red block behind the green pen.</x:v>
      </x:c>
      <x:c r="N1848" s="31" t="str">
        <x:v>R-CF20-HELD: green pen at front-right [REFERENCE]; red block starts 21 cm behind the reference [TARGET START]; blue block and pink marker are distractors outside the commanded goal sector.</x:v>
      </x:c>
      <x:c r="O1848" s="31" t="str">
        <x:v>red block → behind green pen</x:v>
      </x:c>
      <x:c r="P1848" s="31" t="str"/>
      <x:c r="Q1848" s="31" t="str"/>
      <x:c r="R1848" s="31" t="str"/>
      <x:c r="S1848" s="31" t="str">
        <x:f>IF('Blind Scoring'!I1848="","",'Blind Scoring'!I1848)</x:f>
      </x:c>
      <x:c r="T1848" s="31" t="str">
        <x:f>'Blind Scoring'!J1848</x:f>
        <x:v>No</x:v>
      </x:c>
      <x:c r="U1848" s="31" t="str">
        <x:f>IF('Blind Scoring'!L1848="","",'Blind Scoring'!L1848)</x:f>
      </x:c>
    </x:row>
    <x:row r="1849" ht="44" customHeight="1">
      <x:c r="A1849" s="35" t="str">
        <x:v>Not Started</x:v>
      </x:c>
      <x:c r="B1849" s="35" t="n">
        <x:v>1847</x:v>
      </x:c>
      <x:c r="C1849" s="35" t="str">
        <x:v>B36</x:v>
      </x:c>
      <x:c r="D1849" s="35" t="n">
        <x:v>14</x:v>
      </x:c>
      <x:c r="E1849" s="35" t="str">
        <x:v>BC Diagnostic</x:v>
      </x:c>
      <x:c r="F1849" s="35" t="str">
        <x:v>Vision-only BC (task-specific)</x:v>
      </x:c>
      <x:c r="G1849" s="35" t="n">
        <x:v>3</x:v>
      </x:c>
      <x:c r="H1849" s="35" t="str">
        <x:v>Relational Placement</x:v>
      </x:c>
      <x:c r="I1849" s="35" t="str">
        <x:v>Vision-only counterfactual B</x:v>
      </x:c>
      <x:c r="J1849" s="35" t="str">
        <x:v>BC-RP-01B</x:v>
      </x:c>
      <x:c r="K1849" s="35" t="str">
        <x:v>BC-RP-01</x:v>
      </x:c>
      <x:c r="L1849" s="31" t="str">
        <x:v>[NO LANGUAGE CHANNEL / INPUT]</x:v>
      </x:c>
      <x:c r="M1849" s="31" t="str">
        <x:v>Place the green pen behind the red block.</x:v>
      </x:c>
      <x:c r="N1849" s="31" t="str">
        <x:v>R-CF01-HELD: red block at center [REFERENCE]; green pen starts 18 cm behind the reference [TARGET START]; pink marker and blue block are distractors outside the commanded goal sector.</x:v>
      </x:c>
      <x:c r="O1849" s="31" t="str">
        <x:v>green pen → behind red block</x:v>
      </x:c>
      <x:c r="P1849" s="31" t="str"/>
      <x:c r="Q1849" s="31" t="str"/>
      <x:c r="R1849" s="31" t="str"/>
      <x:c r="S1849" s="31" t="str">
        <x:f>IF('Blind Scoring'!I1849="","",'Blind Scoring'!I1849)</x:f>
      </x:c>
      <x:c r="T1849" s="31" t="str">
        <x:f>'Blind Scoring'!J1849</x:f>
        <x:v>No</x:v>
      </x:c>
      <x:c r="U1849" s="31" t="str">
        <x:f>IF('Blind Scoring'!L1849="","",'Blind Scoring'!L1849)</x:f>
      </x:c>
    </x:row>
    <x:row r="1850" ht="44" customHeight="1">
      <x:c r="A1850" s="35" t="str">
        <x:v>Not Started</x:v>
      </x:c>
      <x:c r="B1850" s="35" t="n">
        <x:v>1848</x:v>
      </x:c>
      <x:c r="C1850" s="35" t="str">
        <x:v>B36</x:v>
      </x:c>
      <x:c r="D1850" s="35" t="n">
        <x:v>15</x:v>
      </x:c>
      <x:c r="E1850" s="35" t="str">
        <x:v>BC Diagnostic</x:v>
      </x:c>
      <x:c r="F1850" s="35" t="str">
        <x:v>Vision-only BC (task-specific)</x:v>
      </x:c>
      <x:c r="G1850" s="35" t="n">
        <x:v>3</x:v>
      </x:c>
      <x:c r="H1850" s="35" t="str">
        <x:v>Relational Placement</x:v>
      </x:c>
      <x:c r="I1850" s="35" t="str">
        <x:v>Vision-only counterfactual A</x:v>
      </x:c>
      <x:c r="J1850" s="35" t="str">
        <x:v>BC-RP-07A</x:v>
      </x:c>
      <x:c r="K1850" s="35" t="str">
        <x:v>BC-RP-07</x:v>
      </x:c>
      <x:c r="L1850" s="31" t="str">
        <x:v>[NO LANGUAGE CHANNEL / INPUT]</x:v>
      </x:c>
      <x:c r="M1850" s="31" t="str">
        <x:v>Place the red block in front of the green pen.</x:v>
      </x:c>
      <x:c r="N1850" s="31" t="str">
        <x:v>R-CF20-HELD: green pen at front-right [REFERENCE]; red block starts 21 cm behind the reference [TARGET START]; blue block and pink marker are distractors outside the commanded goal sector.</x:v>
      </x:c>
      <x:c r="O1850" s="31" t="str">
        <x:v>red block → in front of green pen</x:v>
      </x:c>
      <x:c r="P1850" s="31" t="str"/>
      <x:c r="Q1850" s="31" t="str"/>
      <x:c r="R1850" s="31" t="str"/>
      <x:c r="S1850" s="31" t="str">
        <x:f>IF('Blind Scoring'!I1850="","",'Blind Scoring'!I1850)</x:f>
      </x:c>
      <x:c r="T1850" s="31" t="str">
        <x:f>'Blind Scoring'!J1850</x:f>
        <x:v>No</x:v>
      </x:c>
      <x:c r="U1850" s="31" t="str">
        <x:f>IF('Blind Scoring'!L1850="","",'Blind Scoring'!L1850)</x:f>
      </x:c>
    </x:row>
    <x:row r="1851" ht="44" customHeight="1">
      <x:c r="A1851" s="35" t="str">
        <x:v>Not Started</x:v>
      </x:c>
      <x:c r="B1851" s="35" t="n">
        <x:v>1849</x:v>
      </x:c>
      <x:c r="C1851" s="35" t="str">
        <x:v>B36</x:v>
      </x:c>
      <x:c r="D1851" s="35" t="n">
        <x:v>16</x:v>
      </x:c>
      <x:c r="E1851" s="35" t="str">
        <x:v>BC Diagnostic</x:v>
      </x:c>
      <x:c r="F1851" s="35" t="str">
        <x:v>Vision-only BC (task-specific)</x:v>
      </x:c>
      <x:c r="G1851" s="35" t="n">
        <x:v>3</x:v>
      </x:c>
      <x:c r="H1851" s="35" t="str">
        <x:v>Relational Placement</x:v>
      </x:c>
      <x:c r="I1851" s="35" t="str">
        <x:v>Vision-only counterfactual A</x:v>
      </x:c>
      <x:c r="J1851" s="35" t="str">
        <x:v>BC-RP-04A</x:v>
      </x:c>
      <x:c r="K1851" s="35" t="str">
        <x:v>BC-RP-04</x:v>
      </x:c>
      <x:c r="L1851" s="31" t="str">
        <x:v>[NO LANGUAGE CHANNEL / INPUT]</x:v>
      </x:c>
      <x:c r="M1851" s="31" t="str">
        <x:v>Place the green pen to the right of the red block.</x:v>
      </x:c>
      <x:c r="N1851" s="31" t="str">
        <x:v>R-CF11-HELD: red block at center [REFERENCE]; green pen starts 21 cm to the left of the reference [TARGET START]; pink marker and blue block are distractors outside the commanded goal sector.</x:v>
      </x:c>
      <x:c r="O1851" s="31" t="str">
        <x:v>green pen → to the right of red block</x:v>
      </x:c>
      <x:c r="P1851" s="31" t="str"/>
      <x:c r="Q1851" s="31" t="str"/>
      <x:c r="R1851" s="31" t="str"/>
      <x:c r="S1851" s="31" t="str">
        <x:f>IF('Blind Scoring'!I1851="","",'Blind Scoring'!I1851)</x:f>
      </x:c>
      <x:c r="T1851" s="31" t="str">
        <x:f>'Blind Scoring'!J1851</x:f>
        <x:v>No</x:v>
      </x:c>
      <x:c r="U1851" s="31" t="str">
        <x:f>IF('Blind Scoring'!L1851="","",'Blind Scoring'!L1851)</x:f>
      </x:c>
    </x:row>
    <x:row r="1852" ht="44" customHeight="1">
      <x:c r="A1852" s="35" t="str">
        <x:v>Not Started</x:v>
      </x:c>
      <x:c r="B1852" s="35" t="n">
        <x:v>1850</x:v>
      </x:c>
      <x:c r="C1852" s="35" t="str">
        <x:v>B36</x:v>
      </x:c>
      <x:c r="D1852" s="35" t="n">
        <x:v>17</x:v>
      </x:c>
      <x:c r="E1852" s="35" t="str">
        <x:v>BC Diagnostic</x:v>
      </x:c>
      <x:c r="F1852" s="35" t="str">
        <x:v>Vision-only BC (task-specific)</x:v>
      </x:c>
      <x:c r="G1852" s="35" t="n">
        <x:v>3</x:v>
      </x:c>
      <x:c r="H1852" s="35" t="str">
        <x:v>Relational Placement</x:v>
      </x:c>
      <x:c r="I1852" s="35" t="str">
        <x:v>Vision-only counterfactual B</x:v>
      </x:c>
      <x:c r="J1852" s="35" t="str">
        <x:v>BC-RP-09B</x:v>
      </x:c>
      <x:c r="K1852" s="35" t="str">
        <x:v>BC-RP-09</x:v>
      </x:c>
      <x:c r="L1852" s="31" t="str">
        <x:v>[NO LANGUAGE CHANNEL / INPUT]</x:v>
      </x:c>
      <x:c r="M1852" s="31" t="str">
        <x:v>Place the green pen to the left of the red block.</x:v>
      </x:c>
      <x:c r="N1852" s="31" t="str">
        <x:v>R-CF27-HELD: red block at back-left [REFERENCE]; green pen starts 24 cm to the left of the reference [TARGET START]; pink marker and blue block are distractors outside the commanded goal sector.</x:v>
      </x:c>
      <x:c r="O1852" s="31" t="str">
        <x:v>green pen → to the left of red block</x:v>
      </x:c>
      <x:c r="P1852" s="31" t="str"/>
      <x:c r="Q1852" s="31" t="str"/>
      <x:c r="R1852" s="31" t="str"/>
      <x:c r="S1852" s="31" t="str">
        <x:f>IF('Blind Scoring'!I1852="","",'Blind Scoring'!I1852)</x:f>
      </x:c>
      <x:c r="T1852" s="31" t="str">
        <x:f>'Blind Scoring'!J1852</x:f>
        <x:v>No</x:v>
      </x:c>
      <x:c r="U1852" s="31" t="str">
        <x:f>IF('Blind Scoring'!L1852="","",'Blind Scoring'!L1852)</x:f>
      </x:c>
    </x:row>
    <x:row r="1853" ht="44" customHeight="1">
      <x:c r="A1853" s="35" t="str">
        <x:v>Not Started</x:v>
      </x:c>
      <x:c r="B1853" s="35" t="n">
        <x:v>1851</x:v>
      </x:c>
      <x:c r="C1853" s="35" t="str">
        <x:v>B36</x:v>
      </x:c>
      <x:c r="D1853" s="35" t="n">
        <x:v>18</x:v>
      </x:c>
      <x:c r="E1853" s="35" t="str">
        <x:v>BC Diagnostic</x:v>
      </x:c>
      <x:c r="F1853" s="35" t="str">
        <x:v>Vision-only BC (task-specific)</x:v>
      </x:c>
      <x:c r="G1853" s="35" t="n">
        <x:v>3</x:v>
      </x:c>
      <x:c r="H1853" s="35" t="str">
        <x:v>Relational Placement</x:v>
      </x:c>
      <x:c r="I1853" s="35" t="str">
        <x:v>Vision-only counterfactual A</x:v>
      </x:c>
      <x:c r="J1853" s="35" t="str">
        <x:v>BC-RP-09A</x:v>
      </x:c>
      <x:c r="K1853" s="35" t="str">
        <x:v>BC-RP-09</x:v>
      </x:c>
      <x:c r="L1853" s="31" t="str">
        <x:v>[NO LANGUAGE CHANNEL / INPUT]</x:v>
      </x:c>
      <x:c r="M1853" s="31" t="str">
        <x:v>Place the green pen to the right of the red block.</x:v>
      </x:c>
      <x:c r="N1853" s="31" t="str">
        <x:v>R-CF27-HELD: red block at back-left [REFERENCE]; green pen starts 24 cm to the left of the reference [TARGET START]; pink marker and blue block are distractors outside the commanded goal sector.</x:v>
      </x:c>
      <x:c r="O1853" s="31" t="str">
        <x:v>green pen → to the right of red block</x:v>
      </x:c>
      <x:c r="P1853" s="31" t="str"/>
      <x:c r="Q1853" s="31" t="str"/>
      <x:c r="R1853" s="31" t="str"/>
      <x:c r="S1853" s="31" t="str">
        <x:f>IF('Blind Scoring'!I1853="","",'Blind Scoring'!I1853)</x:f>
      </x:c>
      <x:c r="T1853" s="31" t="str">
        <x:f>'Blind Scoring'!J1853</x:f>
        <x:v>No</x:v>
      </x:c>
      <x:c r="U1853" s="31" t="str">
        <x:f>IF('Blind Scoring'!L1853="","",'Blind Scoring'!L1853)</x:f>
      </x:c>
    </x:row>
    <x:row r="1854" ht="44" customHeight="1">
      <x:c r="A1854" s="35" t="str">
        <x:v>Not Started</x:v>
      </x:c>
      <x:c r="B1854" s="35" t="n">
        <x:v>1852</x:v>
      </x:c>
      <x:c r="C1854" s="35" t="str">
        <x:v>B36</x:v>
      </x:c>
      <x:c r="D1854" s="35" t="n">
        <x:v>19</x:v>
      </x:c>
      <x:c r="E1854" s="35" t="str">
        <x:v>BC Diagnostic</x:v>
      </x:c>
      <x:c r="F1854" s="35" t="str">
        <x:v>Vision-only BC (task-specific)</x:v>
      </x:c>
      <x:c r="G1854" s="35" t="n">
        <x:v>3</x:v>
      </x:c>
      <x:c r="H1854" s="35" t="str">
        <x:v>Relational Placement</x:v>
      </x:c>
      <x:c r="I1854" s="35" t="str">
        <x:v>Vision-only counterfactual B</x:v>
      </x:c>
      <x:c r="J1854" s="35" t="str">
        <x:v>BC-RP-08B</x:v>
      </x:c>
      <x:c r="K1854" s="35" t="str">
        <x:v>BC-RP-08</x:v>
      </x:c>
      <x:c r="L1854" s="31" t="str">
        <x:v>[NO LANGUAGE CHANNEL / INPUT]</x:v>
      </x:c>
      <x:c r="M1854" s="31" t="str">
        <x:v>Place the red block to the right of the green pen.</x:v>
      </x:c>
      <x:c r="N1854" s="31" t="str">
        <x:v>R-CF24-HELD: green pen at front-left [REFERENCE]; red block starts 24 cm to the right of the reference [TARGET START]; blue block and pink marker are distractors outside the commanded goal sector.</x:v>
      </x:c>
      <x:c r="O1854" s="31" t="str">
        <x:v>red block → to the right of green pen</x:v>
      </x:c>
      <x:c r="P1854" s="31" t="str"/>
      <x:c r="Q1854" s="31" t="str"/>
      <x:c r="R1854" s="31" t="str"/>
      <x:c r="S1854" s="31" t="str">
        <x:f>IF('Blind Scoring'!I1854="","",'Blind Scoring'!I1854)</x:f>
      </x:c>
      <x:c r="T1854" s="31" t="str">
        <x:f>'Blind Scoring'!J1854</x:f>
        <x:v>No</x:v>
      </x:c>
      <x:c r="U1854" s="31" t="str">
        <x:f>IF('Blind Scoring'!L1854="","",'Blind Scoring'!L1854)</x:f>
      </x:c>
    </x:row>
    <x:row r="1855" ht="44" customHeight="1">
      <x:c r="A1855" s="35" t="str">
        <x:v>Not Started</x:v>
      </x:c>
      <x:c r="B1855" s="35" t="n">
        <x:v>1853</x:v>
      </x:c>
      <x:c r="C1855" s="35" t="str">
        <x:v>B36</x:v>
      </x:c>
      <x:c r="D1855" s="35" t="n">
        <x:v>20</x:v>
      </x:c>
      <x:c r="E1855" s="35" t="str">
        <x:v>BC Diagnostic</x:v>
      </x:c>
      <x:c r="F1855" s="35" t="str">
        <x:v>Vision-only BC (task-specific)</x:v>
      </x:c>
      <x:c r="G1855" s="35" t="n">
        <x:v>3</x:v>
      </x:c>
      <x:c r="H1855" s="35" t="str">
        <x:v>Relational Placement</x:v>
      </x:c>
      <x:c r="I1855" s="35" t="str">
        <x:v>Vision-only counterfactual A</x:v>
      </x:c>
      <x:c r="J1855" s="35" t="str">
        <x:v>BC-RP-03A</x:v>
      </x:c>
      <x:c r="K1855" s="35" t="str">
        <x:v>BC-RP-03</x:v>
      </x:c>
      <x:c r="L1855" s="31" t="str">
        <x:v>[NO LANGUAGE CHANNEL / INPUT]</x:v>
      </x:c>
      <x:c r="M1855" s="31" t="str">
        <x:v>Place the green pen behind the red block.</x:v>
      </x:c>
      <x:c r="N1855" s="31" t="str">
        <x:v>R-CF07-HELD: red block at back-left [REFERENCE]; green pen starts 18 cm in front of the reference [TARGET START]; pink marker and blue block are distractors outside the commanded goal sector.</x:v>
      </x:c>
      <x:c r="O1855" s="31" t="str">
        <x:v>green pen → behind red block</x:v>
      </x:c>
      <x:c r="P1855" s="31" t="str"/>
      <x:c r="Q1855" s="31" t="str"/>
      <x:c r="R1855" s="31" t="str"/>
      <x:c r="S1855" s="31" t="str">
        <x:f>IF('Blind Scoring'!I1855="","",'Blind Scoring'!I1855)</x:f>
      </x:c>
      <x:c r="T1855" s="31" t="str">
        <x:f>'Blind Scoring'!J1855</x:f>
        <x:v>No</x:v>
      </x:c>
      <x:c r="U1855" s="31" t="str">
        <x:f>IF('Blind Scoring'!L1855="","",'Blind Scoring'!L1855)</x:f>
      </x:c>
    </x:row>
    <x:row r="1856" ht="44" customHeight="1">
      <x:c r="A1856" s="35" t="str">
        <x:v>Not Started</x:v>
      </x:c>
      <x:c r="B1856" s="35" t="n">
        <x:v>1854</x:v>
      </x:c>
      <x:c r="C1856" s="35" t="str">
        <x:v>S37</x:v>
      </x:c>
      <x:c r="D1856" s="35" t="n">
        <x:v>1</x:v>
      </x:c>
      <x:c r="E1856" s="35" t="str">
        <x:v>Secondary Exploratory</x:v>
      </x:c>
      <x:c r="F1856" s="35" t="str">
        <x:v>π0.5</x:v>
      </x:c>
      <x:c r="G1856" s="35" t="n">
        <x:v>1</x:v>
      </x:c>
      <x:c r="H1856" s="35" t="str">
        <x:v>State Recognition</x:v>
      </x:c>
      <x:c r="I1856" s="35" t="str">
        <x:v>Exploratory cross-task B</x:v>
      </x:c>
      <x:c r="J1856" s="35" t="str">
        <x:v>SEC-XT-ST-B03</x:v>
      </x:c>
      <x:c r="K1856" s="35" t="str">
        <x:v>XT-ST03</x:v>
      </x:c>
      <x:c r="L1856" s="31" t="str">
        <x:v>Place the upside-down crushed soda can in the bowl.</x:v>
      </x:c>
      <x:c r="M1856" s="31" t="str">
        <x:v>Place the upside-down crushed soda can in the bowl.</x:v>
      </x:c>
      <x:c r="N1856" s="31" t="str">
        <x:v>XT-ST03: P1 green highlighter; P2 Coke=UR; P3 Pepsi=UD; P4 red block. Both crushed soda cans are visible; only one is upside-down.</x:v>
      </x:c>
      <x:c r="O1856" s="31" t="str">
        <x:v>crushed Pepsi can</x:v>
      </x:c>
      <x:c r="P1856" s="31" t="str"/>
      <x:c r="Q1856" s="31" t="str"/>
      <x:c r="R1856" s="31" t="str"/>
      <x:c r="S1856" s="31" t="str">
        <x:f>IF('Blind Scoring'!I1856="","",'Blind Scoring'!I1856)</x:f>
      </x:c>
      <x:c r="T1856" s="31" t="str">
        <x:f>'Blind Scoring'!J1856</x:f>
        <x:v>No</x:v>
      </x:c>
      <x:c r="U1856" s="31" t="str">
        <x:f>IF('Blind Scoring'!L1856="","",'Blind Scoring'!L1856)</x:f>
      </x:c>
    </x:row>
    <x:row r="1857" ht="44" customHeight="1">
      <x:c r="A1857" s="35" t="str">
        <x:v>Not Started</x:v>
      </x:c>
      <x:c r="B1857" s="35" t="n">
        <x:v>1855</x:v>
      </x:c>
      <x:c r="C1857" s="35" t="str">
        <x:v>S37</x:v>
      </x:c>
      <x:c r="D1857" s="35" t="n">
        <x:v>2</x:v>
      </x:c>
      <x:c r="E1857" s="35" t="str">
        <x:v>Secondary Exploratory</x:v>
      </x:c>
      <x:c r="F1857" s="35" t="str">
        <x:v>π0.5</x:v>
      </x:c>
      <x:c r="G1857" s="35" t="n">
        <x:v>1</x:v>
      </x:c>
      <x:c r="H1857" s="35" t="str">
        <x:v>State Recognition</x:v>
      </x:c>
      <x:c r="I1857" s="35" t="str">
        <x:v>Exploratory cross-task A</x:v>
      </x:c>
      <x:c r="J1857" s="35" t="str">
        <x:v>SEC-XT-ST-A03</x:v>
      </x:c>
      <x:c r="K1857" s="35" t="str">
        <x:v>XT-ST03</x:v>
      </x:c>
      <x:c r="L1857" s="31" t="str">
        <x:v>Place the upright crushed soda can in the bowl.</x:v>
      </x:c>
      <x:c r="M1857" s="31" t="str">
        <x:v>Place the upright crushed soda can in the bowl.</x:v>
      </x:c>
      <x:c r="N1857" s="31" t="str">
        <x:v>XT-ST03: P1 green highlighter; P2 Coke=UR; P3 Pepsi=UD; P4 red block. Same scene as paired trial; only one crushed soda can is upright.</x:v>
      </x:c>
      <x:c r="O1857" s="31" t="str">
        <x:v>crushed Coke can</x:v>
      </x:c>
      <x:c r="P1857" s="31" t="str"/>
      <x:c r="Q1857" s="31" t="str"/>
      <x:c r="R1857" s="31" t="str"/>
      <x:c r="S1857" s="31" t="str">
        <x:f>IF('Blind Scoring'!I1857="","",'Blind Scoring'!I1857)</x:f>
      </x:c>
      <x:c r="T1857" s="31" t="str">
        <x:f>'Blind Scoring'!J1857</x:f>
        <x:v>No</x:v>
      </x:c>
      <x:c r="U1857" s="31" t="str">
        <x:f>IF('Blind Scoring'!L1857="","",'Blind Scoring'!L1857)</x:f>
      </x:c>
    </x:row>
    <x:row r="1858" ht="44" customHeight="1">
      <x:c r="A1858" s="35" t="str">
        <x:v>Not Started</x:v>
      </x:c>
      <x:c r="B1858" s="35" t="n">
        <x:v>1856</x:v>
      </x:c>
      <x:c r="C1858" s="35" t="str">
        <x:v>S37</x:v>
      </x:c>
      <x:c r="D1858" s="35" t="n">
        <x:v>3</x:v>
      </x:c>
      <x:c r="E1858" s="35" t="str">
        <x:v>Secondary Exploratory</x:v>
      </x:c>
      <x:c r="F1858" s="35" t="str">
        <x:v>π0.5</x:v>
      </x:c>
      <x:c r="G1858" s="35" t="n">
        <x:v>1</x:v>
      </x:c>
      <x:c r="H1858" s="35" t="str">
        <x:v>State Recognition</x:v>
      </x:c>
      <x:c r="I1858" s="35" t="str">
        <x:v>Exploratory cross-task B</x:v>
      </x:c>
      <x:c r="J1858" s="35" t="str">
        <x:v>SEC-XT-ST-B01</x:v>
      </x:c>
      <x:c r="K1858" s="35" t="str">
        <x:v>XT-ST01</x:v>
      </x:c>
      <x:c r="L1858" s="31" t="str">
        <x:v>Place the upside-down crushed soda can in the bowl.</x:v>
      </x:c>
      <x:c r="M1858" s="31" t="str">
        <x:v>Place the upside-down crushed soda can in the bowl.</x:v>
      </x:c>
      <x:c r="N1858" s="31" t="str">
        <x:v>XT-ST01: P1 Coke=UD; P2 Pepsi=UR; P3 red block; P4 blue pen. Both crushed soda cans are visible; only one is upside-down.</x:v>
      </x:c>
      <x:c r="O1858" s="31" t="str">
        <x:v>crushed Coke can</x:v>
      </x:c>
      <x:c r="P1858" s="31" t="str"/>
      <x:c r="Q1858" s="31" t="str"/>
      <x:c r="R1858" s="31" t="str"/>
      <x:c r="S1858" s="31" t="str">
        <x:f>IF('Blind Scoring'!I1858="","",'Blind Scoring'!I1858)</x:f>
      </x:c>
      <x:c r="T1858" s="31" t="str">
        <x:f>'Blind Scoring'!J1858</x:f>
        <x:v>No</x:v>
      </x:c>
      <x:c r="U1858" s="31" t="str">
        <x:f>IF('Blind Scoring'!L1858="","",'Blind Scoring'!L1858)</x:f>
      </x:c>
    </x:row>
    <x:row r="1859" ht="44" customHeight="1">
      <x:c r="A1859" s="35" t="str">
        <x:v>Not Started</x:v>
      </x:c>
      <x:c r="B1859" s="35" t="n">
        <x:v>1857</x:v>
      </x:c>
      <x:c r="C1859" s="35" t="str">
        <x:v>S37</x:v>
      </x:c>
      <x:c r="D1859" s="35" t="n">
        <x:v>4</x:v>
      </x:c>
      <x:c r="E1859" s="35" t="str">
        <x:v>Secondary Exploratory</x:v>
      </x:c>
      <x:c r="F1859" s="35" t="str">
        <x:v>π0.5</x:v>
      </x:c>
      <x:c r="G1859" s="35" t="n">
        <x:v>1</x:v>
      </x:c>
      <x:c r="H1859" s="35" t="str">
        <x:v>State Recognition</x:v>
      </x:c>
      <x:c r="I1859" s="35" t="str">
        <x:v>Exploratory cross-task A</x:v>
      </x:c>
      <x:c r="J1859" s="35" t="str">
        <x:v>SEC-XT-ST-A02</x:v>
      </x:c>
      <x:c r="K1859" s="35" t="str">
        <x:v>XT-ST02</x:v>
      </x:c>
      <x:c r="L1859" s="31" t="str">
        <x:v>Place the upright crushed soda can in the bowl.</x:v>
      </x:c>
      <x:c r="M1859" s="31" t="str">
        <x:v>Place the upright crushed soda can in the bowl.</x:v>
      </x:c>
      <x:c r="N1859" s="31" t="str">
        <x:v>XT-ST02: P1 Pepsi=UD; P2 pink marker; P3 Coke=UR; P4 yellow block. Same scene as paired trial; only one crushed soda can is upright.</x:v>
      </x:c>
      <x:c r="O1859" s="31" t="str">
        <x:v>crushed Coke can</x:v>
      </x:c>
      <x:c r="P1859" s="31" t="str"/>
      <x:c r="Q1859" s="31" t="str"/>
      <x:c r="R1859" s="31" t="str"/>
      <x:c r="S1859" s="31" t="str">
        <x:f>IF('Blind Scoring'!I1859="","",'Blind Scoring'!I1859)</x:f>
      </x:c>
      <x:c r="T1859" s="31" t="str">
        <x:f>'Blind Scoring'!J1859</x:f>
        <x:v>No</x:v>
      </x:c>
      <x:c r="U1859" s="31" t="str">
        <x:f>IF('Blind Scoring'!L1859="","",'Blind Scoring'!L1859)</x:f>
      </x:c>
    </x:row>
    <x:row r="1860" ht="44" customHeight="1">
      <x:c r="A1860" s="35" t="str">
        <x:v>Not Started</x:v>
      </x:c>
      <x:c r="B1860" s="35" t="n">
        <x:v>1858</x:v>
      </x:c>
      <x:c r="C1860" s="35" t="str">
        <x:v>S37</x:v>
      </x:c>
      <x:c r="D1860" s="35" t="n">
        <x:v>5</x:v>
      </x:c>
      <x:c r="E1860" s="35" t="str">
        <x:v>Secondary Exploratory</x:v>
      </x:c>
      <x:c r="F1860" s="35" t="str">
        <x:v>π0.5</x:v>
      </x:c>
      <x:c r="G1860" s="35" t="n">
        <x:v>1</x:v>
      </x:c>
      <x:c r="H1860" s="35" t="str">
        <x:v>State Recognition</x:v>
      </x:c>
      <x:c r="I1860" s="35" t="str">
        <x:v>Exploratory cross-task B</x:v>
      </x:c>
      <x:c r="J1860" s="35" t="str">
        <x:v>SEC-XT-ST-B02</x:v>
      </x:c>
      <x:c r="K1860" s="35" t="str">
        <x:v>XT-ST02</x:v>
      </x:c>
      <x:c r="L1860" s="31" t="str">
        <x:v>Place the upside-down crushed soda can in the bowl.</x:v>
      </x:c>
      <x:c r="M1860" s="31" t="str">
        <x:v>Place the upside-down crushed soda can in the bowl.</x:v>
      </x:c>
      <x:c r="N1860" s="31" t="str">
        <x:v>XT-ST02: P1 Pepsi=UD; P2 pink marker; P3 Coke=UR; P4 yellow block. Both crushed soda cans are visible; only one is upside-down.</x:v>
      </x:c>
      <x:c r="O1860" s="31" t="str">
        <x:v>crushed Pepsi can</x:v>
      </x:c>
      <x:c r="P1860" s="31" t="str"/>
      <x:c r="Q1860" s="31" t="str"/>
      <x:c r="R1860" s="31" t="str"/>
      <x:c r="S1860" s="31" t="str">
        <x:f>IF('Blind Scoring'!I1860="","",'Blind Scoring'!I1860)</x:f>
      </x:c>
      <x:c r="T1860" s="31" t="str">
        <x:f>'Blind Scoring'!J1860</x:f>
        <x:v>No</x:v>
      </x:c>
      <x:c r="U1860" s="31" t="str">
        <x:f>IF('Blind Scoring'!L1860="","",'Blind Scoring'!L1860)</x:f>
      </x:c>
    </x:row>
    <x:row r="1861" ht="44" customHeight="1">
      <x:c r="A1861" s="35" t="str">
        <x:v>Not Started</x:v>
      </x:c>
      <x:c r="B1861" s="35" t="n">
        <x:v>1859</x:v>
      </x:c>
      <x:c r="C1861" s="35" t="str">
        <x:v>S37</x:v>
      </x:c>
      <x:c r="D1861" s="35" t="n">
        <x:v>6</x:v>
      </x:c>
      <x:c r="E1861" s="35" t="str">
        <x:v>Secondary Exploratory</x:v>
      </x:c>
      <x:c r="F1861" s="35" t="str">
        <x:v>π0.5</x:v>
      </x:c>
      <x:c r="G1861" s="35" t="n">
        <x:v>1</x:v>
      </x:c>
      <x:c r="H1861" s="35" t="str">
        <x:v>State Recognition</x:v>
      </x:c>
      <x:c r="I1861" s="35" t="str">
        <x:v>Exploratory cross-task A</x:v>
      </x:c>
      <x:c r="J1861" s="35" t="str">
        <x:v>SEC-XT-ST-A01</x:v>
      </x:c>
      <x:c r="K1861" s="35" t="str">
        <x:v>XT-ST01</x:v>
      </x:c>
      <x:c r="L1861" s="31" t="str">
        <x:v>Place the upright crushed soda can in the bowl.</x:v>
      </x:c>
      <x:c r="M1861" s="31" t="str">
        <x:v>Place the upright crushed soda can in the bowl.</x:v>
      </x:c>
      <x:c r="N1861" s="31" t="str">
        <x:v>XT-ST01: P1 Coke=UD; P2 Pepsi=UR; P3 red block; P4 blue pen. Same scene as paired trial; only one crushed soda can is upright.</x:v>
      </x:c>
      <x:c r="O1861" s="31" t="str">
        <x:v>crushed Pepsi can</x:v>
      </x:c>
      <x:c r="P1861" s="31" t="str"/>
      <x:c r="Q1861" s="31" t="str"/>
      <x:c r="R1861" s="31" t="str"/>
      <x:c r="S1861" s="31" t="str">
        <x:f>IF('Blind Scoring'!I1861="","",'Blind Scoring'!I1861)</x:f>
      </x:c>
      <x:c r="T1861" s="31" t="str">
        <x:f>'Blind Scoring'!J1861</x:f>
        <x:v>No</x:v>
      </x:c>
      <x:c r="U1861" s="31" t="str">
        <x:f>IF('Blind Scoring'!L1861="","",'Blind Scoring'!L1861)</x:f>
      </x:c>
    </x:row>
    <x:row r="1862" ht="44" customHeight="1">
      <x:c r="A1862" s="35" t="str">
        <x:v>Not Started</x:v>
      </x:c>
      <x:c r="B1862" s="35" t="n">
        <x:v>1860</x:v>
      </x:c>
      <x:c r="C1862" s="35" t="str">
        <x:v>S37</x:v>
      </x:c>
      <x:c r="D1862" s="35" t="n">
        <x:v>7</x:v>
      </x:c>
      <x:c r="E1862" s="35" t="str">
        <x:v>Secondary Exploratory</x:v>
      </x:c>
      <x:c r="F1862" s="35" t="str">
        <x:v>π0.5</x:v>
      </x:c>
      <x:c r="G1862" s="35" t="n">
        <x:v>1</x:v>
      </x:c>
      <x:c r="H1862" s="35" t="str">
        <x:v>State Recognition</x:v>
      </x:c>
      <x:c r="I1862" s="35" t="str">
        <x:v>Exploratory cross-task B</x:v>
      </x:c>
      <x:c r="J1862" s="35" t="str">
        <x:v>SEC-XT-ST-B04</x:v>
      </x:c>
      <x:c r="K1862" s="35" t="str">
        <x:v>XT-ST04</x:v>
      </x:c>
      <x:c r="L1862" s="31" t="str">
        <x:v>Place the upside-down crushed soda can in the bowl.</x:v>
      </x:c>
      <x:c r="M1862" s="31" t="str">
        <x:v>Place the upside-down crushed soda can in the bowl.</x:v>
      </x:c>
      <x:c r="N1862" s="31" t="str">
        <x:v>XT-ST04: P1 Coke=UD; P2 blue tape ball; P3 brown cup; P4 Pepsi=UR. Both crushed soda cans are visible; only one is upside-down.</x:v>
      </x:c>
      <x:c r="O1862" s="31" t="str">
        <x:v>crushed Coke can</x:v>
      </x:c>
      <x:c r="P1862" s="31" t="str"/>
      <x:c r="Q1862" s="31" t="str"/>
      <x:c r="R1862" s="31" t="str"/>
      <x:c r="S1862" s="31" t="str">
        <x:f>IF('Blind Scoring'!I1862="","",'Blind Scoring'!I1862)</x:f>
      </x:c>
      <x:c r="T1862" s="31" t="str">
        <x:f>'Blind Scoring'!J1862</x:f>
        <x:v>No</x:v>
      </x:c>
      <x:c r="U1862" s="31" t="str">
        <x:f>IF('Blind Scoring'!L1862="","",'Blind Scoring'!L1862)</x:f>
      </x:c>
    </x:row>
    <x:row r="1863" ht="44" customHeight="1">
      <x:c r="A1863" s="35" t="str">
        <x:v>Not Started</x:v>
      </x:c>
      <x:c r="B1863" s="35" t="n">
        <x:v>1861</x:v>
      </x:c>
      <x:c r="C1863" s="35" t="str">
        <x:v>S37</x:v>
      </x:c>
      <x:c r="D1863" s="35" t="n">
        <x:v>8</x:v>
      </x:c>
      <x:c r="E1863" s="35" t="str">
        <x:v>Secondary Exploratory</x:v>
      </x:c>
      <x:c r="F1863" s="35" t="str">
        <x:v>π0.5</x:v>
      </x:c>
      <x:c r="G1863" s="35" t="n">
        <x:v>1</x:v>
      </x:c>
      <x:c r="H1863" s="35" t="str">
        <x:v>State Recognition</x:v>
      </x:c>
      <x:c r="I1863" s="35" t="str">
        <x:v>Exploratory cross-task A</x:v>
      </x:c>
      <x:c r="J1863" s="35" t="str">
        <x:v>SEC-XT-ST-A04</x:v>
      </x:c>
      <x:c r="K1863" s="35" t="str">
        <x:v>XT-ST04</x:v>
      </x:c>
      <x:c r="L1863" s="31" t="str">
        <x:v>Place the upright crushed soda can in the bowl.</x:v>
      </x:c>
      <x:c r="M1863" s="31" t="str">
        <x:v>Place the upright crushed soda can in the bowl.</x:v>
      </x:c>
      <x:c r="N1863" s="31" t="str">
        <x:v>XT-ST04: P1 Coke=UD; P2 blue tape ball; P3 brown cup; P4 Pepsi=UR. Same scene as paired trial; only one crushed soda can is upright.</x:v>
      </x:c>
      <x:c r="O1863" s="31" t="str">
        <x:v>crushed Pepsi can</x:v>
      </x:c>
      <x:c r="P1863" s="31" t="str"/>
      <x:c r="Q1863" s="31" t="str"/>
      <x:c r="R1863" s="31" t="str"/>
      <x:c r="S1863" s="31" t="str">
        <x:f>IF('Blind Scoring'!I1863="","",'Blind Scoring'!I1863)</x:f>
      </x:c>
      <x:c r="T1863" s="31" t="str">
        <x:f>'Blind Scoring'!J1863</x:f>
        <x:v>No</x:v>
      </x:c>
      <x:c r="U1863" s="31" t="str">
        <x:f>IF('Blind Scoring'!L1863="","",'Blind Scoring'!L1863)</x:f>
      </x:c>
    </x:row>
    <x:row r="1864" ht="44" customHeight="1">
      <x:c r="A1864" s="35" t="str">
        <x:v>Not Started</x:v>
      </x:c>
      <x:c r="B1864" s="35" t="n">
        <x:v>1862</x:v>
      </x:c>
      <x:c r="C1864" s="35" t="str">
        <x:v>S38</x:v>
      </x:c>
      <x:c r="D1864" s="35" t="n">
        <x:v>1</x:v>
      </x:c>
      <x:c r="E1864" s="35" t="str">
        <x:v>Secondary Exploratory</x:v>
      </x:c>
      <x:c r="F1864" s="35" t="str">
        <x:v>π0.5</x:v>
      </x:c>
      <x:c r="G1864" s="35" t="n">
        <x:v>1</x:v>
      </x:c>
      <x:c r="H1864" s="35" t="str">
        <x:v>Relational Placement</x:v>
      </x:c>
      <x:c r="I1864" s="35" t="str">
        <x:v>Exploratory cross-task A</x:v>
      </x:c>
      <x:c r="J1864" s="35" t="str">
        <x:v>SEC-XT-RP-A02</x:v>
      </x:c>
      <x:c r="K1864" s="35" t="str">
        <x:v>XT-RP02</x:v>
      </x:c>
      <x:c r="L1864" s="31" t="str">
        <x:v>Place the crushed Coke can in front of the white cup.</x:v>
      </x:c>
      <x:c r="M1864" s="31" t="str">
        <x:v>Place the crushed Coke can in front of the white cup.</x:v>
      </x:c>
      <x:c r="N1864" s="31" t="str">
        <x:v>XT-RP02: crushed Coke can and white cup in open workspace; target starts directly left of reference. Keep other distractors away from the goal region. Relations use the robot-base frame.</x:v>
      </x:c>
      <x:c r="O1864" s="31" t="str">
        <x:v>crushed Coke can placed front white cup</x:v>
      </x:c>
      <x:c r="P1864" s="31" t="str"/>
      <x:c r="Q1864" s="31" t="str"/>
      <x:c r="R1864" s="31" t="str"/>
      <x:c r="S1864" s="31" t="str">
        <x:f>IF('Blind Scoring'!I1864="","",'Blind Scoring'!I1864)</x:f>
      </x:c>
      <x:c r="T1864" s="31" t="str">
        <x:f>'Blind Scoring'!J1864</x:f>
        <x:v>No</x:v>
      </x:c>
      <x:c r="U1864" s="31" t="str">
        <x:f>IF('Blind Scoring'!L1864="","",'Blind Scoring'!L1864)</x:f>
      </x:c>
    </x:row>
    <x:row r="1865" ht="44" customHeight="1">
      <x:c r="A1865" s="35" t="str">
        <x:v>Not Started</x:v>
      </x:c>
      <x:c r="B1865" s="35" t="n">
        <x:v>1863</x:v>
      </x:c>
      <x:c r="C1865" s="35" t="str">
        <x:v>S38</x:v>
      </x:c>
      <x:c r="D1865" s="35" t="n">
        <x:v>2</x:v>
      </x:c>
      <x:c r="E1865" s="35" t="str">
        <x:v>Secondary Exploratory</x:v>
      </x:c>
      <x:c r="F1865" s="35" t="str">
        <x:v>π0.5</x:v>
      </x:c>
      <x:c r="G1865" s="35" t="n">
        <x:v>1</x:v>
      </x:c>
      <x:c r="H1865" s="35" t="str">
        <x:v>Relational Placement</x:v>
      </x:c>
      <x:c r="I1865" s="35" t="str">
        <x:v>Exploratory cross-task A</x:v>
      </x:c>
      <x:c r="J1865" s="35" t="str">
        <x:v>SEC-XT-RP-A03</x:v>
      </x:c>
      <x:c r="K1865" s="35" t="str">
        <x:v>XT-RP03</x:v>
      </x:c>
      <x:c r="L1865" s="31" t="str">
        <x:v>Place the brown cup to the left of the green pencil sharpener.</x:v>
      </x:c>
      <x:c r="M1865" s="31" t="str">
        <x:v>Place the brown cup to the left of the green pencil sharpener.</x:v>
      </x:c>
      <x:c r="N1865" s="31" t="str">
        <x:v>XT-RP03: brown cup and green pencil sharpener in open workspace; target starts directly in front of reference. Keep other distractors away from the goal region. Relations use the robot-base frame.</x:v>
      </x:c>
      <x:c r="O1865" s="31" t="str">
        <x:v>brown cup placed left green pencil sharpener</x:v>
      </x:c>
      <x:c r="P1865" s="31" t="str"/>
      <x:c r="Q1865" s="31" t="str"/>
      <x:c r="R1865" s="31" t="str"/>
      <x:c r="S1865" s="31" t="str">
        <x:f>IF('Blind Scoring'!I1865="","",'Blind Scoring'!I1865)</x:f>
      </x:c>
      <x:c r="T1865" s="31" t="str">
        <x:f>'Blind Scoring'!J1865</x:f>
        <x:v>No</x:v>
      </x:c>
      <x:c r="U1865" s="31" t="str">
        <x:f>IF('Blind Scoring'!L1865="","",'Blind Scoring'!L1865)</x:f>
      </x:c>
    </x:row>
    <x:row r="1866" ht="44" customHeight="1">
      <x:c r="A1866" s="35" t="str">
        <x:v>Not Started</x:v>
      </x:c>
      <x:c r="B1866" s="35" t="n">
        <x:v>1864</x:v>
      </x:c>
      <x:c r="C1866" s="35" t="str">
        <x:v>S38</x:v>
      </x:c>
      <x:c r="D1866" s="35" t="n">
        <x:v>3</x:v>
      </x:c>
      <x:c r="E1866" s="35" t="str">
        <x:v>Secondary Exploratory</x:v>
      </x:c>
      <x:c r="F1866" s="35" t="str">
        <x:v>π0.5</x:v>
      </x:c>
      <x:c r="G1866" s="35" t="n">
        <x:v>1</x:v>
      </x:c>
      <x:c r="H1866" s="35" t="str">
        <x:v>Relational Placement</x:v>
      </x:c>
      <x:c r="I1866" s="35" t="str">
        <x:v>Exploratory cross-task B</x:v>
      </x:c>
      <x:c r="J1866" s="35" t="str">
        <x:v>SEC-XT-RP-B04</x:v>
      </x:c>
      <x:c r="K1866" s="35" t="str">
        <x:v>XT-RP04</x:v>
      </x:c>
      <x:c r="L1866" s="31" t="str">
        <x:v>Place the blue tape ball behind the glass spice container.</x:v>
      </x:c>
      <x:c r="M1866" s="31" t="str">
        <x:v>Place the blue tape ball behind the glass spice container.</x:v>
      </x:c>
      <x:c r="N1866" s="31" t="str">
        <x:v>XT-RP04: blue tape ball and glass spice container in open workspace; target starts directly left of reference. Keep other distractors away from the goal region. Relations use the robot-base frame.</x:v>
      </x:c>
      <x:c r="O1866" s="31" t="str">
        <x:v>blue tape ball placed behind glass spice container</x:v>
      </x:c>
      <x:c r="P1866" s="31" t="str"/>
      <x:c r="Q1866" s="31" t="str"/>
      <x:c r="R1866" s="31" t="str"/>
      <x:c r="S1866" s="31" t="str">
        <x:f>IF('Blind Scoring'!I1866="","",'Blind Scoring'!I1866)</x:f>
      </x:c>
      <x:c r="T1866" s="31" t="str">
        <x:f>'Blind Scoring'!J1866</x:f>
        <x:v>No</x:v>
      </x:c>
      <x:c r="U1866" s="31" t="str">
        <x:f>IF('Blind Scoring'!L1866="","",'Blind Scoring'!L1866)</x:f>
      </x:c>
    </x:row>
    <x:row r="1867" ht="44" customHeight="1">
      <x:c r="A1867" s="35" t="str">
        <x:v>Not Started</x:v>
      </x:c>
      <x:c r="B1867" s="35" t="n">
        <x:v>1865</x:v>
      </x:c>
      <x:c r="C1867" s="35" t="str">
        <x:v>S38</x:v>
      </x:c>
      <x:c r="D1867" s="35" t="n">
        <x:v>4</x:v>
      </x:c>
      <x:c r="E1867" s="35" t="str">
        <x:v>Secondary Exploratory</x:v>
      </x:c>
      <x:c r="F1867" s="35" t="str">
        <x:v>π0.5</x:v>
      </x:c>
      <x:c r="G1867" s="35" t="n">
        <x:v>1</x:v>
      </x:c>
      <x:c r="H1867" s="35" t="str">
        <x:v>Relational Placement</x:v>
      </x:c>
      <x:c r="I1867" s="35" t="str">
        <x:v>Exploratory cross-task B</x:v>
      </x:c>
      <x:c r="J1867" s="35" t="str">
        <x:v>SEC-XT-RP-B02</x:v>
      </x:c>
      <x:c r="K1867" s="35" t="str">
        <x:v>XT-RP02</x:v>
      </x:c>
      <x:c r="L1867" s="31" t="str">
        <x:v>Place the crushed Coke can behind the white cup.</x:v>
      </x:c>
      <x:c r="M1867" s="31" t="str">
        <x:v>Place the crushed Coke can behind the white cup.</x:v>
      </x:c>
      <x:c r="N1867" s="31" t="str">
        <x:v>XT-RP02: crushed Coke can and white cup in open workspace; target starts directly left of reference. Keep other distractors away from the goal region. Relations use the robot-base frame.</x:v>
      </x:c>
      <x:c r="O1867" s="31" t="str">
        <x:v>crushed Coke can placed behind white cup</x:v>
      </x:c>
      <x:c r="P1867" s="31" t="str"/>
      <x:c r="Q1867" s="31" t="str"/>
      <x:c r="R1867" s="31" t="str"/>
      <x:c r="S1867" s="31" t="str">
        <x:f>IF('Blind Scoring'!I1867="","",'Blind Scoring'!I1867)</x:f>
      </x:c>
      <x:c r="T1867" s="31" t="str">
        <x:f>'Blind Scoring'!J1867</x:f>
        <x:v>No</x:v>
      </x:c>
      <x:c r="U1867" s="31" t="str">
        <x:f>IF('Blind Scoring'!L1867="","",'Blind Scoring'!L1867)</x:f>
      </x:c>
    </x:row>
    <x:row r="1868" ht="44" customHeight="1">
      <x:c r="A1868" s="35" t="str">
        <x:v>Not Started</x:v>
      </x:c>
      <x:c r="B1868" s="35" t="n">
        <x:v>1866</x:v>
      </x:c>
      <x:c r="C1868" s="35" t="str">
        <x:v>S38</x:v>
      </x:c>
      <x:c r="D1868" s="35" t="n">
        <x:v>5</x:v>
      </x:c>
      <x:c r="E1868" s="35" t="str">
        <x:v>Secondary Exploratory</x:v>
      </x:c>
      <x:c r="F1868" s="35" t="str">
        <x:v>π0.5</x:v>
      </x:c>
      <x:c r="G1868" s="35" t="n">
        <x:v>1</x:v>
      </x:c>
      <x:c r="H1868" s="35" t="str">
        <x:v>Relational Placement</x:v>
      </x:c>
      <x:c r="I1868" s="35" t="str">
        <x:v>Exploratory cross-task A</x:v>
      </x:c>
      <x:c r="J1868" s="35" t="str">
        <x:v>SEC-XT-RP-A01</x:v>
      </x:c>
      <x:c r="K1868" s="35" t="str">
        <x:v>XT-RP01</x:v>
      </x:c>
      <x:c r="L1868" s="31" t="str">
        <x:v>Place the yellow block to the left of the blue pen.</x:v>
      </x:c>
      <x:c r="M1868" s="31" t="str">
        <x:v>Place the yellow block to the left of the blue pen.</x:v>
      </x:c>
      <x:c r="N1868" s="31" t="str">
        <x:v>XT-RP01: yellow block and blue pen in open workspace; target starts directly in front of reference. Keep other distractors away from the goal region. Relations use the robot-base frame.</x:v>
      </x:c>
      <x:c r="O1868" s="31" t="str">
        <x:v>yellow block placed left blue pen</x:v>
      </x:c>
      <x:c r="P1868" s="31" t="str"/>
      <x:c r="Q1868" s="31" t="str"/>
      <x:c r="R1868" s="31" t="str"/>
      <x:c r="S1868" s="31" t="str">
        <x:f>IF('Blind Scoring'!I1868="","",'Blind Scoring'!I1868)</x:f>
      </x:c>
      <x:c r="T1868" s="31" t="str">
        <x:f>'Blind Scoring'!J1868</x:f>
        <x:v>No</x:v>
      </x:c>
      <x:c r="U1868" s="31" t="str">
        <x:f>IF('Blind Scoring'!L1868="","",'Blind Scoring'!L1868)</x:f>
      </x:c>
    </x:row>
    <x:row r="1869" ht="44" customHeight="1">
      <x:c r="A1869" s="35" t="str">
        <x:v>Not Started</x:v>
      </x:c>
      <x:c r="B1869" s="35" t="n">
        <x:v>1867</x:v>
      </x:c>
      <x:c r="C1869" s="35" t="str">
        <x:v>S38</x:v>
      </x:c>
      <x:c r="D1869" s="35" t="n">
        <x:v>6</x:v>
      </x:c>
      <x:c r="E1869" s="35" t="str">
        <x:v>Secondary Exploratory</x:v>
      </x:c>
      <x:c r="F1869" s="35" t="str">
        <x:v>π0.5</x:v>
      </x:c>
      <x:c r="G1869" s="35" t="n">
        <x:v>1</x:v>
      </x:c>
      <x:c r="H1869" s="35" t="str">
        <x:v>Relational Placement</x:v>
      </x:c>
      <x:c r="I1869" s="35" t="str">
        <x:v>Exploratory cross-task B</x:v>
      </x:c>
      <x:c r="J1869" s="35" t="str">
        <x:v>SEC-XT-RP-B01</x:v>
      </x:c>
      <x:c r="K1869" s="35" t="str">
        <x:v>XT-RP01</x:v>
      </x:c>
      <x:c r="L1869" s="31" t="str">
        <x:v>Place the yellow block to the right of the blue pen.</x:v>
      </x:c>
      <x:c r="M1869" s="31" t="str">
        <x:v>Place the yellow block to the right of the blue pen.</x:v>
      </x:c>
      <x:c r="N1869" s="31" t="str">
        <x:v>XT-RP01: yellow block and blue pen in open workspace; target starts directly in front of reference. Keep other distractors away from the goal region. Relations use the robot-base frame.</x:v>
      </x:c>
      <x:c r="O1869" s="31" t="str">
        <x:v>yellow block placed right blue pen</x:v>
      </x:c>
      <x:c r="P1869" s="31" t="str"/>
      <x:c r="Q1869" s="31" t="str"/>
      <x:c r="R1869" s="31" t="str"/>
      <x:c r="S1869" s="31" t="str">
        <x:f>IF('Blind Scoring'!I1869="","",'Blind Scoring'!I1869)</x:f>
      </x:c>
      <x:c r="T1869" s="31" t="str">
        <x:f>'Blind Scoring'!J1869</x:f>
        <x:v>No</x:v>
      </x:c>
      <x:c r="U1869" s="31" t="str">
        <x:f>IF('Blind Scoring'!L1869="","",'Blind Scoring'!L1869)</x:f>
      </x:c>
    </x:row>
    <x:row r="1870" ht="44" customHeight="1">
      <x:c r="A1870" s="35" t="str">
        <x:v>Not Started</x:v>
      </x:c>
      <x:c r="B1870" s="35" t="n">
        <x:v>1868</x:v>
      </x:c>
      <x:c r="C1870" s="35" t="str">
        <x:v>S38</x:v>
      </x:c>
      <x:c r="D1870" s="35" t="n">
        <x:v>7</x:v>
      </x:c>
      <x:c r="E1870" s="35" t="str">
        <x:v>Secondary Exploratory</x:v>
      </x:c>
      <x:c r="F1870" s="35" t="str">
        <x:v>π0.5</x:v>
      </x:c>
      <x:c r="G1870" s="35" t="n">
        <x:v>1</x:v>
      </x:c>
      <x:c r="H1870" s="35" t="str">
        <x:v>Relational Placement</x:v>
      </x:c>
      <x:c r="I1870" s="35" t="str">
        <x:v>Exploratory cross-task A</x:v>
      </x:c>
      <x:c r="J1870" s="35" t="str">
        <x:v>SEC-XT-RP-A04</x:v>
      </x:c>
      <x:c r="K1870" s="35" t="str">
        <x:v>XT-RP04</x:v>
      </x:c>
      <x:c r="L1870" s="31" t="str">
        <x:v>Place the blue tape ball in front of the glass spice container.</x:v>
      </x:c>
      <x:c r="M1870" s="31" t="str">
        <x:v>Place the blue tape ball in front of the glass spice container.</x:v>
      </x:c>
      <x:c r="N1870" s="31" t="str">
        <x:v>XT-RP04: blue tape ball and glass spice container in open workspace; target starts directly left of reference. Keep other distractors away from the goal region. Relations use the robot-base frame.</x:v>
      </x:c>
      <x:c r="O1870" s="31" t="str">
        <x:v>blue tape ball placed front glass spice container</x:v>
      </x:c>
      <x:c r="P1870" s="31" t="str"/>
      <x:c r="Q1870" s="31" t="str"/>
      <x:c r="R1870" s="31" t="str"/>
      <x:c r="S1870" s="31" t="str">
        <x:f>IF('Blind Scoring'!I1870="","",'Blind Scoring'!I1870)</x:f>
      </x:c>
      <x:c r="T1870" s="31" t="str">
        <x:f>'Blind Scoring'!J1870</x:f>
        <x:v>No</x:v>
      </x:c>
      <x:c r="U1870" s="31" t="str">
        <x:f>IF('Blind Scoring'!L1870="","",'Blind Scoring'!L1870)</x:f>
      </x:c>
    </x:row>
    <x:row r="1871" ht="44" customHeight="1">
      <x:c r="A1871" s="35" t="str">
        <x:v>Not Started</x:v>
      </x:c>
      <x:c r="B1871" s="35" t="n">
        <x:v>1869</x:v>
      </x:c>
      <x:c r="C1871" s="35" t="str">
        <x:v>S38</x:v>
      </x:c>
      <x:c r="D1871" s="35" t="n">
        <x:v>8</x:v>
      </x:c>
      <x:c r="E1871" s="35" t="str">
        <x:v>Secondary Exploratory</x:v>
      </x:c>
      <x:c r="F1871" s="35" t="str">
        <x:v>π0.5</x:v>
      </x:c>
      <x:c r="G1871" s="35" t="n">
        <x:v>1</x:v>
      </x:c>
      <x:c r="H1871" s="35" t="str">
        <x:v>Relational Placement</x:v>
      </x:c>
      <x:c r="I1871" s="35" t="str">
        <x:v>Exploratory cross-task B</x:v>
      </x:c>
      <x:c r="J1871" s="35" t="str">
        <x:v>SEC-XT-RP-B03</x:v>
      </x:c>
      <x:c r="K1871" s="35" t="str">
        <x:v>XT-RP03</x:v>
      </x:c>
      <x:c r="L1871" s="31" t="str">
        <x:v>Place the brown cup to the right of the green pencil sharpener.</x:v>
      </x:c>
      <x:c r="M1871" s="31" t="str">
        <x:v>Place the brown cup to the right of the green pencil sharpener.</x:v>
      </x:c>
      <x:c r="N1871" s="31" t="str">
        <x:v>XT-RP03: brown cup and green pencil sharpener in open workspace; target starts directly in front of reference. Keep other distractors away from the goal region. Relations use the robot-base frame.</x:v>
      </x:c>
      <x:c r="O1871" s="31" t="str">
        <x:v>brown cup placed right green pencil sharpener</x:v>
      </x:c>
      <x:c r="P1871" s="31" t="str"/>
      <x:c r="Q1871" s="31" t="str"/>
      <x:c r="R1871" s="31" t="str"/>
      <x:c r="S1871" s="31" t="str">
        <x:f>IF('Blind Scoring'!I1871="","",'Blind Scoring'!I1871)</x:f>
      </x:c>
      <x:c r="T1871" s="31" t="str">
        <x:f>'Blind Scoring'!J1871</x:f>
        <x:v>No</x:v>
      </x:c>
      <x:c r="U1871" s="31" t="str">
        <x:f>IF('Blind Scoring'!L1871="","",'Blind Scoring'!L1871)</x:f>
      </x:c>
    </x:row>
    <x:row r="1872" ht="44" customHeight="1">
      <x:c r="A1872" s="35" t="str">
        <x:v>Not Started</x:v>
      </x:c>
      <x:c r="B1872" s="35" t="n">
        <x:v>1870</x:v>
      </x:c>
      <x:c r="C1872" s="35" t="str">
        <x:v>S39</x:v>
      </x:c>
      <x:c r="D1872" s="35" t="n">
        <x:v>1</x:v>
      </x:c>
      <x:c r="E1872" s="35" t="str">
        <x:v>Secondary Exploratory</x:v>
      </x:c>
      <x:c r="F1872" s="35" t="str">
        <x:v>π0.5</x:v>
      </x:c>
      <x:c r="G1872" s="35" t="n">
        <x:v>1</x:v>
      </x:c>
      <x:c r="H1872" s="35" t="str">
        <x:v>Counting</x:v>
      </x:c>
      <x:c r="I1872" s="35" t="str">
        <x:v>Exploratory cross-task B</x:v>
      </x:c>
      <x:c r="J1872" s="35" t="str">
        <x:v>SEC-XT-CT-B03</x:v>
      </x:c>
      <x:c r="K1872" s="35" t="str">
        <x:v>XT-CT03</x:v>
      </x:c>
      <x:c r="L1872" s="31" t="str">
        <x:v>Leave exactly two objects in the bowl.</x:v>
      </x:c>
      <x:c r="M1872" s="31" t="str">
        <x:v>Leave exactly two objects in the bowl.</x:v>
      </x:c>
      <x:c r="N1872" s="31" t="str">
        <x:v>XT-CT03: Start with exactly 1 object in the bowl (brown cup); 3 objects on the table (blue block, yellow pen, red pencil sharpener).</x:v>
      </x:c>
      <x:c r="O1872" s="31" t="str">
        <x:v>ADD any one table object; final count = 2</x:v>
      </x:c>
      <x:c r="P1872" s="31" t="str"/>
      <x:c r="Q1872" s="31" t="str"/>
      <x:c r="R1872" s="31" t="str"/>
      <x:c r="S1872" s="31" t="str">
        <x:f>IF('Blind Scoring'!I1872="","",'Blind Scoring'!I1872)</x:f>
      </x:c>
      <x:c r="T1872" s="31" t="str">
        <x:f>'Blind Scoring'!J1872</x:f>
        <x:v>No</x:v>
      </x:c>
      <x:c r="U1872" s="31" t="str">
        <x:f>IF('Blind Scoring'!L1872="","",'Blind Scoring'!L1872)</x:f>
      </x:c>
    </x:row>
    <x:row r="1873" ht="44" customHeight="1">
      <x:c r="A1873" s="35" t="str">
        <x:v>Not Started</x:v>
      </x:c>
      <x:c r="B1873" s="35" t="n">
        <x:v>1871</x:v>
      </x:c>
      <x:c r="C1873" s="35" t="str">
        <x:v>S39</x:v>
      </x:c>
      <x:c r="D1873" s="35" t="n">
        <x:v>2</x:v>
      </x:c>
      <x:c r="E1873" s="35" t="str">
        <x:v>Secondary Exploratory</x:v>
      </x:c>
      <x:c r="F1873" s="35" t="str">
        <x:v>π0.5</x:v>
      </x:c>
      <x:c r="G1873" s="35" t="n">
        <x:v>1</x:v>
      </x:c>
      <x:c r="H1873" s="35" t="str">
        <x:v>Counting</x:v>
      </x:c>
      <x:c r="I1873" s="35" t="str">
        <x:v>Exploratory cross-task B</x:v>
      </x:c>
      <x:c r="J1873" s="35" t="str">
        <x:v>SEC-XT-CT-B02</x:v>
      </x:c>
      <x:c r="K1873" s="35" t="str">
        <x:v>XT-CT02</x:v>
      </x:c>
      <x:c r="L1873" s="31" t="str">
        <x:v>Leave exactly two objects in the bowl.</x:v>
      </x:c>
      <x:c r="M1873" s="31" t="str">
        <x:v>Leave exactly two objects in the bowl.</x:v>
      </x:c>
      <x:c r="N1873" s="31" t="str">
        <x:v>XT-CT02: Start with exactly 1 object in the bowl (yellow-white striped cup); 3 objects on the table (pink marker, crushed Coke can, juggling ball).</x:v>
      </x:c>
      <x:c r="O1873" s="31" t="str">
        <x:v>ADD any one table object; final count = 2</x:v>
      </x:c>
      <x:c r="P1873" s="31" t="str"/>
      <x:c r="Q1873" s="31" t="str"/>
      <x:c r="R1873" s="31" t="str"/>
      <x:c r="S1873" s="31" t="str">
        <x:f>IF('Blind Scoring'!I1873="","",'Blind Scoring'!I1873)</x:f>
      </x:c>
      <x:c r="T1873" s="31" t="str">
        <x:f>'Blind Scoring'!J1873</x:f>
        <x:v>No</x:v>
      </x:c>
      <x:c r="U1873" s="31" t="str">
        <x:f>IF('Blind Scoring'!L1873="","",'Blind Scoring'!L1873)</x:f>
      </x:c>
    </x:row>
    <x:row r="1874" ht="44" customHeight="1">
      <x:c r="A1874" s="35" t="str">
        <x:v>Not Started</x:v>
      </x:c>
      <x:c r="B1874" s="35" t="n">
        <x:v>1872</x:v>
      </x:c>
      <x:c r="C1874" s="35" t="str">
        <x:v>S39</x:v>
      </x:c>
      <x:c r="D1874" s="35" t="n">
        <x:v>3</x:v>
      </x:c>
      <x:c r="E1874" s="35" t="str">
        <x:v>Secondary Exploratory</x:v>
      </x:c>
      <x:c r="F1874" s="35" t="str">
        <x:v>π0.5</x:v>
      </x:c>
      <x:c r="G1874" s="35" t="n">
        <x:v>1</x:v>
      </x:c>
      <x:c r="H1874" s="35" t="str">
        <x:v>Counting</x:v>
      </x:c>
      <x:c r="I1874" s="35" t="str">
        <x:v>Exploratory cross-task A</x:v>
      </x:c>
      <x:c r="J1874" s="35" t="str">
        <x:v>SEC-XT-CT-A01</x:v>
      </x:c>
      <x:c r="K1874" s="35" t="str">
        <x:v>XT-CT01</x:v>
      </x:c>
      <x:c r="L1874" s="31" t="str">
        <x:v>Leave exactly zero objects in the bowl.</x:v>
      </x:c>
      <x:c r="M1874" s="31" t="str">
        <x:v>Leave exactly zero objects in the bowl.</x:v>
      </x:c>
      <x:c r="N1874" s="31" t="str">
        <x:v>XT-CT01: Start with exactly 1 object in the bowl (white cup); 3 objects on the table (red block, crushed Coke can, green block).</x:v>
      </x:c>
      <x:c r="O1874" s="31" t="str">
        <x:v>REMOVE the single bowl object; final count = 0</x:v>
      </x:c>
      <x:c r="P1874" s="31" t="str"/>
      <x:c r="Q1874" s="31" t="str"/>
      <x:c r="R1874" s="31" t="str"/>
      <x:c r="S1874" s="31" t="str">
        <x:f>IF('Blind Scoring'!I1874="","",'Blind Scoring'!I1874)</x:f>
      </x:c>
      <x:c r="T1874" s="31" t="str">
        <x:f>'Blind Scoring'!J1874</x:f>
        <x:v>No</x:v>
      </x:c>
      <x:c r="U1874" s="31" t="str">
        <x:f>IF('Blind Scoring'!L1874="","",'Blind Scoring'!L1874)</x:f>
      </x:c>
    </x:row>
    <x:row r="1875" ht="44" customHeight="1">
      <x:c r="A1875" s="35" t="str">
        <x:v>Not Started</x:v>
      </x:c>
      <x:c r="B1875" s="35" t="n">
        <x:v>1873</x:v>
      </x:c>
      <x:c r="C1875" s="35" t="str">
        <x:v>S39</x:v>
      </x:c>
      <x:c r="D1875" s="35" t="n">
        <x:v>4</x:v>
      </x:c>
      <x:c r="E1875" s="35" t="str">
        <x:v>Secondary Exploratory</x:v>
      </x:c>
      <x:c r="F1875" s="35" t="str">
        <x:v>π0.5</x:v>
      </x:c>
      <x:c r="G1875" s="35" t="n">
        <x:v>1</x:v>
      </x:c>
      <x:c r="H1875" s="35" t="str">
        <x:v>Counting</x:v>
      </x:c>
      <x:c r="I1875" s="35" t="str">
        <x:v>Exploratory cross-task B</x:v>
      </x:c>
      <x:c r="J1875" s="35" t="str">
        <x:v>SEC-XT-CT-B04</x:v>
      </x:c>
      <x:c r="K1875" s="35" t="str">
        <x:v>XT-CT04</x:v>
      </x:c>
      <x:c r="L1875" s="31" t="str">
        <x:v>Leave exactly two objects in the bowl.</x:v>
      </x:c>
      <x:c r="M1875" s="31" t="str">
        <x:v>Leave exactly two objects in the bowl.</x:v>
      </x:c>
      <x:c r="N1875" s="31" t="str">
        <x:v>XT-CT04: Start with exactly 1 object in the bowl (glass spice container); 3 objects on the table (green pen, airplane toy with propellers, red block).</x:v>
      </x:c>
      <x:c r="O1875" s="31" t="str">
        <x:v>ADD any one table object; final count = 2</x:v>
      </x:c>
      <x:c r="P1875" s="31" t="str"/>
      <x:c r="Q1875" s="31" t="str"/>
      <x:c r="R1875" s="31" t="str"/>
      <x:c r="S1875" s="31" t="str">
        <x:f>IF('Blind Scoring'!I1875="","",'Blind Scoring'!I1875)</x:f>
      </x:c>
      <x:c r="T1875" s="31" t="str">
        <x:f>'Blind Scoring'!J1875</x:f>
        <x:v>No</x:v>
      </x:c>
      <x:c r="U1875" s="31" t="str">
        <x:f>IF('Blind Scoring'!L1875="","",'Blind Scoring'!L1875)</x:f>
      </x:c>
    </x:row>
    <x:row r="1876" ht="44" customHeight="1">
      <x:c r="A1876" s="35" t="str">
        <x:v>Not Started</x:v>
      </x:c>
      <x:c r="B1876" s="35" t="n">
        <x:v>1874</x:v>
      </x:c>
      <x:c r="C1876" s="35" t="str">
        <x:v>S39</x:v>
      </x:c>
      <x:c r="D1876" s="35" t="n">
        <x:v>5</x:v>
      </x:c>
      <x:c r="E1876" s="35" t="str">
        <x:v>Secondary Exploratory</x:v>
      </x:c>
      <x:c r="F1876" s="35" t="str">
        <x:v>π0.5</x:v>
      </x:c>
      <x:c r="G1876" s="35" t="n">
        <x:v>1</x:v>
      </x:c>
      <x:c r="H1876" s="35" t="str">
        <x:v>Counting</x:v>
      </x:c>
      <x:c r="I1876" s="35" t="str">
        <x:v>Exploratory cross-task A</x:v>
      </x:c>
      <x:c r="J1876" s="35" t="str">
        <x:v>SEC-XT-CT-A02</x:v>
      </x:c>
      <x:c r="K1876" s="35" t="str">
        <x:v>XT-CT02</x:v>
      </x:c>
      <x:c r="L1876" s="31" t="str">
        <x:v>Leave exactly zero objects in the bowl.</x:v>
      </x:c>
      <x:c r="M1876" s="31" t="str">
        <x:v>Leave exactly zero objects in the bowl.</x:v>
      </x:c>
      <x:c r="N1876" s="31" t="str">
        <x:v>XT-CT02: Start with exactly 1 object in the bowl (yellow-white striped cup); 3 objects on the table (pink marker, crushed Coke can, juggling ball).</x:v>
      </x:c>
      <x:c r="O1876" s="31" t="str">
        <x:v>REMOVE the single bowl object; final count = 0</x:v>
      </x:c>
      <x:c r="P1876" s="31" t="str"/>
      <x:c r="Q1876" s="31" t="str"/>
      <x:c r="R1876" s="31" t="str"/>
      <x:c r="S1876" s="31" t="str">
        <x:f>IF('Blind Scoring'!I1876="","",'Blind Scoring'!I1876)</x:f>
      </x:c>
      <x:c r="T1876" s="31" t="str">
        <x:f>'Blind Scoring'!J1876</x:f>
        <x:v>No</x:v>
      </x:c>
      <x:c r="U1876" s="31" t="str">
        <x:f>IF('Blind Scoring'!L1876="","",'Blind Scoring'!L1876)</x:f>
      </x:c>
    </x:row>
    <x:row r="1877" ht="44" customHeight="1">
      <x:c r="A1877" s="35" t="str">
        <x:v>Not Started</x:v>
      </x:c>
      <x:c r="B1877" s="35" t="n">
        <x:v>1875</x:v>
      </x:c>
      <x:c r="C1877" s="35" t="str">
        <x:v>S39</x:v>
      </x:c>
      <x:c r="D1877" s="35" t="n">
        <x:v>6</x:v>
      </x:c>
      <x:c r="E1877" s="35" t="str">
        <x:v>Secondary Exploratory</x:v>
      </x:c>
      <x:c r="F1877" s="35" t="str">
        <x:v>π0.5</x:v>
      </x:c>
      <x:c r="G1877" s="35" t="n">
        <x:v>1</x:v>
      </x:c>
      <x:c r="H1877" s="35" t="str">
        <x:v>Counting</x:v>
      </x:c>
      <x:c r="I1877" s="35" t="str">
        <x:v>Exploratory cross-task B</x:v>
      </x:c>
      <x:c r="J1877" s="35" t="str">
        <x:v>SEC-XT-CT-B01</x:v>
      </x:c>
      <x:c r="K1877" s="35" t="str">
        <x:v>XT-CT01</x:v>
      </x:c>
      <x:c r="L1877" s="31" t="str">
        <x:v>Leave exactly two objects in the bowl.</x:v>
      </x:c>
      <x:c r="M1877" s="31" t="str">
        <x:v>Leave exactly two objects in the bowl.</x:v>
      </x:c>
      <x:c r="N1877" s="31" t="str">
        <x:v>XT-CT01: Start with exactly 1 object in the bowl (white cup); 3 objects on the table (red block, crushed Coke can, green block).</x:v>
      </x:c>
      <x:c r="O1877" s="31" t="str">
        <x:v>ADD any one table object; final count = 2</x:v>
      </x:c>
      <x:c r="P1877" s="31" t="str"/>
      <x:c r="Q1877" s="31" t="str"/>
      <x:c r="R1877" s="31" t="str"/>
      <x:c r="S1877" s="31" t="str">
        <x:f>IF('Blind Scoring'!I1877="","",'Blind Scoring'!I1877)</x:f>
      </x:c>
      <x:c r="T1877" s="31" t="str">
        <x:f>'Blind Scoring'!J1877</x:f>
        <x:v>No</x:v>
      </x:c>
      <x:c r="U1877" s="31" t="str">
        <x:f>IF('Blind Scoring'!L1877="","",'Blind Scoring'!L1877)</x:f>
      </x:c>
    </x:row>
    <x:row r="1878" ht="44" customHeight="1">
      <x:c r="A1878" s="35" t="str">
        <x:v>Not Started</x:v>
      </x:c>
      <x:c r="B1878" s="35" t="n">
        <x:v>1876</x:v>
      </x:c>
      <x:c r="C1878" s="35" t="str">
        <x:v>S39</x:v>
      </x:c>
      <x:c r="D1878" s="35" t="n">
        <x:v>7</x:v>
      </x:c>
      <x:c r="E1878" s="35" t="str">
        <x:v>Secondary Exploratory</x:v>
      </x:c>
      <x:c r="F1878" s="35" t="str">
        <x:v>π0.5</x:v>
      </x:c>
      <x:c r="G1878" s="35" t="n">
        <x:v>1</x:v>
      </x:c>
      <x:c r="H1878" s="35" t="str">
        <x:v>Counting</x:v>
      </x:c>
      <x:c r="I1878" s="35" t="str">
        <x:v>Exploratory cross-task A</x:v>
      </x:c>
      <x:c r="J1878" s="35" t="str">
        <x:v>SEC-XT-CT-A04</x:v>
      </x:c>
      <x:c r="K1878" s="35" t="str">
        <x:v>XT-CT04</x:v>
      </x:c>
      <x:c r="L1878" s="31" t="str">
        <x:v>Leave exactly zero objects in the bowl.</x:v>
      </x:c>
      <x:c r="M1878" s="31" t="str">
        <x:v>Leave exactly zero objects in the bowl.</x:v>
      </x:c>
      <x:c r="N1878" s="31" t="str">
        <x:v>XT-CT04: Start with exactly 1 object in the bowl (glass spice container); 3 objects on the table (green pen, airplane toy with propellers, red block).</x:v>
      </x:c>
      <x:c r="O1878" s="31" t="str">
        <x:v>REMOVE the single bowl object; final count = 0</x:v>
      </x:c>
      <x:c r="P1878" s="31" t="str"/>
      <x:c r="Q1878" s="31" t="str"/>
      <x:c r="R1878" s="31" t="str"/>
      <x:c r="S1878" s="31" t="str">
        <x:f>IF('Blind Scoring'!I1878="","",'Blind Scoring'!I1878)</x:f>
      </x:c>
      <x:c r="T1878" s="31" t="str">
        <x:f>'Blind Scoring'!J1878</x:f>
        <x:v>No</x:v>
      </x:c>
      <x:c r="U1878" s="31" t="str">
        <x:f>IF('Blind Scoring'!L1878="","",'Blind Scoring'!L1878)</x:f>
      </x:c>
    </x:row>
    <x:row r="1879" ht="44" customHeight="1">
      <x:c r="A1879" s="35" t="str">
        <x:v>Not Started</x:v>
      </x:c>
      <x:c r="B1879" s="35" t="n">
        <x:v>1877</x:v>
      </x:c>
      <x:c r="C1879" s="35" t="str">
        <x:v>S39</x:v>
      </x:c>
      <x:c r="D1879" s="35" t="n">
        <x:v>8</x:v>
      </x:c>
      <x:c r="E1879" s="35" t="str">
        <x:v>Secondary Exploratory</x:v>
      </x:c>
      <x:c r="F1879" s="35" t="str">
        <x:v>π0.5</x:v>
      </x:c>
      <x:c r="G1879" s="35" t="n">
        <x:v>1</x:v>
      </x:c>
      <x:c r="H1879" s="35" t="str">
        <x:v>Counting</x:v>
      </x:c>
      <x:c r="I1879" s="35" t="str">
        <x:v>Exploratory cross-task A</x:v>
      </x:c>
      <x:c r="J1879" s="35" t="str">
        <x:v>SEC-XT-CT-A03</x:v>
      </x:c>
      <x:c r="K1879" s="35" t="str">
        <x:v>XT-CT03</x:v>
      </x:c>
      <x:c r="L1879" s="31" t="str">
        <x:v>Leave exactly zero objects in the bowl.</x:v>
      </x:c>
      <x:c r="M1879" s="31" t="str">
        <x:v>Leave exactly zero objects in the bowl.</x:v>
      </x:c>
      <x:c r="N1879" s="31" t="str">
        <x:v>XT-CT03: Start with exactly 1 object in the bowl (brown cup); 3 objects on the table (blue block, yellow pen, red pencil sharpener).</x:v>
      </x:c>
      <x:c r="O1879" s="31" t="str">
        <x:v>REMOVE the single bowl object; final count = 0</x:v>
      </x:c>
      <x:c r="P1879" s="31" t="str"/>
      <x:c r="Q1879" s="31" t="str"/>
      <x:c r="R1879" s="31" t="str"/>
      <x:c r="S1879" s="31" t="str">
        <x:f>IF('Blind Scoring'!I1879="","",'Blind Scoring'!I1879)</x:f>
      </x:c>
      <x:c r="T1879" s="31" t="str">
        <x:f>'Blind Scoring'!J1879</x:f>
        <x:v>No</x:v>
      </x:c>
      <x:c r="U1879" s="31" t="str">
        <x:f>IF('Blind Scoring'!L1879="","",'Blind Scoring'!L1879)</x:f>
      </x:c>
    </x:row>
    <x:row r="1880" ht="44" customHeight="1">
      <x:c r="A1880" s="35" t="str">
        <x:v>Not Started</x:v>
      </x:c>
      <x:c r="B1880" s="35" t="n">
        <x:v>1878</x:v>
      </x:c>
      <x:c r="C1880" s="35" t="str">
        <x:v>S40</x:v>
      </x:c>
      <x:c r="D1880" s="35" t="n">
        <x:v>1</x:v>
      </x:c>
      <x:c r="E1880" s="35" t="str">
        <x:v>Secondary Exploratory</x:v>
      </x:c>
      <x:c r="F1880" s="35" t="str">
        <x:v>VLA-0</x:v>
      </x:c>
      <x:c r="G1880" s="35" t="n">
        <x:v>1</x:v>
      </x:c>
      <x:c r="H1880" s="35" t="str">
        <x:v>Relational Placement</x:v>
      </x:c>
      <x:c r="I1880" s="35" t="str">
        <x:v>Exploratory cross-task B</x:v>
      </x:c>
      <x:c r="J1880" s="35" t="str">
        <x:v>SEC-XT-RP-B01</x:v>
      </x:c>
      <x:c r="K1880" s="35" t="str">
        <x:v>XT-RP01</x:v>
      </x:c>
      <x:c r="L1880" s="31" t="str">
        <x:v>Place the yellow block to the right of the blue pen.</x:v>
      </x:c>
      <x:c r="M1880" s="31" t="str">
        <x:v>Place the yellow block to the right of the blue pen.</x:v>
      </x:c>
      <x:c r="N1880" s="31" t="str">
        <x:v>XT-RP01: yellow block and blue pen in open workspace; target starts directly in front of reference. Keep other distractors away from the goal region. Relations use the robot-base frame.</x:v>
      </x:c>
      <x:c r="O1880" s="31" t="str">
        <x:v>yellow block placed right blue pen</x:v>
      </x:c>
      <x:c r="P1880" s="31" t="str"/>
      <x:c r="Q1880" s="31" t="str"/>
      <x:c r="R1880" s="31" t="str"/>
      <x:c r="S1880" s="31" t="str">
        <x:f>IF('Blind Scoring'!I1880="","",'Blind Scoring'!I1880)</x:f>
      </x:c>
      <x:c r="T1880" s="31" t="str">
        <x:f>'Blind Scoring'!J1880</x:f>
        <x:v>No</x:v>
      </x:c>
      <x:c r="U1880" s="31" t="str">
        <x:f>IF('Blind Scoring'!L1880="","",'Blind Scoring'!L1880)</x:f>
      </x:c>
    </x:row>
    <x:row r="1881" ht="44" customHeight="1">
      <x:c r="A1881" s="35" t="str">
        <x:v>Not Started</x:v>
      </x:c>
      <x:c r="B1881" s="35" t="n">
        <x:v>1879</x:v>
      </x:c>
      <x:c r="C1881" s="35" t="str">
        <x:v>S40</x:v>
      </x:c>
      <x:c r="D1881" s="35" t="n">
        <x:v>2</x:v>
      </x:c>
      <x:c r="E1881" s="35" t="str">
        <x:v>Secondary Exploratory</x:v>
      </x:c>
      <x:c r="F1881" s="35" t="str">
        <x:v>VLA-0</x:v>
      </x:c>
      <x:c r="G1881" s="35" t="n">
        <x:v>1</x:v>
      </x:c>
      <x:c r="H1881" s="35" t="str">
        <x:v>Relational Placement</x:v>
      </x:c>
      <x:c r="I1881" s="35" t="str">
        <x:v>Exploratory cross-task B</x:v>
      </x:c>
      <x:c r="J1881" s="35" t="str">
        <x:v>SEC-XT-RP-B03</x:v>
      </x:c>
      <x:c r="K1881" s="35" t="str">
        <x:v>XT-RP03</x:v>
      </x:c>
      <x:c r="L1881" s="31" t="str">
        <x:v>Place the brown cup to the right of the green pencil sharpener.</x:v>
      </x:c>
      <x:c r="M1881" s="31" t="str">
        <x:v>Place the brown cup to the right of the green pencil sharpener.</x:v>
      </x:c>
      <x:c r="N1881" s="31" t="str">
        <x:v>XT-RP03: brown cup and green pencil sharpener in open workspace; target starts directly in front of reference. Keep other distractors away from the goal region. Relations use the robot-base frame.</x:v>
      </x:c>
      <x:c r="O1881" s="31" t="str">
        <x:v>brown cup placed right green pencil sharpener</x:v>
      </x:c>
      <x:c r="P1881" s="31" t="str"/>
      <x:c r="Q1881" s="31" t="str"/>
      <x:c r="R1881" s="31" t="str"/>
      <x:c r="S1881" s="31" t="str">
        <x:f>IF('Blind Scoring'!I1881="","",'Blind Scoring'!I1881)</x:f>
      </x:c>
      <x:c r="T1881" s="31" t="str">
        <x:f>'Blind Scoring'!J1881</x:f>
        <x:v>No</x:v>
      </x:c>
      <x:c r="U1881" s="31" t="str">
        <x:f>IF('Blind Scoring'!L1881="","",'Blind Scoring'!L1881)</x:f>
      </x:c>
    </x:row>
    <x:row r="1882" ht="44" customHeight="1">
      <x:c r="A1882" s="35" t="str">
        <x:v>Not Started</x:v>
      </x:c>
      <x:c r="B1882" s="35" t="n">
        <x:v>1880</x:v>
      </x:c>
      <x:c r="C1882" s="35" t="str">
        <x:v>S40</x:v>
      </x:c>
      <x:c r="D1882" s="35" t="n">
        <x:v>3</x:v>
      </x:c>
      <x:c r="E1882" s="35" t="str">
        <x:v>Secondary Exploratory</x:v>
      </x:c>
      <x:c r="F1882" s="35" t="str">
        <x:v>VLA-0</x:v>
      </x:c>
      <x:c r="G1882" s="35" t="n">
        <x:v>1</x:v>
      </x:c>
      <x:c r="H1882" s="35" t="str">
        <x:v>Relational Placement</x:v>
      </x:c>
      <x:c r="I1882" s="35" t="str">
        <x:v>Exploratory cross-task B</x:v>
      </x:c>
      <x:c r="J1882" s="35" t="str">
        <x:v>SEC-XT-RP-B02</x:v>
      </x:c>
      <x:c r="K1882" s="35" t="str">
        <x:v>XT-RP02</x:v>
      </x:c>
      <x:c r="L1882" s="31" t="str">
        <x:v>Place the crushed Coke can behind the white cup.</x:v>
      </x:c>
      <x:c r="M1882" s="31" t="str">
        <x:v>Place the crushed Coke can behind the white cup.</x:v>
      </x:c>
      <x:c r="N1882" s="31" t="str">
        <x:v>XT-RP02: crushed Coke can and white cup in open workspace; target starts directly left of reference. Keep other distractors away from the goal region. Relations use the robot-base frame.</x:v>
      </x:c>
      <x:c r="O1882" s="31" t="str">
        <x:v>crushed Coke can placed behind white cup</x:v>
      </x:c>
      <x:c r="P1882" s="31" t="str"/>
      <x:c r="Q1882" s="31" t="str"/>
      <x:c r="R1882" s="31" t="str"/>
      <x:c r="S1882" s="31" t="str">
        <x:f>IF('Blind Scoring'!I1882="","",'Blind Scoring'!I1882)</x:f>
      </x:c>
      <x:c r="T1882" s="31" t="str">
        <x:f>'Blind Scoring'!J1882</x:f>
        <x:v>No</x:v>
      </x:c>
      <x:c r="U1882" s="31" t="str">
        <x:f>IF('Blind Scoring'!L1882="","",'Blind Scoring'!L1882)</x:f>
      </x:c>
    </x:row>
    <x:row r="1883" ht="44" customHeight="1">
      <x:c r="A1883" s="35" t="str">
        <x:v>Not Started</x:v>
      </x:c>
      <x:c r="B1883" s="35" t="n">
        <x:v>1881</x:v>
      </x:c>
      <x:c r="C1883" s="35" t="str">
        <x:v>S40</x:v>
      </x:c>
      <x:c r="D1883" s="35" t="n">
        <x:v>4</x:v>
      </x:c>
      <x:c r="E1883" s="35" t="str">
        <x:v>Secondary Exploratory</x:v>
      </x:c>
      <x:c r="F1883" s="35" t="str">
        <x:v>VLA-0</x:v>
      </x:c>
      <x:c r="G1883" s="35" t="n">
        <x:v>1</x:v>
      </x:c>
      <x:c r="H1883" s="35" t="str">
        <x:v>Relational Placement</x:v>
      </x:c>
      <x:c r="I1883" s="35" t="str">
        <x:v>Exploratory cross-task A</x:v>
      </x:c>
      <x:c r="J1883" s="35" t="str">
        <x:v>SEC-XT-RP-A04</x:v>
      </x:c>
      <x:c r="K1883" s="35" t="str">
        <x:v>XT-RP04</x:v>
      </x:c>
      <x:c r="L1883" s="31" t="str">
        <x:v>Place the blue tape ball in front of the glass spice container.</x:v>
      </x:c>
      <x:c r="M1883" s="31" t="str">
        <x:v>Place the blue tape ball in front of the glass spice container.</x:v>
      </x:c>
      <x:c r="N1883" s="31" t="str">
        <x:v>XT-RP04: blue tape ball and glass spice container in open workspace; target starts directly left of reference. Keep other distractors away from the goal region. Relations use the robot-base frame.</x:v>
      </x:c>
      <x:c r="O1883" s="31" t="str">
        <x:v>blue tape ball placed front glass spice container</x:v>
      </x:c>
      <x:c r="P1883" s="31" t="str"/>
      <x:c r="Q1883" s="31" t="str"/>
      <x:c r="R1883" s="31" t="str"/>
      <x:c r="S1883" s="31" t="str">
        <x:f>IF('Blind Scoring'!I1883="","",'Blind Scoring'!I1883)</x:f>
      </x:c>
      <x:c r="T1883" s="31" t="str">
        <x:f>'Blind Scoring'!J1883</x:f>
        <x:v>No</x:v>
      </x:c>
      <x:c r="U1883" s="31" t="str">
        <x:f>IF('Blind Scoring'!L1883="","",'Blind Scoring'!L1883)</x:f>
      </x:c>
    </x:row>
    <x:row r="1884" ht="44" customHeight="1">
      <x:c r="A1884" s="35" t="str">
        <x:v>Not Started</x:v>
      </x:c>
      <x:c r="B1884" s="35" t="n">
        <x:v>1882</x:v>
      </x:c>
      <x:c r="C1884" s="35" t="str">
        <x:v>S40</x:v>
      </x:c>
      <x:c r="D1884" s="35" t="n">
        <x:v>5</x:v>
      </x:c>
      <x:c r="E1884" s="35" t="str">
        <x:v>Secondary Exploratory</x:v>
      </x:c>
      <x:c r="F1884" s="35" t="str">
        <x:v>VLA-0</x:v>
      </x:c>
      <x:c r="G1884" s="35" t="n">
        <x:v>1</x:v>
      </x:c>
      <x:c r="H1884" s="35" t="str">
        <x:v>Relational Placement</x:v>
      </x:c>
      <x:c r="I1884" s="35" t="str">
        <x:v>Exploratory cross-task A</x:v>
      </x:c>
      <x:c r="J1884" s="35" t="str">
        <x:v>SEC-XT-RP-A02</x:v>
      </x:c>
      <x:c r="K1884" s="35" t="str">
        <x:v>XT-RP02</x:v>
      </x:c>
      <x:c r="L1884" s="31" t="str">
        <x:v>Place the crushed Coke can in front of the white cup.</x:v>
      </x:c>
      <x:c r="M1884" s="31" t="str">
        <x:v>Place the crushed Coke can in front of the white cup.</x:v>
      </x:c>
      <x:c r="N1884" s="31" t="str">
        <x:v>XT-RP02: crushed Coke can and white cup in open workspace; target starts directly left of reference. Keep other distractors away from the goal region. Relations use the robot-base frame.</x:v>
      </x:c>
      <x:c r="O1884" s="31" t="str">
        <x:v>crushed Coke can placed front white cup</x:v>
      </x:c>
      <x:c r="P1884" s="31" t="str"/>
      <x:c r="Q1884" s="31" t="str"/>
      <x:c r="R1884" s="31" t="str"/>
      <x:c r="S1884" s="31" t="str">
        <x:f>IF('Blind Scoring'!I1884="","",'Blind Scoring'!I1884)</x:f>
      </x:c>
      <x:c r="T1884" s="31" t="str">
        <x:f>'Blind Scoring'!J1884</x:f>
        <x:v>No</x:v>
      </x:c>
      <x:c r="U1884" s="31" t="str">
        <x:f>IF('Blind Scoring'!L1884="","",'Blind Scoring'!L1884)</x:f>
      </x:c>
    </x:row>
    <x:row r="1885" ht="44" customHeight="1">
      <x:c r="A1885" s="35" t="str">
        <x:v>Not Started</x:v>
      </x:c>
      <x:c r="B1885" s="35" t="n">
        <x:v>1883</x:v>
      </x:c>
      <x:c r="C1885" s="35" t="str">
        <x:v>S40</x:v>
      </x:c>
      <x:c r="D1885" s="35" t="n">
        <x:v>6</x:v>
      </x:c>
      <x:c r="E1885" s="35" t="str">
        <x:v>Secondary Exploratory</x:v>
      </x:c>
      <x:c r="F1885" s="35" t="str">
        <x:v>VLA-0</x:v>
      </x:c>
      <x:c r="G1885" s="35" t="n">
        <x:v>1</x:v>
      </x:c>
      <x:c r="H1885" s="35" t="str">
        <x:v>Relational Placement</x:v>
      </x:c>
      <x:c r="I1885" s="35" t="str">
        <x:v>Exploratory cross-task B</x:v>
      </x:c>
      <x:c r="J1885" s="35" t="str">
        <x:v>SEC-XT-RP-B04</x:v>
      </x:c>
      <x:c r="K1885" s="35" t="str">
        <x:v>XT-RP04</x:v>
      </x:c>
      <x:c r="L1885" s="31" t="str">
        <x:v>Place the blue tape ball behind the glass spice container.</x:v>
      </x:c>
      <x:c r="M1885" s="31" t="str">
        <x:v>Place the blue tape ball behind the glass spice container.</x:v>
      </x:c>
      <x:c r="N1885" s="31" t="str">
        <x:v>XT-RP04: blue tape ball and glass spice container in open workspace; target starts directly left of reference. Keep other distractors away from the goal region. Relations use the robot-base frame.</x:v>
      </x:c>
      <x:c r="O1885" s="31" t="str">
        <x:v>blue tape ball placed behind glass spice container</x:v>
      </x:c>
      <x:c r="P1885" s="31" t="str"/>
      <x:c r="Q1885" s="31" t="str"/>
      <x:c r="R1885" s="31" t="str"/>
      <x:c r="S1885" s="31" t="str">
        <x:f>IF('Blind Scoring'!I1885="","",'Blind Scoring'!I1885)</x:f>
      </x:c>
      <x:c r="T1885" s="31" t="str">
        <x:f>'Blind Scoring'!J1885</x:f>
        <x:v>No</x:v>
      </x:c>
      <x:c r="U1885" s="31" t="str">
        <x:f>IF('Blind Scoring'!L1885="","",'Blind Scoring'!L1885)</x:f>
      </x:c>
    </x:row>
    <x:row r="1886" ht="44" customHeight="1">
      <x:c r="A1886" s="35" t="str">
        <x:v>Not Started</x:v>
      </x:c>
      <x:c r="B1886" s="35" t="n">
        <x:v>1884</x:v>
      </x:c>
      <x:c r="C1886" s="35" t="str">
        <x:v>S40</x:v>
      </x:c>
      <x:c r="D1886" s="35" t="n">
        <x:v>7</x:v>
      </x:c>
      <x:c r="E1886" s="35" t="str">
        <x:v>Secondary Exploratory</x:v>
      </x:c>
      <x:c r="F1886" s="35" t="str">
        <x:v>VLA-0</x:v>
      </x:c>
      <x:c r="G1886" s="35" t="n">
        <x:v>1</x:v>
      </x:c>
      <x:c r="H1886" s="35" t="str">
        <x:v>Relational Placement</x:v>
      </x:c>
      <x:c r="I1886" s="35" t="str">
        <x:v>Exploratory cross-task A</x:v>
      </x:c>
      <x:c r="J1886" s="35" t="str">
        <x:v>SEC-XT-RP-A03</x:v>
      </x:c>
      <x:c r="K1886" s="35" t="str">
        <x:v>XT-RP03</x:v>
      </x:c>
      <x:c r="L1886" s="31" t="str">
        <x:v>Place the brown cup to the left of the green pencil sharpener.</x:v>
      </x:c>
      <x:c r="M1886" s="31" t="str">
        <x:v>Place the brown cup to the left of the green pencil sharpener.</x:v>
      </x:c>
      <x:c r="N1886" s="31" t="str">
        <x:v>XT-RP03: brown cup and green pencil sharpener in open workspace; target starts directly in front of reference. Keep other distractors away from the goal region. Relations use the robot-base frame.</x:v>
      </x:c>
      <x:c r="O1886" s="31" t="str">
        <x:v>brown cup placed left green pencil sharpener</x:v>
      </x:c>
      <x:c r="P1886" s="31" t="str"/>
      <x:c r="Q1886" s="31" t="str"/>
      <x:c r="R1886" s="31" t="str"/>
      <x:c r="S1886" s="31" t="str">
        <x:f>IF('Blind Scoring'!I1886="","",'Blind Scoring'!I1886)</x:f>
      </x:c>
      <x:c r="T1886" s="31" t="str">
        <x:f>'Blind Scoring'!J1886</x:f>
        <x:v>No</x:v>
      </x:c>
      <x:c r="U1886" s="31" t="str">
        <x:f>IF('Blind Scoring'!L1886="","",'Blind Scoring'!L1886)</x:f>
      </x:c>
    </x:row>
    <x:row r="1887" ht="44" customHeight="1">
      <x:c r="A1887" s="35" t="str">
        <x:v>Not Started</x:v>
      </x:c>
      <x:c r="B1887" s="35" t="n">
        <x:v>1885</x:v>
      </x:c>
      <x:c r="C1887" s="35" t="str">
        <x:v>S40</x:v>
      </x:c>
      <x:c r="D1887" s="35" t="n">
        <x:v>8</x:v>
      </x:c>
      <x:c r="E1887" s="35" t="str">
        <x:v>Secondary Exploratory</x:v>
      </x:c>
      <x:c r="F1887" s="35" t="str">
        <x:v>VLA-0</x:v>
      </x:c>
      <x:c r="G1887" s="35" t="n">
        <x:v>1</x:v>
      </x:c>
      <x:c r="H1887" s="35" t="str">
        <x:v>Relational Placement</x:v>
      </x:c>
      <x:c r="I1887" s="35" t="str">
        <x:v>Exploratory cross-task A</x:v>
      </x:c>
      <x:c r="J1887" s="35" t="str">
        <x:v>SEC-XT-RP-A01</x:v>
      </x:c>
      <x:c r="K1887" s="35" t="str">
        <x:v>XT-RP01</x:v>
      </x:c>
      <x:c r="L1887" s="31" t="str">
        <x:v>Place the yellow block to the left of the blue pen.</x:v>
      </x:c>
      <x:c r="M1887" s="31" t="str">
        <x:v>Place the yellow block to the left of the blue pen.</x:v>
      </x:c>
      <x:c r="N1887" s="31" t="str">
        <x:v>XT-RP01: yellow block and blue pen in open workspace; target starts directly in front of reference. Keep other distractors away from the goal region. Relations use the robot-base frame.</x:v>
      </x:c>
      <x:c r="O1887" s="31" t="str">
        <x:v>yellow block placed left blue pen</x:v>
      </x:c>
      <x:c r="P1887" s="31" t="str"/>
      <x:c r="Q1887" s="31" t="str"/>
      <x:c r="R1887" s="31" t="str"/>
      <x:c r="S1887" s="31" t="str">
        <x:f>IF('Blind Scoring'!I1887="","",'Blind Scoring'!I1887)</x:f>
      </x:c>
      <x:c r="T1887" s="31" t="str">
        <x:f>'Blind Scoring'!J1887</x:f>
        <x:v>No</x:v>
      </x:c>
      <x:c r="U1887" s="31" t="str">
        <x:f>IF('Blind Scoring'!L1887="","",'Blind Scoring'!L1887)</x:f>
      </x:c>
    </x:row>
    <x:row r="1888" ht="44" customHeight="1">
      <x:c r="A1888" s="35" t="str">
        <x:v>Not Started</x:v>
      </x:c>
      <x:c r="B1888" s="35" t="n">
        <x:v>1886</x:v>
      </x:c>
      <x:c r="C1888" s="35" t="str">
        <x:v>S41</x:v>
      </x:c>
      <x:c r="D1888" s="35" t="n">
        <x:v>1</x:v>
      </x:c>
      <x:c r="E1888" s="35" t="str">
        <x:v>Secondary Exploratory</x:v>
      </x:c>
      <x:c r="F1888" s="35" t="str">
        <x:v>VLA-0</x:v>
      </x:c>
      <x:c r="G1888" s="35" t="n">
        <x:v>1</x:v>
      </x:c>
      <x:c r="H1888" s="35" t="str">
        <x:v>Counting</x:v>
      </x:c>
      <x:c r="I1888" s="35" t="str">
        <x:v>Exploratory cross-task A</x:v>
      </x:c>
      <x:c r="J1888" s="35" t="str">
        <x:v>SEC-XT-CT-A04</x:v>
      </x:c>
      <x:c r="K1888" s="35" t="str">
        <x:v>XT-CT04</x:v>
      </x:c>
      <x:c r="L1888" s="31" t="str">
        <x:v>Leave exactly zero objects in the bowl.</x:v>
      </x:c>
      <x:c r="M1888" s="31" t="str">
        <x:v>Leave exactly zero objects in the bowl.</x:v>
      </x:c>
      <x:c r="N1888" s="31" t="str">
        <x:v>XT-CT04: Start with exactly 1 object in the bowl (glass spice container); 3 objects on the table (green pen, airplane toy with propellers, red block).</x:v>
      </x:c>
      <x:c r="O1888" s="31" t="str">
        <x:v>REMOVE the single bowl object; final count = 0</x:v>
      </x:c>
      <x:c r="P1888" s="31" t="str"/>
      <x:c r="Q1888" s="31" t="str"/>
      <x:c r="R1888" s="31" t="str"/>
      <x:c r="S1888" s="31" t="str">
        <x:f>IF('Blind Scoring'!I1888="","",'Blind Scoring'!I1888)</x:f>
      </x:c>
      <x:c r="T1888" s="31" t="str">
        <x:f>'Blind Scoring'!J1888</x:f>
        <x:v>No</x:v>
      </x:c>
      <x:c r="U1888" s="31" t="str">
        <x:f>IF('Blind Scoring'!L1888="","",'Blind Scoring'!L1888)</x:f>
      </x:c>
    </x:row>
    <x:row r="1889" ht="44" customHeight="1">
      <x:c r="A1889" s="35" t="str">
        <x:v>Not Started</x:v>
      </x:c>
      <x:c r="B1889" s="35" t="n">
        <x:v>1887</x:v>
      </x:c>
      <x:c r="C1889" s="35" t="str">
        <x:v>S41</x:v>
      </x:c>
      <x:c r="D1889" s="35" t="n">
        <x:v>2</x:v>
      </x:c>
      <x:c r="E1889" s="35" t="str">
        <x:v>Secondary Exploratory</x:v>
      </x:c>
      <x:c r="F1889" s="35" t="str">
        <x:v>VLA-0</x:v>
      </x:c>
      <x:c r="G1889" s="35" t="n">
        <x:v>1</x:v>
      </x:c>
      <x:c r="H1889" s="35" t="str">
        <x:v>Counting</x:v>
      </x:c>
      <x:c r="I1889" s="35" t="str">
        <x:v>Exploratory cross-task B</x:v>
      </x:c>
      <x:c r="J1889" s="35" t="str">
        <x:v>SEC-XT-CT-B03</x:v>
      </x:c>
      <x:c r="K1889" s="35" t="str">
        <x:v>XT-CT03</x:v>
      </x:c>
      <x:c r="L1889" s="31" t="str">
        <x:v>Leave exactly two objects in the bowl.</x:v>
      </x:c>
      <x:c r="M1889" s="31" t="str">
        <x:v>Leave exactly two objects in the bowl.</x:v>
      </x:c>
      <x:c r="N1889" s="31" t="str">
        <x:v>XT-CT03: Start with exactly 1 object in the bowl (brown cup); 3 objects on the table (blue block, yellow pen, red pencil sharpener).</x:v>
      </x:c>
      <x:c r="O1889" s="31" t="str">
        <x:v>ADD any one table object; final count = 2</x:v>
      </x:c>
      <x:c r="P1889" s="31" t="str"/>
      <x:c r="Q1889" s="31" t="str"/>
      <x:c r="R1889" s="31" t="str"/>
      <x:c r="S1889" s="31" t="str">
        <x:f>IF('Blind Scoring'!I1889="","",'Blind Scoring'!I1889)</x:f>
      </x:c>
      <x:c r="T1889" s="31" t="str">
        <x:f>'Blind Scoring'!J1889</x:f>
        <x:v>No</x:v>
      </x:c>
      <x:c r="U1889" s="31" t="str">
        <x:f>IF('Blind Scoring'!L1889="","",'Blind Scoring'!L1889)</x:f>
      </x:c>
    </x:row>
    <x:row r="1890" ht="44" customHeight="1">
      <x:c r="A1890" s="35" t="str">
        <x:v>Not Started</x:v>
      </x:c>
      <x:c r="B1890" s="35" t="n">
        <x:v>1888</x:v>
      </x:c>
      <x:c r="C1890" s="35" t="str">
        <x:v>S41</x:v>
      </x:c>
      <x:c r="D1890" s="35" t="n">
        <x:v>3</x:v>
      </x:c>
      <x:c r="E1890" s="35" t="str">
        <x:v>Secondary Exploratory</x:v>
      </x:c>
      <x:c r="F1890" s="35" t="str">
        <x:v>VLA-0</x:v>
      </x:c>
      <x:c r="G1890" s="35" t="n">
        <x:v>1</x:v>
      </x:c>
      <x:c r="H1890" s="35" t="str">
        <x:v>Counting</x:v>
      </x:c>
      <x:c r="I1890" s="35" t="str">
        <x:v>Exploratory cross-task B</x:v>
      </x:c>
      <x:c r="J1890" s="35" t="str">
        <x:v>SEC-XT-CT-B01</x:v>
      </x:c>
      <x:c r="K1890" s="35" t="str">
        <x:v>XT-CT01</x:v>
      </x:c>
      <x:c r="L1890" s="31" t="str">
        <x:v>Leave exactly two objects in the bowl.</x:v>
      </x:c>
      <x:c r="M1890" s="31" t="str">
        <x:v>Leave exactly two objects in the bowl.</x:v>
      </x:c>
      <x:c r="N1890" s="31" t="str">
        <x:v>XT-CT01: Start with exactly 1 object in the bowl (white cup); 3 objects on the table (red block, crushed Coke can, green block).</x:v>
      </x:c>
      <x:c r="O1890" s="31" t="str">
        <x:v>ADD any one table object; final count = 2</x:v>
      </x:c>
      <x:c r="P1890" s="31" t="str"/>
      <x:c r="Q1890" s="31" t="str"/>
      <x:c r="R1890" s="31" t="str"/>
      <x:c r="S1890" s="31" t="str">
        <x:f>IF('Blind Scoring'!I1890="","",'Blind Scoring'!I1890)</x:f>
      </x:c>
      <x:c r="T1890" s="31" t="str">
        <x:f>'Blind Scoring'!J1890</x:f>
        <x:v>No</x:v>
      </x:c>
      <x:c r="U1890" s="31" t="str">
        <x:f>IF('Blind Scoring'!L1890="","",'Blind Scoring'!L1890)</x:f>
      </x:c>
    </x:row>
    <x:row r="1891" ht="44" customHeight="1">
      <x:c r="A1891" s="35" t="str">
        <x:v>Not Started</x:v>
      </x:c>
      <x:c r="B1891" s="35" t="n">
        <x:v>1889</x:v>
      </x:c>
      <x:c r="C1891" s="35" t="str">
        <x:v>S41</x:v>
      </x:c>
      <x:c r="D1891" s="35" t="n">
        <x:v>4</x:v>
      </x:c>
      <x:c r="E1891" s="35" t="str">
        <x:v>Secondary Exploratory</x:v>
      </x:c>
      <x:c r="F1891" s="35" t="str">
        <x:v>VLA-0</x:v>
      </x:c>
      <x:c r="G1891" s="35" t="n">
        <x:v>1</x:v>
      </x:c>
      <x:c r="H1891" s="35" t="str">
        <x:v>Counting</x:v>
      </x:c>
      <x:c r="I1891" s="35" t="str">
        <x:v>Exploratory cross-task A</x:v>
      </x:c>
      <x:c r="J1891" s="35" t="str">
        <x:v>SEC-XT-CT-A02</x:v>
      </x:c>
      <x:c r="K1891" s="35" t="str">
        <x:v>XT-CT02</x:v>
      </x:c>
      <x:c r="L1891" s="31" t="str">
        <x:v>Leave exactly zero objects in the bowl.</x:v>
      </x:c>
      <x:c r="M1891" s="31" t="str">
        <x:v>Leave exactly zero objects in the bowl.</x:v>
      </x:c>
      <x:c r="N1891" s="31" t="str">
        <x:v>XT-CT02: Start with exactly 1 object in the bowl (yellow-white striped cup); 3 objects on the table (pink marker, crushed Coke can, juggling ball).</x:v>
      </x:c>
      <x:c r="O1891" s="31" t="str">
        <x:v>REMOVE the single bowl object; final count = 0</x:v>
      </x:c>
      <x:c r="P1891" s="31" t="str"/>
      <x:c r="Q1891" s="31" t="str"/>
      <x:c r="R1891" s="31" t="str"/>
      <x:c r="S1891" s="31" t="str">
        <x:f>IF('Blind Scoring'!I1891="","",'Blind Scoring'!I1891)</x:f>
      </x:c>
      <x:c r="T1891" s="31" t="str">
        <x:f>'Blind Scoring'!J1891</x:f>
        <x:v>No</x:v>
      </x:c>
      <x:c r="U1891" s="31" t="str">
        <x:f>IF('Blind Scoring'!L1891="","",'Blind Scoring'!L1891)</x:f>
      </x:c>
    </x:row>
    <x:row r="1892" ht="44" customHeight="1">
      <x:c r="A1892" s="35" t="str">
        <x:v>Not Started</x:v>
      </x:c>
      <x:c r="B1892" s="35" t="n">
        <x:v>1890</x:v>
      </x:c>
      <x:c r="C1892" s="35" t="str">
        <x:v>S41</x:v>
      </x:c>
      <x:c r="D1892" s="35" t="n">
        <x:v>5</x:v>
      </x:c>
      <x:c r="E1892" s="35" t="str">
        <x:v>Secondary Exploratory</x:v>
      </x:c>
      <x:c r="F1892" s="35" t="str">
        <x:v>VLA-0</x:v>
      </x:c>
      <x:c r="G1892" s="35" t="n">
        <x:v>1</x:v>
      </x:c>
      <x:c r="H1892" s="35" t="str">
        <x:v>Counting</x:v>
      </x:c>
      <x:c r="I1892" s="35" t="str">
        <x:v>Exploratory cross-task A</x:v>
      </x:c>
      <x:c r="J1892" s="35" t="str">
        <x:v>SEC-XT-CT-A01</x:v>
      </x:c>
      <x:c r="K1892" s="35" t="str">
        <x:v>XT-CT01</x:v>
      </x:c>
      <x:c r="L1892" s="31" t="str">
        <x:v>Leave exactly zero objects in the bowl.</x:v>
      </x:c>
      <x:c r="M1892" s="31" t="str">
        <x:v>Leave exactly zero objects in the bowl.</x:v>
      </x:c>
      <x:c r="N1892" s="31" t="str">
        <x:v>XT-CT01: Start with exactly 1 object in the bowl (white cup); 3 objects on the table (red block, crushed Coke can, green block).</x:v>
      </x:c>
      <x:c r="O1892" s="31" t="str">
        <x:v>REMOVE the single bowl object; final count = 0</x:v>
      </x:c>
      <x:c r="P1892" s="31" t="str"/>
      <x:c r="Q1892" s="31" t="str"/>
      <x:c r="R1892" s="31" t="str"/>
      <x:c r="S1892" s="31" t="str">
        <x:f>IF('Blind Scoring'!I1892="","",'Blind Scoring'!I1892)</x:f>
      </x:c>
      <x:c r="T1892" s="31" t="str">
        <x:f>'Blind Scoring'!J1892</x:f>
        <x:v>No</x:v>
      </x:c>
      <x:c r="U1892" s="31" t="str">
        <x:f>IF('Blind Scoring'!L1892="","",'Blind Scoring'!L1892)</x:f>
      </x:c>
    </x:row>
    <x:row r="1893" ht="44" customHeight="1">
      <x:c r="A1893" s="35" t="str">
        <x:v>Not Started</x:v>
      </x:c>
      <x:c r="B1893" s="35" t="n">
        <x:v>1891</x:v>
      </x:c>
      <x:c r="C1893" s="35" t="str">
        <x:v>S41</x:v>
      </x:c>
      <x:c r="D1893" s="35" t="n">
        <x:v>6</x:v>
      </x:c>
      <x:c r="E1893" s="35" t="str">
        <x:v>Secondary Exploratory</x:v>
      </x:c>
      <x:c r="F1893" s="35" t="str">
        <x:v>VLA-0</x:v>
      </x:c>
      <x:c r="G1893" s="35" t="n">
        <x:v>1</x:v>
      </x:c>
      <x:c r="H1893" s="35" t="str">
        <x:v>Counting</x:v>
      </x:c>
      <x:c r="I1893" s="35" t="str">
        <x:v>Exploratory cross-task B</x:v>
      </x:c>
      <x:c r="J1893" s="35" t="str">
        <x:v>SEC-XT-CT-B04</x:v>
      </x:c>
      <x:c r="K1893" s="35" t="str">
        <x:v>XT-CT04</x:v>
      </x:c>
      <x:c r="L1893" s="31" t="str">
        <x:v>Leave exactly two objects in the bowl.</x:v>
      </x:c>
      <x:c r="M1893" s="31" t="str">
        <x:v>Leave exactly two objects in the bowl.</x:v>
      </x:c>
      <x:c r="N1893" s="31" t="str">
        <x:v>XT-CT04: Start with exactly 1 object in the bowl (glass spice container); 3 objects on the table (green pen, airplane toy with propellers, red block).</x:v>
      </x:c>
      <x:c r="O1893" s="31" t="str">
        <x:v>ADD any one table object; final count = 2</x:v>
      </x:c>
      <x:c r="P1893" s="31" t="str"/>
      <x:c r="Q1893" s="31" t="str"/>
      <x:c r="R1893" s="31" t="str"/>
      <x:c r="S1893" s="31" t="str">
        <x:f>IF('Blind Scoring'!I1893="","",'Blind Scoring'!I1893)</x:f>
      </x:c>
      <x:c r="T1893" s="31" t="str">
        <x:f>'Blind Scoring'!J1893</x:f>
        <x:v>No</x:v>
      </x:c>
      <x:c r="U1893" s="31" t="str">
        <x:f>IF('Blind Scoring'!L1893="","",'Blind Scoring'!L1893)</x:f>
      </x:c>
    </x:row>
    <x:row r="1894" ht="44" customHeight="1">
      <x:c r="A1894" s="35" t="str">
        <x:v>Not Started</x:v>
      </x:c>
      <x:c r="B1894" s="35" t="n">
        <x:v>1892</x:v>
      </x:c>
      <x:c r="C1894" s="35" t="str">
        <x:v>S41</x:v>
      </x:c>
      <x:c r="D1894" s="35" t="n">
        <x:v>7</x:v>
      </x:c>
      <x:c r="E1894" s="35" t="str">
        <x:v>Secondary Exploratory</x:v>
      </x:c>
      <x:c r="F1894" s="35" t="str">
        <x:v>VLA-0</x:v>
      </x:c>
      <x:c r="G1894" s="35" t="n">
        <x:v>1</x:v>
      </x:c>
      <x:c r="H1894" s="35" t="str">
        <x:v>Counting</x:v>
      </x:c>
      <x:c r="I1894" s="35" t="str">
        <x:v>Exploratory cross-task A</x:v>
      </x:c>
      <x:c r="J1894" s="35" t="str">
        <x:v>SEC-XT-CT-A03</x:v>
      </x:c>
      <x:c r="K1894" s="35" t="str">
        <x:v>XT-CT03</x:v>
      </x:c>
      <x:c r="L1894" s="31" t="str">
        <x:v>Leave exactly zero objects in the bowl.</x:v>
      </x:c>
      <x:c r="M1894" s="31" t="str">
        <x:v>Leave exactly zero objects in the bowl.</x:v>
      </x:c>
      <x:c r="N1894" s="31" t="str">
        <x:v>XT-CT03: Start with exactly 1 object in the bowl (brown cup); 3 objects on the table (blue block, yellow pen, red pencil sharpener).</x:v>
      </x:c>
      <x:c r="O1894" s="31" t="str">
        <x:v>REMOVE the single bowl object; final count = 0</x:v>
      </x:c>
      <x:c r="P1894" s="31" t="str"/>
      <x:c r="Q1894" s="31" t="str"/>
      <x:c r="R1894" s="31" t="str"/>
      <x:c r="S1894" s="31" t="str">
        <x:f>IF('Blind Scoring'!I1894="","",'Blind Scoring'!I1894)</x:f>
      </x:c>
      <x:c r="T1894" s="31" t="str">
        <x:f>'Blind Scoring'!J1894</x:f>
        <x:v>No</x:v>
      </x:c>
      <x:c r="U1894" s="31" t="str">
        <x:f>IF('Blind Scoring'!L1894="","",'Blind Scoring'!L1894)</x:f>
      </x:c>
    </x:row>
    <x:row r="1895" ht="44" customHeight="1">
      <x:c r="A1895" s="35" t="str">
        <x:v>Not Started</x:v>
      </x:c>
      <x:c r="B1895" s="35" t="n">
        <x:v>1893</x:v>
      </x:c>
      <x:c r="C1895" s="35" t="str">
        <x:v>S41</x:v>
      </x:c>
      <x:c r="D1895" s="35" t="n">
        <x:v>8</x:v>
      </x:c>
      <x:c r="E1895" s="35" t="str">
        <x:v>Secondary Exploratory</x:v>
      </x:c>
      <x:c r="F1895" s="35" t="str">
        <x:v>VLA-0</x:v>
      </x:c>
      <x:c r="G1895" s="35" t="n">
        <x:v>1</x:v>
      </x:c>
      <x:c r="H1895" s="35" t="str">
        <x:v>Counting</x:v>
      </x:c>
      <x:c r="I1895" s="35" t="str">
        <x:v>Exploratory cross-task B</x:v>
      </x:c>
      <x:c r="J1895" s="35" t="str">
        <x:v>SEC-XT-CT-B02</x:v>
      </x:c>
      <x:c r="K1895" s="35" t="str">
        <x:v>XT-CT02</x:v>
      </x:c>
      <x:c r="L1895" s="31" t="str">
        <x:v>Leave exactly two objects in the bowl.</x:v>
      </x:c>
      <x:c r="M1895" s="31" t="str">
        <x:v>Leave exactly two objects in the bowl.</x:v>
      </x:c>
      <x:c r="N1895" s="31" t="str">
        <x:v>XT-CT02: Start with exactly 1 object in the bowl (yellow-white striped cup); 3 objects on the table (pink marker, crushed Coke can, juggling ball).</x:v>
      </x:c>
      <x:c r="O1895" s="31" t="str">
        <x:v>ADD any one table object; final count = 2</x:v>
      </x:c>
      <x:c r="P1895" s="31" t="str"/>
      <x:c r="Q1895" s="31" t="str"/>
      <x:c r="R1895" s="31" t="str"/>
      <x:c r="S1895" s="31" t="str">
        <x:f>IF('Blind Scoring'!I1895="","",'Blind Scoring'!I1895)</x:f>
      </x:c>
      <x:c r="T1895" s="31" t="str">
        <x:f>'Blind Scoring'!J1895</x:f>
        <x:v>No</x:v>
      </x:c>
      <x:c r="U1895" s="31" t="str">
        <x:f>IF('Blind Scoring'!L1895="","",'Blind Scoring'!L1895)</x:f>
      </x:c>
    </x:row>
    <x:row r="1896" ht="44" customHeight="1">
      <x:c r="A1896" s="35" t="str">
        <x:v>Not Started</x:v>
      </x:c>
      <x:c r="B1896" s="35" t="n">
        <x:v>1894</x:v>
      </x:c>
      <x:c r="C1896" s="35" t="str">
        <x:v>S42</x:v>
      </x:c>
      <x:c r="D1896" s="35" t="n">
        <x:v>1</x:v>
      </x:c>
      <x:c r="E1896" s="35" t="str">
        <x:v>Secondary Exploratory</x:v>
      </x:c>
      <x:c r="F1896" s="35" t="str">
        <x:v>VLA-0</x:v>
      </x:c>
      <x:c r="G1896" s="35" t="n">
        <x:v>1</x:v>
      </x:c>
      <x:c r="H1896" s="35" t="str">
        <x:v>State Recognition</x:v>
      </x:c>
      <x:c r="I1896" s="35" t="str">
        <x:v>Exploratory cross-task A</x:v>
      </x:c>
      <x:c r="J1896" s="35" t="str">
        <x:v>SEC-XT-ST-A04</x:v>
      </x:c>
      <x:c r="K1896" s="35" t="str">
        <x:v>XT-ST04</x:v>
      </x:c>
      <x:c r="L1896" s="31" t="str">
        <x:v>Place the upright crushed soda can in the bowl.</x:v>
      </x:c>
      <x:c r="M1896" s="31" t="str">
        <x:v>Place the upright crushed soda can in the bowl.</x:v>
      </x:c>
      <x:c r="N1896" s="31" t="str">
        <x:v>XT-ST04: P1 Coke=UD; P2 blue tape ball; P3 brown cup; P4 Pepsi=UR. Same scene as paired trial; only one crushed soda can is upright.</x:v>
      </x:c>
      <x:c r="O1896" s="31" t="str">
        <x:v>crushed Pepsi can</x:v>
      </x:c>
      <x:c r="P1896" s="31" t="str"/>
      <x:c r="Q1896" s="31" t="str"/>
      <x:c r="R1896" s="31" t="str"/>
      <x:c r="S1896" s="31" t="str">
        <x:f>IF('Blind Scoring'!I1896="","",'Blind Scoring'!I1896)</x:f>
      </x:c>
      <x:c r="T1896" s="31" t="str">
        <x:f>'Blind Scoring'!J1896</x:f>
        <x:v>No</x:v>
      </x:c>
      <x:c r="U1896" s="31" t="str">
        <x:f>IF('Blind Scoring'!L1896="","",'Blind Scoring'!L1896)</x:f>
      </x:c>
    </x:row>
    <x:row r="1897" ht="44" customHeight="1">
      <x:c r="A1897" s="35" t="str">
        <x:v>Not Started</x:v>
      </x:c>
      <x:c r="B1897" s="35" t="n">
        <x:v>1895</x:v>
      </x:c>
      <x:c r="C1897" s="35" t="str">
        <x:v>S42</x:v>
      </x:c>
      <x:c r="D1897" s="35" t="n">
        <x:v>2</x:v>
      </x:c>
      <x:c r="E1897" s="35" t="str">
        <x:v>Secondary Exploratory</x:v>
      </x:c>
      <x:c r="F1897" s="35" t="str">
        <x:v>VLA-0</x:v>
      </x:c>
      <x:c r="G1897" s="35" t="n">
        <x:v>1</x:v>
      </x:c>
      <x:c r="H1897" s="35" t="str">
        <x:v>State Recognition</x:v>
      </x:c>
      <x:c r="I1897" s="35" t="str">
        <x:v>Exploratory cross-task B</x:v>
      </x:c>
      <x:c r="J1897" s="35" t="str">
        <x:v>SEC-XT-ST-B01</x:v>
      </x:c>
      <x:c r="K1897" s="35" t="str">
        <x:v>XT-ST01</x:v>
      </x:c>
      <x:c r="L1897" s="31" t="str">
        <x:v>Place the upside-down crushed soda can in the bowl.</x:v>
      </x:c>
      <x:c r="M1897" s="31" t="str">
        <x:v>Place the upside-down crushed soda can in the bowl.</x:v>
      </x:c>
      <x:c r="N1897" s="31" t="str">
        <x:v>XT-ST01: P1 Coke=UD; P2 Pepsi=UR; P3 red block; P4 blue pen. Both crushed soda cans are visible; only one is upside-down.</x:v>
      </x:c>
      <x:c r="O1897" s="31" t="str">
        <x:v>crushed Coke can</x:v>
      </x:c>
      <x:c r="P1897" s="31" t="str"/>
      <x:c r="Q1897" s="31" t="str"/>
      <x:c r="R1897" s="31" t="str"/>
      <x:c r="S1897" s="31" t="str">
        <x:f>IF('Blind Scoring'!I1897="","",'Blind Scoring'!I1897)</x:f>
      </x:c>
      <x:c r="T1897" s="31" t="str">
        <x:f>'Blind Scoring'!J1897</x:f>
        <x:v>No</x:v>
      </x:c>
      <x:c r="U1897" s="31" t="str">
        <x:f>IF('Blind Scoring'!L1897="","",'Blind Scoring'!L1897)</x:f>
      </x:c>
    </x:row>
    <x:row r="1898" ht="44" customHeight="1">
      <x:c r="A1898" s="35" t="str">
        <x:v>Not Started</x:v>
      </x:c>
      <x:c r="B1898" s="35" t="n">
        <x:v>1896</x:v>
      </x:c>
      <x:c r="C1898" s="35" t="str">
        <x:v>S42</x:v>
      </x:c>
      <x:c r="D1898" s="35" t="n">
        <x:v>3</x:v>
      </x:c>
      <x:c r="E1898" s="35" t="str">
        <x:v>Secondary Exploratory</x:v>
      </x:c>
      <x:c r="F1898" s="35" t="str">
        <x:v>VLA-0</x:v>
      </x:c>
      <x:c r="G1898" s="35" t="n">
        <x:v>1</x:v>
      </x:c>
      <x:c r="H1898" s="35" t="str">
        <x:v>State Recognition</x:v>
      </x:c>
      <x:c r="I1898" s="35" t="str">
        <x:v>Exploratory cross-task A</x:v>
      </x:c>
      <x:c r="J1898" s="35" t="str">
        <x:v>SEC-XT-ST-A02</x:v>
      </x:c>
      <x:c r="K1898" s="35" t="str">
        <x:v>XT-ST02</x:v>
      </x:c>
      <x:c r="L1898" s="31" t="str">
        <x:v>Place the upright crushed soda can in the bowl.</x:v>
      </x:c>
      <x:c r="M1898" s="31" t="str">
        <x:v>Place the upright crushed soda can in the bowl.</x:v>
      </x:c>
      <x:c r="N1898" s="31" t="str">
        <x:v>XT-ST02: P1 Pepsi=UD; P2 pink marker; P3 Coke=UR; P4 yellow block. Same scene as paired trial; only one crushed soda can is upright.</x:v>
      </x:c>
      <x:c r="O1898" s="31" t="str">
        <x:v>crushed Coke can</x:v>
      </x:c>
      <x:c r="P1898" s="31" t="str"/>
      <x:c r="Q1898" s="31" t="str"/>
      <x:c r="R1898" s="31" t="str"/>
      <x:c r="S1898" s="31" t="str">
        <x:f>IF('Blind Scoring'!I1898="","",'Blind Scoring'!I1898)</x:f>
      </x:c>
      <x:c r="T1898" s="31" t="str">
        <x:f>'Blind Scoring'!J1898</x:f>
        <x:v>No</x:v>
      </x:c>
      <x:c r="U1898" s="31" t="str">
        <x:f>IF('Blind Scoring'!L1898="","",'Blind Scoring'!L1898)</x:f>
      </x:c>
    </x:row>
    <x:row r="1899" ht="44" customHeight="1">
      <x:c r="A1899" s="35" t="str">
        <x:v>Not Started</x:v>
      </x:c>
      <x:c r="B1899" s="35" t="n">
        <x:v>1897</x:v>
      </x:c>
      <x:c r="C1899" s="35" t="str">
        <x:v>S42</x:v>
      </x:c>
      <x:c r="D1899" s="35" t="n">
        <x:v>4</x:v>
      </x:c>
      <x:c r="E1899" s="35" t="str">
        <x:v>Secondary Exploratory</x:v>
      </x:c>
      <x:c r="F1899" s="35" t="str">
        <x:v>VLA-0</x:v>
      </x:c>
      <x:c r="G1899" s="35" t="n">
        <x:v>1</x:v>
      </x:c>
      <x:c r="H1899" s="35" t="str">
        <x:v>State Recognition</x:v>
      </x:c>
      <x:c r="I1899" s="35" t="str">
        <x:v>Exploratory cross-task A</x:v>
      </x:c>
      <x:c r="J1899" s="35" t="str">
        <x:v>SEC-XT-ST-A01</x:v>
      </x:c>
      <x:c r="K1899" s="35" t="str">
        <x:v>XT-ST01</x:v>
      </x:c>
      <x:c r="L1899" s="31" t="str">
        <x:v>Place the upright crushed soda can in the bowl.</x:v>
      </x:c>
      <x:c r="M1899" s="31" t="str">
        <x:v>Place the upright crushed soda can in the bowl.</x:v>
      </x:c>
      <x:c r="N1899" s="31" t="str">
        <x:v>XT-ST01: P1 Coke=UD; P2 Pepsi=UR; P3 red block; P4 blue pen. Same scene as paired trial; only one crushed soda can is upright.</x:v>
      </x:c>
      <x:c r="O1899" s="31" t="str">
        <x:v>crushed Pepsi can</x:v>
      </x:c>
      <x:c r="P1899" s="31" t="str"/>
      <x:c r="Q1899" s="31" t="str"/>
      <x:c r="R1899" s="31" t="str"/>
      <x:c r="S1899" s="31" t="str">
        <x:f>IF('Blind Scoring'!I1899="","",'Blind Scoring'!I1899)</x:f>
      </x:c>
      <x:c r="T1899" s="31" t="str">
        <x:f>'Blind Scoring'!J1899</x:f>
        <x:v>No</x:v>
      </x:c>
      <x:c r="U1899" s="31" t="str">
        <x:f>IF('Blind Scoring'!L1899="","",'Blind Scoring'!L1899)</x:f>
      </x:c>
    </x:row>
    <x:row r="1900" ht="44" customHeight="1">
      <x:c r="A1900" s="35" t="str">
        <x:v>Not Started</x:v>
      </x:c>
      <x:c r="B1900" s="35" t="n">
        <x:v>1898</x:v>
      </x:c>
      <x:c r="C1900" s="35" t="str">
        <x:v>S42</x:v>
      </x:c>
      <x:c r="D1900" s="35" t="n">
        <x:v>5</x:v>
      </x:c>
      <x:c r="E1900" s="35" t="str">
        <x:v>Secondary Exploratory</x:v>
      </x:c>
      <x:c r="F1900" s="35" t="str">
        <x:v>VLA-0</x:v>
      </x:c>
      <x:c r="G1900" s="35" t="n">
        <x:v>1</x:v>
      </x:c>
      <x:c r="H1900" s="35" t="str">
        <x:v>State Recognition</x:v>
      </x:c>
      <x:c r="I1900" s="35" t="str">
        <x:v>Exploratory cross-task B</x:v>
      </x:c>
      <x:c r="J1900" s="35" t="str">
        <x:v>SEC-XT-ST-B04</x:v>
      </x:c>
      <x:c r="K1900" s="35" t="str">
        <x:v>XT-ST04</x:v>
      </x:c>
      <x:c r="L1900" s="31" t="str">
        <x:v>Place the upside-down crushed soda can in the bowl.</x:v>
      </x:c>
      <x:c r="M1900" s="31" t="str">
        <x:v>Place the upside-down crushed soda can in the bowl.</x:v>
      </x:c>
      <x:c r="N1900" s="31" t="str">
        <x:v>XT-ST04: P1 Coke=UD; P2 blue tape ball; P3 brown cup; P4 Pepsi=UR. Both crushed soda cans are visible; only one is upside-down.</x:v>
      </x:c>
      <x:c r="O1900" s="31" t="str">
        <x:v>crushed Coke can</x:v>
      </x:c>
      <x:c r="P1900" s="31" t="str"/>
      <x:c r="Q1900" s="31" t="str"/>
      <x:c r="R1900" s="31" t="str"/>
      <x:c r="S1900" s="31" t="str">
        <x:f>IF('Blind Scoring'!I1900="","",'Blind Scoring'!I1900)</x:f>
      </x:c>
      <x:c r="T1900" s="31" t="str">
        <x:f>'Blind Scoring'!J1900</x:f>
        <x:v>No</x:v>
      </x:c>
      <x:c r="U1900" s="31" t="str">
        <x:f>IF('Blind Scoring'!L1900="","",'Blind Scoring'!L1900)</x:f>
      </x:c>
    </x:row>
    <x:row r="1901" ht="44" customHeight="1">
      <x:c r="A1901" s="35" t="str">
        <x:v>Not Started</x:v>
      </x:c>
      <x:c r="B1901" s="35" t="n">
        <x:v>1899</x:v>
      </x:c>
      <x:c r="C1901" s="35" t="str">
        <x:v>S42</x:v>
      </x:c>
      <x:c r="D1901" s="35" t="n">
        <x:v>6</x:v>
      </x:c>
      <x:c r="E1901" s="35" t="str">
        <x:v>Secondary Exploratory</x:v>
      </x:c>
      <x:c r="F1901" s="35" t="str">
        <x:v>VLA-0</x:v>
      </x:c>
      <x:c r="G1901" s="35" t="n">
        <x:v>1</x:v>
      </x:c>
      <x:c r="H1901" s="35" t="str">
        <x:v>State Recognition</x:v>
      </x:c>
      <x:c r="I1901" s="35" t="str">
        <x:v>Exploratory cross-task A</x:v>
      </x:c>
      <x:c r="J1901" s="35" t="str">
        <x:v>SEC-XT-ST-A03</x:v>
      </x:c>
      <x:c r="K1901" s="35" t="str">
        <x:v>XT-ST03</x:v>
      </x:c>
      <x:c r="L1901" s="31" t="str">
        <x:v>Place the upright crushed soda can in the bowl.</x:v>
      </x:c>
      <x:c r="M1901" s="31" t="str">
        <x:v>Place the upright crushed soda can in the bowl.</x:v>
      </x:c>
      <x:c r="N1901" s="31" t="str">
        <x:v>XT-ST03: P1 green highlighter; P2 Coke=UR; P3 Pepsi=UD; P4 red block. Same scene as paired trial; only one crushed soda can is upright.</x:v>
      </x:c>
      <x:c r="O1901" s="31" t="str">
        <x:v>crushed Coke can</x:v>
      </x:c>
      <x:c r="P1901" s="31" t="str"/>
      <x:c r="Q1901" s="31" t="str"/>
      <x:c r="R1901" s="31" t="str"/>
      <x:c r="S1901" s="31" t="str">
        <x:f>IF('Blind Scoring'!I1901="","",'Blind Scoring'!I1901)</x:f>
      </x:c>
      <x:c r="T1901" s="31" t="str">
        <x:f>'Blind Scoring'!J1901</x:f>
        <x:v>No</x:v>
      </x:c>
      <x:c r="U1901" s="31" t="str">
        <x:f>IF('Blind Scoring'!L1901="","",'Blind Scoring'!L1901)</x:f>
      </x:c>
    </x:row>
    <x:row r="1902" ht="44" customHeight="1">
      <x:c r="A1902" s="35" t="str">
        <x:v>Not Started</x:v>
      </x:c>
      <x:c r="B1902" s="35" t="n">
        <x:v>1900</x:v>
      </x:c>
      <x:c r="C1902" s="35" t="str">
        <x:v>S42</x:v>
      </x:c>
      <x:c r="D1902" s="35" t="n">
        <x:v>7</x:v>
      </x:c>
      <x:c r="E1902" s="35" t="str">
        <x:v>Secondary Exploratory</x:v>
      </x:c>
      <x:c r="F1902" s="35" t="str">
        <x:v>VLA-0</x:v>
      </x:c>
      <x:c r="G1902" s="35" t="n">
        <x:v>1</x:v>
      </x:c>
      <x:c r="H1902" s="35" t="str">
        <x:v>State Recognition</x:v>
      </x:c>
      <x:c r="I1902" s="35" t="str">
        <x:v>Exploratory cross-task B</x:v>
      </x:c>
      <x:c r="J1902" s="35" t="str">
        <x:v>SEC-XT-ST-B03</x:v>
      </x:c>
      <x:c r="K1902" s="35" t="str">
        <x:v>XT-ST03</x:v>
      </x:c>
      <x:c r="L1902" s="31" t="str">
        <x:v>Place the upside-down crushed soda can in the bowl.</x:v>
      </x:c>
      <x:c r="M1902" s="31" t="str">
        <x:v>Place the upside-down crushed soda can in the bowl.</x:v>
      </x:c>
      <x:c r="N1902" s="31" t="str">
        <x:v>XT-ST03: P1 green highlighter; P2 Coke=UR; P3 Pepsi=UD; P4 red block. Both crushed soda cans are visible; only one is upside-down.</x:v>
      </x:c>
      <x:c r="O1902" s="31" t="str">
        <x:v>crushed Pepsi can</x:v>
      </x:c>
      <x:c r="P1902" s="31" t="str"/>
      <x:c r="Q1902" s="31" t="str"/>
      <x:c r="R1902" s="31" t="str"/>
      <x:c r="S1902" s="31" t="str">
        <x:f>IF('Blind Scoring'!I1902="","",'Blind Scoring'!I1902)</x:f>
      </x:c>
      <x:c r="T1902" s="31" t="str">
        <x:f>'Blind Scoring'!J1902</x:f>
        <x:v>No</x:v>
      </x:c>
      <x:c r="U1902" s="31" t="str">
        <x:f>IF('Blind Scoring'!L1902="","",'Blind Scoring'!L1902)</x:f>
      </x:c>
    </x:row>
    <x:row r="1903" ht="44" customHeight="1">
      <x:c r="A1903" s="35" t="str">
        <x:v>Not Started</x:v>
      </x:c>
      <x:c r="B1903" s="35" t="n">
        <x:v>1901</x:v>
      </x:c>
      <x:c r="C1903" s="35" t="str">
        <x:v>S42</x:v>
      </x:c>
      <x:c r="D1903" s="35" t="n">
        <x:v>8</x:v>
      </x:c>
      <x:c r="E1903" s="35" t="str">
        <x:v>Secondary Exploratory</x:v>
      </x:c>
      <x:c r="F1903" s="35" t="str">
        <x:v>VLA-0</x:v>
      </x:c>
      <x:c r="G1903" s="35" t="n">
        <x:v>1</x:v>
      </x:c>
      <x:c r="H1903" s="35" t="str">
        <x:v>State Recognition</x:v>
      </x:c>
      <x:c r="I1903" s="35" t="str">
        <x:v>Exploratory cross-task B</x:v>
      </x:c>
      <x:c r="J1903" s="35" t="str">
        <x:v>SEC-XT-ST-B02</x:v>
      </x:c>
      <x:c r="K1903" s="35" t="str">
        <x:v>XT-ST02</x:v>
      </x:c>
      <x:c r="L1903" s="31" t="str">
        <x:v>Place the upside-down crushed soda can in the bowl.</x:v>
      </x:c>
      <x:c r="M1903" s="31" t="str">
        <x:v>Place the upside-down crushed soda can in the bowl.</x:v>
      </x:c>
      <x:c r="N1903" s="31" t="str">
        <x:v>XT-ST02: P1 Pepsi=UD; P2 pink marker; P3 Coke=UR; P4 yellow block. Both crushed soda cans are visible; only one is upside-down.</x:v>
      </x:c>
      <x:c r="O1903" s="31" t="str">
        <x:v>crushed Pepsi can</x:v>
      </x:c>
      <x:c r="P1903" s="31" t="str"/>
      <x:c r="Q1903" s="31" t="str"/>
      <x:c r="R1903" s="31" t="str"/>
      <x:c r="S1903" s="31" t="str">
        <x:f>IF('Blind Scoring'!I1903="","",'Blind Scoring'!I1903)</x:f>
      </x:c>
      <x:c r="T1903" s="31" t="str">
        <x:f>'Blind Scoring'!J1903</x:f>
        <x:v>No</x:v>
      </x:c>
      <x:c r="U1903" s="31" t="str">
        <x:f>IF('Blind Scoring'!L1903="","",'Blind Scoring'!L1903)</x:f>
      </x:c>
    </x:row>
    <x:row r="1904" ht="44" customHeight="1">
      <x:c r="A1904" s="35" t="str">
        <x:v>Not Started</x:v>
      </x:c>
      <x:c r="B1904" s="35" t="n">
        <x:v>1902</x:v>
      </x:c>
      <x:c r="C1904" s="35" t="str">
        <x:v>S43</x:v>
      </x:c>
      <x:c r="D1904" s="35" t="n">
        <x:v>1</x:v>
      </x:c>
      <x:c r="E1904" s="35" t="str">
        <x:v>Secondary Exploratory</x:v>
      </x:c>
      <x:c r="F1904" s="35" t="str">
        <x:v>MolmoAct2</x:v>
      </x:c>
      <x:c r="G1904" s="35" t="n">
        <x:v>1</x:v>
      </x:c>
      <x:c r="H1904" s="35" t="str">
        <x:v>Counting</x:v>
      </x:c>
      <x:c r="I1904" s="35" t="str">
        <x:v>Exploratory cross-task A</x:v>
      </x:c>
      <x:c r="J1904" s="35" t="str">
        <x:v>SEC-XT-CT-A04</x:v>
      </x:c>
      <x:c r="K1904" s="35" t="str">
        <x:v>XT-CT04</x:v>
      </x:c>
      <x:c r="L1904" s="31" t="str">
        <x:v>Leave exactly zero objects in the bowl.</x:v>
      </x:c>
      <x:c r="M1904" s="31" t="str">
        <x:v>Leave exactly zero objects in the bowl.</x:v>
      </x:c>
      <x:c r="N1904" s="31" t="str">
        <x:v>XT-CT04: Start with exactly 1 object in the bowl (glass spice container); 3 objects on the table (green pen, airplane toy with propellers, red block).</x:v>
      </x:c>
      <x:c r="O1904" s="31" t="str">
        <x:v>REMOVE the single bowl object; final count = 0</x:v>
      </x:c>
      <x:c r="P1904" s="31" t="str"/>
      <x:c r="Q1904" s="31" t="str"/>
      <x:c r="R1904" s="31" t="str"/>
      <x:c r="S1904" s="31" t="str">
        <x:f>IF('Blind Scoring'!I1904="","",'Blind Scoring'!I1904)</x:f>
      </x:c>
      <x:c r="T1904" s="31" t="str">
        <x:f>'Blind Scoring'!J1904</x:f>
        <x:v>No</x:v>
      </x:c>
      <x:c r="U1904" s="31" t="str">
        <x:f>IF('Blind Scoring'!L1904="","",'Blind Scoring'!L1904)</x:f>
      </x:c>
    </x:row>
    <x:row r="1905" ht="44" customHeight="1">
      <x:c r="A1905" s="35" t="str">
        <x:v>Not Started</x:v>
      </x:c>
      <x:c r="B1905" s="35" t="n">
        <x:v>1903</x:v>
      </x:c>
      <x:c r="C1905" s="35" t="str">
        <x:v>S43</x:v>
      </x:c>
      <x:c r="D1905" s="35" t="n">
        <x:v>2</x:v>
      </x:c>
      <x:c r="E1905" s="35" t="str">
        <x:v>Secondary Exploratory</x:v>
      </x:c>
      <x:c r="F1905" s="35" t="str">
        <x:v>MolmoAct2</x:v>
      </x:c>
      <x:c r="G1905" s="35" t="n">
        <x:v>1</x:v>
      </x:c>
      <x:c r="H1905" s="35" t="str">
        <x:v>Counting</x:v>
      </x:c>
      <x:c r="I1905" s="35" t="str">
        <x:v>Exploratory cross-task B</x:v>
      </x:c>
      <x:c r="J1905" s="35" t="str">
        <x:v>SEC-XT-CT-B03</x:v>
      </x:c>
      <x:c r="K1905" s="35" t="str">
        <x:v>XT-CT03</x:v>
      </x:c>
      <x:c r="L1905" s="31" t="str">
        <x:v>Leave exactly two objects in the bowl.</x:v>
      </x:c>
      <x:c r="M1905" s="31" t="str">
        <x:v>Leave exactly two objects in the bowl.</x:v>
      </x:c>
      <x:c r="N1905" s="31" t="str">
        <x:v>XT-CT03: Start with exactly 1 object in the bowl (brown cup); 3 objects on the table (blue block, yellow pen, red pencil sharpener).</x:v>
      </x:c>
      <x:c r="O1905" s="31" t="str">
        <x:v>ADD any one table object; final count = 2</x:v>
      </x:c>
      <x:c r="P1905" s="31" t="str"/>
      <x:c r="Q1905" s="31" t="str"/>
      <x:c r="R1905" s="31" t="str"/>
      <x:c r="S1905" s="31" t="str">
        <x:f>IF('Blind Scoring'!I1905="","",'Blind Scoring'!I1905)</x:f>
      </x:c>
      <x:c r="T1905" s="31" t="str">
        <x:f>'Blind Scoring'!J1905</x:f>
        <x:v>No</x:v>
      </x:c>
      <x:c r="U1905" s="31" t="str">
        <x:f>IF('Blind Scoring'!L1905="","",'Blind Scoring'!L1905)</x:f>
      </x:c>
    </x:row>
    <x:row r="1906" ht="44" customHeight="1">
      <x:c r="A1906" s="35" t="str">
        <x:v>Not Started</x:v>
      </x:c>
      <x:c r="B1906" s="35" t="n">
        <x:v>1904</x:v>
      </x:c>
      <x:c r="C1906" s="35" t="str">
        <x:v>S43</x:v>
      </x:c>
      <x:c r="D1906" s="35" t="n">
        <x:v>3</x:v>
      </x:c>
      <x:c r="E1906" s="35" t="str">
        <x:v>Secondary Exploratory</x:v>
      </x:c>
      <x:c r="F1906" s="35" t="str">
        <x:v>MolmoAct2</x:v>
      </x:c>
      <x:c r="G1906" s="35" t="n">
        <x:v>1</x:v>
      </x:c>
      <x:c r="H1906" s="35" t="str">
        <x:v>Counting</x:v>
      </x:c>
      <x:c r="I1906" s="35" t="str">
        <x:v>Exploratory cross-task B</x:v>
      </x:c>
      <x:c r="J1906" s="35" t="str">
        <x:v>SEC-XT-CT-B02</x:v>
      </x:c>
      <x:c r="K1906" s="35" t="str">
        <x:v>XT-CT02</x:v>
      </x:c>
      <x:c r="L1906" s="31" t="str">
        <x:v>Leave exactly two objects in the bowl.</x:v>
      </x:c>
      <x:c r="M1906" s="31" t="str">
        <x:v>Leave exactly two objects in the bowl.</x:v>
      </x:c>
      <x:c r="N1906" s="31" t="str">
        <x:v>XT-CT02: Start with exactly 1 object in the bowl (yellow-white striped cup); 3 objects on the table (pink marker, crushed Coke can, juggling ball).</x:v>
      </x:c>
      <x:c r="O1906" s="31" t="str">
        <x:v>ADD any one table object; final count = 2</x:v>
      </x:c>
      <x:c r="P1906" s="31" t="str"/>
      <x:c r="Q1906" s="31" t="str"/>
      <x:c r="R1906" s="31" t="str"/>
      <x:c r="S1906" s="31" t="str">
        <x:f>IF('Blind Scoring'!I1906="","",'Blind Scoring'!I1906)</x:f>
      </x:c>
      <x:c r="T1906" s="31" t="str">
        <x:f>'Blind Scoring'!J1906</x:f>
        <x:v>No</x:v>
      </x:c>
      <x:c r="U1906" s="31" t="str">
        <x:f>IF('Blind Scoring'!L1906="","",'Blind Scoring'!L1906)</x:f>
      </x:c>
    </x:row>
    <x:row r="1907" ht="44" customHeight="1">
      <x:c r="A1907" s="35" t="str">
        <x:v>Not Started</x:v>
      </x:c>
      <x:c r="B1907" s="35" t="n">
        <x:v>1905</x:v>
      </x:c>
      <x:c r="C1907" s="35" t="str">
        <x:v>S43</x:v>
      </x:c>
      <x:c r="D1907" s="35" t="n">
        <x:v>4</x:v>
      </x:c>
      <x:c r="E1907" s="35" t="str">
        <x:v>Secondary Exploratory</x:v>
      </x:c>
      <x:c r="F1907" s="35" t="str">
        <x:v>MolmoAct2</x:v>
      </x:c>
      <x:c r="G1907" s="35" t="n">
        <x:v>1</x:v>
      </x:c>
      <x:c r="H1907" s="35" t="str">
        <x:v>Counting</x:v>
      </x:c>
      <x:c r="I1907" s="35" t="str">
        <x:v>Exploratory cross-task A</x:v>
      </x:c>
      <x:c r="J1907" s="35" t="str">
        <x:v>SEC-XT-CT-A03</x:v>
      </x:c>
      <x:c r="K1907" s="35" t="str">
        <x:v>XT-CT03</x:v>
      </x:c>
      <x:c r="L1907" s="31" t="str">
        <x:v>Leave exactly zero objects in the bowl.</x:v>
      </x:c>
      <x:c r="M1907" s="31" t="str">
        <x:v>Leave exactly zero objects in the bowl.</x:v>
      </x:c>
      <x:c r="N1907" s="31" t="str">
        <x:v>XT-CT03: Start with exactly 1 object in the bowl (brown cup); 3 objects on the table (blue block, yellow pen, red pencil sharpener).</x:v>
      </x:c>
      <x:c r="O1907" s="31" t="str">
        <x:v>REMOVE the single bowl object; final count = 0</x:v>
      </x:c>
      <x:c r="P1907" s="31" t="str"/>
      <x:c r="Q1907" s="31" t="str"/>
      <x:c r="R1907" s="31" t="str"/>
      <x:c r="S1907" s="31" t="str">
        <x:f>IF('Blind Scoring'!I1907="","",'Blind Scoring'!I1907)</x:f>
      </x:c>
      <x:c r="T1907" s="31" t="str">
        <x:f>'Blind Scoring'!J1907</x:f>
        <x:v>No</x:v>
      </x:c>
      <x:c r="U1907" s="31" t="str">
        <x:f>IF('Blind Scoring'!L1907="","",'Blind Scoring'!L1907)</x:f>
      </x:c>
    </x:row>
    <x:row r="1908" ht="44" customHeight="1">
      <x:c r="A1908" s="35" t="str">
        <x:v>Not Started</x:v>
      </x:c>
      <x:c r="B1908" s="35" t="n">
        <x:v>1906</x:v>
      </x:c>
      <x:c r="C1908" s="35" t="str">
        <x:v>S43</x:v>
      </x:c>
      <x:c r="D1908" s="35" t="n">
        <x:v>5</x:v>
      </x:c>
      <x:c r="E1908" s="35" t="str">
        <x:v>Secondary Exploratory</x:v>
      </x:c>
      <x:c r="F1908" s="35" t="str">
        <x:v>MolmoAct2</x:v>
      </x:c>
      <x:c r="G1908" s="35" t="n">
        <x:v>1</x:v>
      </x:c>
      <x:c r="H1908" s="35" t="str">
        <x:v>Counting</x:v>
      </x:c>
      <x:c r="I1908" s="35" t="str">
        <x:v>Exploratory cross-task A</x:v>
      </x:c>
      <x:c r="J1908" s="35" t="str">
        <x:v>SEC-XT-CT-A02</x:v>
      </x:c>
      <x:c r="K1908" s="35" t="str">
        <x:v>XT-CT02</x:v>
      </x:c>
      <x:c r="L1908" s="31" t="str">
        <x:v>Leave exactly zero objects in the bowl.</x:v>
      </x:c>
      <x:c r="M1908" s="31" t="str">
        <x:v>Leave exactly zero objects in the bowl.</x:v>
      </x:c>
      <x:c r="N1908" s="31" t="str">
        <x:v>XT-CT02: Start with exactly 1 object in the bowl (yellow-white striped cup); 3 objects on the table (pink marker, crushed Coke can, juggling ball).</x:v>
      </x:c>
      <x:c r="O1908" s="31" t="str">
        <x:v>REMOVE the single bowl object; final count = 0</x:v>
      </x:c>
      <x:c r="P1908" s="31" t="str"/>
      <x:c r="Q1908" s="31" t="str"/>
      <x:c r="R1908" s="31" t="str"/>
      <x:c r="S1908" s="31" t="str">
        <x:f>IF('Blind Scoring'!I1908="","",'Blind Scoring'!I1908)</x:f>
      </x:c>
      <x:c r="T1908" s="31" t="str">
        <x:f>'Blind Scoring'!J1908</x:f>
        <x:v>No</x:v>
      </x:c>
      <x:c r="U1908" s="31" t="str">
        <x:f>IF('Blind Scoring'!L1908="","",'Blind Scoring'!L1908)</x:f>
      </x:c>
    </x:row>
    <x:row r="1909" ht="44" customHeight="1">
      <x:c r="A1909" s="35" t="str">
        <x:v>Not Started</x:v>
      </x:c>
      <x:c r="B1909" s="35" t="n">
        <x:v>1907</x:v>
      </x:c>
      <x:c r="C1909" s="35" t="str">
        <x:v>S43</x:v>
      </x:c>
      <x:c r="D1909" s="35" t="n">
        <x:v>6</x:v>
      </x:c>
      <x:c r="E1909" s="35" t="str">
        <x:v>Secondary Exploratory</x:v>
      </x:c>
      <x:c r="F1909" s="35" t="str">
        <x:v>MolmoAct2</x:v>
      </x:c>
      <x:c r="G1909" s="35" t="n">
        <x:v>1</x:v>
      </x:c>
      <x:c r="H1909" s="35" t="str">
        <x:v>Counting</x:v>
      </x:c>
      <x:c r="I1909" s="35" t="str">
        <x:v>Exploratory cross-task A</x:v>
      </x:c>
      <x:c r="J1909" s="35" t="str">
        <x:v>SEC-XT-CT-A01</x:v>
      </x:c>
      <x:c r="K1909" s="35" t="str">
        <x:v>XT-CT01</x:v>
      </x:c>
      <x:c r="L1909" s="31" t="str">
        <x:v>Leave exactly zero objects in the bowl.</x:v>
      </x:c>
      <x:c r="M1909" s="31" t="str">
        <x:v>Leave exactly zero objects in the bowl.</x:v>
      </x:c>
      <x:c r="N1909" s="31" t="str">
        <x:v>XT-CT01: Start with exactly 1 object in the bowl (white cup); 3 objects on the table (red block, crushed Coke can, green block).</x:v>
      </x:c>
      <x:c r="O1909" s="31" t="str">
        <x:v>REMOVE the single bowl object; final count = 0</x:v>
      </x:c>
      <x:c r="P1909" s="31" t="str"/>
      <x:c r="Q1909" s="31" t="str"/>
      <x:c r="R1909" s="31" t="str"/>
      <x:c r="S1909" s="31" t="str">
        <x:f>IF('Blind Scoring'!I1909="","",'Blind Scoring'!I1909)</x:f>
      </x:c>
      <x:c r="T1909" s="31" t="str">
        <x:f>'Blind Scoring'!J1909</x:f>
        <x:v>No</x:v>
      </x:c>
      <x:c r="U1909" s="31" t="str">
        <x:f>IF('Blind Scoring'!L1909="","",'Blind Scoring'!L1909)</x:f>
      </x:c>
    </x:row>
    <x:row r="1910" ht="44" customHeight="1">
      <x:c r="A1910" s="35" t="str">
        <x:v>Not Started</x:v>
      </x:c>
      <x:c r="B1910" s="35" t="n">
        <x:v>1908</x:v>
      </x:c>
      <x:c r="C1910" s="35" t="str">
        <x:v>S43</x:v>
      </x:c>
      <x:c r="D1910" s="35" t="n">
        <x:v>7</x:v>
      </x:c>
      <x:c r="E1910" s="35" t="str">
        <x:v>Secondary Exploratory</x:v>
      </x:c>
      <x:c r="F1910" s="35" t="str">
        <x:v>MolmoAct2</x:v>
      </x:c>
      <x:c r="G1910" s="35" t="n">
        <x:v>1</x:v>
      </x:c>
      <x:c r="H1910" s="35" t="str">
        <x:v>Counting</x:v>
      </x:c>
      <x:c r="I1910" s="35" t="str">
        <x:v>Exploratory cross-task B</x:v>
      </x:c>
      <x:c r="J1910" s="35" t="str">
        <x:v>SEC-XT-CT-B04</x:v>
      </x:c>
      <x:c r="K1910" s="35" t="str">
        <x:v>XT-CT04</x:v>
      </x:c>
      <x:c r="L1910" s="31" t="str">
        <x:v>Leave exactly two objects in the bowl.</x:v>
      </x:c>
      <x:c r="M1910" s="31" t="str">
        <x:v>Leave exactly two objects in the bowl.</x:v>
      </x:c>
      <x:c r="N1910" s="31" t="str">
        <x:v>XT-CT04: Start with exactly 1 object in the bowl (glass spice container); 3 objects on the table (green pen, airplane toy with propellers, red block).</x:v>
      </x:c>
      <x:c r="O1910" s="31" t="str">
        <x:v>ADD any one table object; final count = 2</x:v>
      </x:c>
      <x:c r="P1910" s="31" t="str"/>
      <x:c r="Q1910" s="31" t="str"/>
      <x:c r="R1910" s="31" t="str"/>
      <x:c r="S1910" s="31" t="str">
        <x:f>IF('Blind Scoring'!I1910="","",'Blind Scoring'!I1910)</x:f>
      </x:c>
      <x:c r="T1910" s="31" t="str">
        <x:f>'Blind Scoring'!J1910</x:f>
        <x:v>No</x:v>
      </x:c>
      <x:c r="U1910" s="31" t="str">
        <x:f>IF('Blind Scoring'!L1910="","",'Blind Scoring'!L1910)</x:f>
      </x:c>
    </x:row>
    <x:row r="1911" ht="44" customHeight="1">
      <x:c r="A1911" s="35" t="str">
        <x:v>Not Started</x:v>
      </x:c>
      <x:c r="B1911" s="35" t="n">
        <x:v>1909</x:v>
      </x:c>
      <x:c r="C1911" s="35" t="str">
        <x:v>S43</x:v>
      </x:c>
      <x:c r="D1911" s="35" t="n">
        <x:v>8</x:v>
      </x:c>
      <x:c r="E1911" s="35" t="str">
        <x:v>Secondary Exploratory</x:v>
      </x:c>
      <x:c r="F1911" s="35" t="str">
        <x:v>MolmoAct2</x:v>
      </x:c>
      <x:c r="G1911" s="35" t="n">
        <x:v>1</x:v>
      </x:c>
      <x:c r="H1911" s="35" t="str">
        <x:v>Counting</x:v>
      </x:c>
      <x:c r="I1911" s="35" t="str">
        <x:v>Exploratory cross-task B</x:v>
      </x:c>
      <x:c r="J1911" s="35" t="str">
        <x:v>SEC-XT-CT-B01</x:v>
      </x:c>
      <x:c r="K1911" s="35" t="str">
        <x:v>XT-CT01</x:v>
      </x:c>
      <x:c r="L1911" s="31" t="str">
        <x:v>Leave exactly two objects in the bowl.</x:v>
      </x:c>
      <x:c r="M1911" s="31" t="str">
        <x:v>Leave exactly two objects in the bowl.</x:v>
      </x:c>
      <x:c r="N1911" s="31" t="str">
        <x:v>XT-CT01: Start with exactly 1 object in the bowl (white cup); 3 objects on the table (red block, crushed Coke can, green block).</x:v>
      </x:c>
      <x:c r="O1911" s="31" t="str">
        <x:v>ADD any one table object; final count = 2</x:v>
      </x:c>
      <x:c r="P1911" s="31" t="str"/>
      <x:c r="Q1911" s="31" t="str"/>
      <x:c r="R1911" s="31" t="str"/>
      <x:c r="S1911" s="31" t="str">
        <x:f>IF('Blind Scoring'!I1911="","",'Blind Scoring'!I1911)</x:f>
      </x:c>
      <x:c r="T1911" s="31" t="str">
        <x:f>'Blind Scoring'!J1911</x:f>
        <x:v>No</x:v>
      </x:c>
      <x:c r="U1911" s="31" t="str">
        <x:f>IF('Blind Scoring'!L1911="","",'Blind Scoring'!L1911)</x:f>
      </x:c>
    </x:row>
    <x:row r="1912" ht="44" customHeight="1">
      <x:c r="A1912" s="35" t="str">
        <x:v>Not Started</x:v>
      </x:c>
      <x:c r="B1912" s="35" t="n">
        <x:v>1910</x:v>
      </x:c>
      <x:c r="C1912" s="35" t="str">
        <x:v>S44</x:v>
      </x:c>
      <x:c r="D1912" s="35" t="n">
        <x:v>1</x:v>
      </x:c>
      <x:c r="E1912" s="35" t="str">
        <x:v>Secondary Exploratory</x:v>
      </x:c>
      <x:c r="F1912" s="35" t="str">
        <x:v>MolmoAct2</x:v>
      </x:c>
      <x:c r="G1912" s="35" t="n">
        <x:v>1</x:v>
      </x:c>
      <x:c r="H1912" s="35" t="str">
        <x:v>State Recognition</x:v>
      </x:c>
      <x:c r="I1912" s="35" t="str">
        <x:v>Exploratory cross-task A</x:v>
      </x:c>
      <x:c r="J1912" s="35" t="str">
        <x:v>SEC-XT-ST-A01</x:v>
      </x:c>
      <x:c r="K1912" s="35" t="str">
        <x:v>XT-ST01</x:v>
      </x:c>
      <x:c r="L1912" s="31" t="str">
        <x:v>Place the upright crushed soda can in the bowl.</x:v>
      </x:c>
      <x:c r="M1912" s="31" t="str">
        <x:v>Place the upright crushed soda can in the bowl.</x:v>
      </x:c>
      <x:c r="N1912" s="31" t="str">
        <x:v>XT-ST01: P1 Coke=UD; P2 Pepsi=UR; P3 red block; P4 blue pen. Same scene as paired trial; only one crushed soda can is upright.</x:v>
      </x:c>
      <x:c r="O1912" s="31" t="str">
        <x:v>crushed Pepsi can</x:v>
      </x:c>
      <x:c r="P1912" s="31" t="str"/>
      <x:c r="Q1912" s="31" t="str"/>
      <x:c r="R1912" s="31" t="str"/>
      <x:c r="S1912" s="31" t="str">
        <x:f>IF('Blind Scoring'!I1912="","",'Blind Scoring'!I1912)</x:f>
      </x:c>
      <x:c r="T1912" s="31" t="str">
        <x:f>'Blind Scoring'!J1912</x:f>
        <x:v>No</x:v>
      </x:c>
      <x:c r="U1912" s="31" t="str">
        <x:f>IF('Blind Scoring'!L1912="","",'Blind Scoring'!L1912)</x:f>
      </x:c>
    </x:row>
    <x:row r="1913" ht="44" customHeight="1">
      <x:c r="A1913" s="35" t="str">
        <x:v>Not Started</x:v>
      </x:c>
      <x:c r="B1913" s="35" t="n">
        <x:v>1911</x:v>
      </x:c>
      <x:c r="C1913" s="35" t="str">
        <x:v>S44</x:v>
      </x:c>
      <x:c r="D1913" s="35" t="n">
        <x:v>2</x:v>
      </x:c>
      <x:c r="E1913" s="35" t="str">
        <x:v>Secondary Exploratory</x:v>
      </x:c>
      <x:c r="F1913" s="35" t="str">
        <x:v>MolmoAct2</x:v>
      </x:c>
      <x:c r="G1913" s="35" t="n">
        <x:v>1</x:v>
      </x:c>
      <x:c r="H1913" s="35" t="str">
        <x:v>State Recognition</x:v>
      </x:c>
      <x:c r="I1913" s="35" t="str">
        <x:v>Exploratory cross-task A</x:v>
      </x:c>
      <x:c r="J1913" s="35" t="str">
        <x:v>SEC-XT-ST-A04</x:v>
      </x:c>
      <x:c r="K1913" s="35" t="str">
        <x:v>XT-ST04</x:v>
      </x:c>
      <x:c r="L1913" s="31" t="str">
        <x:v>Place the upright crushed soda can in the bowl.</x:v>
      </x:c>
      <x:c r="M1913" s="31" t="str">
        <x:v>Place the upright crushed soda can in the bowl.</x:v>
      </x:c>
      <x:c r="N1913" s="31" t="str">
        <x:v>XT-ST04: P1 Coke=UD; P2 blue tape ball; P3 brown cup; P4 Pepsi=UR. Same scene as paired trial; only one crushed soda can is upright.</x:v>
      </x:c>
      <x:c r="O1913" s="31" t="str">
        <x:v>crushed Pepsi can</x:v>
      </x:c>
      <x:c r="P1913" s="31" t="str"/>
      <x:c r="Q1913" s="31" t="str"/>
      <x:c r="R1913" s="31" t="str"/>
      <x:c r="S1913" s="31" t="str">
        <x:f>IF('Blind Scoring'!I1913="","",'Blind Scoring'!I1913)</x:f>
      </x:c>
      <x:c r="T1913" s="31" t="str">
        <x:f>'Blind Scoring'!J1913</x:f>
        <x:v>No</x:v>
      </x:c>
      <x:c r="U1913" s="31" t="str">
        <x:f>IF('Blind Scoring'!L1913="","",'Blind Scoring'!L1913)</x:f>
      </x:c>
    </x:row>
    <x:row r="1914" ht="44" customHeight="1">
      <x:c r="A1914" s="35" t="str">
        <x:v>Not Started</x:v>
      </x:c>
      <x:c r="B1914" s="35" t="n">
        <x:v>1912</x:v>
      </x:c>
      <x:c r="C1914" s="35" t="str">
        <x:v>S44</x:v>
      </x:c>
      <x:c r="D1914" s="35" t="n">
        <x:v>3</x:v>
      </x:c>
      <x:c r="E1914" s="35" t="str">
        <x:v>Secondary Exploratory</x:v>
      </x:c>
      <x:c r="F1914" s="35" t="str">
        <x:v>MolmoAct2</x:v>
      </x:c>
      <x:c r="G1914" s="35" t="n">
        <x:v>1</x:v>
      </x:c>
      <x:c r="H1914" s="35" t="str">
        <x:v>State Recognition</x:v>
      </x:c>
      <x:c r="I1914" s="35" t="str">
        <x:v>Exploratory cross-task B</x:v>
      </x:c>
      <x:c r="J1914" s="35" t="str">
        <x:v>SEC-XT-ST-B04</x:v>
      </x:c>
      <x:c r="K1914" s="35" t="str">
        <x:v>XT-ST04</x:v>
      </x:c>
      <x:c r="L1914" s="31" t="str">
        <x:v>Place the upside-down crushed soda can in the bowl.</x:v>
      </x:c>
      <x:c r="M1914" s="31" t="str">
        <x:v>Place the upside-down crushed soda can in the bowl.</x:v>
      </x:c>
      <x:c r="N1914" s="31" t="str">
        <x:v>XT-ST04: P1 Coke=UD; P2 blue tape ball; P3 brown cup; P4 Pepsi=UR. Both crushed soda cans are visible; only one is upside-down.</x:v>
      </x:c>
      <x:c r="O1914" s="31" t="str">
        <x:v>crushed Coke can</x:v>
      </x:c>
      <x:c r="P1914" s="31" t="str"/>
      <x:c r="Q1914" s="31" t="str"/>
      <x:c r="R1914" s="31" t="str"/>
      <x:c r="S1914" s="31" t="str">
        <x:f>IF('Blind Scoring'!I1914="","",'Blind Scoring'!I1914)</x:f>
      </x:c>
      <x:c r="T1914" s="31" t="str">
        <x:f>'Blind Scoring'!J1914</x:f>
        <x:v>No</x:v>
      </x:c>
      <x:c r="U1914" s="31" t="str">
        <x:f>IF('Blind Scoring'!L1914="","",'Blind Scoring'!L1914)</x:f>
      </x:c>
    </x:row>
    <x:row r="1915" ht="44" customHeight="1">
      <x:c r="A1915" s="35" t="str">
        <x:v>Not Started</x:v>
      </x:c>
      <x:c r="B1915" s="35" t="n">
        <x:v>1913</x:v>
      </x:c>
      <x:c r="C1915" s="35" t="str">
        <x:v>S44</x:v>
      </x:c>
      <x:c r="D1915" s="35" t="n">
        <x:v>4</x:v>
      </x:c>
      <x:c r="E1915" s="35" t="str">
        <x:v>Secondary Exploratory</x:v>
      </x:c>
      <x:c r="F1915" s="35" t="str">
        <x:v>MolmoAct2</x:v>
      </x:c>
      <x:c r="G1915" s="35" t="n">
        <x:v>1</x:v>
      </x:c>
      <x:c r="H1915" s="35" t="str">
        <x:v>State Recognition</x:v>
      </x:c>
      <x:c r="I1915" s="35" t="str">
        <x:v>Exploratory cross-task A</x:v>
      </x:c>
      <x:c r="J1915" s="35" t="str">
        <x:v>SEC-XT-ST-A03</x:v>
      </x:c>
      <x:c r="K1915" s="35" t="str">
        <x:v>XT-ST03</x:v>
      </x:c>
      <x:c r="L1915" s="31" t="str">
        <x:v>Place the upright crushed soda can in the bowl.</x:v>
      </x:c>
      <x:c r="M1915" s="31" t="str">
        <x:v>Place the upright crushed soda can in the bowl.</x:v>
      </x:c>
      <x:c r="N1915" s="31" t="str">
        <x:v>XT-ST03: P1 green highlighter; P2 Coke=UR; P3 Pepsi=UD; P4 red block. Same scene as paired trial; only one crushed soda can is upright.</x:v>
      </x:c>
      <x:c r="O1915" s="31" t="str">
        <x:v>crushed Coke can</x:v>
      </x:c>
      <x:c r="P1915" s="31" t="str"/>
      <x:c r="Q1915" s="31" t="str"/>
      <x:c r="R1915" s="31" t="str"/>
      <x:c r="S1915" s="31" t="str">
        <x:f>IF('Blind Scoring'!I1915="","",'Blind Scoring'!I1915)</x:f>
      </x:c>
      <x:c r="T1915" s="31" t="str">
        <x:f>'Blind Scoring'!J1915</x:f>
        <x:v>No</x:v>
      </x:c>
      <x:c r="U1915" s="31" t="str">
        <x:f>IF('Blind Scoring'!L1915="","",'Blind Scoring'!L1915)</x:f>
      </x:c>
    </x:row>
    <x:row r="1916" ht="44" customHeight="1">
      <x:c r="A1916" s="35" t="str">
        <x:v>Not Started</x:v>
      </x:c>
      <x:c r="B1916" s="35" t="n">
        <x:v>1914</x:v>
      </x:c>
      <x:c r="C1916" s="35" t="str">
        <x:v>S44</x:v>
      </x:c>
      <x:c r="D1916" s="35" t="n">
        <x:v>5</x:v>
      </x:c>
      <x:c r="E1916" s="35" t="str">
        <x:v>Secondary Exploratory</x:v>
      </x:c>
      <x:c r="F1916" s="35" t="str">
        <x:v>MolmoAct2</x:v>
      </x:c>
      <x:c r="G1916" s="35" t="n">
        <x:v>1</x:v>
      </x:c>
      <x:c r="H1916" s="35" t="str">
        <x:v>State Recognition</x:v>
      </x:c>
      <x:c r="I1916" s="35" t="str">
        <x:v>Exploratory cross-task B</x:v>
      </x:c>
      <x:c r="J1916" s="35" t="str">
        <x:v>SEC-XT-ST-B01</x:v>
      </x:c>
      <x:c r="K1916" s="35" t="str">
        <x:v>XT-ST01</x:v>
      </x:c>
      <x:c r="L1916" s="31" t="str">
        <x:v>Place the upside-down crushed soda can in the bowl.</x:v>
      </x:c>
      <x:c r="M1916" s="31" t="str">
        <x:v>Place the upside-down crushed soda can in the bowl.</x:v>
      </x:c>
      <x:c r="N1916" s="31" t="str">
        <x:v>XT-ST01: P1 Coke=UD; P2 Pepsi=UR; P3 red block; P4 blue pen. Both crushed soda cans are visible; only one is upside-down.</x:v>
      </x:c>
      <x:c r="O1916" s="31" t="str">
        <x:v>crushed Coke can</x:v>
      </x:c>
      <x:c r="P1916" s="31" t="str"/>
      <x:c r="Q1916" s="31" t="str"/>
      <x:c r="R1916" s="31" t="str"/>
      <x:c r="S1916" s="31" t="str">
        <x:f>IF('Blind Scoring'!I1916="","",'Blind Scoring'!I1916)</x:f>
      </x:c>
      <x:c r="T1916" s="31" t="str">
        <x:f>'Blind Scoring'!J1916</x:f>
        <x:v>No</x:v>
      </x:c>
      <x:c r="U1916" s="31" t="str">
        <x:f>IF('Blind Scoring'!L1916="","",'Blind Scoring'!L1916)</x:f>
      </x:c>
    </x:row>
    <x:row r="1917" ht="44" customHeight="1">
      <x:c r="A1917" s="35" t="str">
        <x:v>Not Started</x:v>
      </x:c>
      <x:c r="B1917" s="35" t="n">
        <x:v>1915</x:v>
      </x:c>
      <x:c r="C1917" s="35" t="str">
        <x:v>S44</x:v>
      </x:c>
      <x:c r="D1917" s="35" t="n">
        <x:v>6</x:v>
      </x:c>
      <x:c r="E1917" s="35" t="str">
        <x:v>Secondary Exploratory</x:v>
      </x:c>
      <x:c r="F1917" s="35" t="str">
        <x:v>MolmoAct2</x:v>
      </x:c>
      <x:c r="G1917" s="35" t="n">
        <x:v>1</x:v>
      </x:c>
      <x:c r="H1917" s="35" t="str">
        <x:v>State Recognition</x:v>
      </x:c>
      <x:c r="I1917" s="35" t="str">
        <x:v>Exploratory cross-task B</x:v>
      </x:c>
      <x:c r="J1917" s="35" t="str">
        <x:v>SEC-XT-ST-B02</x:v>
      </x:c>
      <x:c r="K1917" s="35" t="str">
        <x:v>XT-ST02</x:v>
      </x:c>
      <x:c r="L1917" s="31" t="str">
        <x:v>Place the upside-down crushed soda can in the bowl.</x:v>
      </x:c>
      <x:c r="M1917" s="31" t="str">
        <x:v>Place the upside-down crushed soda can in the bowl.</x:v>
      </x:c>
      <x:c r="N1917" s="31" t="str">
        <x:v>XT-ST02: P1 Pepsi=UD; P2 pink marker; P3 Coke=UR; P4 yellow block. Both crushed soda cans are visible; only one is upside-down.</x:v>
      </x:c>
      <x:c r="O1917" s="31" t="str">
        <x:v>crushed Pepsi can</x:v>
      </x:c>
      <x:c r="P1917" s="31" t="str"/>
      <x:c r="Q1917" s="31" t="str"/>
      <x:c r="R1917" s="31" t="str"/>
      <x:c r="S1917" s="31" t="str">
        <x:f>IF('Blind Scoring'!I1917="","",'Blind Scoring'!I1917)</x:f>
      </x:c>
      <x:c r="T1917" s="31" t="str">
        <x:f>'Blind Scoring'!J1917</x:f>
        <x:v>No</x:v>
      </x:c>
      <x:c r="U1917" s="31" t="str">
        <x:f>IF('Blind Scoring'!L1917="","",'Blind Scoring'!L1917)</x:f>
      </x:c>
    </x:row>
    <x:row r="1918" ht="44" customHeight="1">
      <x:c r="A1918" s="35" t="str">
        <x:v>Not Started</x:v>
      </x:c>
      <x:c r="B1918" s="35" t="n">
        <x:v>1916</x:v>
      </x:c>
      <x:c r="C1918" s="35" t="str">
        <x:v>S44</x:v>
      </x:c>
      <x:c r="D1918" s="35" t="n">
        <x:v>7</x:v>
      </x:c>
      <x:c r="E1918" s="35" t="str">
        <x:v>Secondary Exploratory</x:v>
      </x:c>
      <x:c r="F1918" s="35" t="str">
        <x:v>MolmoAct2</x:v>
      </x:c>
      <x:c r="G1918" s="35" t="n">
        <x:v>1</x:v>
      </x:c>
      <x:c r="H1918" s="35" t="str">
        <x:v>State Recognition</x:v>
      </x:c>
      <x:c r="I1918" s="35" t="str">
        <x:v>Exploratory cross-task B</x:v>
      </x:c>
      <x:c r="J1918" s="35" t="str">
        <x:v>SEC-XT-ST-B03</x:v>
      </x:c>
      <x:c r="K1918" s="35" t="str">
        <x:v>XT-ST03</x:v>
      </x:c>
      <x:c r="L1918" s="31" t="str">
        <x:v>Place the upside-down crushed soda can in the bowl.</x:v>
      </x:c>
      <x:c r="M1918" s="31" t="str">
        <x:v>Place the upside-down crushed soda can in the bowl.</x:v>
      </x:c>
      <x:c r="N1918" s="31" t="str">
        <x:v>XT-ST03: P1 green highlighter; P2 Coke=UR; P3 Pepsi=UD; P4 red block. Both crushed soda cans are visible; only one is upside-down.</x:v>
      </x:c>
      <x:c r="O1918" s="31" t="str">
        <x:v>crushed Pepsi can</x:v>
      </x:c>
      <x:c r="P1918" s="31" t="str"/>
      <x:c r="Q1918" s="31" t="str"/>
      <x:c r="R1918" s="31" t="str"/>
      <x:c r="S1918" s="31" t="str">
        <x:f>IF('Blind Scoring'!I1918="","",'Blind Scoring'!I1918)</x:f>
      </x:c>
      <x:c r="T1918" s="31" t="str">
        <x:f>'Blind Scoring'!J1918</x:f>
        <x:v>No</x:v>
      </x:c>
      <x:c r="U1918" s="31" t="str">
        <x:f>IF('Blind Scoring'!L1918="","",'Blind Scoring'!L1918)</x:f>
      </x:c>
    </x:row>
    <x:row r="1919" ht="44" customHeight="1">
      <x:c r="A1919" s="35" t="str">
        <x:v>Not Started</x:v>
      </x:c>
      <x:c r="B1919" s="35" t="n">
        <x:v>1917</x:v>
      </x:c>
      <x:c r="C1919" s="35" t="str">
        <x:v>S44</x:v>
      </x:c>
      <x:c r="D1919" s="35" t="n">
        <x:v>8</x:v>
      </x:c>
      <x:c r="E1919" s="35" t="str">
        <x:v>Secondary Exploratory</x:v>
      </x:c>
      <x:c r="F1919" s="35" t="str">
        <x:v>MolmoAct2</x:v>
      </x:c>
      <x:c r="G1919" s="35" t="n">
        <x:v>1</x:v>
      </x:c>
      <x:c r="H1919" s="35" t="str">
        <x:v>State Recognition</x:v>
      </x:c>
      <x:c r="I1919" s="35" t="str">
        <x:v>Exploratory cross-task A</x:v>
      </x:c>
      <x:c r="J1919" s="35" t="str">
        <x:v>SEC-XT-ST-A02</x:v>
      </x:c>
      <x:c r="K1919" s="35" t="str">
        <x:v>XT-ST02</x:v>
      </x:c>
      <x:c r="L1919" s="31" t="str">
        <x:v>Place the upright crushed soda can in the bowl.</x:v>
      </x:c>
      <x:c r="M1919" s="31" t="str">
        <x:v>Place the upright crushed soda can in the bowl.</x:v>
      </x:c>
      <x:c r="N1919" s="31" t="str">
        <x:v>XT-ST02: P1 Pepsi=UD; P2 pink marker; P3 Coke=UR; P4 yellow block. Same scene as paired trial; only one crushed soda can is upright.</x:v>
      </x:c>
      <x:c r="O1919" s="31" t="str">
        <x:v>crushed Coke can</x:v>
      </x:c>
      <x:c r="P1919" s="31" t="str"/>
      <x:c r="Q1919" s="31" t="str"/>
      <x:c r="R1919" s="31" t="str"/>
      <x:c r="S1919" s="31" t="str">
        <x:f>IF('Blind Scoring'!I1919="","",'Blind Scoring'!I1919)</x:f>
      </x:c>
      <x:c r="T1919" s="31" t="str">
        <x:f>'Blind Scoring'!J1919</x:f>
        <x:v>No</x:v>
      </x:c>
      <x:c r="U1919" s="31" t="str">
        <x:f>IF('Blind Scoring'!L1919="","",'Blind Scoring'!L1919)</x:f>
      </x:c>
    </x:row>
    <x:row r="1920" ht="44" customHeight="1">
      <x:c r="A1920" s="35" t="str">
        <x:v>Not Started</x:v>
      </x:c>
      <x:c r="B1920" s="35" t="n">
        <x:v>1918</x:v>
      </x:c>
      <x:c r="C1920" s="35" t="str">
        <x:v>S45</x:v>
      </x:c>
      <x:c r="D1920" s="35" t="n">
        <x:v>1</x:v>
      </x:c>
      <x:c r="E1920" s="35" t="str">
        <x:v>Secondary Exploratory</x:v>
      </x:c>
      <x:c r="F1920" s="35" t="str">
        <x:v>MolmoAct2</x:v>
      </x:c>
      <x:c r="G1920" s="35" t="n">
        <x:v>1</x:v>
      </x:c>
      <x:c r="H1920" s="35" t="str">
        <x:v>Relational Placement</x:v>
      </x:c>
      <x:c r="I1920" s="35" t="str">
        <x:v>Exploratory cross-task A</x:v>
      </x:c>
      <x:c r="J1920" s="35" t="str">
        <x:v>SEC-XT-RP-A01</x:v>
      </x:c>
      <x:c r="K1920" s="35" t="str">
        <x:v>XT-RP01</x:v>
      </x:c>
      <x:c r="L1920" s="31" t="str">
        <x:v>Place the yellow block to the left of the blue pen.</x:v>
      </x:c>
      <x:c r="M1920" s="31" t="str">
        <x:v>Place the yellow block to the left of the blue pen.</x:v>
      </x:c>
      <x:c r="N1920" s="31" t="str">
        <x:v>XT-RP01: yellow block and blue pen in open workspace; target starts directly in front of reference. Keep other distractors away from the goal region. Relations use the robot-base frame.</x:v>
      </x:c>
      <x:c r="O1920" s="31" t="str">
        <x:v>yellow block placed left blue pen</x:v>
      </x:c>
      <x:c r="P1920" s="31" t="str"/>
      <x:c r="Q1920" s="31" t="str"/>
      <x:c r="R1920" s="31" t="str"/>
      <x:c r="S1920" s="31" t="str">
        <x:f>IF('Blind Scoring'!I1920="","",'Blind Scoring'!I1920)</x:f>
      </x:c>
      <x:c r="T1920" s="31" t="str">
        <x:f>'Blind Scoring'!J1920</x:f>
        <x:v>No</x:v>
      </x:c>
      <x:c r="U1920" s="31" t="str">
        <x:f>IF('Blind Scoring'!L1920="","",'Blind Scoring'!L1920)</x:f>
      </x:c>
    </x:row>
    <x:row r="1921" ht="44" customHeight="1">
      <x:c r="A1921" s="35" t="str">
        <x:v>Not Started</x:v>
      </x:c>
      <x:c r="B1921" s="35" t="n">
        <x:v>1919</x:v>
      </x:c>
      <x:c r="C1921" s="35" t="str">
        <x:v>S45</x:v>
      </x:c>
      <x:c r="D1921" s="35" t="n">
        <x:v>2</x:v>
      </x:c>
      <x:c r="E1921" s="35" t="str">
        <x:v>Secondary Exploratory</x:v>
      </x:c>
      <x:c r="F1921" s="35" t="str">
        <x:v>MolmoAct2</x:v>
      </x:c>
      <x:c r="G1921" s="35" t="n">
        <x:v>1</x:v>
      </x:c>
      <x:c r="H1921" s="35" t="str">
        <x:v>Relational Placement</x:v>
      </x:c>
      <x:c r="I1921" s="35" t="str">
        <x:v>Exploratory cross-task A</x:v>
      </x:c>
      <x:c r="J1921" s="35" t="str">
        <x:v>SEC-XT-RP-A03</x:v>
      </x:c>
      <x:c r="K1921" s="35" t="str">
        <x:v>XT-RP03</x:v>
      </x:c>
      <x:c r="L1921" s="31" t="str">
        <x:v>Place the brown cup to the left of the green pencil sharpener.</x:v>
      </x:c>
      <x:c r="M1921" s="31" t="str">
        <x:v>Place the brown cup to the left of the green pencil sharpener.</x:v>
      </x:c>
      <x:c r="N1921" s="31" t="str">
        <x:v>XT-RP03: brown cup and green pencil sharpener in open workspace; target starts directly in front of reference. Keep other distractors away from the goal region. Relations use the robot-base frame.</x:v>
      </x:c>
      <x:c r="O1921" s="31" t="str">
        <x:v>brown cup placed left green pencil sharpener</x:v>
      </x:c>
      <x:c r="P1921" s="31" t="str"/>
      <x:c r="Q1921" s="31" t="str"/>
      <x:c r="R1921" s="31" t="str"/>
      <x:c r="S1921" s="31" t="str">
        <x:f>IF('Blind Scoring'!I1921="","",'Blind Scoring'!I1921)</x:f>
      </x:c>
      <x:c r="T1921" s="31" t="str">
        <x:f>'Blind Scoring'!J1921</x:f>
        <x:v>No</x:v>
      </x:c>
      <x:c r="U1921" s="31" t="str">
        <x:f>IF('Blind Scoring'!L1921="","",'Blind Scoring'!L1921)</x:f>
      </x:c>
    </x:row>
    <x:row r="1922" ht="44" customHeight="1">
      <x:c r="A1922" s="35" t="str">
        <x:v>Not Started</x:v>
      </x:c>
      <x:c r="B1922" s="35" t="n">
        <x:v>1920</x:v>
      </x:c>
      <x:c r="C1922" s="35" t="str">
        <x:v>S45</x:v>
      </x:c>
      <x:c r="D1922" s="35" t="n">
        <x:v>3</x:v>
      </x:c>
      <x:c r="E1922" s="35" t="str">
        <x:v>Secondary Exploratory</x:v>
      </x:c>
      <x:c r="F1922" s="35" t="str">
        <x:v>MolmoAct2</x:v>
      </x:c>
      <x:c r="G1922" s="35" t="n">
        <x:v>1</x:v>
      </x:c>
      <x:c r="H1922" s="35" t="str">
        <x:v>Relational Placement</x:v>
      </x:c>
      <x:c r="I1922" s="35" t="str">
        <x:v>Exploratory cross-task B</x:v>
      </x:c>
      <x:c r="J1922" s="35" t="str">
        <x:v>SEC-XT-RP-B01</x:v>
      </x:c>
      <x:c r="K1922" s="35" t="str">
        <x:v>XT-RP01</x:v>
      </x:c>
      <x:c r="L1922" s="31" t="str">
        <x:v>Place the yellow block to the right of the blue pen.</x:v>
      </x:c>
      <x:c r="M1922" s="31" t="str">
        <x:v>Place the yellow block to the right of the blue pen.</x:v>
      </x:c>
      <x:c r="N1922" s="31" t="str">
        <x:v>XT-RP01: yellow block and blue pen in open workspace; target starts directly in front of reference. Keep other distractors away from the goal region. Relations use the robot-base frame.</x:v>
      </x:c>
      <x:c r="O1922" s="31" t="str">
        <x:v>yellow block placed right blue pen</x:v>
      </x:c>
      <x:c r="P1922" s="31" t="str"/>
      <x:c r="Q1922" s="31" t="str"/>
      <x:c r="R1922" s="31" t="str"/>
      <x:c r="S1922" s="31" t="str">
        <x:f>IF('Blind Scoring'!I1922="","",'Blind Scoring'!I1922)</x:f>
      </x:c>
      <x:c r="T1922" s="31" t="str">
        <x:f>'Blind Scoring'!J1922</x:f>
        <x:v>No</x:v>
      </x:c>
      <x:c r="U1922" s="31" t="str">
        <x:f>IF('Blind Scoring'!L1922="","",'Blind Scoring'!L1922)</x:f>
      </x:c>
    </x:row>
    <x:row r="1923" ht="44" customHeight="1">
      <x:c r="A1923" s="35" t="str">
        <x:v>Not Started</x:v>
      </x:c>
      <x:c r="B1923" s="35" t="n">
        <x:v>1921</x:v>
      </x:c>
      <x:c r="C1923" s="35" t="str">
        <x:v>S45</x:v>
      </x:c>
      <x:c r="D1923" s="35" t="n">
        <x:v>4</x:v>
      </x:c>
      <x:c r="E1923" s="35" t="str">
        <x:v>Secondary Exploratory</x:v>
      </x:c>
      <x:c r="F1923" s="35" t="str">
        <x:v>MolmoAct2</x:v>
      </x:c>
      <x:c r="G1923" s="35" t="n">
        <x:v>1</x:v>
      </x:c>
      <x:c r="H1923" s="35" t="str">
        <x:v>Relational Placement</x:v>
      </x:c>
      <x:c r="I1923" s="35" t="str">
        <x:v>Exploratory cross-task B</x:v>
      </x:c>
      <x:c r="J1923" s="35" t="str">
        <x:v>SEC-XT-RP-B02</x:v>
      </x:c>
      <x:c r="K1923" s="35" t="str">
        <x:v>XT-RP02</x:v>
      </x:c>
      <x:c r="L1923" s="31" t="str">
        <x:v>Place the crushed Coke can behind the white cup.</x:v>
      </x:c>
      <x:c r="M1923" s="31" t="str">
        <x:v>Place the crushed Coke can behind the white cup.</x:v>
      </x:c>
      <x:c r="N1923" s="31" t="str">
        <x:v>XT-RP02: crushed Coke can and white cup in open workspace; target starts directly left of reference. Keep other distractors away from the goal region. Relations use the robot-base frame.</x:v>
      </x:c>
      <x:c r="O1923" s="31" t="str">
        <x:v>crushed Coke can placed behind white cup</x:v>
      </x:c>
      <x:c r="P1923" s="31" t="str"/>
      <x:c r="Q1923" s="31" t="str"/>
      <x:c r="R1923" s="31" t="str"/>
      <x:c r="S1923" s="31" t="str">
        <x:f>IF('Blind Scoring'!I1923="","",'Blind Scoring'!I1923)</x:f>
      </x:c>
      <x:c r="T1923" s="31" t="str">
        <x:f>'Blind Scoring'!J1923</x:f>
        <x:v>No</x:v>
      </x:c>
      <x:c r="U1923" s="31" t="str">
        <x:f>IF('Blind Scoring'!L1923="","",'Blind Scoring'!L1923)</x:f>
      </x:c>
    </x:row>
    <x:row r="1924" ht="44" customHeight="1">
      <x:c r="A1924" s="35" t="str">
        <x:v>Not Started</x:v>
      </x:c>
      <x:c r="B1924" s="35" t="n">
        <x:v>1922</x:v>
      </x:c>
      <x:c r="C1924" s="35" t="str">
        <x:v>S45</x:v>
      </x:c>
      <x:c r="D1924" s="35" t="n">
        <x:v>5</x:v>
      </x:c>
      <x:c r="E1924" s="35" t="str">
        <x:v>Secondary Exploratory</x:v>
      </x:c>
      <x:c r="F1924" s="35" t="str">
        <x:v>MolmoAct2</x:v>
      </x:c>
      <x:c r="G1924" s="35" t="n">
        <x:v>1</x:v>
      </x:c>
      <x:c r="H1924" s="35" t="str">
        <x:v>Relational Placement</x:v>
      </x:c>
      <x:c r="I1924" s="35" t="str">
        <x:v>Exploratory cross-task B</x:v>
      </x:c>
      <x:c r="J1924" s="35" t="str">
        <x:v>SEC-XT-RP-B04</x:v>
      </x:c>
      <x:c r="K1924" s="35" t="str">
        <x:v>XT-RP04</x:v>
      </x:c>
      <x:c r="L1924" s="31" t="str">
        <x:v>Place the blue tape ball behind the glass spice container.</x:v>
      </x:c>
      <x:c r="M1924" s="31" t="str">
        <x:v>Place the blue tape ball behind the glass spice container.</x:v>
      </x:c>
      <x:c r="N1924" s="31" t="str">
        <x:v>XT-RP04: blue tape ball and glass spice container in open workspace; target starts directly left of reference. Keep other distractors away from the goal region. Relations use the robot-base frame.</x:v>
      </x:c>
      <x:c r="O1924" s="31" t="str">
        <x:v>blue tape ball placed behind glass spice container</x:v>
      </x:c>
      <x:c r="P1924" s="31" t="str"/>
      <x:c r="Q1924" s="31" t="str"/>
      <x:c r="R1924" s="31" t="str"/>
      <x:c r="S1924" s="31" t="str">
        <x:f>IF('Blind Scoring'!I1924="","",'Blind Scoring'!I1924)</x:f>
      </x:c>
      <x:c r="T1924" s="31" t="str">
        <x:f>'Blind Scoring'!J1924</x:f>
        <x:v>No</x:v>
      </x:c>
      <x:c r="U1924" s="31" t="str">
        <x:f>IF('Blind Scoring'!L1924="","",'Blind Scoring'!L1924)</x:f>
      </x:c>
    </x:row>
    <x:row r="1925" ht="44" customHeight="1">
      <x:c r="A1925" s="35" t="str">
        <x:v>Not Started</x:v>
      </x:c>
      <x:c r="B1925" s="35" t="n">
        <x:v>1923</x:v>
      </x:c>
      <x:c r="C1925" s="35" t="str">
        <x:v>S45</x:v>
      </x:c>
      <x:c r="D1925" s="35" t="n">
        <x:v>6</x:v>
      </x:c>
      <x:c r="E1925" s="35" t="str">
        <x:v>Secondary Exploratory</x:v>
      </x:c>
      <x:c r="F1925" s="35" t="str">
        <x:v>MolmoAct2</x:v>
      </x:c>
      <x:c r="G1925" s="35" t="n">
        <x:v>1</x:v>
      </x:c>
      <x:c r="H1925" s="35" t="str">
        <x:v>Relational Placement</x:v>
      </x:c>
      <x:c r="I1925" s="35" t="str">
        <x:v>Exploratory cross-task A</x:v>
      </x:c>
      <x:c r="J1925" s="35" t="str">
        <x:v>SEC-XT-RP-A02</x:v>
      </x:c>
      <x:c r="K1925" s="35" t="str">
        <x:v>XT-RP02</x:v>
      </x:c>
      <x:c r="L1925" s="31" t="str">
        <x:v>Place the crushed Coke can in front of the white cup.</x:v>
      </x:c>
      <x:c r="M1925" s="31" t="str">
        <x:v>Place the crushed Coke can in front of the white cup.</x:v>
      </x:c>
      <x:c r="N1925" s="31" t="str">
        <x:v>XT-RP02: crushed Coke can and white cup in open workspace; target starts directly left of reference. Keep other distractors away from the goal region. Relations use the robot-base frame.</x:v>
      </x:c>
      <x:c r="O1925" s="31" t="str">
        <x:v>crushed Coke can placed front white cup</x:v>
      </x:c>
      <x:c r="P1925" s="31" t="str"/>
      <x:c r="Q1925" s="31" t="str"/>
      <x:c r="R1925" s="31" t="str"/>
      <x:c r="S1925" s="31" t="str">
        <x:f>IF('Blind Scoring'!I1925="","",'Blind Scoring'!I1925)</x:f>
      </x:c>
      <x:c r="T1925" s="31" t="str">
        <x:f>'Blind Scoring'!J1925</x:f>
        <x:v>No</x:v>
      </x:c>
      <x:c r="U1925" s="31" t="str">
        <x:f>IF('Blind Scoring'!L1925="","",'Blind Scoring'!L1925)</x:f>
      </x:c>
    </x:row>
    <x:row r="1926" ht="44" customHeight="1">
      <x:c r="A1926" s="35" t="str">
        <x:v>Not Started</x:v>
      </x:c>
      <x:c r="B1926" s="35" t="n">
        <x:v>1924</x:v>
      </x:c>
      <x:c r="C1926" s="35" t="str">
        <x:v>S45</x:v>
      </x:c>
      <x:c r="D1926" s="35" t="n">
        <x:v>7</x:v>
      </x:c>
      <x:c r="E1926" s="35" t="str">
        <x:v>Secondary Exploratory</x:v>
      </x:c>
      <x:c r="F1926" s="35" t="str">
        <x:v>MolmoAct2</x:v>
      </x:c>
      <x:c r="G1926" s="35" t="n">
        <x:v>1</x:v>
      </x:c>
      <x:c r="H1926" s="35" t="str">
        <x:v>Relational Placement</x:v>
      </x:c>
      <x:c r="I1926" s="35" t="str">
        <x:v>Exploratory cross-task B</x:v>
      </x:c>
      <x:c r="J1926" s="35" t="str">
        <x:v>SEC-XT-RP-B03</x:v>
      </x:c>
      <x:c r="K1926" s="35" t="str">
        <x:v>XT-RP03</x:v>
      </x:c>
      <x:c r="L1926" s="31" t="str">
        <x:v>Place the brown cup to the right of the green pencil sharpener.</x:v>
      </x:c>
      <x:c r="M1926" s="31" t="str">
        <x:v>Place the brown cup to the right of the green pencil sharpener.</x:v>
      </x:c>
      <x:c r="N1926" s="31" t="str">
        <x:v>XT-RP03: brown cup and green pencil sharpener in open workspace; target starts directly in front of reference. Keep other distractors away from the goal region. Relations use the robot-base frame.</x:v>
      </x:c>
      <x:c r="O1926" s="31" t="str">
        <x:v>brown cup placed right green pencil sharpener</x:v>
      </x:c>
      <x:c r="P1926" s="31" t="str"/>
      <x:c r="Q1926" s="31" t="str"/>
      <x:c r="R1926" s="31" t="str"/>
      <x:c r="S1926" s="31" t="str">
        <x:f>IF('Blind Scoring'!I1926="","",'Blind Scoring'!I1926)</x:f>
      </x:c>
      <x:c r="T1926" s="31" t="str">
        <x:f>'Blind Scoring'!J1926</x:f>
        <x:v>No</x:v>
      </x:c>
      <x:c r="U1926" s="31" t="str">
        <x:f>IF('Blind Scoring'!L1926="","",'Blind Scoring'!L1926)</x:f>
      </x:c>
    </x:row>
    <x:row r="1927" ht="44" customHeight="1">
      <x:c r="A1927" s="35" t="str">
        <x:v>Not Started</x:v>
      </x:c>
      <x:c r="B1927" s="35" t="n">
        <x:v>1925</x:v>
      </x:c>
      <x:c r="C1927" s="35" t="str">
        <x:v>S45</x:v>
      </x:c>
      <x:c r="D1927" s="35" t="n">
        <x:v>8</x:v>
      </x:c>
      <x:c r="E1927" s="35" t="str">
        <x:v>Secondary Exploratory</x:v>
      </x:c>
      <x:c r="F1927" s="35" t="str">
        <x:v>MolmoAct2</x:v>
      </x:c>
      <x:c r="G1927" s="35" t="n">
        <x:v>1</x:v>
      </x:c>
      <x:c r="H1927" s="35" t="str">
        <x:v>Relational Placement</x:v>
      </x:c>
      <x:c r="I1927" s="35" t="str">
        <x:v>Exploratory cross-task A</x:v>
      </x:c>
      <x:c r="J1927" s="35" t="str">
        <x:v>SEC-XT-RP-A04</x:v>
      </x:c>
      <x:c r="K1927" s="35" t="str">
        <x:v>XT-RP04</x:v>
      </x:c>
      <x:c r="L1927" s="31" t="str">
        <x:v>Place the blue tape ball in front of the glass spice container.</x:v>
      </x:c>
      <x:c r="M1927" s="31" t="str">
        <x:v>Place the blue tape ball in front of the glass spice container.</x:v>
      </x:c>
      <x:c r="N1927" s="31" t="str">
        <x:v>XT-RP04: blue tape ball and glass spice container in open workspace; target starts directly left of reference. Keep other distractors away from the goal region. Relations use the robot-base frame.</x:v>
      </x:c>
      <x:c r="O1927" s="31" t="str">
        <x:v>blue tape ball placed front glass spice container</x:v>
      </x:c>
      <x:c r="P1927" s="31" t="str"/>
      <x:c r="Q1927" s="31" t="str"/>
      <x:c r="R1927" s="31" t="str"/>
      <x:c r="S1927" s="31" t="str">
        <x:f>IF('Blind Scoring'!I1927="","",'Blind Scoring'!I1927)</x:f>
      </x:c>
      <x:c r="T1927" s="31" t="str">
        <x:f>'Blind Scoring'!J1927</x:f>
        <x:v>No</x:v>
      </x:c>
      <x:c r="U1927" s="31" t="str">
        <x:f>IF('Blind Scoring'!L1927="","",'Blind Scoring'!L1927)</x:f>
      </x:c>
    </x:row>
  </x:sheetData>
  <x:conditionalFormatting sqref="A2:U1927">
    <x:cfRule type="expression" dxfId="0" priority="1">
      <x:formula>$A2="Complete"</x:formula>
    </x:cfRule>
    <x:cfRule type="expression" dxfId="1" priority="2">
      <x:formula>$A2="In Progress"</x:formula>
    </x:cfRule>
    <x:cfRule type="expression" dxfId="2" priority="3">
      <x:formula>$A2="Invalid – Replace"</x:formula>
    </x:cfRule>
  </x:conditionalFormatting>
  <x:dataValidations count="1">
    <x:dataValidation type="list" sqref="A2:A1927">
      <x:formula1>"Not Started,In Progress,Complete,Invalid – Replace"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306984c9b549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2" hidden="0" customWidth="1"/>
    <x:col min="4" max="4" width="30" hidden="0" customWidth="1"/>
    <x:col min="5" max="5" width="50" hidden="0" customWidth="1"/>
    <x:col min="6" max="6" width="18" hidden="0" customWidth="1"/>
    <x:col min="7" max="7" width="18" hidden="0" customWidth="1"/>
    <x:col min="8" max="8" width="14" hidden="0" customWidth="1"/>
    <x:col min="9" max="9" width="21" hidden="0" customWidth="1"/>
    <x:col min="10" max="10" width="12" hidden="0" customWidth="1"/>
    <x:col min="11" max="11" width="28" hidden="0" customWidth="1"/>
    <x:col min="12" max="12" width="24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Rollout #</x:v>
      </x:c>
      <x:c r="B1" s="17" t="str">
        <x:v>Video / File ID</x:v>
      </x:c>
      <x:c r="C1" s="17" t="str">
        <x:v>Scoring Instruction</x:v>
      </x:c>
      <x:c r="D1" s="17" t="str">
        <x:v>Expected Target / Action</x:v>
      </x:c>
      <x:c r="E1" s="17" t="str">
        <x:v>Scoring Rule</x:v>
      </x:c>
      <x:c r="F1" s="17" t="str">
        <x:v>Rater A Success (0/1)</x:v>
      </x:c>
      <x:c r="G1" s="17" t="str">
        <x:v>Rater B Success (0/1)</x:v>
      </x:c>
      <x:c r="H1" s="17" t="str">
        <x:v>Agreement</x:v>
      </x:c>
      <x:c r="I1" s="17" t="str">
        <x:v>Adjudicated Success (0/1)</x:v>
      </x:c>
      <x:c r="J1" s="17" t="str">
        <x:v>Invalid?</x:v>
      </x:c>
      <x:c r="K1" s="17" t="str">
        <x:v>Invalid Reason</x:v>
      </x:c>
      <x:c r="L1" s="17" t="str">
        <x:v>Failure Mode</x:v>
      </x:c>
      <x:c r="M1" s="17" t="str">
        <x:v>Selected Target / Final State</x:v>
      </x:c>
      <x:c r="N1" s="18" t="str">
        <x:v>Scoring Notes</x:v>
      </x:c>
    </x:row>
    <x:row r="2" ht="42" customHeight="1">
      <x:c r="A2" s="34" t="n">
        <x:v>0</x:v>
      </x:c>
      <x:c r="B2" s="30" t="str">
        <x:f>IF('Execution Checklist'!Q2="","",'Execution Checklist'!Q2)</x:f>
      </x:c>
      <x:c r="C2" s="30" t="str">
        <x:v>Place a brown cup in the bowl.</x:v>
      </x:c>
      <x:c r="D2" s="30" t="str">
        <x:v>brown cup A</x:v>
      </x:c>
      <x:c r="E2" s="30" t="str">
        <x:v>Binary task success; paired with the main transfer row.</x:v>
      </x:c>
      <x:c r="F2" s="30"/>
      <x:c r="G2" s="30"/>
      <x:c r="H2" s="30" t="str">
        <x:f>IF(OR(F2="",G2=""),"",IF(F2=G2,"Agree","Disagree"))</x:f>
      </x:c>
      <x:c r="I2" s="30"/>
      <x:c r="J2" s="30" t="str">
        <x:v>No</x:v>
      </x:c>
      <x:c r="K2" s="30" t="str"/>
      <x:c r="L2" s="30" t="str"/>
      <x:c r="M2" s="30" t="str"/>
      <x:c r="N2" s="30" t="str"/>
    </x:row>
    <x:row r="3" ht="42" customHeight="1">
      <x:c r="A3" s="35" t="n">
        <x:v>1</x:v>
      </x:c>
      <x:c r="B3" s="31" t="str">
        <x:f>IF('Execution Checklist'!Q3="","",'Execution Checklist'!Q3)</x:f>
      </x:c>
      <x:c r="C3" s="31" t="str">
        <x:v>Move the yellow-white striped cup that is open into the bowl.</x:v>
      </x:c>
      <x:c r="D3" s="31" t="str">
        <x:v>yellow-white striped cup B</x:v>
      </x:c>
      <x:c r="E3" s="31" t="str">
        <x:v>Binary task success; compare with the seen-language row sharing Pair ID.</x:v>
      </x:c>
      <x:c r="F3" s="31"/>
      <x:c r="G3" s="31"/>
      <x:c r="H3" s="31" t="str">
        <x:f>IF(OR(F3="",G3=""),"",IF(F3=G3,"Agree","Disagree"))</x:f>
      </x:c>
      <x:c r="I3" s="31"/>
      <x:c r="J3" s="31" t="str">
        <x:v>No</x:v>
      </x:c>
      <x:c r="K3" s="31" t="str"/>
      <x:c r="L3" s="31" t="str"/>
      <x:c r="M3" s="31" t="str"/>
      <x:c r="N3" s="31" t="str"/>
    </x:row>
    <x:row r="4" ht="42" customHeight="1">
      <x:c r="A4" s="35" t="n">
        <x:v>2</x:v>
      </x:c>
      <x:c r="B4" s="31" t="str">
        <x:f>IF('Execution Checklist'!Q4="","",'Execution Checklist'!Q4)</x:f>
      </x:c>
      <x:c r="C4" s="31" t="str">
        <x:v>Move a glass spice container into the bowl.</x:v>
      </x:c>
      <x:c r="D4" s="31" t="str">
        <x:v>glass spice container A</x:v>
      </x:c>
      <x:c r="E4" s="31" t="str">
        <x:v>Binary task success using the task-specific rubric.</x:v>
      </x:c>
      <x:c r="F4" s="31"/>
      <x:c r="G4" s="31"/>
      <x:c r="H4" s="31" t="str">
        <x:f>IF(OR(F4="",G4=""),"",IF(F4=G4,"Agree","Disagree"))</x:f>
      </x:c>
      <x:c r="I4" s="31"/>
      <x:c r="J4" s="31" t="str">
        <x:v>No</x:v>
      </x:c>
      <x:c r="K4" s="31" t="str"/>
      <x:c r="L4" s="31" t="str"/>
      <x:c r="M4" s="31" t="str"/>
      <x:c r="N4" s="31" t="str"/>
    </x:row>
    <x:row r="5" ht="42" customHeight="1">
      <x:c r="A5" s="35" t="n">
        <x:v>3</x:v>
      </x:c>
      <x:c r="B5" s="31" t="str">
        <x:f>IF('Execution Checklist'!Q5="","",'Execution Checklist'!Q5)</x:f>
      </x:c>
      <x:c r="C5" s="31" t="str">
        <x:v>Place a brown cup in the bowl.</x:v>
      </x:c>
      <x:c r="D5" s="31" t="str">
        <x:v>brown cup B</x:v>
      </x:c>
      <x:c r="E5" s="31" t="str">
        <x:v>Binary task success; paired with the main transfer row.</x:v>
      </x:c>
      <x:c r="F5" s="31"/>
      <x:c r="G5" s="31"/>
      <x:c r="H5" s="31" t="str">
        <x:f>IF(OR(F5="",G5=""),"",IF(F5=G5,"Agree","Disagree"))</x:f>
      </x:c>
      <x:c r="I5" s="31"/>
      <x:c r="J5" s="31" t="str">
        <x:v>No</x:v>
      </x:c>
      <x:c r="K5" s="31" t="str"/>
      <x:c r="L5" s="31" t="str"/>
      <x:c r="M5" s="31" t="str"/>
      <x:c r="N5" s="31" t="str"/>
    </x:row>
    <x:row r="6" ht="42" customHeight="1">
      <x:c r="A6" s="35" t="n">
        <x:v>4</x:v>
      </x:c>
      <x:c r="B6" s="31" t="str">
        <x:f>IF('Execution Checklist'!Q6="","",'Execution Checklist'!Q6)</x:f>
      </x:c>
      <x:c r="C6" s="31" t="str">
        <x:v>Place a white cup in the bowl.</x:v>
      </x:c>
      <x:c r="D6" s="31" t="str">
        <x:v>white cup B</x:v>
      </x:c>
      <x:c r="E6" s="31" t="str">
        <x:v>Binary task success; paired with the main transfer row.</x:v>
      </x:c>
      <x:c r="F6" s="31"/>
      <x:c r="G6" s="31"/>
      <x:c r="H6" s="31" t="str">
        <x:f>IF(OR(F6="",G6=""),"",IF(F6=G6,"Agree","Disagree"))</x:f>
      </x:c>
      <x:c r="I6" s="31"/>
      <x:c r="J6" s="31" t="str">
        <x:v>No</x:v>
      </x:c>
      <x:c r="K6" s="31" t="str"/>
      <x:c r="L6" s="31" t="str"/>
      <x:c r="M6" s="31" t="str"/>
      <x:c r="N6" s="31" t="str"/>
    </x:row>
    <x:row r="7" ht="42" customHeight="1">
      <x:c r="A7" s="35" t="n">
        <x:v>5</x:v>
      </x:c>
      <x:c r="B7" s="31" t="str">
        <x:f>IF('Execution Checklist'!Q7="","",'Execution Checklist'!Q7)</x:f>
      </x:c>
      <x:c r="C7" s="31" t="str">
        <x:v>Place the open white cup in the bowl.</x:v>
      </x:c>
      <x:c r="D7" s="31" t="str">
        <x:v>white cup B</x:v>
      </x:c>
      <x:c r="E7" s="31" t="str">
        <x:v>Binary task success using the task-specific rubric.</x:v>
      </x:c>
      <x:c r="F7" s="31"/>
      <x:c r="G7" s="31"/>
      <x:c r="H7" s="31" t="str">
        <x:f>IF(OR(F7="",G7=""),"",IF(F7=G7,"Agree","Disagree"))</x:f>
      </x:c>
      <x:c r="I7" s="31"/>
      <x:c r="J7" s="31" t="str">
        <x:v>No</x:v>
      </x:c>
      <x:c r="K7" s="31" t="str"/>
      <x:c r="L7" s="31" t="str"/>
      <x:c r="M7" s="31" t="str"/>
      <x:c r="N7" s="31" t="str"/>
    </x:row>
    <x:row r="8" ht="42" customHeight="1">
      <x:c r="A8" s="35" t="n">
        <x:v>6</x:v>
      </x:c>
      <x:c r="B8" s="31" t="str">
        <x:f>IF('Execution Checklist'!Q8="","",'Execution Checklist'!Q8)</x:f>
      </x:c>
      <x:c r="C8" s="31" t="str">
        <x:v>Put the open white cup in the bowl.</x:v>
      </x:c>
      <x:c r="D8" s="31" t="str">
        <x:v>white cup B</x:v>
      </x:c>
      <x:c r="E8" s="31" t="str">
        <x:v>Binary task success; compare with the seen-language row sharing Pair ID.</x:v>
      </x:c>
      <x:c r="F8" s="31"/>
      <x:c r="G8" s="31"/>
      <x:c r="H8" s="31" t="str">
        <x:f>IF(OR(F8="",G8=""),"",IF(F8=G8,"Agree","Disagree"))</x:f>
      </x:c>
      <x:c r="I8" s="31"/>
      <x:c r="J8" s="31" t="str">
        <x:v>No</x:v>
      </x:c>
      <x:c r="K8" s="31" t="str"/>
      <x:c r="L8" s="31" t="str"/>
      <x:c r="M8" s="31" t="str"/>
      <x:c r="N8" s="31" t="str"/>
    </x:row>
    <x:row r="9" ht="42" customHeight="1">
      <x:c r="A9" s="35" t="n">
        <x:v>7</x:v>
      </x:c>
      <x:c r="B9" s="31" t="str">
        <x:f>IF('Execution Checklist'!Q9="","",'Execution Checklist'!Q9)</x:f>
      </x:c>
      <x:c r="C9" s="31" t="str">
        <x:v>Place the upright yellow-white striped cup in the bowl.</x:v>
      </x:c>
      <x:c r="D9" s="31" t="str">
        <x:v>yellow-white striped cup B</x:v>
      </x:c>
      <x:c r="E9" s="31" t="str">
        <x:v>Binary task success; paired with the main matched-control row.</x:v>
      </x:c>
      <x:c r="F9" s="31"/>
      <x:c r="G9" s="31"/>
      <x:c r="H9" s="31" t="str">
        <x:f>IF(OR(F9="",G9=""),"",IF(F9=G9,"Agree","Disagree"))</x:f>
      </x:c>
      <x:c r="I9" s="31"/>
      <x:c r="J9" s="31" t="str">
        <x:v>No</x:v>
      </x:c>
      <x:c r="K9" s="31" t="str"/>
      <x:c r="L9" s="31" t="str"/>
      <x:c r="M9" s="31" t="str"/>
      <x:c r="N9" s="31" t="str"/>
    </x:row>
    <x:row r="10" ht="42" customHeight="1">
      <x:c r="A10" s="35" t="n">
        <x:v>8</x:v>
      </x:c>
      <x:c r="B10" s="31" t="str">
        <x:f>IF('Execution Checklist'!Q10="","",'Execution Checklist'!Q10)</x:f>
      </x:c>
      <x:c r="C10" s="31" t="str">
        <x:v>Place a brown cup in the bowl.</x:v>
      </x:c>
      <x:c r="D10" s="31" t="str">
        <x:v>brown cup B</x:v>
      </x:c>
      <x:c r="E10" s="31" t="str">
        <x:v>Binary task success; paired with the main transfer row.</x:v>
      </x:c>
      <x:c r="F10" s="31"/>
      <x:c r="G10" s="31"/>
      <x:c r="H10" s="31" t="str">
        <x:f>IF(OR(F10="",G10=""),"",IF(F10=G10,"Agree","Disagree"))</x:f>
      </x:c>
      <x:c r="I10" s="31"/>
      <x:c r="J10" s="31" t="str">
        <x:v>No</x:v>
      </x:c>
      <x:c r="K10" s="31" t="str"/>
      <x:c r="L10" s="31" t="str"/>
      <x:c r="M10" s="31" t="str"/>
      <x:c r="N10" s="31" t="str"/>
    </x:row>
    <x:row r="11" ht="42" customHeight="1">
      <x:c r="A11" s="35" t="n">
        <x:v>9</x:v>
      </x:c>
      <x:c r="B11" s="31" t="str">
        <x:f>IF('Execution Checklist'!Q11="","",'Execution Checklist'!Q11)</x:f>
      </x:c>
      <x:c r="C11" s="31" t="str">
        <x:v>Place the upright white cup in the bowl.</x:v>
      </x:c>
      <x:c r="D11" s="31" t="str">
        <x:v>white cup B</x:v>
      </x:c>
      <x:c r="E11" s="31" t="str">
        <x:v>Binary task success; paired with the main matched-control row.</x:v>
      </x:c>
      <x:c r="F11" s="31"/>
      <x:c r="G11" s="31"/>
      <x:c r="H11" s="31" t="str">
        <x:f>IF(OR(F11="",G11=""),"",IF(F11=G11,"Agree","Disagree"))</x:f>
      </x:c>
      <x:c r="I11" s="31"/>
      <x:c r="J11" s="31" t="str">
        <x:v>No</x:v>
      </x:c>
      <x:c r="K11" s="31" t="str"/>
      <x:c r="L11" s="31" t="str"/>
      <x:c r="M11" s="31" t="str"/>
      <x:c r="N11" s="31" t="str"/>
    </x:row>
    <x:row r="12" ht="42" customHeight="1">
      <x:c r="A12" s="35" t="n">
        <x:v>10</x:v>
      </x:c>
      <x:c r="B12" s="31" t="str">
        <x:f>IF('Execution Checklist'!Q12="","",'Execution Checklist'!Q12)</x:f>
      </x:c>
      <x:c r="C12" s="31" t="str">
        <x:v>Place the upright brown cup in the bowl.</x:v>
      </x:c>
      <x:c r="D12" s="31" t="str">
        <x:v>brown cup B</x:v>
      </x:c>
      <x:c r="E12" s="31" t="str">
        <x:v>Binary task success; paired with the main matched-control row.</x:v>
      </x:c>
      <x:c r="F12" s="31"/>
      <x:c r="G12" s="31"/>
      <x:c r="H12" s="31" t="str">
        <x:f>IF(OR(F12="",G12=""),"",IF(F12=G12,"Agree","Disagree"))</x:f>
      </x:c>
      <x:c r="I12" s="31"/>
      <x:c r="J12" s="31" t="str">
        <x:v>No</x:v>
      </x:c>
      <x:c r="K12" s="31" t="str"/>
      <x:c r="L12" s="31" t="str"/>
      <x:c r="M12" s="31" t="str"/>
      <x:c r="N12" s="31" t="str"/>
    </x:row>
    <x:row r="13" ht="42" customHeight="1">
      <x:c r="A13" s="35" t="n">
        <x:v>11</x:v>
      </x:c>
      <x:c r="B13" s="31" t="str">
        <x:f>IF('Execution Checklist'!Q13="","",'Execution Checklist'!Q13)</x:f>
      </x:c>
      <x:c r="C13" s="31" t="str">
        <x:v>Place the open yellow-white striped cup in the bowl.</x:v>
      </x:c>
      <x:c r="D13" s="31" t="str">
        <x:v>yellow-white striped cup B</x:v>
      </x:c>
      <x:c r="E13" s="31" t="str">
        <x:v>Binary success for the counterfactual instruction and paired action-switch analysis versus the parent.</x:v>
      </x:c>
      <x:c r="F13" s="31"/>
      <x:c r="G13" s="31"/>
      <x:c r="H13" s="31" t="str">
        <x:f>IF(OR(F13="",G13=""),"",IF(F13=G13,"Agree","Disagree"))</x:f>
      </x:c>
      <x:c r="I13" s="31"/>
      <x:c r="J13" s="31" t="str">
        <x:v>No</x:v>
      </x:c>
      <x:c r="K13" s="31" t="str"/>
      <x:c r="L13" s="31" t="str"/>
      <x:c r="M13" s="31" t="str"/>
      <x:c r="N13" s="31" t="str"/>
    </x:row>
    <x:row r="14" ht="42" customHeight="1">
      <x:c r="A14" s="35" t="n">
        <x:v>12</x:v>
      </x:c>
      <x:c r="B14" s="31" t="str">
        <x:f>IF('Execution Checklist'!Q14="","",'Execution Checklist'!Q14)</x:f>
      </x:c>
      <x:c r="C14" s="31" t="str">
        <x:v>Place the closed glass spice container in the bowl.</x:v>
      </x:c>
      <x:c r="D14" s="31" t="str">
        <x:v>glass spice container B</x:v>
      </x:c>
      <x:c r="E14" s="31" t="str">
        <x:v>Binary task success; paired with the main matched-control row.</x:v>
      </x:c>
      <x:c r="F14" s="31"/>
      <x:c r="G14" s="31"/>
      <x:c r="H14" s="31" t="str">
        <x:f>IF(OR(F14="",G14=""),"",IF(F14=G14,"Agree","Disagree"))</x:f>
      </x:c>
      <x:c r="I14" s="31"/>
      <x:c r="J14" s="31" t="str">
        <x:v>No</x:v>
      </x:c>
      <x:c r="K14" s="31" t="str"/>
      <x:c r="L14" s="31" t="str"/>
      <x:c r="M14" s="31" t="str"/>
      <x:c r="N14" s="31" t="str"/>
    </x:row>
    <x:row r="15" ht="42" customHeight="1">
      <x:c r="A15" s="35" t="n">
        <x:v>13</x:v>
      </x:c>
      <x:c r="B15" s="31" t="str">
        <x:f>IF('Execution Checklist'!Q15="","",'Execution Checklist'!Q15)</x:f>
      </x:c>
      <x:c r="C15" s="31" t="str">
        <x:v>Find the white cup with its opening uncovered and move it into the bowl.</x:v>
      </x:c>
      <x:c r="D15" s="31" t="str">
        <x:v>white cup B</x:v>
      </x:c>
      <x:c r="E15" s="31" t="str">
        <x:v>Binary task success; compare with the seen-language row sharing Pair ID.</x:v>
      </x:c>
      <x:c r="F15" s="31"/>
      <x:c r="G15" s="31"/>
      <x:c r="H15" s="31" t="str">
        <x:f>IF(OR(F15="",G15=""),"",IF(F15=G15,"Agree","Disagree"))</x:f>
      </x:c>
      <x:c r="I15" s="31"/>
      <x:c r="J15" s="31" t="str">
        <x:v>No</x:v>
      </x:c>
      <x:c r="K15" s="31" t="str"/>
      <x:c r="L15" s="31" t="str"/>
      <x:c r="M15" s="31" t="str"/>
      <x:c r="N15" s="31" t="str"/>
    </x:row>
    <x:row r="16" ht="42" customHeight="1">
      <x:c r="A16" s="35" t="n">
        <x:v>14</x:v>
      </x:c>
      <x:c r="B16" s="31" t="str">
        <x:f>IF('Execution Checklist'!Q16="","",'Execution Checklist'!Q16)</x:f>
      </x:c>
      <x:c r="C16" s="31" t="str">
        <x:v>Place the open white cup in the bowl.</x:v>
      </x:c>
      <x:c r="D16" s="31" t="str">
        <x:v>white cup B</x:v>
      </x:c>
      <x:c r="E16" s="31" t="str">
        <x:v>Binary task success using the task-specific rubric.</x:v>
      </x:c>
      <x:c r="F16" s="31"/>
      <x:c r="G16" s="31"/>
      <x:c r="H16" s="31" t="str">
        <x:f>IF(OR(F16="",G16=""),"",IF(F16=G16,"Agree","Disagree"))</x:f>
      </x:c>
      <x:c r="I16" s="31"/>
      <x:c r="J16" s="31" t="str">
        <x:v>No</x:v>
      </x:c>
      <x:c r="K16" s="31" t="str"/>
      <x:c r="L16" s="31" t="str"/>
      <x:c r="M16" s="31" t="str"/>
      <x:c r="N16" s="31" t="str"/>
    </x:row>
    <x:row r="17" ht="42" customHeight="1">
      <x:c r="A17" s="35" t="n">
        <x:v>15</x:v>
      </x:c>
      <x:c r="B17" s="31" t="str">
        <x:f>IF('Execution Checklist'!Q17="","",'Execution Checklist'!Q17)</x:f>
      </x:c>
      <x:c r="C17" s="31" t="str">
        <x:v>Place the closed brown cup in the bowl.</x:v>
      </x:c>
      <x:c r="D17" s="31" t="str">
        <x:v>brown cup A</x:v>
      </x:c>
      <x:c r="E17" s="31" t="str">
        <x:v>Binary task success; paired with the main matched-control row.</x:v>
      </x:c>
      <x:c r="F17" s="31"/>
      <x:c r="G17" s="31"/>
      <x:c r="H17" s="31" t="str">
        <x:f>IF(OR(F17="",G17=""),"",IF(F17=G17,"Agree","Disagree"))</x:f>
      </x:c>
      <x:c r="I17" s="31"/>
      <x:c r="J17" s="31" t="str">
        <x:v>No</x:v>
      </x:c>
      <x:c r="K17" s="31" t="str"/>
      <x:c r="L17" s="31" t="str"/>
      <x:c r="M17" s="31" t="str"/>
      <x:c r="N17" s="31" t="str"/>
    </x:row>
    <x:row r="18" ht="42" customHeight="1">
      <x:c r="A18" s="35" t="n">
        <x:v>16</x:v>
      </x:c>
      <x:c r="B18" s="31" t="str">
        <x:f>IF('Execution Checklist'!Q18="","",'Execution Checklist'!Q18)</x:f>
      </x:c>
      <x:c r="C18" s="31" t="str">
        <x:v>Place the closed yellow-white striped cup in the bowl.</x:v>
      </x:c>
      <x:c r="D18" s="31" t="str">
        <x:v>yellow-white striped cup A</x:v>
      </x:c>
      <x:c r="E18" s="31" t="str">
        <x:v>Binary task success; paired with the main matched-control row.</x:v>
      </x:c>
      <x:c r="F18" s="31"/>
      <x:c r="G18" s="31"/>
      <x:c r="H18" s="31" t="str">
        <x:f>IF(OR(F18="",G18=""),"",IF(F18=G18,"Agree","Disagree"))</x:f>
      </x:c>
      <x:c r="I18" s="31"/>
      <x:c r="J18" s="31" t="str">
        <x:v>No</x:v>
      </x:c>
      <x:c r="K18" s="31" t="str"/>
      <x:c r="L18" s="31" t="str"/>
      <x:c r="M18" s="31" t="str"/>
      <x:c r="N18" s="31" t="str"/>
    </x:row>
    <x:row r="19" ht="42" customHeight="1">
      <x:c r="A19" s="35" t="n">
        <x:v>17</x:v>
      </x:c>
      <x:c r="B19" s="31" t="str">
        <x:f>IF('Execution Checklist'!Q19="","",'Execution Checklist'!Q19)</x:f>
      </x:c>
      <x:c r="C19" s="31" t="str">
        <x:v>Place the open glass spice container in the bowl.</x:v>
      </x:c>
      <x:c r="D19" s="31" t="str">
        <x:v>glass spice container A</x:v>
      </x:c>
      <x:c r="E19" s="31" t="str">
        <x:v>Binary success for the counterfactual instruction and paired action-switch analysis versus the parent.</x:v>
      </x:c>
      <x:c r="F19" s="31"/>
      <x:c r="G19" s="31"/>
      <x:c r="H19" s="31" t="str">
        <x:f>IF(OR(F19="",G19=""),"",IF(F19=G19,"Agree","Disagree"))</x:f>
      </x:c>
      <x:c r="I19" s="31"/>
      <x:c r="J19" s="31" t="str">
        <x:v>No</x:v>
      </x:c>
      <x:c r="K19" s="31" t="str"/>
      <x:c r="L19" s="31" t="str"/>
      <x:c r="M19" s="31" t="str"/>
      <x:c r="N19" s="31" t="str"/>
    </x:row>
    <x:row r="20" ht="42" customHeight="1">
      <x:c r="A20" s="35" t="n">
        <x:v>18</x:v>
      </x:c>
      <x:c r="B20" s="31" t="str">
        <x:f>IF('Execution Checklist'!Q20="","",'Execution Checklist'!Q20)</x:f>
      </x:c>
      <x:c r="C20" s="31" t="str">
        <x:v>Put the inverted white cup into the bowl.</x:v>
      </x:c>
      <x:c r="D20" s="31" t="str">
        <x:v>white cup A</x:v>
      </x:c>
      <x:c r="E20" s="31" t="str">
        <x:v>Binary task success; compare with the seen-language row sharing Pair ID.</x:v>
      </x:c>
      <x:c r="F20" s="31"/>
      <x:c r="G20" s="31"/>
      <x:c r="H20" s="31" t="str">
        <x:f>IF(OR(F20="",G20=""),"",IF(F20=G20,"Agree","Disagree"))</x:f>
      </x:c>
      <x:c r="I20" s="31"/>
      <x:c r="J20" s="31" t="str">
        <x:v>No</x:v>
      </x:c>
      <x:c r="K20" s="31" t="str"/>
      <x:c r="L20" s="31" t="str"/>
      <x:c r="M20" s="31" t="str"/>
      <x:c r="N20" s="31" t="str"/>
    </x:row>
    <x:row r="21" ht="42" customHeight="1">
      <x:c r="A21" s="35" t="n">
        <x:v>19</x:v>
      </x:c>
      <x:c r="B21" s="31" t="str">
        <x:f>IF('Execution Checklist'!Q21="","",'Execution Checklist'!Q21)</x:f>
      </x:c>
      <x:c r="C21" s="31" t="str">
        <x:v>Move the open brown cup into the bowl.</x:v>
      </x:c>
      <x:c r="D21" s="31" t="str">
        <x:v>brown cup B</x:v>
      </x:c>
      <x:c r="E21" s="31" t="str">
        <x:v>Binary task success using the task-specific rubric.</x:v>
      </x:c>
      <x:c r="F21" s="31"/>
      <x:c r="G21" s="31"/>
      <x:c r="H21" s="31" t="str">
        <x:f>IF(OR(F21="",G21=""),"",IF(F21=G21,"Agree","Disagree"))</x:f>
      </x:c>
      <x:c r="I21" s="31"/>
      <x:c r="J21" s="31" t="str">
        <x:v>No</x:v>
      </x:c>
      <x:c r="K21" s="31" t="str"/>
      <x:c r="L21" s="31" t="str"/>
      <x:c r="M21" s="31" t="str"/>
      <x:c r="N21" s="31" t="str"/>
    </x:row>
    <x:row r="22" ht="42" customHeight="1">
      <x:c r="A22" s="35" t="n">
        <x:v>20</x:v>
      </x:c>
      <x:c r="B22" s="31" t="str">
        <x:f>IF('Execution Checklist'!Q22="","",'Execution Checklist'!Q22)</x:f>
      </x:c>
      <x:c r="C22" s="31" t="str">
        <x:v>Place the upside-down glass spice container in the bowl.</x:v>
      </x:c>
      <x:c r="D22" s="31" t="str">
        <x:v>glass spice container B</x:v>
      </x:c>
      <x:c r="E22" s="31" t="str">
        <x:v>Binary task success using the task-specific rubric.</x:v>
      </x:c>
      <x:c r="F22" s="31"/>
      <x:c r="G22" s="31"/>
      <x:c r="H22" s="31" t="str">
        <x:f>IF(OR(F22="",G22=""),"",IF(F22=G22,"Agree","Disagree"))</x:f>
      </x:c>
      <x:c r="I22" s="31"/>
      <x:c r="J22" s="31" t="str">
        <x:v>No</x:v>
      </x:c>
      <x:c r="K22" s="31" t="str"/>
      <x:c r="L22" s="31" t="str"/>
      <x:c r="M22" s="31" t="str"/>
      <x:c r="N22" s="31" t="str"/>
    </x:row>
    <x:row r="23" ht="42" customHeight="1">
      <x:c r="A23" s="35" t="n">
        <x:v>21</x:v>
      </x:c>
      <x:c r="B23" s="31" t="str">
        <x:f>IF('Execution Checklist'!Q23="","",'Execution Checklist'!Q23)</x:f>
      </x:c>
      <x:c r="C23" s="31" t="str">
        <x:v>Put a brown cup in the bowl.</x:v>
      </x:c>
      <x:c r="D23" s="31" t="str">
        <x:v>brown cup B</x:v>
      </x:c>
      <x:c r="E23" s="31" t="str">
        <x:v>Binary task success using the task-specific rubric.</x:v>
      </x:c>
      <x:c r="F23" s="31"/>
      <x:c r="G23" s="31"/>
      <x:c r="H23" s="31" t="str">
        <x:f>IF(OR(F23="",G23=""),"",IF(F23=G23,"Agree","Disagree"))</x:f>
      </x:c>
      <x:c r="I23" s="31"/>
      <x:c r="J23" s="31" t="str">
        <x:v>No</x:v>
      </x:c>
      <x:c r="K23" s="31" t="str"/>
      <x:c r="L23" s="31" t="str"/>
      <x:c r="M23" s="31" t="str"/>
      <x:c r="N23" s="31" t="str"/>
    </x:row>
    <x:row r="24" ht="42" customHeight="1">
      <x:c r="A24" s="35" t="n">
        <x:v>22</x:v>
      </x:c>
      <x:c r="B24" s="31" t="str">
        <x:f>IF('Execution Checklist'!Q24="","",'Execution Checklist'!Q24)</x:f>
      </x:c>
      <x:c r="C24" s="31" t="str">
        <x:v>Place the upright glass spice container in the bowl.</x:v>
      </x:c>
      <x:c r="D24" s="31" t="str">
        <x:v>glass spice container A</x:v>
      </x:c>
      <x:c r="E24" s="31" t="str">
        <x:v>Binary task success; paired with the main matched-control row.</x:v>
      </x:c>
      <x:c r="F24" s="31"/>
      <x:c r="G24" s="31"/>
      <x:c r="H24" s="31" t="str">
        <x:f>IF(OR(F24="",G24=""),"",IF(F24=G24,"Agree","Disagree"))</x:f>
      </x:c>
      <x:c r="I24" s="31"/>
      <x:c r="J24" s="31" t="str">
        <x:v>No</x:v>
      </x:c>
      <x:c r="K24" s="31" t="str"/>
      <x:c r="L24" s="31" t="str"/>
      <x:c r="M24" s="31" t="str"/>
      <x:c r="N24" s="31" t="str"/>
    </x:row>
    <x:row r="25" ht="42" customHeight="1">
      <x:c r="A25" s="35" t="n">
        <x:v>23</x:v>
      </x:c>
      <x:c r="B25" s="31" t="str">
        <x:f>IF('Execution Checklist'!Q25="","",'Execution Checklist'!Q25)</x:f>
      </x:c>
      <x:c r="C25" s="31" t="str">
        <x:v>Place the closed glass spice container in the bowl.</x:v>
      </x:c>
      <x:c r="D25" s="31" t="str">
        <x:v>glass spice container B</x:v>
      </x:c>
      <x:c r="E25" s="31" t="str">
        <x:v>Binary task success; paired with the main matched-control row.</x:v>
      </x:c>
      <x:c r="F25" s="31"/>
      <x:c r="G25" s="31"/>
      <x:c r="H25" s="31" t="str">
        <x:f>IF(OR(F25="",G25=""),"",IF(F25=G25,"Agree","Disagree"))</x:f>
      </x:c>
      <x:c r="I25" s="31"/>
      <x:c r="J25" s="31" t="str">
        <x:v>No</x:v>
      </x:c>
      <x:c r="K25" s="31" t="str"/>
      <x:c r="L25" s="31" t="str"/>
      <x:c r="M25" s="31" t="str"/>
      <x:c r="N25" s="31" t="str"/>
    </x:row>
    <x:row r="26" ht="42" customHeight="1">
      <x:c r="A26" s="35" t="n">
        <x:v>24</x:v>
      </x:c>
      <x:c r="B26" s="31" t="str">
        <x:f>IF('Execution Checklist'!Q26="","",'Execution Checklist'!Q26)</x:f>
      </x:c>
      <x:c r="C26" s="31" t="str">
        <x:v>Place the closed yellow-white striped cup in the bowl.</x:v>
      </x:c>
      <x:c r="D26" s="31" t="str">
        <x:v>No prespecified task success under blank language; record any action/selected target.</x:v>
      </x:c>
      <x:c r="E26" s="31" t="str">
        <x:v>Do not score ordinary task success. Record action occurrence and agreement with the parent correct-prompt rollout.</x:v>
      </x:c>
      <x:c r="F26" s="31"/>
      <x:c r="G26" s="31"/>
      <x:c r="H26" s="31" t="str">
        <x:f>IF(OR(F26="",G26=""),"",IF(F26=G26,"Agree","Disagree"))</x:f>
      </x:c>
      <x:c r="I26" s="31"/>
      <x:c r="J26" s="31" t="str">
        <x:v>No</x:v>
      </x:c>
      <x:c r="K26" s="31" t="str"/>
      <x:c r="L26" s="31" t="str"/>
      <x:c r="M26" s="31" t="str"/>
      <x:c r="N26" s="31" t="str"/>
    </x:row>
    <x:row r="27" ht="42" customHeight="1">
      <x:c r="A27" s="35" t="n">
        <x:v>25</x:v>
      </x:c>
      <x:c r="B27" s="31" t="str">
        <x:f>IF('Execution Checklist'!Q27="","",'Execution Checklist'!Q27)</x:f>
      </x:c>
      <x:c r="C27" s="31" t="str">
        <x:v>Place a white cup in the bowl.</x:v>
      </x:c>
      <x:c r="D27" s="31" t="str">
        <x:v>white cup A</x:v>
      </x:c>
      <x:c r="E27" s="31" t="str">
        <x:v>Binary task success; paired with the main transfer row.</x:v>
      </x:c>
      <x:c r="F27" s="31"/>
      <x:c r="G27" s="31"/>
      <x:c r="H27" s="31" t="str">
        <x:f>IF(OR(F27="",G27=""),"",IF(F27=G27,"Agree","Disagree"))</x:f>
      </x:c>
      <x:c r="I27" s="31"/>
      <x:c r="J27" s="31" t="str">
        <x:v>No</x:v>
      </x:c>
      <x:c r="K27" s="31" t="str"/>
      <x:c r="L27" s="31" t="str"/>
      <x:c r="M27" s="31" t="str"/>
      <x:c r="N27" s="31" t="str"/>
    </x:row>
    <x:row r="28" ht="42" customHeight="1">
      <x:c r="A28" s="35" t="n">
        <x:v>26</x:v>
      </x:c>
      <x:c r="B28" s="31" t="str">
        <x:f>IF('Execution Checklist'!Q28="","",'Execution Checklist'!Q28)</x:f>
      </x:c>
      <x:c r="C28" s="31" t="str">
        <x:v>Put the open glass spice container in the bowl.</x:v>
      </x:c>
      <x:c r="D28" s="31" t="str">
        <x:v>glass spice container B</x:v>
      </x:c>
      <x:c r="E28" s="31" t="str">
        <x:v>Binary task success using the task-specific rubric.</x:v>
      </x:c>
      <x:c r="F28" s="31"/>
      <x:c r="G28" s="31"/>
      <x:c r="H28" s="31" t="str">
        <x:f>IF(OR(F28="",G28=""),"",IF(F28=G28,"Agree","Disagree"))</x:f>
      </x:c>
      <x:c r="I28" s="31"/>
      <x:c r="J28" s="31" t="str">
        <x:v>No</x:v>
      </x:c>
      <x:c r="K28" s="31" t="str"/>
      <x:c r="L28" s="31" t="str"/>
      <x:c r="M28" s="31" t="str"/>
      <x:c r="N28" s="31" t="str"/>
    </x:row>
    <x:row r="29" ht="42" customHeight="1">
      <x:c r="A29" s="35" t="n">
        <x:v>27</x:v>
      </x:c>
      <x:c r="B29" s="31" t="str">
        <x:f>IF('Execution Checklist'!Q29="","",'Execution Checklist'!Q29)</x:f>
      </x:c>
      <x:c r="C29" s="31" t="str">
        <x:v>Place the closed white cup in the bowl.</x:v>
      </x:c>
      <x:c r="D29" s="31" t="str">
        <x:v>white cup A</x:v>
      </x:c>
      <x:c r="E29" s="31" t="str">
        <x:v>Binary task success; paired with the main matched-control row.</x:v>
      </x:c>
      <x:c r="F29" s="31"/>
      <x:c r="G29" s="31"/>
      <x:c r="H29" s="31" t="str">
        <x:f>IF(OR(F29="",G29=""),"",IF(F29=G29,"Agree","Disagree"))</x:f>
      </x:c>
      <x:c r="I29" s="31"/>
      <x:c r="J29" s="31" t="str">
        <x:v>No</x:v>
      </x:c>
      <x:c r="K29" s="31" t="str"/>
      <x:c r="L29" s="31" t="str"/>
      <x:c r="M29" s="31" t="str"/>
      <x:c r="N29" s="31" t="str"/>
    </x:row>
    <x:row r="30" ht="42" customHeight="1">
      <x:c r="A30" s="35" t="n">
        <x:v>28</x:v>
      </x:c>
      <x:c r="B30" s="31" t="str">
        <x:f>IF('Execution Checklist'!Q30="","",'Execution Checklist'!Q30)</x:f>
      </x:c>
      <x:c r="C30" s="31" t="str">
        <x:v>Place the closed yellow-white striped cup in the bowl.</x:v>
      </x:c>
      <x:c r="D30" s="31" t="str">
        <x:v>yellow-white striped cup A</x:v>
      </x:c>
      <x:c r="E30" s="31" t="str">
        <x:v>Binary task success; paired with the main matched-control row.</x:v>
      </x:c>
      <x:c r="F30" s="31"/>
      <x:c r="G30" s="31"/>
      <x:c r="H30" s="31" t="str">
        <x:f>IF(OR(F30="",G30=""),"",IF(F30=G30,"Agree","Disagree"))</x:f>
      </x:c>
      <x:c r="I30" s="31"/>
      <x:c r="J30" s="31" t="str">
        <x:v>No</x:v>
      </x:c>
      <x:c r="K30" s="31" t="str"/>
      <x:c r="L30" s="31" t="str"/>
      <x:c r="M30" s="31" t="str"/>
      <x:c r="N30" s="31" t="str"/>
    </x:row>
    <x:row r="31" ht="42" customHeight="1">
      <x:c r="A31" s="35" t="n">
        <x:v>29</x:v>
      </x:c>
      <x:c r="B31" s="31" t="str">
        <x:f>IF('Execution Checklist'!Q31="","",'Execution Checklist'!Q31)</x:f>
      </x:c>
      <x:c r="C31" s="31" t="str">
        <x:v>Place the upright brown cup in the bowl.</x:v>
      </x:c>
      <x:c r="D31" s="31" t="str">
        <x:v>brown cup B</x:v>
      </x:c>
      <x:c r="E31" s="31" t="str">
        <x:v>Binary task success; paired with the main matched-control row.</x:v>
      </x:c>
      <x:c r="F31" s="31"/>
      <x:c r="G31" s="31"/>
      <x:c r="H31" s="31" t="str">
        <x:f>IF(OR(F31="",G31=""),"",IF(F31=G31,"Agree","Disagree"))</x:f>
      </x:c>
      <x:c r="I31" s="31"/>
      <x:c r="J31" s="31" t="str">
        <x:v>No</x:v>
      </x:c>
      <x:c r="K31" s="31" t="str"/>
      <x:c r="L31" s="31" t="str"/>
      <x:c r="M31" s="31" t="str"/>
      <x:c r="N31" s="31" t="str"/>
    </x:row>
    <x:row r="32" ht="42" customHeight="1">
      <x:c r="A32" s="35" t="n">
        <x:v>30</x:v>
      </x:c>
      <x:c r="B32" s="31" t="str">
        <x:f>IF('Execution Checklist'!Q32="","",'Execution Checklist'!Q32)</x:f>
      </x:c>
      <x:c r="C32" s="31" t="str">
        <x:v>Place the upside-down white cup in the bowl.</x:v>
      </x:c>
      <x:c r="D32" s="31" t="str">
        <x:v>white cup A</x:v>
      </x:c>
      <x:c r="E32" s="31" t="str">
        <x:v>Binary task success using the task-specific rubric.</x:v>
      </x:c>
      <x:c r="F32" s="31"/>
      <x:c r="G32" s="31"/>
      <x:c r="H32" s="31" t="str">
        <x:f>IF(OR(F32="",G32=""),"",IF(F32=G32,"Agree","Disagree"))</x:f>
      </x:c>
      <x:c r="I32" s="31"/>
      <x:c r="J32" s="31" t="str">
        <x:v>No</x:v>
      </x:c>
      <x:c r="K32" s="31" t="str"/>
      <x:c r="L32" s="31" t="str"/>
      <x:c r="M32" s="31" t="str"/>
      <x:c r="N32" s="31" t="str"/>
    </x:row>
    <x:row r="33" ht="42" customHeight="1">
      <x:c r="A33" s="35" t="n">
        <x:v>31</x:v>
      </x:c>
      <x:c r="B33" s="31" t="str">
        <x:f>IF('Execution Checklist'!Q33="","",'Execution Checklist'!Q33)</x:f>
      </x:c>
      <x:c r="C33" s="31" t="str">
        <x:v>Place a glass spice container in the bowl.</x:v>
      </x:c>
      <x:c r="D33" s="31" t="str">
        <x:v>glass spice container B</x:v>
      </x:c>
      <x:c r="E33" s="31" t="str">
        <x:v>Binary task success; paired with the main transfer row.</x:v>
      </x:c>
      <x:c r="F33" s="31"/>
      <x:c r="G33" s="31"/>
      <x:c r="H33" s="31" t="str">
        <x:f>IF(OR(F33="",G33=""),"",IF(F33=G33,"Agree","Disagree"))</x:f>
      </x:c>
      <x:c r="I33" s="31"/>
      <x:c r="J33" s="31" t="str">
        <x:v>No</x:v>
      </x:c>
      <x:c r="K33" s="31" t="str"/>
      <x:c r="L33" s="31" t="str"/>
      <x:c r="M33" s="31" t="str"/>
      <x:c r="N33" s="31" t="str"/>
    </x:row>
    <x:row r="34" ht="42" customHeight="1">
      <x:c r="A34" s="35" t="n">
        <x:v>32</x:v>
      </x:c>
      <x:c r="B34" s="31" t="str">
        <x:f>IF('Execution Checklist'!Q34="","",'Execution Checklist'!Q34)</x:f>
      </x:c>
      <x:c r="C34" s="31" t="str">
        <x:v>Move the white cup that is open into the bowl.</x:v>
      </x:c>
      <x:c r="D34" s="31" t="str">
        <x:v>white cup B</x:v>
      </x:c>
      <x:c r="E34" s="31" t="str">
        <x:v>Binary task success; compare with the seen-language row sharing Pair ID.</x:v>
      </x:c>
      <x:c r="F34" s="31"/>
      <x:c r="G34" s="31"/>
      <x:c r="H34" s="31" t="str">
        <x:f>IF(OR(F34="",G34=""),"",IF(F34=G34,"Agree","Disagree"))</x:f>
      </x:c>
      <x:c r="I34" s="31"/>
      <x:c r="J34" s="31" t="str">
        <x:v>No</x:v>
      </x:c>
      <x:c r="K34" s="31" t="str"/>
      <x:c r="L34" s="31" t="str"/>
      <x:c r="M34" s="31" t="str"/>
      <x:c r="N34" s="31" t="str"/>
    </x:row>
    <x:row r="35" ht="42" customHeight="1">
      <x:c r="A35" s="35" t="n">
        <x:v>33</x:v>
      </x:c>
      <x:c r="B35" s="31" t="str">
        <x:f>IF('Execution Checklist'!Q35="","",'Execution Checklist'!Q35)</x:f>
      </x:c>
      <x:c r="C35" s="31" t="str">
        <x:v>Place a yellow-white striped cup in the bowl.</x:v>
      </x:c>
      <x:c r="D35" s="31" t="str">
        <x:v>yellow-white striped cup B</x:v>
      </x:c>
      <x:c r="E35" s="31" t="str">
        <x:v>Binary task success; paired with the main transfer row.</x:v>
      </x:c>
      <x:c r="F35" s="31"/>
      <x:c r="G35" s="31"/>
      <x:c r="H35" s="31" t="str">
        <x:f>IF(OR(F35="",G35=""),"",IF(F35=G35,"Agree","Disagree"))</x:f>
      </x:c>
      <x:c r="I35" s="31"/>
      <x:c r="J35" s="31" t="str">
        <x:v>No</x:v>
      </x:c>
      <x:c r="K35" s="31" t="str"/>
      <x:c r="L35" s="31" t="str"/>
      <x:c r="M35" s="31" t="str"/>
      <x:c r="N35" s="31" t="str"/>
    </x:row>
    <x:row r="36" ht="42" customHeight="1">
      <x:c r="A36" s="35" t="n">
        <x:v>34</x:v>
      </x:c>
      <x:c r="B36" s="31" t="str">
        <x:f>IF('Execution Checklist'!Q36="","",'Execution Checklist'!Q36)</x:f>
      </x:c>
      <x:c r="C36" s="31" t="str">
        <x:v>Place the upright yellow-white striped cup in the bowl.</x:v>
      </x:c>
      <x:c r="D36" s="31" t="str">
        <x:v>yellow-white striped cup B</x:v>
      </x:c>
      <x:c r="E36" s="31" t="str">
        <x:v>Binary task success; paired with the main matched-control row.</x:v>
      </x:c>
      <x:c r="F36" s="31"/>
      <x:c r="G36" s="31"/>
      <x:c r="H36" s="31" t="str">
        <x:f>IF(OR(F36="",G36=""),"",IF(F36=G36,"Agree","Disagree"))</x:f>
      </x:c>
      <x:c r="I36" s="31"/>
      <x:c r="J36" s="31" t="str">
        <x:v>No</x:v>
      </x:c>
      <x:c r="K36" s="31" t="str"/>
      <x:c r="L36" s="31" t="str"/>
      <x:c r="M36" s="31" t="str"/>
      <x:c r="N36" s="31" t="str"/>
    </x:row>
    <x:row r="37" ht="42" customHeight="1">
      <x:c r="A37" s="35" t="n">
        <x:v>35</x:v>
      </x:c>
      <x:c r="B37" s="31" t="str">
        <x:f>IF('Execution Checklist'!Q37="","",'Execution Checklist'!Q37)</x:f>
      </x:c>
      <x:c r="C37" s="31" t="str">
        <x:v>Place the closed brown cup in the bowl.</x:v>
      </x:c>
      <x:c r="D37" s="31" t="str">
        <x:v>No prespecified task success under blank language; record any action/selected target.</x:v>
      </x:c>
      <x:c r="E37" s="31" t="str">
        <x:v>Do not score ordinary task success. Record action occurrence and agreement with the parent correct-prompt rollout.</x:v>
      </x:c>
      <x:c r="F37" s="31"/>
      <x:c r="G37" s="31"/>
      <x:c r="H37" s="31" t="str">
        <x:f>IF(OR(F37="",G37=""),"",IF(F37=G37,"Agree","Disagree"))</x:f>
      </x:c>
      <x:c r="I37" s="31"/>
      <x:c r="J37" s="31" t="str">
        <x:v>No</x:v>
      </x:c>
      <x:c r="K37" s="31" t="str"/>
      <x:c r="L37" s="31" t="str"/>
      <x:c r="M37" s="31" t="str"/>
      <x:c r="N37" s="31" t="str"/>
    </x:row>
    <x:row r="38" ht="42" customHeight="1">
      <x:c r="A38" s="35" t="n">
        <x:v>36</x:v>
      </x:c>
      <x:c r="B38" s="31" t="str">
        <x:f>IF('Execution Checklist'!Q38="","",'Execution Checklist'!Q38)</x:f>
      </x:c>
      <x:c r="C38" s="31" t="str">
        <x:v>Place a glass spice container in the bowl.</x:v>
      </x:c>
      <x:c r="D38" s="31" t="str">
        <x:v>glass spice container A</x:v>
      </x:c>
      <x:c r="E38" s="31" t="str">
        <x:v>Binary task success; paired with the main transfer row.</x:v>
      </x:c>
      <x:c r="F38" s="31"/>
      <x:c r="G38" s="31"/>
      <x:c r="H38" s="31" t="str">
        <x:f>IF(OR(F38="",G38=""),"",IF(F38=G38,"Agree","Disagree"))</x:f>
      </x:c>
      <x:c r="I38" s="31"/>
      <x:c r="J38" s="31" t="str">
        <x:v>No</x:v>
      </x:c>
      <x:c r="K38" s="31" t="str"/>
      <x:c r="L38" s="31" t="str"/>
      <x:c r="M38" s="31" t="str"/>
      <x:c r="N38" s="31" t="str"/>
    </x:row>
    <x:row r="39" ht="42" customHeight="1">
      <x:c r="A39" s="35" t="n">
        <x:v>37</x:v>
      </x:c>
      <x:c r="B39" s="31" t="str">
        <x:f>IF('Execution Checklist'!Q39="","",'Execution Checklist'!Q39)</x:f>
      </x:c>
      <x:c r="C39" s="31" t="str">
        <x:v>Move the overturned glass spice container into the bowl.</x:v>
      </x:c>
      <x:c r="D39" s="31" t="str">
        <x:v>glass spice container B</x:v>
      </x:c>
      <x:c r="E39" s="31" t="str">
        <x:v>Binary task success; compare with the seen-language row sharing Pair ID.</x:v>
      </x:c>
      <x:c r="F39" s="31"/>
      <x:c r="G39" s="31"/>
      <x:c r="H39" s="31" t="str">
        <x:f>IF(OR(F39="",G39=""),"",IF(F39=G39,"Agree","Disagree"))</x:f>
      </x:c>
      <x:c r="I39" s="31"/>
      <x:c r="J39" s="31" t="str">
        <x:v>No</x:v>
      </x:c>
      <x:c r="K39" s="31" t="str"/>
      <x:c r="L39" s="31" t="str"/>
      <x:c r="M39" s="31" t="str"/>
      <x:c r="N39" s="31" t="str"/>
    </x:row>
    <x:row r="40" ht="42" customHeight="1">
      <x:c r="A40" s="35" t="n">
        <x:v>38</x:v>
      </x:c>
      <x:c r="B40" s="31" t="str">
        <x:f>IF('Execution Checklist'!Q40="","",'Execution Checklist'!Q40)</x:f>
      </x:c>
      <x:c r="C40" s="31" t="str">
        <x:v>Move the open white cup into the bowl.</x:v>
      </x:c>
      <x:c r="D40" s="31" t="str">
        <x:v>white cup A</x:v>
      </x:c>
      <x:c r="E40" s="31" t="str">
        <x:v>Binary task success using the task-specific rubric.</x:v>
      </x:c>
      <x:c r="F40" s="31"/>
      <x:c r="G40" s="31"/>
      <x:c r="H40" s="31" t="str">
        <x:f>IF(OR(F40="",G40=""),"",IF(F40=G40,"Agree","Disagree"))</x:f>
      </x:c>
      <x:c r="I40" s="31"/>
      <x:c r="J40" s="31" t="str">
        <x:v>No</x:v>
      </x:c>
      <x:c r="K40" s="31" t="str"/>
      <x:c r="L40" s="31" t="str"/>
      <x:c r="M40" s="31" t="str"/>
      <x:c r="N40" s="31" t="str"/>
    </x:row>
    <x:row r="41" ht="42" customHeight="1">
      <x:c r="A41" s="35" t="n">
        <x:v>39</x:v>
      </x:c>
      <x:c r="B41" s="31" t="str">
        <x:f>IF('Execution Checklist'!Q41="","",'Execution Checklist'!Q41)</x:f>
      </x:c>
      <x:c r="C41" s="31" t="str">
        <x:v>Place the closed white cup in the bowl.</x:v>
      </x:c>
      <x:c r="D41" s="31" t="str">
        <x:v>No prespecified task success under blank language; record any action/selected target.</x:v>
      </x:c>
      <x:c r="E41" s="31" t="str">
        <x:v>Do not score ordinary task success. Record action occurrence and agreement with the parent correct-prompt rollout.</x:v>
      </x:c>
      <x:c r="F41" s="31"/>
      <x:c r="G41" s="31"/>
      <x:c r="H41" s="31" t="str">
        <x:f>IF(OR(F41="",G41=""),"",IF(F41=G41,"Agree","Disagree"))</x:f>
      </x:c>
      <x:c r="I41" s="31"/>
      <x:c r="J41" s="31" t="str">
        <x:v>No</x:v>
      </x:c>
      <x:c r="K41" s="31" t="str"/>
      <x:c r="L41" s="31" t="str"/>
      <x:c r="M41" s="31" t="str"/>
      <x:c r="N41" s="31" t="str"/>
    </x:row>
    <x:row r="42" ht="42" customHeight="1">
      <x:c r="A42" s="35" t="n">
        <x:v>40</x:v>
      </x:c>
      <x:c r="B42" s="31" t="str">
        <x:f>IF('Execution Checklist'!Q42="","",'Execution Checklist'!Q42)</x:f>
      </x:c>
      <x:c r="C42" s="31" t="str">
        <x:v>Place a yellow-white striped cup in the bowl.</x:v>
      </x:c>
      <x:c r="D42" s="31" t="str">
        <x:v>yellow-white striped cup A</x:v>
      </x:c>
      <x:c r="E42" s="31" t="str">
        <x:v>Binary task success; paired with the main transfer row.</x:v>
      </x:c>
      <x:c r="F42" s="31"/>
      <x:c r="G42" s="31"/>
      <x:c r="H42" s="31" t="str">
        <x:f>IF(OR(F42="",G42=""),"",IF(F42=G42,"Agree","Disagree"))</x:f>
      </x:c>
      <x:c r="I42" s="31"/>
      <x:c r="J42" s="31" t="str">
        <x:v>No</x:v>
      </x:c>
      <x:c r="K42" s="31" t="str"/>
      <x:c r="L42" s="31" t="str"/>
      <x:c r="M42" s="31" t="str"/>
      <x:c r="N42" s="31" t="str"/>
    </x:row>
    <x:row r="43" ht="42" customHeight="1">
      <x:c r="A43" s="35" t="n">
        <x:v>41</x:v>
      </x:c>
      <x:c r="B43" s="31" t="str">
        <x:f>IF('Execution Checklist'!Q43="","",'Execution Checklist'!Q43)</x:f>
      </x:c>
      <x:c r="C43" s="31" t="str">
        <x:v>Move the overturned white cup into the bowl.</x:v>
      </x:c>
      <x:c r="D43" s="31" t="str">
        <x:v>white cup A</x:v>
      </x:c>
      <x:c r="E43" s="31" t="str">
        <x:v>Binary task success; compare with the seen-language row sharing Pair ID.</x:v>
      </x:c>
      <x:c r="F43" s="31"/>
      <x:c r="G43" s="31"/>
      <x:c r="H43" s="31" t="str">
        <x:f>IF(OR(F43="",G43=""),"",IF(F43=G43,"Agree","Disagree"))</x:f>
      </x:c>
      <x:c r="I43" s="31"/>
      <x:c r="J43" s="31" t="str">
        <x:v>No</x:v>
      </x:c>
      <x:c r="K43" s="31" t="str"/>
      <x:c r="L43" s="31" t="str"/>
      <x:c r="M43" s="31" t="str"/>
      <x:c r="N43" s="31" t="str"/>
    </x:row>
    <x:row r="44" ht="42" customHeight="1">
      <x:c r="A44" s="35" t="n">
        <x:v>42</x:v>
      </x:c>
      <x:c r="B44" s="31" t="str">
        <x:f>IF('Execution Checklist'!Q44="","",'Execution Checklist'!Q44)</x:f>
      </x:c>
      <x:c r="C44" s="31" t="str">
        <x:v>Place the open white cup in the bowl.</x:v>
      </x:c>
      <x:c r="D44" s="31" t="str">
        <x:v>white cup B</x:v>
      </x:c>
      <x:c r="E44" s="31" t="str">
        <x:v>Binary success for the counterfactual instruction and paired action-switch analysis versus the parent.</x:v>
      </x:c>
      <x:c r="F44" s="31"/>
      <x:c r="G44" s="31"/>
      <x:c r="H44" s="31" t="str">
        <x:f>IF(OR(F44="",G44=""),"",IF(F44=G44,"Agree","Disagree"))</x:f>
      </x:c>
      <x:c r="I44" s="31"/>
      <x:c r="J44" s="31" t="str">
        <x:v>No</x:v>
      </x:c>
      <x:c r="K44" s="31" t="str"/>
      <x:c r="L44" s="31" t="str"/>
      <x:c r="M44" s="31" t="str"/>
      <x:c r="N44" s="31" t="str"/>
    </x:row>
    <x:row r="45" ht="42" customHeight="1">
      <x:c r="A45" s="35" t="n">
        <x:v>43</x:v>
      </x:c>
      <x:c r="B45" s="31" t="str">
        <x:f>IF('Execution Checklist'!Q45="","",'Execution Checklist'!Q45)</x:f>
      </x:c>
      <x:c r="C45" s="31" t="str">
        <x:v>Place a glass spice container in the bowl.</x:v>
      </x:c>
      <x:c r="D45" s="31" t="str">
        <x:v>glass spice container A</x:v>
      </x:c>
      <x:c r="E45" s="31" t="str">
        <x:v>Binary task success; paired with the main transfer row.</x:v>
      </x:c>
      <x:c r="F45" s="31"/>
      <x:c r="G45" s="31"/>
      <x:c r="H45" s="31" t="str">
        <x:f>IF(OR(F45="",G45=""),"",IF(F45=G45,"Agree","Disagree"))</x:f>
      </x:c>
      <x:c r="I45" s="31"/>
      <x:c r="J45" s="31" t="str">
        <x:v>No</x:v>
      </x:c>
      <x:c r="K45" s="31" t="str"/>
      <x:c r="L45" s="31" t="str"/>
      <x:c r="M45" s="31" t="str"/>
      <x:c r="N45" s="31" t="str"/>
    </x:row>
    <x:row r="46" ht="42" customHeight="1">
      <x:c r="A46" s="35" t="n">
        <x:v>44</x:v>
      </x:c>
      <x:c r="B46" s="31" t="str">
        <x:f>IF('Execution Checklist'!Q46="","",'Execution Checklist'!Q46)</x:f>
      </x:c>
      <x:c r="C46" s="31" t="str">
        <x:v>Place a glass spice container in the bowl.</x:v>
      </x:c>
      <x:c r="D46" s="31" t="str">
        <x:v>glass spice container B</x:v>
      </x:c>
      <x:c r="E46" s="31" t="str">
        <x:v>Binary task success; paired with the main transfer row.</x:v>
      </x:c>
      <x:c r="F46" s="31"/>
      <x:c r="G46" s="31"/>
      <x:c r="H46" s="31" t="str">
        <x:f>IF(OR(F46="",G46=""),"",IF(F46=G46,"Agree","Disagree"))</x:f>
      </x:c>
      <x:c r="I46" s="31"/>
      <x:c r="J46" s="31" t="str">
        <x:v>No</x:v>
      </x:c>
      <x:c r="K46" s="31" t="str"/>
      <x:c r="L46" s="31" t="str"/>
      <x:c r="M46" s="31" t="str"/>
      <x:c r="N46" s="31" t="str"/>
    </x:row>
    <x:row r="47" ht="42" customHeight="1">
      <x:c r="A47" s="35" t="n">
        <x:v>45</x:v>
      </x:c>
      <x:c r="B47" s="31" t="str">
        <x:f>IF('Execution Checklist'!Q47="","",'Execution Checklist'!Q47)</x:f>
      </x:c>
      <x:c r="C47" s="31" t="str">
        <x:v>Place the closed white cup in the bowl.</x:v>
      </x:c>
      <x:c r="D47" s="31" t="str">
        <x:v>white cup A</x:v>
      </x:c>
      <x:c r="E47" s="31" t="str">
        <x:v>Binary task success; paired with the main matched-control row.</x:v>
      </x:c>
      <x:c r="F47" s="31"/>
      <x:c r="G47" s="31"/>
      <x:c r="H47" s="31" t="str">
        <x:f>IF(OR(F47="",G47=""),"",IF(F47=G47,"Agree","Disagree"))</x:f>
      </x:c>
      <x:c r="I47" s="31"/>
      <x:c r="J47" s="31" t="str">
        <x:v>No</x:v>
      </x:c>
      <x:c r="K47" s="31" t="str"/>
      <x:c r="L47" s="31" t="str"/>
      <x:c r="M47" s="31" t="str"/>
      <x:c r="N47" s="31" t="str"/>
    </x:row>
    <x:row r="48" ht="42" customHeight="1">
      <x:c r="A48" s="35" t="n">
        <x:v>46</x:v>
      </x:c>
      <x:c r="B48" s="31" t="str">
        <x:f>IF('Execution Checklist'!Q48="","",'Execution Checklist'!Q48)</x:f>
      </x:c>
      <x:c r="C48" s="31" t="str">
        <x:v>Place the upright glass spice container in the bowl.</x:v>
      </x:c>
      <x:c r="D48" s="31" t="str">
        <x:v>glass spice container A</x:v>
      </x:c>
      <x:c r="E48" s="31" t="str">
        <x:v>Binary task success; paired with the main matched-control row.</x:v>
      </x:c>
      <x:c r="F48" s="31"/>
      <x:c r="G48" s="31"/>
      <x:c r="H48" s="31" t="str">
        <x:f>IF(OR(F48="",G48=""),"",IF(F48=G48,"Agree","Disagree"))</x:f>
      </x:c>
      <x:c r="I48" s="31"/>
      <x:c r="J48" s="31" t="str">
        <x:v>No</x:v>
      </x:c>
      <x:c r="K48" s="31" t="str"/>
      <x:c r="L48" s="31" t="str"/>
      <x:c r="M48" s="31" t="str"/>
      <x:c r="N48" s="31" t="str"/>
    </x:row>
    <x:row r="49" ht="42" customHeight="1">
      <x:c r="A49" s="35" t="n">
        <x:v>47</x:v>
      </x:c>
      <x:c r="B49" s="31" t="str">
        <x:f>IF('Execution Checklist'!Q49="","",'Execution Checklist'!Q49)</x:f>
      </x:c>
      <x:c r="C49" s="31" t="str">
        <x:v>Place a brown cup in the bowl.</x:v>
      </x:c>
      <x:c r="D49" s="31" t="str">
        <x:v>brown cup A</x:v>
      </x:c>
      <x:c r="E49" s="31" t="str">
        <x:v>Binary task success; paired with the main transfer row.</x:v>
      </x:c>
      <x:c r="F49" s="31"/>
      <x:c r="G49" s="31"/>
      <x:c r="H49" s="31" t="str">
        <x:f>IF(OR(F49="",G49=""),"",IF(F49=G49,"Agree","Disagree"))</x:f>
      </x:c>
      <x:c r="I49" s="31"/>
      <x:c r="J49" s="31" t="str">
        <x:v>No</x:v>
      </x:c>
      <x:c r="K49" s="31" t="str"/>
      <x:c r="L49" s="31" t="str"/>
      <x:c r="M49" s="31" t="str"/>
      <x:c r="N49" s="31" t="str"/>
    </x:row>
    <x:row r="50" ht="42" customHeight="1">
      <x:c r="A50" s="35" t="n">
        <x:v>48</x:v>
      </x:c>
      <x:c r="B50" s="31" t="str">
        <x:f>IF('Execution Checklist'!Q50="","",'Execution Checklist'!Q50)</x:f>
      </x:c>
      <x:c r="C50" s="31" t="str">
        <x:v>Place a yellow-white striped cup in the bowl.</x:v>
      </x:c>
      <x:c r="D50" s="31" t="str">
        <x:v>yellow-white striped cup A</x:v>
      </x:c>
      <x:c r="E50" s="31" t="str">
        <x:v>Binary task success; paired with the main transfer row.</x:v>
      </x:c>
      <x:c r="F50" s="31"/>
      <x:c r="G50" s="31"/>
      <x:c r="H50" s="31" t="str">
        <x:f>IF(OR(F50="",G50=""),"",IF(F50=G50,"Agree","Disagree"))</x:f>
      </x:c>
      <x:c r="I50" s="31"/>
      <x:c r="J50" s="31" t="str">
        <x:v>No</x:v>
      </x:c>
      <x:c r="K50" s="31" t="str"/>
      <x:c r="L50" s="31" t="str"/>
      <x:c r="M50" s="31" t="str"/>
      <x:c r="N50" s="31" t="str"/>
    </x:row>
    <x:row r="51" ht="42" customHeight="1">
      <x:c r="A51" s="35" t="n">
        <x:v>49</x:v>
      </x:c>
      <x:c r="B51" s="31" t="str">
        <x:f>IF('Execution Checklist'!Q51="","",'Execution Checklist'!Q51)</x:f>
      </x:c>
      <x:c r="C51" s="31" t="str">
        <x:v>Place a yellow-white striped cup in the bowl.</x:v>
      </x:c>
      <x:c r="D51" s="31" t="str">
        <x:v>yellow-white striped cup B</x:v>
      </x:c>
      <x:c r="E51" s="31" t="str">
        <x:v>Binary task success; paired with the main transfer row.</x:v>
      </x:c>
      <x:c r="F51" s="31"/>
      <x:c r="G51" s="31"/>
      <x:c r="H51" s="31" t="str">
        <x:f>IF(OR(F51="",G51=""),"",IF(F51=G51,"Agree","Disagree"))</x:f>
      </x:c>
      <x:c r="I51" s="31"/>
      <x:c r="J51" s="31" t="str">
        <x:v>No</x:v>
      </x:c>
      <x:c r="K51" s="31" t="str"/>
      <x:c r="L51" s="31" t="str"/>
      <x:c r="M51" s="31" t="str"/>
      <x:c r="N51" s="31" t="str"/>
    </x:row>
    <x:row r="52" ht="42" customHeight="1">
      <x:c r="A52" s="35" t="n">
        <x:v>50</x:v>
      </x:c>
      <x:c r="B52" s="31" t="str">
        <x:f>IF('Execution Checklist'!Q52="","",'Execution Checklist'!Q52)</x:f>
      </x:c>
      <x:c r="C52" s="31" t="str">
        <x:v>Place the open brown cup in the bowl.</x:v>
      </x:c>
      <x:c r="D52" s="31" t="str">
        <x:v>brown cup B</x:v>
      </x:c>
      <x:c r="E52" s="31" t="str">
        <x:v>Binary success for the counterfactual instruction and paired action-switch analysis versus the parent.</x:v>
      </x:c>
      <x:c r="F52" s="31"/>
      <x:c r="G52" s="31"/>
      <x:c r="H52" s="31" t="str">
        <x:f>IF(OR(F52="",G52=""),"",IF(F52=G52,"Agree","Disagree"))</x:f>
      </x:c>
      <x:c r="I52" s="31"/>
      <x:c r="J52" s="31" t="str">
        <x:v>No</x:v>
      </x:c>
      <x:c r="K52" s="31" t="str"/>
      <x:c r="L52" s="31" t="str"/>
      <x:c r="M52" s="31" t="str"/>
      <x:c r="N52" s="31" t="str"/>
    </x:row>
    <x:row r="53" ht="42" customHeight="1">
      <x:c r="A53" s="35" t="n">
        <x:v>51</x:v>
      </x:c>
      <x:c r="B53" s="31" t="str">
        <x:f>IF('Execution Checklist'!Q53="","",'Execution Checklist'!Q53)</x:f>
      </x:c>
      <x:c r="C53" s="31" t="str">
        <x:v>Place the closed glass spice container in the bowl.</x:v>
      </x:c>
      <x:c r="D53" s="31" t="str">
        <x:v>No prespecified task success under blank language; record any action/selected target.</x:v>
      </x:c>
      <x:c r="E53" s="31" t="str">
        <x:v>Do not score ordinary task success. Record action occurrence and agreement with the parent correct-prompt rollout.</x:v>
      </x:c>
      <x:c r="F53" s="31"/>
      <x:c r="G53" s="31"/>
      <x:c r="H53" s="31" t="str">
        <x:f>IF(OR(F53="",G53=""),"",IF(F53=G53,"Agree","Disagree"))</x:f>
      </x:c>
      <x:c r="I53" s="31"/>
      <x:c r="J53" s="31" t="str">
        <x:v>No</x:v>
      </x:c>
      <x:c r="K53" s="31" t="str"/>
      <x:c r="L53" s="31" t="str"/>
      <x:c r="M53" s="31" t="str"/>
      <x:c r="N53" s="31" t="str"/>
    </x:row>
    <x:row r="54" ht="42" customHeight="1">
      <x:c r="A54" s="35" t="n">
        <x:v>52</x:v>
      </x:c>
      <x:c r="B54" s="31" t="str">
        <x:f>IF('Execution Checklist'!Q54="","",'Execution Checklist'!Q54)</x:f>
      </x:c>
      <x:c r="C54" s="31" t="str">
        <x:v>Place a white cup in the bowl.</x:v>
      </x:c>
      <x:c r="D54" s="31" t="str">
        <x:v>white cup B</x:v>
      </x:c>
      <x:c r="E54" s="31" t="str">
        <x:v>Binary task success; paired with the main transfer row.</x:v>
      </x:c>
      <x:c r="F54" s="31"/>
      <x:c r="G54" s="31"/>
      <x:c r="H54" s="31" t="str">
        <x:f>IF(OR(F54="",G54=""),"",IF(F54=G54,"Agree","Disagree"))</x:f>
      </x:c>
      <x:c r="I54" s="31"/>
      <x:c r="J54" s="31" t="str">
        <x:v>No</x:v>
      </x:c>
      <x:c r="K54" s="31" t="str"/>
      <x:c r="L54" s="31" t="str"/>
      <x:c r="M54" s="31" t="str"/>
      <x:c r="N54" s="31" t="str"/>
    </x:row>
    <x:row r="55" ht="42" customHeight="1">
      <x:c r="A55" s="35" t="n">
        <x:v>53</x:v>
      </x:c>
      <x:c r="B55" s="31" t="str">
        <x:f>IF('Execution Checklist'!Q55="","",'Execution Checklist'!Q55)</x:f>
      </x:c>
      <x:c r="C55" s="31" t="str">
        <x:v>Place the open yellow-white striped cup in the bowl.</x:v>
      </x:c>
      <x:c r="D55" s="31" t="str">
        <x:v>yellow-white striped cup B</x:v>
      </x:c>
      <x:c r="E55" s="31" t="str">
        <x:v>Binary task success using the task-specific rubric.</x:v>
      </x:c>
      <x:c r="F55" s="31"/>
      <x:c r="G55" s="31"/>
      <x:c r="H55" s="31" t="str">
        <x:f>IF(OR(F55="",G55=""),"",IF(F55=G55,"Agree","Disagree"))</x:f>
      </x:c>
      <x:c r="I55" s="31"/>
      <x:c r="J55" s="31" t="str">
        <x:v>No</x:v>
      </x:c>
      <x:c r="K55" s="31" t="str"/>
      <x:c r="L55" s="31" t="str"/>
      <x:c r="M55" s="31" t="str"/>
      <x:c r="N55" s="31" t="str"/>
    </x:row>
    <x:row r="56" ht="42" customHeight="1">
      <x:c r="A56" s="35" t="n">
        <x:v>54</x:v>
      </x:c>
      <x:c r="B56" s="31" t="str">
        <x:f>IF('Execution Checklist'!Q56="","",'Execution Checklist'!Q56)</x:f>
      </x:c>
      <x:c r="C56" s="31" t="str">
        <x:v>Place the upright white cup in the bowl.</x:v>
      </x:c>
      <x:c r="D56" s="31" t="str">
        <x:v>white cup B</x:v>
      </x:c>
      <x:c r="E56" s="31" t="str">
        <x:v>Binary task success; paired with the main matched-control row.</x:v>
      </x:c>
      <x:c r="F56" s="31"/>
      <x:c r="G56" s="31"/>
      <x:c r="H56" s="31" t="str">
        <x:f>IF(OR(F56="",G56=""),"",IF(F56=G56,"Agree","Disagree"))</x:f>
      </x:c>
      <x:c r="I56" s="31"/>
      <x:c r="J56" s="31" t="str">
        <x:v>No</x:v>
      </x:c>
      <x:c r="K56" s="31" t="str"/>
      <x:c r="L56" s="31" t="str"/>
      <x:c r="M56" s="31" t="str"/>
      <x:c r="N56" s="31" t="str"/>
    </x:row>
    <x:row r="57" ht="42" customHeight="1">
      <x:c r="A57" s="35" t="n">
        <x:v>55</x:v>
      </x:c>
      <x:c r="B57" s="31" t="str">
        <x:f>IF('Execution Checklist'!Q57="","",'Execution Checklist'!Q57)</x:f>
      </x:c>
      <x:c r="C57" s="31" t="str">
        <x:v>Place the upside-down white cup in the bowl.</x:v>
      </x:c>
      <x:c r="D57" s="31" t="str">
        <x:v>white cup A</x:v>
      </x:c>
      <x:c r="E57" s="31" t="str">
        <x:v>Binary task success using the task-specific rubric.</x:v>
      </x:c>
      <x:c r="F57" s="31"/>
      <x:c r="G57" s="31"/>
      <x:c r="H57" s="31" t="str">
        <x:f>IF(OR(F57="",G57=""),"",IF(F57=G57,"Agree","Disagree"))</x:f>
      </x:c>
      <x:c r="I57" s="31"/>
      <x:c r="J57" s="31" t="str">
        <x:v>No</x:v>
      </x:c>
      <x:c r="K57" s="31" t="str"/>
      <x:c r="L57" s="31" t="str"/>
      <x:c r="M57" s="31" t="str"/>
      <x:c r="N57" s="31" t="str"/>
    </x:row>
    <x:row r="58" ht="42" customHeight="1">
      <x:c r="A58" s="35" t="n">
        <x:v>56</x:v>
      </x:c>
      <x:c r="B58" s="31" t="str">
        <x:f>IF('Execution Checklist'!Q58="","",'Execution Checklist'!Q58)</x:f>
      </x:c>
      <x:c r="C58" s="31" t="str">
        <x:v>Place the open white cup in the bowl.</x:v>
      </x:c>
      <x:c r="D58" s="31" t="str">
        <x:v>white cup B</x:v>
      </x:c>
      <x:c r="E58" s="31" t="str">
        <x:v>Binary task success using the task-specific rubric.</x:v>
      </x:c>
      <x:c r="F58" s="31"/>
      <x:c r="G58" s="31"/>
      <x:c r="H58" s="31" t="str">
        <x:f>IF(OR(F58="",G58=""),"",IF(F58=G58,"Agree","Disagree"))</x:f>
      </x:c>
      <x:c r="I58" s="31"/>
      <x:c r="J58" s="31" t="str">
        <x:v>No</x:v>
      </x:c>
      <x:c r="K58" s="31" t="str"/>
      <x:c r="L58" s="31" t="str"/>
      <x:c r="M58" s="31" t="str"/>
      <x:c r="N58" s="31" t="str"/>
    </x:row>
    <x:row r="59" ht="42" customHeight="1">
      <x:c r="A59" s="35" t="n">
        <x:v>57</x:v>
      </x:c>
      <x:c r="B59" s="31" t="str">
        <x:f>IF('Execution Checklist'!Q59="","",'Execution Checklist'!Q59)</x:f>
      </x:c>
      <x:c r="C59" s="31" t="str">
        <x:v>Place the closed brown cup in the bowl.</x:v>
      </x:c>
      <x:c r="D59" s="31" t="str">
        <x:v>brown cup A</x:v>
      </x:c>
      <x:c r="E59" s="31" t="str">
        <x:v>Binary task success; paired with the main matched-control row.</x:v>
      </x:c>
      <x:c r="F59" s="31"/>
      <x:c r="G59" s="31"/>
      <x:c r="H59" s="31" t="str">
        <x:f>IF(OR(F59="",G59=""),"",IF(F59=G59,"Agree","Disagree"))</x:f>
      </x:c>
      <x:c r="I59" s="31"/>
      <x:c r="J59" s="31" t="str">
        <x:v>No</x:v>
      </x:c>
      <x:c r="K59" s="31" t="str"/>
      <x:c r="L59" s="31" t="str"/>
      <x:c r="M59" s="31" t="str"/>
      <x:c r="N59" s="31" t="str"/>
    </x:row>
    <x:row r="60" ht="42" customHeight="1">
      <x:c r="A60" s="35" t="n">
        <x:v>58</x:v>
      </x:c>
      <x:c r="B60" s="31" t="str">
        <x:f>IF('Execution Checklist'!Q60="","",'Execution Checklist'!Q60)</x:f>
      </x:c>
      <x:c r="C60" s="31" t="str">
        <x:v>Find the white cup that is turned upside down and move it into the bowl.</x:v>
      </x:c>
      <x:c r="D60" s="31" t="str">
        <x:v>white cup A</x:v>
      </x:c>
      <x:c r="E60" s="31" t="str">
        <x:v>Binary task success; compare with the seen-language row sharing Pair ID.</x:v>
      </x:c>
      <x:c r="F60" s="31"/>
      <x:c r="G60" s="31"/>
      <x:c r="H60" s="31" t="str">
        <x:f>IF(OR(F60="",G60=""),"",IF(F60=G60,"Agree","Disagree"))</x:f>
      </x:c>
      <x:c r="I60" s="31"/>
      <x:c r="J60" s="31" t="str">
        <x:v>No</x:v>
      </x:c>
      <x:c r="K60" s="31" t="str"/>
      <x:c r="L60" s="31" t="str"/>
      <x:c r="M60" s="31" t="str"/>
      <x:c r="N60" s="31" t="str"/>
    </x:row>
    <x:row r="61" ht="42" customHeight="1">
      <x:c r="A61" s="35" t="n">
        <x:v>59</x:v>
      </x:c>
      <x:c r="B61" s="31" t="str">
        <x:f>IF('Execution Checklist'!Q61="","",'Execution Checklist'!Q61)</x:f>
      </x:c>
      <x:c r="C61" s="31" t="str">
        <x:v>Place a white cup in the bowl.</x:v>
      </x:c>
      <x:c r="D61" s="31" t="str">
        <x:v>white cup A</x:v>
      </x:c>
      <x:c r="E61" s="31" t="str">
        <x:v>Binary task success; paired with the main transfer row.</x:v>
      </x:c>
      <x:c r="F61" s="31"/>
      <x:c r="G61" s="31"/>
      <x:c r="H61" s="31" t="str">
        <x:f>IF(OR(F61="",G61=""),"",IF(F61=G61,"Agree","Disagree"))</x:f>
      </x:c>
      <x:c r="I61" s="31"/>
      <x:c r="J61" s="31" t="str">
        <x:v>No</x:v>
      </x:c>
      <x:c r="K61" s="31" t="str"/>
      <x:c r="L61" s="31" t="str"/>
      <x:c r="M61" s="31" t="str"/>
      <x:c r="N61" s="31" t="str"/>
    </x:row>
    <x:row r="62" ht="42" customHeight="1">
      <x:c r="A62" s="35" t="n">
        <x:v>60</x:v>
      </x:c>
      <x:c r="B62" s="31" t="str">
        <x:f>IF('Execution Checklist'!Q62="","",'Execution Checklist'!Q62)</x:f>
      </x:c>
      <x:c r="C62" s="31" t="str">
        <x:v>Place the upside-down white cup in the bowl.</x:v>
      </x:c>
      <x:c r="D62" s="31" t="str">
        <x:v>white cup A</x:v>
      </x:c>
      <x:c r="E62" s="31" t="str">
        <x:v>Binary task success using the task-specific rubric.</x:v>
      </x:c>
      <x:c r="F62" s="31"/>
      <x:c r="G62" s="31"/>
      <x:c r="H62" s="31" t="str">
        <x:f>IF(OR(F62="",G62=""),"",IF(F62=G62,"Agree","Disagree"))</x:f>
      </x:c>
      <x:c r="I62" s="31"/>
      <x:c r="J62" s="31" t="str">
        <x:v>No</x:v>
      </x:c>
      <x:c r="K62" s="31" t="str"/>
      <x:c r="L62" s="31" t="str"/>
      <x:c r="M62" s="31" t="str"/>
      <x:c r="N62" s="31" t="str"/>
    </x:row>
    <x:row r="63" ht="42" customHeight="1">
      <x:c r="A63" s="35" t="n">
        <x:v>61</x:v>
      </x:c>
      <x:c r="B63" s="31" t="str">
        <x:f>IF('Execution Checklist'!Q63="","",'Execution Checklist'!Q63)</x:f>
      </x:c>
      <x:c r="C63" s="31" t="str">
        <x:v>Put a yellow-white striped cup in the bowl.</x:v>
      </x:c>
      <x:c r="D63" s="31" t="str">
        <x:v>yellow-white striped cup A</x:v>
      </x:c>
      <x:c r="E63" s="31" t="str">
        <x:v>Binary task success using the task-specific rubric.</x:v>
      </x:c>
      <x:c r="F63" s="31"/>
      <x:c r="G63" s="31"/>
      <x:c r="H63" s="31" t="str">
        <x:f>IF(OR(F63="",G63=""),"",IF(F63=G63,"Agree","Disagree"))</x:f>
      </x:c>
      <x:c r="I63" s="31"/>
      <x:c r="J63" s="31" t="str">
        <x:v>No</x:v>
      </x:c>
      <x:c r="K63" s="31" t="str"/>
      <x:c r="L63" s="31" t="str"/>
      <x:c r="M63" s="31" t="str"/>
      <x:c r="N63" s="31" t="str"/>
    </x:row>
    <x:row r="64" ht="42" customHeight="1">
      <x:c r="A64" s="35" t="n">
        <x:v>62</x:v>
      </x:c>
      <x:c r="B64" s="31" t="str">
        <x:f>IF('Execution Checklist'!Q64="","",'Execution Checklist'!Q64)</x:f>
      </x:c>
      <x:c r="C64" s="31" t="str">
        <x:v>Place the red block to the left of the blue block.</x:v>
      </x:c>
      <x:c r="D64" s="31" t="str">
        <x:v>red block</x:v>
      </x:c>
      <x:c r="E64" s="31" t="str">
        <x:v>Binary task success using the task-specific rubric.</x:v>
      </x:c>
      <x:c r="F64" s="31"/>
      <x:c r="G64" s="31"/>
      <x:c r="H64" s="31" t="str">
        <x:f>IF(OR(F64="",G64=""),"",IF(F64=G64,"Agree","Disagree"))</x:f>
      </x:c>
      <x:c r="I64" s="31"/>
      <x:c r="J64" s="31" t="str">
        <x:v>No</x:v>
      </x:c>
      <x:c r="K64" s="31" t="str"/>
      <x:c r="L64" s="31" t="str"/>
      <x:c r="M64" s="31" t="str"/>
      <x:c r="N64" s="31" t="str"/>
    </x:row>
    <x:row r="65" ht="42" customHeight="1">
      <x:c r="A65" s="35" t="n">
        <x:v>63</x:v>
      </x:c>
      <x:c r="B65" s="31" t="str">
        <x:f>IF('Execution Checklist'!Q65="","",'Execution Checklist'!Q65)</x:f>
      </x:c>
      <x:c r="C65" s="31" t="str">
        <x:v>Place the green pen in front of the red block.</x:v>
      </x:c>
      <x:c r="D65" s="31" t="str">
        <x:v>green pen → in front of red block</x:v>
      </x:c>
      <x:c r="E65" s="31" t="str">
        <x:v>Binary task success; paired with the main matched-control row.</x:v>
      </x:c>
      <x:c r="F65" s="31"/>
      <x:c r="G65" s="31"/>
      <x:c r="H65" s="31" t="str">
        <x:f>IF(OR(F65="",G65=""),"",IF(F65=G65,"Agree","Disagree"))</x:f>
      </x:c>
      <x:c r="I65" s="31"/>
      <x:c r="J65" s="31" t="str">
        <x:v>No</x:v>
      </x:c>
      <x:c r="K65" s="31" t="str"/>
      <x:c r="L65" s="31" t="str"/>
      <x:c r="M65" s="31" t="str"/>
      <x:c r="N65" s="31" t="str"/>
    </x:row>
    <x:row r="66" ht="42" customHeight="1">
      <x:c r="A66" s="35" t="n">
        <x:v>64</x:v>
      </x:c>
      <x:c r="B66" s="31" t="str">
        <x:f>IF('Execution Checklist'!Q66="","",'Execution Checklist'!Q66)</x:f>
      </x:c>
      <x:c r="C66" s="31" t="str">
        <x:v>Place the red block next to the green pen.</x:v>
      </x:c>
      <x:c r="D66" s="31" t="str">
        <x:v>red block near green pen</x:v>
      </x:c>
      <x:c r="E66" s="31" t="str">
        <x:v>Binary task success; paired with the main transfer row.</x:v>
      </x:c>
      <x:c r="F66" s="31"/>
      <x:c r="G66" s="31"/>
      <x:c r="H66" s="31" t="str">
        <x:f>IF(OR(F66="",G66=""),"",IF(F66=G66,"Agree","Disagree"))</x:f>
      </x:c>
      <x:c r="I66" s="31"/>
      <x:c r="J66" s="31" t="str">
        <x:v>No</x:v>
      </x:c>
      <x:c r="K66" s="31" t="str"/>
      <x:c r="L66" s="31" t="str"/>
      <x:c r="M66" s="31" t="str"/>
      <x:c r="N66" s="31" t="str"/>
    </x:row>
    <x:row r="67" ht="42" customHeight="1">
      <x:c r="A67" s="35" t="n">
        <x:v>65</x:v>
      </x:c>
      <x:c r="B67" s="31" t="str">
        <x:f>IF('Execution Checklist'!Q67="","",'Execution Checklist'!Q67)</x:f>
      </x:c>
      <x:c r="C67" s="31" t="str">
        <x:v>Place the green pen next to the red block.</x:v>
      </x:c>
      <x:c r="D67" s="31" t="str">
        <x:v>green pen near red block</x:v>
      </x:c>
      <x:c r="E67" s="31" t="str">
        <x:v>Binary task success; paired with the main transfer row.</x:v>
      </x:c>
      <x:c r="F67" s="31"/>
      <x:c r="G67" s="31"/>
      <x:c r="H67" s="31" t="str">
        <x:f>IF(OR(F67="",G67=""),"",IF(F67=G67,"Agree","Disagree"))</x:f>
      </x:c>
      <x:c r="I67" s="31"/>
      <x:c r="J67" s="31" t="str">
        <x:v>No</x:v>
      </x:c>
      <x:c r="K67" s="31" t="str"/>
      <x:c r="L67" s="31" t="str"/>
      <x:c r="M67" s="31" t="str"/>
      <x:c r="N67" s="31" t="str"/>
    </x:row>
    <x:row r="68" ht="42" customHeight="1">
      <x:c r="A68" s="35" t="n">
        <x:v>66</x:v>
      </x:c>
      <x:c r="B68" s="31" t="str">
        <x:f>IF('Execution Checklist'!Q68="","",'Execution Checklist'!Q68)</x:f>
      </x:c>
      <x:c r="C68" s="31" t="str">
        <x:v>Put the green pen on the table in front of the pink marker.</x:v>
      </x:c>
      <x:c r="D68" s="31" t="str">
        <x:v>green pen</x:v>
      </x:c>
      <x:c r="E68" s="31" t="str">
        <x:v>Binary task success using the task-specific rubric.</x:v>
      </x:c>
      <x:c r="F68" s="31"/>
      <x:c r="G68" s="31"/>
      <x:c r="H68" s="31" t="str">
        <x:f>IF(OR(F68="",G68=""),"",IF(F68=G68,"Agree","Disagree"))</x:f>
      </x:c>
      <x:c r="I68" s="31"/>
      <x:c r="J68" s="31" t="str">
        <x:v>No</x:v>
      </x:c>
      <x:c r="K68" s="31" t="str"/>
      <x:c r="L68" s="31" t="str"/>
      <x:c r="M68" s="31" t="str"/>
      <x:c r="N68" s="31" t="str"/>
    </x:row>
    <x:row r="69" ht="42" customHeight="1">
      <x:c r="A69" s="35" t="n">
        <x:v>67</x:v>
      </x:c>
      <x:c r="B69" s="31" t="str">
        <x:f>IF('Execution Checklist'!Q69="","",'Execution Checklist'!Q69)</x:f>
      </x:c>
      <x:c r="C69" s="31" t="str">
        <x:v>Place the green pen beside the red block.</x:v>
      </x:c>
      <x:c r="D69" s="31" t="str">
        <x:v>green pen near red block</x:v>
      </x:c>
      <x:c r="E69" s="31" t="str">
        <x:v>Binary task success; paired with the main transfer row.</x:v>
      </x:c>
      <x:c r="F69" s="31"/>
      <x:c r="G69" s="31"/>
      <x:c r="H69" s="31" t="str">
        <x:f>IF(OR(F69="",G69=""),"",IF(F69=G69,"Agree","Disagree"))</x:f>
      </x:c>
      <x:c r="I69" s="31"/>
      <x:c r="J69" s="31" t="str">
        <x:v>No</x:v>
      </x:c>
      <x:c r="K69" s="31" t="str"/>
      <x:c r="L69" s="31" t="str"/>
      <x:c r="M69" s="31" t="str"/>
      <x:c r="N69" s="31" t="str"/>
    </x:row>
    <x:row r="70" ht="42" customHeight="1">
      <x:c r="A70" s="35" t="n">
        <x:v>68</x:v>
      </x:c>
      <x:c r="B70" s="31" t="str">
        <x:f>IF('Execution Checklist'!Q70="","",'Execution Checklist'!Q70)</x:f>
      </x:c>
      <x:c r="C70" s="31" t="str">
        <x:v>Move the red block to the side of the pink marker facing the robot.</x:v>
      </x:c>
      <x:c r="D70" s="31" t="str">
        <x:v>red block</x:v>
      </x:c>
      <x:c r="E70" s="31" t="str">
        <x:v>Binary task success; compare with the seen-language row sharing Pair ID.</x:v>
      </x:c>
      <x:c r="F70" s="31"/>
      <x:c r="G70" s="31"/>
      <x:c r="H70" s="31" t="str">
        <x:f>IF(OR(F70="",G70=""),"",IF(F70=G70,"Agree","Disagree"))</x:f>
      </x:c>
      <x:c r="I70" s="31"/>
      <x:c r="J70" s="31" t="str">
        <x:v>No</x:v>
      </x:c>
      <x:c r="K70" s="31" t="str"/>
      <x:c r="L70" s="31" t="str"/>
      <x:c r="M70" s="31" t="str"/>
      <x:c r="N70" s="31" t="str"/>
    </x:row>
    <x:row r="71" ht="42" customHeight="1">
      <x:c r="A71" s="35" t="n">
        <x:v>69</x:v>
      </x:c>
      <x:c r="B71" s="31" t="str">
        <x:f>IF('Execution Checklist'!Q71="","",'Execution Checklist'!Q71)</x:f>
      </x:c>
      <x:c r="C71" s="31" t="str">
        <x:v>Place the red block near the green pen.</x:v>
      </x:c>
      <x:c r="D71" s="31" t="str">
        <x:v>red block near green pen</x:v>
      </x:c>
      <x:c r="E71" s="31" t="str">
        <x:v>Binary task success; paired with the main transfer row.</x:v>
      </x:c>
      <x:c r="F71" s="31"/>
      <x:c r="G71" s="31"/>
      <x:c r="H71" s="31" t="str">
        <x:f>IF(OR(F71="",G71=""),"",IF(F71=G71,"Agree","Disagree"))</x:f>
      </x:c>
      <x:c r="I71" s="31"/>
      <x:c r="J71" s="31" t="str">
        <x:v>No</x:v>
      </x:c>
      <x:c r="K71" s="31" t="str"/>
      <x:c r="L71" s="31" t="str"/>
      <x:c r="M71" s="31" t="str"/>
      <x:c r="N71" s="31" t="str"/>
    </x:row>
    <x:row r="72" ht="42" customHeight="1">
      <x:c r="A72" s="35" t="n">
        <x:v>70</x:v>
      </x:c>
      <x:c r="B72" s="31" t="str">
        <x:f>IF('Execution Checklist'!Q72="","",'Execution Checklist'!Q72)</x:f>
      </x:c>
      <x:c r="C72" s="31" t="str">
        <x:v>Place the red block beside the green pen.</x:v>
      </x:c>
      <x:c r="D72" s="31" t="str">
        <x:v>red block near green pen</x:v>
      </x:c>
      <x:c r="E72" s="31" t="str">
        <x:v>Binary task success; paired with the main transfer row.</x:v>
      </x:c>
      <x:c r="F72" s="31"/>
      <x:c r="G72" s="31"/>
      <x:c r="H72" s="31" t="str">
        <x:f>IF(OR(F72="",G72=""),"",IF(F72=G72,"Agree","Disagree"))</x:f>
      </x:c>
      <x:c r="I72" s="31"/>
      <x:c r="J72" s="31" t="str">
        <x:v>No</x:v>
      </x:c>
      <x:c r="K72" s="31" t="str"/>
      <x:c r="L72" s="31" t="str"/>
      <x:c r="M72" s="31" t="str"/>
      <x:c r="N72" s="31" t="str"/>
    </x:row>
    <x:row r="73" ht="42" customHeight="1">
      <x:c r="A73" s="35" t="n">
        <x:v>71</x:v>
      </x:c>
      <x:c r="B73" s="31" t="str">
        <x:f>IF('Execution Checklist'!Q73="","",'Execution Checklist'!Q73)</x:f>
      </x:c>
      <x:c r="C73" s="31" t="str">
        <x:v>Place the red block in front of the green pen.</x:v>
      </x:c>
      <x:c r="D73" s="31" t="str">
        <x:v>red block → in front of green pen</x:v>
      </x:c>
      <x:c r="E73" s="31" t="str">
        <x:v>Binary task success; paired with the main matched-control row.</x:v>
      </x:c>
      <x:c r="F73" s="31"/>
      <x:c r="G73" s="31"/>
      <x:c r="H73" s="31" t="str">
        <x:f>IF(OR(F73="",G73=""),"",IF(F73=G73,"Agree","Disagree"))</x:f>
      </x:c>
      <x:c r="I73" s="31"/>
      <x:c r="J73" s="31" t="str">
        <x:v>No</x:v>
      </x:c>
      <x:c r="K73" s="31" t="str"/>
      <x:c r="L73" s="31" t="str"/>
      <x:c r="M73" s="31" t="str"/>
      <x:c r="N73" s="31" t="str"/>
    </x:row>
    <x:row r="74" ht="42" customHeight="1">
      <x:c r="A74" s="35" t="n">
        <x:v>72</x:v>
      </x:c>
      <x:c r="B74" s="31" t="str">
        <x:f>IF('Execution Checklist'!Q74="","",'Execution Checklist'!Q74)</x:f>
      </x:c>
      <x:c r="C74" s="31" t="str">
        <x:v>Place the green pen to the right of the red block.</x:v>
      </x:c>
      <x:c r="D74" s="31" t="str">
        <x:v>green pen → to the right of red block</x:v>
      </x:c>
      <x:c r="E74" s="31" t="str">
        <x:v>Binary success for the counterfactual instruction and paired action-switch analysis versus the parent.</x:v>
      </x:c>
      <x:c r="F74" s="31"/>
      <x:c r="G74" s="31"/>
      <x:c r="H74" s="31" t="str">
        <x:f>IF(OR(F74="",G74=""),"",IF(F74=G74,"Agree","Disagree"))</x:f>
      </x:c>
      <x:c r="I74" s="31"/>
      <x:c r="J74" s="31" t="str">
        <x:v>No</x:v>
      </x:c>
      <x:c r="K74" s="31" t="str"/>
      <x:c r="L74" s="31" t="str"/>
      <x:c r="M74" s="31" t="str"/>
      <x:c r="N74" s="31" t="str"/>
    </x:row>
    <x:row r="75" ht="42" customHeight="1">
      <x:c r="A75" s="35" t="n">
        <x:v>73</x:v>
      </x:c>
      <x:c r="B75" s="31" t="str">
        <x:f>IF('Execution Checklist'!Q75="","",'Execution Checklist'!Q75)</x:f>
      </x:c>
      <x:c r="C75" s="31" t="str">
        <x:v>Place the green pen next to the red block.</x:v>
      </x:c>
      <x:c r="D75" s="31" t="str">
        <x:v>green pen near red block</x:v>
      </x:c>
      <x:c r="E75" s="31" t="str">
        <x:v>Binary task success; paired with the main transfer row.</x:v>
      </x:c>
      <x:c r="F75" s="31"/>
      <x:c r="G75" s="31"/>
      <x:c r="H75" s="31" t="str">
        <x:f>IF(OR(F75="",G75=""),"",IF(F75=G75,"Agree","Disagree"))</x:f>
      </x:c>
      <x:c r="I75" s="31"/>
      <x:c r="J75" s="31" t="str">
        <x:v>No</x:v>
      </x:c>
      <x:c r="K75" s="31" t="str"/>
      <x:c r="L75" s="31" t="str"/>
      <x:c r="M75" s="31" t="str"/>
      <x:c r="N75" s="31" t="str"/>
    </x:row>
    <x:row r="76" ht="42" customHeight="1">
      <x:c r="A76" s="35" t="n">
        <x:v>74</x:v>
      </x:c>
      <x:c r="B76" s="31" t="str">
        <x:f>IF('Execution Checklist'!Q76="","",'Execution Checklist'!Q76)</x:f>
      </x:c>
      <x:c r="C76" s="31" t="str">
        <x:v>Place the green pen behind the pink marker.</x:v>
      </x:c>
      <x:c r="D76" s="31" t="str">
        <x:v>green pen</x:v>
      </x:c>
      <x:c r="E76" s="31" t="str">
        <x:v>Binary task success using the task-specific rubric.</x:v>
      </x:c>
      <x:c r="F76" s="31"/>
      <x:c r="G76" s="31"/>
      <x:c r="H76" s="31" t="str">
        <x:f>IF(OR(F76="",G76=""),"",IF(F76=G76,"Agree","Disagree"))</x:f>
      </x:c>
      <x:c r="I76" s="31"/>
      <x:c r="J76" s="31" t="str">
        <x:v>No</x:v>
      </x:c>
      <x:c r="K76" s="31" t="str"/>
      <x:c r="L76" s="31" t="str"/>
      <x:c r="M76" s="31" t="str"/>
      <x:c r="N76" s="31" t="str"/>
    </x:row>
    <x:row r="77" ht="42" customHeight="1">
      <x:c r="A77" s="35" t="n">
        <x:v>75</x:v>
      </x:c>
      <x:c r="B77" s="31" t="str">
        <x:f>IF('Execution Checklist'!Q77="","",'Execution Checklist'!Q77)</x:f>
      </x:c>
      <x:c r="C77" s="31" t="str">
        <x:v>Place the green pen to the right of the red block.</x:v>
      </x:c>
      <x:c r="D77" s="31" t="str">
        <x:v>green pen → to the right of red block</x:v>
      </x:c>
      <x:c r="E77" s="31" t="str">
        <x:v>Binary task success; paired with the main matched-control row.</x:v>
      </x:c>
      <x:c r="F77" s="31"/>
      <x:c r="G77" s="31"/>
      <x:c r="H77" s="31" t="str">
        <x:f>IF(OR(F77="",G77=""),"",IF(F77=G77,"Agree","Disagree"))</x:f>
      </x:c>
      <x:c r="I77" s="31"/>
      <x:c r="J77" s="31" t="str">
        <x:v>No</x:v>
      </x:c>
      <x:c r="K77" s="31" t="str"/>
      <x:c r="L77" s="31" t="str"/>
      <x:c r="M77" s="31" t="str"/>
      <x:c r="N77" s="31" t="str"/>
    </x:row>
    <x:row r="78" ht="42" customHeight="1">
      <x:c r="A78" s="35" t="n">
        <x:v>76</x:v>
      </x:c>
      <x:c r="B78" s="31" t="str">
        <x:f>IF('Execution Checklist'!Q78="","",'Execution Checklist'!Q78)</x:f>
      </x:c>
      <x:c r="C78" s="31" t="str">
        <x:v>Place the green pen to the left of the red block.</x:v>
      </x:c>
      <x:c r="D78" s="31" t="str">
        <x:v>green pen → to the left of red block</x:v>
      </x:c>
      <x:c r="E78" s="31" t="str">
        <x:v>Binary success for the counterfactual instruction and paired action-switch analysis versus the parent.</x:v>
      </x:c>
      <x:c r="F78" s="31"/>
      <x:c r="G78" s="31"/>
      <x:c r="H78" s="31" t="str">
        <x:f>IF(OR(F78="",G78=""),"",IF(F78=G78,"Agree","Disagree"))</x:f>
      </x:c>
      <x:c r="I78" s="31"/>
      <x:c r="J78" s="31" t="str">
        <x:v>No</x:v>
      </x:c>
      <x:c r="K78" s="31" t="str"/>
      <x:c r="L78" s="31" t="str"/>
      <x:c r="M78" s="31" t="str"/>
      <x:c r="N78" s="31" t="str"/>
    </x:row>
    <x:row r="79" ht="42" customHeight="1">
      <x:c r="A79" s="35" t="n">
        <x:v>77</x:v>
      </x:c>
      <x:c r="B79" s="31" t="str">
        <x:f>IF('Execution Checklist'!Q79="","",'Execution Checklist'!Q79)</x:f>
      </x:c>
      <x:c r="C79" s="31" t="str">
        <x:v>Place the green pen in front of the red block.</x:v>
      </x:c>
      <x:c r="D79" s="31" t="str">
        <x:v>green pen → in front of red block</x:v>
      </x:c>
      <x:c r="E79" s="31" t="str">
        <x:v>Binary task success; paired with the main matched-control row.</x:v>
      </x:c>
      <x:c r="F79" s="31"/>
      <x:c r="G79" s="31"/>
      <x:c r="H79" s="31" t="str">
        <x:f>IF(OR(F79="",G79=""),"",IF(F79=G79,"Agree","Disagree"))</x:f>
      </x:c>
      <x:c r="I79" s="31"/>
      <x:c r="J79" s="31" t="str">
        <x:v>No</x:v>
      </x:c>
      <x:c r="K79" s="31" t="str"/>
      <x:c r="L79" s="31" t="str"/>
      <x:c r="M79" s="31" t="str"/>
      <x:c r="N79" s="31" t="str"/>
    </x:row>
    <x:row r="80" ht="42" customHeight="1">
      <x:c r="A80" s="35" t="n">
        <x:v>78</x:v>
      </x:c>
      <x:c r="B80" s="31" t="str">
        <x:f>IF('Execution Checklist'!Q80="","",'Execution Checklist'!Q80)</x:f>
      </x:c>
      <x:c r="C80" s="31" t="str">
        <x:v>Place the green pen behind the pink marker.</x:v>
      </x:c>
      <x:c r="D80" s="31" t="str">
        <x:v>green pen</x:v>
      </x:c>
      <x:c r="E80" s="31" t="str">
        <x:v>Binary task success using the task-specific rubric.</x:v>
      </x:c>
      <x:c r="F80" s="31"/>
      <x:c r="G80" s="31"/>
      <x:c r="H80" s="31" t="str">
        <x:f>IF(OR(F80="",G80=""),"",IF(F80=G80,"Agree","Disagree"))</x:f>
      </x:c>
      <x:c r="I80" s="31"/>
      <x:c r="J80" s="31" t="str">
        <x:v>No</x:v>
      </x:c>
      <x:c r="K80" s="31" t="str"/>
      <x:c r="L80" s="31" t="str"/>
      <x:c r="M80" s="31" t="str"/>
      <x:c r="N80" s="31" t="str"/>
    </x:row>
    <x:row r="81" ht="42" customHeight="1">
      <x:c r="A81" s="35" t="n">
        <x:v>79</x:v>
      </x:c>
      <x:c r="B81" s="31" t="str">
        <x:f>IF('Execution Checklist'!Q81="","",'Execution Checklist'!Q81)</x:f>
      </x:c>
      <x:c r="C81" s="31" t="str">
        <x:v>Place the green pen to the right of the red block.</x:v>
      </x:c>
      <x:c r="D81" s="31" t="str">
        <x:v>No prespecified task success under blank language; record any action/selected target.</x:v>
      </x:c>
      <x:c r="E81" s="31" t="str">
        <x:v>Do not score ordinary task success. Record action occurrence and agreement with the parent correct-prompt rollout.</x:v>
      </x:c>
      <x:c r="F81" s="31"/>
      <x:c r="G81" s="31"/>
      <x:c r="H81" s="31" t="str">
        <x:f>IF(OR(F81="",G81=""),"",IF(F81=G81,"Agree","Disagree"))</x:f>
      </x:c>
      <x:c r="I81" s="31"/>
      <x:c r="J81" s="31" t="str">
        <x:v>No</x:v>
      </x:c>
      <x:c r="K81" s="31" t="str"/>
      <x:c r="L81" s="31" t="str"/>
      <x:c r="M81" s="31" t="str"/>
      <x:c r="N81" s="31" t="str"/>
    </x:row>
    <x:row r="82" ht="42" customHeight="1">
      <x:c r="A82" s="35" t="n">
        <x:v>80</x:v>
      </x:c>
      <x:c r="B82" s="31" t="str">
        <x:f>IF('Execution Checklist'!Q82="","",'Execution Checklist'!Q82)</x:f>
      </x:c>
      <x:c r="C82" s="31" t="str">
        <x:v>Place the green pen in front of the red block.</x:v>
      </x:c>
      <x:c r="D82" s="31" t="str">
        <x:v>green pen → in front of red block</x:v>
      </x:c>
      <x:c r="E82" s="31" t="str">
        <x:v>Binary success for the counterfactual instruction and paired action-switch analysis versus the parent.</x:v>
      </x:c>
      <x:c r="F82" s="31"/>
      <x:c r="G82" s="31"/>
      <x:c r="H82" s="31" t="str">
        <x:f>IF(OR(F82="",G82=""),"",IF(F82=G82,"Agree","Disagree"))</x:f>
      </x:c>
      <x:c r="I82" s="31"/>
      <x:c r="J82" s="31" t="str">
        <x:v>No</x:v>
      </x:c>
      <x:c r="K82" s="31" t="str"/>
      <x:c r="L82" s="31" t="str"/>
      <x:c r="M82" s="31" t="str"/>
      <x:c r="N82" s="31" t="str"/>
    </x:row>
    <x:row r="83" ht="42" customHeight="1">
      <x:c r="A83" s="35" t="n">
        <x:v>81</x:v>
      </x:c>
      <x:c r="B83" s="31" t="str">
        <x:f>IF('Execution Checklist'!Q83="","",'Execution Checklist'!Q83)</x:f>
      </x:c>
      <x:c r="C83" s="31" t="str">
        <x:v>Place the green pen near the red block.</x:v>
      </x:c>
      <x:c r="D83" s="31" t="str">
        <x:v>green pen near red block</x:v>
      </x:c>
      <x:c r="E83" s="31" t="str">
        <x:v>Binary task success; paired with the main transfer row.</x:v>
      </x:c>
      <x:c r="F83" s="31"/>
      <x:c r="G83" s="31"/>
      <x:c r="H83" s="31" t="str">
        <x:f>IF(OR(F83="",G83=""),"",IF(F83=G83,"Agree","Disagree"))</x:f>
      </x:c>
      <x:c r="I83" s="31"/>
      <x:c r="J83" s="31" t="str">
        <x:v>No</x:v>
      </x:c>
      <x:c r="K83" s="31" t="str"/>
      <x:c r="L83" s="31" t="str"/>
      <x:c r="M83" s="31" t="str"/>
      <x:c r="N83" s="31" t="str"/>
    </x:row>
    <x:row r="84" ht="42" customHeight="1">
      <x:c r="A84" s="35" t="n">
        <x:v>82</x:v>
      </x:c>
      <x:c r="B84" s="31" t="str">
        <x:f>IF('Execution Checklist'!Q84="","",'Execution Checklist'!Q84)</x:f>
      </x:c>
      <x:c r="C84" s="31" t="str">
        <x:v>Move the red block to the side of the pink marker facing the robot.</x:v>
      </x:c>
      <x:c r="D84" s="31" t="str">
        <x:v>red block</x:v>
      </x:c>
      <x:c r="E84" s="31" t="str">
        <x:v>Binary task success; compare with the seen-language row sharing Pair ID.</x:v>
      </x:c>
      <x:c r="F84" s="31"/>
      <x:c r="G84" s="31"/>
      <x:c r="H84" s="31" t="str">
        <x:f>IF(OR(F84="",G84=""),"",IF(F84=G84,"Agree","Disagree"))</x:f>
      </x:c>
      <x:c r="I84" s="31"/>
      <x:c r="J84" s="31" t="str">
        <x:v>No</x:v>
      </x:c>
      <x:c r="K84" s="31" t="str"/>
      <x:c r="L84" s="31" t="str"/>
      <x:c r="M84" s="31" t="str"/>
      <x:c r="N84" s="31" t="str"/>
    </x:row>
    <x:row r="85" ht="42" customHeight="1">
      <x:c r="A85" s="35" t="n">
        <x:v>83</x:v>
      </x:c>
      <x:c r="B85" s="31" t="str">
        <x:f>IF('Execution Checklist'!Q85="","",'Execution Checklist'!Q85)</x:f>
      </x:c>
      <x:c r="C85" s="31" t="str">
        <x:v>Place the green pen near the red block.</x:v>
      </x:c>
      <x:c r="D85" s="31" t="str">
        <x:v>green pen near red block</x:v>
      </x:c>
      <x:c r="E85" s="31" t="str">
        <x:v>Binary task success; paired with the main transfer row.</x:v>
      </x:c>
      <x:c r="F85" s="31"/>
      <x:c r="G85" s="31"/>
      <x:c r="H85" s="31" t="str">
        <x:f>IF(OR(F85="",G85=""),"",IF(F85=G85,"Agree","Disagree"))</x:f>
      </x:c>
      <x:c r="I85" s="31"/>
      <x:c r="J85" s="31" t="str">
        <x:v>No</x:v>
      </x:c>
      <x:c r="K85" s="31" t="str"/>
      <x:c r="L85" s="31" t="str"/>
      <x:c r="M85" s="31" t="str"/>
      <x:c r="N85" s="31" t="str"/>
    </x:row>
    <x:row r="86" ht="42" customHeight="1">
      <x:c r="A86" s="35" t="n">
        <x:v>84</x:v>
      </x:c>
      <x:c r="B86" s="31" t="str">
        <x:f>IF('Execution Checklist'!Q86="","",'Execution Checklist'!Q86)</x:f>
      </x:c>
      <x:c r="C86" s="31" t="str">
        <x:v>Place the red block near the green pen.</x:v>
      </x:c>
      <x:c r="D86" s="31" t="str">
        <x:v>red block near green pen</x:v>
      </x:c>
      <x:c r="E86" s="31" t="str">
        <x:v>Binary task success; paired with the main transfer row.</x:v>
      </x:c>
      <x:c r="F86" s="31"/>
      <x:c r="G86" s="31"/>
      <x:c r="H86" s="31" t="str">
        <x:f>IF(OR(F86="",G86=""),"",IF(F86=G86,"Agree","Disagree"))</x:f>
      </x:c>
      <x:c r="I86" s="31"/>
      <x:c r="J86" s="31" t="str">
        <x:v>No</x:v>
      </x:c>
      <x:c r="K86" s="31" t="str"/>
      <x:c r="L86" s="31" t="str"/>
      <x:c r="M86" s="31" t="str"/>
      <x:c r="N86" s="31" t="str"/>
    </x:row>
    <x:row r="87" ht="42" customHeight="1">
      <x:c r="A87" s="35" t="n">
        <x:v>85</x:v>
      </x:c>
      <x:c r="B87" s="31" t="str">
        <x:f>IF('Execution Checklist'!Q87="","",'Execution Checklist'!Q87)</x:f>
      </x:c>
      <x:c r="C87" s="31" t="str">
        <x:v>Place the red block behind the green pen.</x:v>
      </x:c>
      <x:c r="D87" s="31" t="str">
        <x:v>red block → behind green pen</x:v>
      </x:c>
      <x:c r="E87" s="31" t="str">
        <x:v>Binary task success; paired with the main matched-control row.</x:v>
      </x:c>
      <x:c r="F87" s="31"/>
      <x:c r="G87" s="31"/>
      <x:c r="H87" s="31" t="str">
        <x:f>IF(OR(F87="",G87=""),"",IF(F87=G87,"Agree","Disagree"))</x:f>
      </x:c>
      <x:c r="I87" s="31"/>
      <x:c r="J87" s="31" t="str">
        <x:v>No</x:v>
      </x:c>
      <x:c r="K87" s="31" t="str"/>
      <x:c r="L87" s="31" t="str"/>
      <x:c r="M87" s="31" t="str"/>
      <x:c r="N87" s="31" t="str"/>
    </x:row>
    <x:row r="88" ht="42" customHeight="1">
      <x:c r="A88" s="35" t="n">
        <x:v>86</x:v>
      </x:c>
      <x:c r="B88" s="31" t="str">
        <x:f>IF('Execution Checklist'!Q88="","",'Execution Checklist'!Q88)</x:f>
      </x:c>
      <x:c r="C88" s="31" t="str">
        <x:v>Place the red block beside the green pen.</x:v>
      </x:c>
      <x:c r="D88" s="31" t="str">
        <x:v>red block near green pen</x:v>
      </x:c>
      <x:c r="E88" s="31" t="str">
        <x:v>Binary task success; paired with the main transfer row.</x:v>
      </x:c>
      <x:c r="F88" s="31"/>
      <x:c r="G88" s="31"/>
      <x:c r="H88" s="31" t="str">
        <x:f>IF(OR(F88="",G88=""),"",IF(F88=G88,"Agree","Disagree"))</x:f>
      </x:c>
      <x:c r="I88" s="31"/>
      <x:c r="J88" s="31" t="str">
        <x:v>No</x:v>
      </x:c>
      <x:c r="K88" s="31" t="str"/>
      <x:c r="L88" s="31" t="str"/>
      <x:c r="M88" s="31" t="str"/>
      <x:c r="N88" s="31" t="str"/>
    </x:row>
    <x:row r="89" ht="42" customHeight="1">
      <x:c r="A89" s="35" t="n">
        <x:v>87</x:v>
      </x:c>
      <x:c r="B89" s="31" t="str">
        <x:f>IF('Execution Checklist'!Q89="","",'Execution Checklist'!Q89)</x:f>
      </x:c>
      <x:c r="C89" s="31" t="str">
        <x:v>Place the blue block in front of the green pen.</x:v>
      </x:c>
      <x:c r="D89" s="31" t="str">
        <x:v>blue block</x:v>
      </x:c>
      <x:c r="E89" s="31" t="str">
        <x:v>Binary task success using the task-specific rubric.</x:v>
      </x:c>
      <x:c r="F89" s="31"/>
      <x:c r="G89" s="31"/>
      <x:c r="H89" s="31" t="str">
        <x:f>IF(OR(F89="",G89=""),"",IF(F89=G89,"Agree","Disagree"))</x:f>
      </x:c>
      <x:c r="I89" s="31"/>
      <x:c r="J89" s="31" t="str">
        <x:v>No</x:v>
      </x:c>
      <x:c r="K89" s="31" t="str"/>
      <x:c r="L89" s="31" t="str"/>
      <x:c r="M89" s="31" t="str"/>
      <x:c r="N89" s="31" t="str"/>
    </x:row>
    <x:row r="90" ht="42" customHeight="1">
      <x:c r="A90" s="35" t="n">
        <x:v>88</x:v>
      </x:c>
      <x:c r="B90" s="31" t="str">
        <x:f>IF('Execution Checklist'!Q90="","",'Execution Checklist'!Q90)</x:f>
      </x:c>
      <x:c r="C90" s="31" t="str">
        <x:v>Move the red block to the side of the pink marker facing the robot.</x:v>
      </x:c>
      <x:c r="D90" s="31" t="str">
        <x:v>red block</x:v>
      </x:c>
      <x:c r="E90" s="31" t="str">
        <x:v>Binary task success; compare with the seen-language row sharing Pair ID.</x:v>
      </x:c>
      <x:c r="F90" s="31"/>
      <x:c r="G90" s="31"/>
      <x:c r="H90" s="31" t="str">
        <x:f>IF(OR(F90="",G90=""),"",IF(F90=G90,"Agree","Disagree"))</x:f>
      </x:c>
      <x:c r="I90" s="31"/>
      <x:c r="J90" s="31" t="str">
        <x:v>No</x:v>
      </x:c>
      <x:c r="K90" s="31" t="str"/>
      <x:c r="L90" s="31" t="str"/>
      <x:c r="M90" s="31" t="str"/>
      <x:c r="N90" s="31" t="str"/>
    </x:row>
    <x:row r="91" ht="42" customHeight="1">
      <x:c r="A91" s="35" t="n">
        <x:v>89</x:v>
      </x:c>
      <x:c r="B91" s="31" t="str">
        <x:f>IF('Execution Checklist'!Q91="","",'Execution Checklist'!Q91)</x:f>
      </x:c>
      <x:c r="C91" s="31" t="str">
        <x:v>Place the green pen behind the red block.</x:v>
      </x:c>
      <x:c r="D91" s="31" t="str">
        <x:v>No prespecified task success under blank language; record any action/selected target.</x:v>
      </x:c>
      <x:c r="E91" s="31" t="str">
        <x:v>Do not score ordinary task success. Record action occurrence and agreement with the parent correct-prompt rollout.</x:v>
      </x:c>
      <x:c r="F91" s="31"/>
      <x:c r="G91" s="31"/>
      <x:c r="H91" s="31" t="str">
        <x:f>IF(OR(F91="",G91=""),"",IF(F91=G91,"Agree","Disagree"))</x:f>
      </x:c>
      <x:c r="I91" s="31"/>
      <x:c r="J91" s="31" t="str">
        <x:v>No</x:v>
      </x:c>
      <x:c r="K91" s="31" t="str"/>
      <x:c r="L91" s="31" t="str"/>
      <x:c r="M91" s="31" t="str"/>
      <x:c r="N91" s="31" t="str"/>
    </x:row>
    <x:row r="92" ht="42" customHeight="1">
      <x:c r="A92" s="35" t="n">
        <x:v>90</x:v>
      </x:c>
      <x:c r="B92" s="31" t="str">
        <x:f>IF('Execution Checklist'!Q92="","",'Execution Checklist'!Q92)</x:f>
      </x:c>
      <x:c r="C92" s="31" t="str">
        <x:v>Place the pink marker in front of the blue block.</x:v>
      </x:c>
      <x:c r="D92" s="31" t="str">
        <x:v>pink marker</x:v>
      </x:c>
      <x:c r="E92" s="31" t="str">
        <x:v>Binary task success using the task-specific rubric.</x:v>
      </x:c>
      <x:c r="F92" s="31"/>
      <x:c r="G92" s="31"/>
      <x:c r="H92" s="31" t="str">
        <x:f>IF(OR(F92="",G92=""),"",IF(F92=G92,"Agree","Disagree"))</x:f>
      </x:c>
      <x:c r="I92" s="31"/>
      <x:c r="J92" s="31" t="str">
        <x:v>No</x:v>
      </x:c>
      <x:c r="K92" s="31" t="str"/>
      <x:c r="L92" s="31" t="str"/>
      <x:c r="M92" s="31" t="str"/>
      <x:c r="N92" s="31" t="str"/>
    </x:row>
    <x:row r="93" ht="42" customHeight="1">
      <x:c r="A93" s="35" t="n">
        <x:v>91</x:v>
      </x:c>
      <x:c r="B93" s="31" t="str">
        <x:f>IF('Execution Checklist'!Q93="","",'Execution Checklist'!Q93)</x:f>
      </x:c>
      <x:c r="C93" s="31" t="str">
        <x:v>Place the red block to the left of the green pen.</x:v>
      </x:c>
      <x:c r="D93" s="31" t="str">
        <x:v>red block → to the left of green pen</x:v>
      </x:c>
      <x:c r="E93" s="31" t="str">
        <x:v>Binary task success; paired with the main matched-control row.</x:v>
      </x:c>
      <x:c r="F93" s="31"/>
      <x:c r="G93" s="31"/>
      <x:c r="H93" s="31" t="str">
        <x:f>IF(OR(F93="",G93=""),"",IF(F93=G93,"Agree","Disagree"))</x:f>
      </x:c>
      <x:c r="I93" s="31"/>
      <x:c r="J93" s="31" t="str">
        <x:v>No</x:v>
      </x:c>
      <x:c r="K93" s="31" t="str"/>
      <x:c r="L93" s="31" t="str"/>
      <x:c r="M93" s="31" t="str"/>
      <x:c r="N93" s="31" t="str"/>
    </x:row>
    <x:row r="94" ht="42" customHeight="1">
      <x:c r="A94" s="35" t="n">
        <x:v>92</x:v>
      </x:c>
      <x:c r="B94" s="31" t="str">
        <x:f>IF('Execution Checklist'!Q94="","",'Execution Checklist'!Q94)</x:f>
      </x:c>
      <x:c r="C94" s="31" t="str">
        <x:v>Move the red block to the side of the pink marker facing the robot.</x:v>
      </x:c>
      <x:c r="D94" s="31" t="str">
        <x:v>red block</x:v>
      </x:c>
      <x:c r="E94" s="31" t="str">
        <x:v>Binary task success; compare with the seen-language row sharing Pair ID.</x:v>
      </x:c>
      <x:c r="F94" s="31"/>
      <x:c r="G94" s="31"/>
      <x:c r="H94" s="31" t="str">
        <x:f>IF(OR(F94="",G94=""),"",IF(F94=G94,"Agree","Disagree"))</x:f>
      </x:c>
      <x:c r="I94" s="31"/>
      <x:c r="J94" s="31" t="str">
        <x:v>No</x:v>
      </x:c>
      <x:c r="K94" s="31" t="str"/>
      <x:c r="L94" s="31" t="str"/>
      <x:c r="M94" s="31" t="str"/>
      <x:c r="N94" s="31" t="str"/>
    </x:row>
    <x:row r="95" ht="42" customHeight="1">
      <x:c r="A95" s="35" t="n">
        <x:v>93</x:v>
      </x:c>
      <x:c r="B95" s="31" t="str">
        <x:f>IF('Execution Checklist'!Q95="","",'Execution Checklist'!Q95)</x:f>
      </x:c>
      <x:c r="C95" s="31" t="str">
        <x:v>Place the red block to the left of the green pen.</x:v>
      </x:c>
      <x:c r="D95" s="31" t="str">
        <x:v>red block → to the left of green pen</x:v>
      </x:c>
      <x:c r="E95" s="31" t="str">
        <x:v>Binary task success; paired with the main matched-control row.</x:v>
      </x:c>
      <x:c r="F95" s="31"/>
      <x:c r="G95" s="31"/>
      <x:c r="H95" s="31" t="str">
        <x:f>IF(OR(F95="",G95=""),"",IF(F95=G95,"Agree","Disagree"))</x:f>
      </x:c>
      <x:c r="I95" s="31"/>
      <x:c r="J95" s="31" t="str">
        <x:v>No</x:v>
      </x:c>
      <x:c r="K95" s="31" t="str"/>
      <x:c r="L95" s="31" t="str"/>
      <x:c r="M95" s="31" t="str"/>
      <x:c r="N95" s="31" t="str"/>
    </x:row>
    <x:row r="96" ht="42" customHeight="1">
      <x:c r="A96" s="35" t="n">
        <x:v>94</x:v>
      </x:c>
      <x:c r="B96" s="31" t="str">
        <x:f>IF('Execution Checklist'!Q96="","",'Execution Checklist'!Q96)</x:f>
      </x:c>
      <x:c r="C96" s="31" t="str">
        <x:v>Place the green pen beside the red block.</x:v>
      </x:c>
      <x:c r="D96" s="31" t="str">
        <x:v>green pen near red block</x:v>
      </x:c>
      <x:c r="E96" s="31" t="str">
        <x:v>Binary task success; paired with the main transfer row.</x:v>
      </x:c>
      <x:c r="F96" s="31"/>
      <x:c r="G96" s="31"/>
      <x:c r="H96" s="31" t="str">
        <x:f>IF(OR(F96="",G96=""),"",IF(F96=G96,"Agree","Disagree"))</x:f>
      </x:c>
      <x:c r="I96" s="31"/>
      <x:c r="J96" s="31" t="str">
        <x:v>No</x:v>
      </x:c>
      <x:c r="K96" s="31" t="str"/>
      <x:c r="L96" s="31" t="str"/>
      <x:c r="M96" s="31" t="str"/>
      <x:c r="N96" s="31" t="str"/>
    </x:row>
    <x:row r="97" ht="42" customHeight="1">
      <x:c r="A97" s="35" t="n">
        <x:v>95</x:v>
      </x:c>
      <x:c r="B97" s="31" t="str">
        <x:f>IF('Execution Checklist'!Q97="","",'Execution Checklist'!Q97)</x:f>
      </x:c>
      <x:c r="C97" s="31" t="str">
        <x:v>Place the green pen to the left of the red block.</x:v>
      </x:c>
      <x:c r="D97" s="31" t="str">
        <x:v>green pen → to the left of red block</x:v>
      </x:c>
      <x:c r="E97" s="31" t="str">
        <x:v>Binary task success; paired with the main matched-control row.</x:v>
      </x:c>
      <x:c r="F97" s="31"/>
      <x:c r="G97" s="31"/>
      <x:c r="H97" s="31" t="str">
        <x:f>IF(OR(F97="",G97=""),"",IF(F97=G97,"Agree","Disagree"))</x:f>
      </x:c>
      <x:c r="I97" s="31"/>
      <x:c r="J97" s="31" t="str">
        <x:v>No</x:v>
      </x:c>
      <x:c r="K97" s="31" t="str"/>
      <x:c r="L97" s="31" t="str"/>
      <x:c r="M97" s="31" t="str"/>
      <x:c r="N97" s="31" t="str"/>
    </x:row>
    <x:row r="98" ht="42" customHeight="1">
      <x:c r="A98" s="35" t="n">
        <x:v>96</x:v>
      </x:c>
      <x:c r="B98" s="31" t="str">
        <x:f>IF('Execution Checklist'!Q98="","",'Execution Checklist'!Q98)</x:f>
      </x:c>
      <x:c r="C98" s="31" t="str">
        <x:v>Place the blue block behind the green pen.</x:v>
      </x:c>
      <x:c r="D98" s="31" t="str">
        <x:v>blue block</x:v>
      </x:c>
      <x:c r="E98" s="31" t="str">
        <x:v>Binary task success using the task-specific rubric.</x:v>
      </x:c>
      <x:c r="F98" s="31"/>
      <x:c r="G98" s="31"/>
      <x:c r="H98" s="31" t="str">
        <x:f>IF(OR(F98="",G98=""),"",IF(F98=G98,"Agree","Disagree"))</x:f>
      </x:c>
      <x:c r="I98" s="31"/>
      <x:c r="J98" s="31" t="str">
        <x:v>No</x:v>
      </x:c>
      <x:c r="K98" s="31" t="str"/>
      <x:c r="L98" s="31" t="str"/>
      <x:c r="M98" s="31" t="str"/>
      <x:c r="N98" s="31" t="str"/>
    </x:row>
    <x:row r="99" ht="42" customHeight="1">
      <x:c r="A99" s="35" t="n">
        <x:v>97</x:v>
      </x:c>
      <x:c r="B99" s="31" t="str">
        <x:f>IF('Execution Checklist'!Q99="","",'Execution Checklist'!Q99)</x:f>
      </x:c>
      <x:c r="C99" s="31" t="str">
        <x:v>Place the red block behind the green pen.</x:v>
      </x:c>
      <x:c r="D99" s="31" t="str">
        <x:v>red block → behind green pen</x:v>
      </x:c>
      <x:c r="E99" s="31" t="str">
        <x:v>Binary task success; paired with the main matched-control row.</x:v>
      </x:c>
      <x:c r="F99" s="31"/>
      <x:c r="G99" s="31"/>
      <x:c r="H99" s="31" t="str">
        <x:f>IF(OR(F99="",G99=""),"",IF(F99=G99,"Agree","Disagree"))</x:f>
      </x:c>
      <x:c r="I99" s="31"/>
      <x:c r="J99" s="31" t="str">
        <x:v>No</x:v>
      </x:c>
      <x:c r="K99" s="31" t="str"/>
      <x:c r="L99" s="31" t="str"/>
      <x:c r="M99" s="31" t="str"/>
      <x:c r="N99" s="31" t="str"/>
    </x:row>
    <x:row r="100" ht="42" customHeight="1">
      <x:c r="A100" s="35" t="n">
        <x:v>98</x:v>
      </x:c>
      <x:c r="B100" s="31" t="str">
        <x:f>IF('Execution Checklist'!Q100="","",'Execution Checklist'!Q100)</x:f>
      </x:c>
      <x:c r="C100" s="31" t="str">
        <x:v>Move the red block to the side of the pink marker facing the robot.</x:v>
      </x:c>
      <x:c r="D100" s="31" t="str">
        <x:v>red block</x:v>
      </x:c>
      <x:c r="E100" s="31" t="str">
        <x:v>Binary task success; compare with the seen-language row sharing Pair ID.</x:v>
      </x:c>
      <x:c r="F100" s="31"/>
      <x:c r="G100" s="31"/>
      <x:c r="H100" s="31" t="str">
        <x:f>IF(OR(F100="",G100=""),"",IF(F100=G100,"Agree","Disagree"))</x:f>
      </x:c>
      <x:c r="I100" s="31"/>
      <x:c r="J100" s="31" t="str">
        <x:v>No</x:v>
      </x:c>
      <x:c r="K100" s="31" t="str"/>
      <x:c r="L100" s="31" t="str"/>
      <x:c r="M100" s="31" t="str"/>
      <x:c r="N100" s="31" t="str"/>
    </x:row>
    <x:row r="101" ht="42" customHeight="1">
      <x:c r="A101" s="35" t="n">
        <x:v>99</x:v>
      </x:c>
      <x:c r="B101" s="31" t="str">
        <x:f>IF('Execution Checklist'!Q101="","",'Execution Checklist'!Q101)</x:f>
      </x:c>
      <x:c r="C101" s="31" t="str">
        <x:v>Place the green pen in front of the red block.</x:v>
      </x:c>
      <x:c r="D101" s="31" t="str">
        <x:v>No prespecified task success under blank language; record any action/selected target.</x:v>
      </x:c>
      <x:c r="E101" s="31" t="str">
        <x:v>Do not score ordinary task success. Record action occurrence and agreement with the parent correct-prompt rollout.</x:v>
      </x:c>
      <x:c r="F101" s="31"/>
      <x:c r="G101" s="31"/>
      <x:c r="H101" s="31" t="str">
        <x:f>IF(OR(F101="",G101=""),"",IF(F101=G101,"Agree","Disagree"))</x:f>
      </x:c>
      <x:c r="I101" s="31"/>
      <x:c r="J101" s="31" t="str">
        <x:v>No</x:v>
      </x:c>
      <x:c r="K101" s="31" t="str"/>
      <x:c r="L101" s="31" t="str"/>
      <x:c r="M101" s="31" t="str"/>
      <x:c r="N101" s="31" t="str"/>
    </x:row>
    <x:row r="102" ht="42" customHeight="1">
      <x:c r="A102" s="35" t="n">
        <x:v>100</x:v>
      </x:c>
      <x:c r="B102" s="31" t="str">
        <x:f>IF('Execution Checklist'!Q102="","",'Execution Checklist'!Q102)</x:f>
      </x:c>
      <x:c r="C102" s="31" t="str">
        <x:v>Place the green pen beside the red block.</x:v>
      </x:c>
      <x:c r="D102" s="31" t="str">
        <x:v>green pen near red block</x:v>
      </x:c>
      <x:c r="E102" s="31" t="str">
        <x:v>Binary task success; paired with the main transfer row.</x:v>
      </x:c>
      <x:c r="F102" s="31"/>
      <x:c r="G102" s="31"/>
      <x:c r="H102" s="31" t="str">
        <x:f>IF(OR(F102="",G102=""),"",IF(F102=G102,"Agree","Disagree"))</x:f>
      </x:c>
      <x:c r="I102" s="31"/>
      <x:c r="J102" s="31" t="str">
        <x:v>No</x:v>
      </x:c>
      <x:c r="K102" s="31" t="str"/>
      <x:c r="L102" s="31" t="str"/>
      <x:c r="M102" s="31" t="str"/>
      <x:c r="N102" s="31" t="str"/>
    </x:row>
    <x:row r="103" ht="42" customHeight="1">
      <x:c r="A103" s="35" t="n">
        <x:v>101</x:v>
      </x:c>
      <x:c r="B103" s="31" t="str">
        <x:f>IF('Execution Checklist'!Q103="","",'Execution Checklist'!Q103)</x:f>
      </x:c>
      <x:c r="C103" s="31" t="str">
        <x:v>Place the green pen to the left of the red block.</x:v>
      </x:c>
      <x:c r="D103" s="31" t="str">
        <x:v>green pen → to the left of red block</x:v>
      </x:c>
      <x:c r="E103" s="31" t="str">
        <x:v>Binary task success; paired with the main matched-control row.</x:v>
      </x:c>
      <x:c r="F103" s="31"/>
      <x:c r="G103" s="31"/>
      <x:c r="H103" s="31" t="str">
        <x:f>IF(OR(F103="",G103=""),"",IF(F103=G103,"Agree","Disagree"))</x:f>
      </x:c>
      <x:c r="I103" s="31"/>
      <x:c r="J103" s="31" t="str">
        <x:v>No</x:v>
      </x:c>
      <x:c r="K103" s="31" t="str"/>
      <x:c r="L103" s="31" t="str"/>
      <x:c r="M103" s="31" t="str"/>
      <x:c r="N103" s="31" t="str"/>
    </x:row>
    <x:row r="104" ht="42" customHeight="1">
      <x:c r="A104" s="35" t="n">
        <x:v>102</x:v>
      </x:c>
      <x:c r="B104" s="31" t="str">
        <x:f>IF('Execution Checklist'!Q104="","",'Execution Checklist'!Q104)</x:f>
      </x:c>
      <x:c r="C104" s="31" t="str">
        <x:v>Place the red block near the green pen.</x:v>
      </x:c>
      <x:c r="D104" s="31" t="str">
        <x:v>red block near green pen</x:v>
      </x:c>
      <x:c r="E104" s="31" t="str">
        <x:v>Binary task success; paired with the main transfer row.</x:v>
      </x:c>
      <x:c r="F104" s="31"/>
      <x:c r="G104" s="31"/>
      <x:c r="H104" s="31" t="str">
        <x:f>IF(OR(F104="",G104=""),"",IF(F104=G104,"Agree","Disagree"))</x:f>
      </x:c>
      <x:c r="I104" s="31"/>
      <x:c r="J104" s="31" t="str">
        <x:v>No</x:v>
      </x:c>
      <x:c r="K104" s="31" t="str"/>
      <x:c r="L104" s="31" t="str"/>
      <x:c r="M104" s="31" t="str"/>
      <x:c r="N104" s="31" t="str"/>
    </x:row>
    <x:row r="105" ht="42" customHeight="1">
      <x:c r="A105" s="35" t="n">
        <x:v>103</x:v>
      </x:c>
      <x:c r="B105" s="31" t="str">
        <x:f>IF('Execution Checklist'!Q105="","",'Execution Checklist'!Q105)</x:f>
      </x:c>
      <x:c r="C105" s="31" t="str">
        <x:v>Place the red block to the right of the green pen.</x:v>
      </x:c>
      <x:c r="D105" s="31" t="str">
        <x:v>red block → to the right of green pen</x:v>
      </x:c>
      <x:c r="E105" s="31" t="str">
        <x:v>Binary task success; paired with the main matched-control row.</x:v>
      </x:c>
      <x:c r="F105" s="31"/>
      <x:c r="G105" s="31"/>
      <x:c r="H105" s="31" t="str">
        <x:f>IF(OR(F105="",G105=""),"",IF(F105=G105,"Agree","Disagree"))</x:f>
      </x:c>
      <x:c r="I105" s="31"/>
      <x:c r="J105" s="31" t="str">
        <x:v>No</x:v>
      </x:c>
      <x:c r="K105" s="31" t="str"/>
      <x:c r="L105" s="31" t="str"/>
      <x:c r="M105" s="31" t="str"/>
      <x:c r="N105" s="31" t="str"/>
    </x:row>
    <x:row r="106" ht="42" customHeight="1">
      <x:c r="A106" s="35" t="n">
        <x:v>104</x:v>
      </x:c>
      <x:c r="B106" s="31" t="str">
        <x:f>IF('Execution Checklist'!Q106="","",'Execution Checklist'!Q106)</x:f>
      </x:c>
      <x:c r="C106" s="31" t="str">
        <x:v>Place the red block next to the green pen.</x:v>
      </x:c>
      <x:c r="D106" s="31" t="str">
        <x:v>red block near green pen</x:v>
      </x:c>
      <x:c r="E106" s="31" t="str">
        <x:v>Binary task success; paired with the main transfer row.</x:v>
      </x:c>
      <x:c r="F106" s="31"/>
      <x:c r="G106" s="31"/>
      <x:c r="H106" s="31" t="str">
        <x:f>IF(OR(F106="",G106=""),"",IF(F106=G106,"Agree","Disagree"))</x:f>
      </x:c>
      <x:c r="I106" s="31"/>
      <x:c r="J106" s="31" t="str">
        <x:v>No</x:v>
      </x:c>
      <x:c r="K106" s="31" t="str"/>
      <x:c r="L106" s="31" t="str"/>
      <x:c r="M106" s="31" t="str"/>
      <x:c r="N106" s="31" t="str"/>
    </x:row>
    <x:row r="107" ht="42" customHeight="1">
      <x:c r="A107" s="35" t="n">
        <x:v>105</x:v>
      </x:c>
      <x:c r="B107" s="31" t="str">
        <x:f>IF('Execution Checklist'!Q107="","",'Execution Checklist'!Q107)</x:f>
      </x:c>
      <x:c r="C107" s="31" t="str">
        <x:v>Place the green pen behind the red block.</x:v>
      </x:c>
      <x:c r="D107" s="31" t="str">
        <x:v>green pen → behind red block</x:v>
      </x:c>
      <x:c r="E107" s="31" t="str">
        <x:v>Binary success for the counterfactual instruction and paired action-switch analysis versus the parent.</x:v>
      </x:c>
      <x:c r="F107" s="31"/>
      <x:c r="G107" s="31"/>
      <x:c r="H107" s="31" t="str">
        <x:f>IF(OR(F107="",G107=""),"",IF(F107=G107,"Agree","Disagree"))</x:f>
      </x:c>
      <x:c r="I107" s="31"/>
      <x:c r="J107" s="31" t="str">
        <x:v>No</x:v>
      </x:c>
      <x:c r="K107" s="31" t="str"/>
      <x:c r="L107" s="31" t="str"/>
      <x:c r="M107" s="31" t="str"/>
      <x:c r="N107" s="31" t="str"/>
    </x:row>
    <x:row r="108" ht="42" customHeight="1">
      <x:c r="A108" s="35" t="n">
        <x:v>106</x:v>
      </x:c>
      <x:c r="B108" s="31" t="str">
        <x:f>IF('Execution Checklist'!Q108="","",'Execution Checklist'!Q108)</x:f>
      </x:c>
      <x:c r="C108" s="31" t="str">
        <x:v>Place the green pen to the left of the pink marker.</x:v>
      </x:c>
      <x:c r="D108" s="31" t="str">
        <x:v>green pen</x:v>
      </x:c>
      <x:c r="E108" s="31" t="str">
        <x:v>Binary task success using the task-specific rubric.</x:v>
      </x:c>
      <x:c r="F108" s="31"/>
      <x:c r="G108" s="31"/>
      <x:c r="H108" s="31" t="str">
        <x:f>IF(OR(F108="",G108=""),"",IF(F108=G108,"Agree","Disagree"))</x:f>
      </x:c>
      <x:c r="I108" s="31"/>
      <x:c r="J108" s="31" t="str">
        <x:v>No</x:v>
      </x:c>
      <x:c r="K108" s="31" t="str"/>
      <x:c r="L108" s="31" t="str"/>
      <x:c r="M108" s="31" t="str"/>
      <x:c r="N108" s="31" t="str"/>
    </x:row>
    <x:row r="109" ht="42" customHeight="1">
      <x:c r="A109" s="35" t="n">
        <x:v>107</x:v>
      </x:c>
      <x:c r="B109" s="31" t="str">
        <x:f>IF('Execution Checklist'!Q109="","",'Execution Checklist'!Q109)</x:f>
      </x:c>
      <x:c r="C109" s="31" t="str">
        <x:v>Place the green pen to the left of the red block.</x:v>
      </x:c>
      <x:c r="D109" s="31" t="str">
        <x:v>No prespecified task success under blank language; record any action/selected target.</x:v>
      </x:c>
      <x:c r="E109" s="31" t="str">
        <x:v>Do not score ordinary task success. Record action occurrence and agreement with the parent correct-prompt rollout.</x:v>
      </x:c>
      <x:c r="F109" s="31"/>
      <x:c r="G109" s="31"/>
      <x:c r="H109" s="31" t="str">
        <x:f>IF(OR(F109="",G109=""),"",IF(F109=G109,"Agree","Disagree"))</x:f>
      </x:c>
      <x:c r="I109" s="31"/>
      <x:c r="J109" s="31" t="str">
        <x:v>No</x:v>
      </x:c>
      <x:c r="K109" s="31" t="str"/>
      <x:c r="L109" s="31" t="str"/>
      <x:c r="M109" s="31" t="str"/>
      <x:c r="N109" s="31" t="str"/>
    </x:row>
    <x:row r="110" ht="42" customHeight="1">
      <x:c r="A110" s="35" t="n">
        <x:v>108</x:v>
      </x:c>
      <x:c r="B110" s="31" t="str">
        <x:f>IF('Execution Checklist'!Q110="","",'Execution Checklist'!Q110)</x:f>
      </x:c>
      <x:c r="C110" s="31" t="str">
        <x:v>Place the green pen in front of the pink marker.</x:v>
      </x:c>
      <x:c r="D110" s="31" t="str">
        <x:v>green pen</x:v>
      </x:c>
      <x:c r="E110" s="31" t="str">
        <x:v>Binary task success using the task-specific rubric.</x:v>
      </x:c>
      <x:c r="F110" s="31"/>
      <x:c r="G110" s="31"/>
      <x:c r="H110" s="31" t="str">
        <x:f>IF(OR(F110="",G110=""),"",IF(F110=G110,"Agree","Disagree"))</x:f>
      </x:c>
      <x:c r="I110" s="31"/>
      <x:c r="J110" s="31" t="str">
        <x:v>No</x:v>
      </x:c>
      <x:c r="K110" s="31" t="str"/>
      <x:c r="L110" s="31" t="str"/>
      <x:c r="M110" s="31" t="str"/>
      <x:c r="N110" s="31" t="str"/>
    </x:row>
    <x:row r="111" ht="42" customHeight="1">
      <x:c r="A111" s="35" t="n">
        <x:v>109</x:v>
      </x:c>
      <x:c r="B111" s="31" t="str">
        <x:f>IF('Execution Checklist'!Q111="","",'Execution Checklist'!Q111)</x:f>
      </x:c>
      <x:c r="C111" s="31" t="str">
        <x:v>Move the green pen to the front of the pink marker.</x:v>
      </x:c>
      <x:c r="D111" s="31" t="str">
        <x:v>green pen</x:v>
      </x:c>
      <x:c r="E111" s="31" t="str">
        <x:v>Binary task success using the task-specific rubric.</x:v>
      </x:c>
      <x:c r="F111" s="31"/>
      <x:c r="G111" s="31"/>
      <x:c r="H111" s="31" t="str">
        <x:f>IF(OR(F111="",G111=""),"",IF(F111=G111,"Agree","Disagree"))</x:f>
      </x:c>
      <x:c r="I111" s="31"/>
      <x:c r="J111" s="31" t="str">
        <x:v>No</x:v>
      </x:c>
      <x:c r="K111" s="31" t="str"/>
      <x:c r="L111" s="31" t="str"/>
      <x:c r="M111" s="31" t="str"/>
      <x:c r="N111" s="31" t="str"/>
    </x:row>
    <x:row r="112" ht="42" customHeight="1">
      <x:c r="A112" s="35" t="n">
        <x:v>110</x:v>
      </x:c>
      <x:c r="B112" s="31" t="str">
        <x:f>IF('Execution Checklist'!Q112="","",'Execution Checklist'!Q112)</x:f>
      </x:c>
      <x:c r="C112" s="31" t="str">
        <x:v>Place the green pen near the red block.</x:v>
      </x:c>
      <x:c r="D112" s="31" t="str">
        <x:v>green pen near red block</x:v>
      </x:c>
      <x:c r="E112" s="31" t="str">
        <x:v>Binary task success; paired with the main transfer row.</x:v>
      </x:c>
      <x:c r="F112" s="31"/>
      <x:c r="G112" s="31"/>
      <x:c r="H112" s="31" t="str">
        <x:f>IF(OR(F112="",G112=""),"",IF(F112=G112,"Agree","Disagree"))</x:f>
      </x:c>
      <x:c r="I112" s="31"/>
      <x:c r="J112" s="31" t="str">
        <x:v>No</x:v>
      </x:c>
      <x:c r="K112" s="31" t="str"/>
      <x:c r="L112" s="31" t="str"/>
      <x:c r="M112" s="31" t="str"/>
      <x:c r="N112" s="31" t="str"/>
    </x:row>
    <x:row r="113" ht="42" customHeight="1">
      <x:c r="A113" s="35" t="n">
        <x:v>111</x:v>
      </x:c>
      <x:c r="B113" s="31" t="str">
        <x:f>IF('Execution Checklist'!Q113="","",'Execution Checklist'!Q113)</x:f>
      </x:c>
      <x:c r="C113" s="31" t="str">
        <x:v>Move the red block to the side of the pink marker facing the robot.</x:v>
      </x:c>
      <x:c r="D113" s="31" t="str">
        <x:v>red block</x:v>
      </x:c>
      <x:c r="E113" s="31" t="str">
        <x:v>Binary task success; compare with the seen-language row sharing Pair ID.</x:v>
      </x:c>
      <x:c r="F113" s="31"/>
      <x:c r="G113" s="31"/>
      <x:c r="H113" s="31" t="str">
        <x:f>IF(OR(F113="",G113=""),"",IF(F113=G113,"Agree","Disagree"))</x:f>
      </x:c>
      <x:c r="I113" s="31"/>
      <x:c r="J113" s="31" t="str">
        <x:v>No</x:v>
      </x:c>
      <x:c r="K113" s="31" t="str"/>
      <x:c r="L113" s="31" t="str"/>
      <x:c r="M113" s="31" t="str"/>
      <x:c r="N113" s="31" t="str"/>
    </x:row>
    <x:row r="114" ht="42" customHeight="1">
      <x:c r="A114" s="35" t="n">
        <x:v>112</x:v>
      </x:c>
      <x:c r="B114" s="31" t="str">
        <x:f>IF('Execution Checklist'!Q114="","",'Execution Checklist'!Q114)</x:f>
      </x:c>
      <x:c r="C114" s="31" t="str">
        <x:v>Place the green pen behind the red block.</x:v>
      </x:c>
      <x:c r="D114" s="31" t="str">
        <x:v>green pen → behind red block</x:v>
      </x:c>
      <x:c r="E114" s="31" t="str">
        <x:v>Binary task success; paired with the main matched-control row.</x:v>
      </x:c>
      <x:c r="F114" s="31"/>
      <x:c r="G114" s="31"/>
      <x:c r="H114" s="31" t="str">
        <x:f>IF(OR(F114="",G114=""),"",IF(F114=G114,"Agree","Disagree"))</x:f>
      </x:c>
      <x:c r="I114" s="31"/>
      <x:c r="J114" s="31" t="str">
        <x:v>No</x:v>
      </x:c>
      <x:c r="K114" s="31" t="str"/>
      <x:c r="L114" s="31" t="str"/>
      <x:c r="M114" s="31" t="str"/>
      <x:c r="N114" s="31" t="str"/>
    </x:row>
    <x:row r="115" ht="42" customHeight="1">
      <x:c r="A115" s="35" t="n">
        <x:v>113</x:v>
      </x:c>
      <x:c r="B115" s="31" t="str">
        <x:f>IF('Execution Checklist'!Q115="","",'Execution Checklist'!Q115)</x:f>
      </x:c>
      <x:c r="C115" s="31" t="str">
        <x:v>Place the red block to the right of the blue block.</x:v>
      </x:c>
      <x:c r="D115" s="31" t="str">
        <x:v>red block</x:v>
      </x:c>
      <x:c r="E115" s="31" t="str">
        <x:v>Binary task success using the task-specific rubric.</x:v>
      </x:c>
      <x:c r="F115" s="31"/>
      <x:c r="G115" s="31"/>
      <x:c r="H115" s="31" t="str">
        <x:f>IF(OR(F115="",G115=""),"",IF(F115=G115,"Agree","Disagree"))</x:f>
      </x:c>
      <x:c r="I115" s="31"/>
      <x:c r="J115" s="31" t="str">
        <x:v>No</x:v>
      </x:c>
      <x:c r="K115" s="31" t="str"/>
      <x:c r="L115" s="31" t="str"/>
      <x:c r="M115" s="31" t="str"/>
      <x:c r="N115" s="31" t="str"/>
    </x:row>
    <x:row r="116" ht="42" customHeight="1">
      <x:c r="A116" s="35" t="n">
        <x:v>114</x:v>
      </x:c>
      <x:c r="B116" s="31" t="str">
        <x:f>IF('Execution Checklist'!Q116="","",'Execution Checklist'!Q116)</x:f>
      </x:c>
      <x:c r="C116" s="31" t="str">
        <x:v>Place the pink marker to the right of the blue block.</x:v>
      </x:c>
      <x:c r="D116" s="31" t="str">
        <x:v>pink marker</x:v>
      </x:c>
      <x:c r="E116" s="31" t="str">
        <x:v>Binary task success using the task-specific rubric.</x:v>
      </x:c>
      <x:c r="F116" s="31"/>
      <x:c r="G116" s="31"/>
      <x:c r="H116" s="31" t="str">
        <x:f>IF(OR(F116="",G116=""),"",IF(F116=G116,"Agree","Disagree"))</x:f>
      </x:c>
      <x:c r="I116" s="31"/>
      <x:c r="J116" s="31" t="str">
        <x:v>No</x:v>
      </x:c>
      <x:c r="K116" s="31" t="str"/>
      <x:c r="L116" s="31" t="str"/>
      <x:c r="M116" s="31" t="str"/>
      <x:c r="N116" s="31" t="str"/>
    </x:row>
    <x:row r="117" ht="42" customHeight="1">
      <x:c r="A117" s="35" t="n">
        <x:v>115</x:v>
      </x:c>
      <x:c r="B117" s="31" t="str">
        <x:f>IF('Execution Checklist'!Q117="","",'Execution Checklist'!Q117)</x:f>
      </x:c>
      <x:c r="C117" s="31" t="str">
        <x:v>Place the green pen to the right of the pink marker.</x:v>
      </x:c>
      <x:c r="D117" s="31" t="str">
        <x:v>green pen</x:v>
      </x:c>
      <x:c r="E117" s="31" t="str">
        <x:v>Binary task success using the task-specific rubric.</x:v>
      </x:c>
      <x:c r="F117" s="31"/>
      <x:c r="G117" s="31"/>
      <x:c r="H117" s="31" t="str">
        <x:f>IF(OR(F117="",G117=""),"",IF(F117=G117,"Agree","Disagree"))</x:f>
      </x:c>
      <x:c r="I117" s="31"/>
      <x:c r="J117" s="31" t="str">
        <x:v>No</x:v>
      </x:c>
      <x:c r="K117" s="31" t="str"/>
      <x:c r="L117" s="31" t="str"/>
      <x:c r="M117" s="31" t="str"/>
      <x:c r="N117" s="31" t="str"/>
    </x:row>
    <x:row r="118" ht="42" customHeight="1">
      <x:c r="A118" s="35" t="n">
        <x:v>116</x:v>
      </x:c>
      <x:c r="B118" s="31" t="str">
        <x:f>IF('Execution Checklist'!Q118="","",'Execution Checklist'!Q118)</x:f>
      </x:c>
      <x:c r="C118" s="31" t="str">
        <x:v>Place the green pen behind the red block.</x:v>
      </x:c>
      <x:c r="D118" s="31" t="str">
        <x:v>green pen → behind red block</x:v>
      </x:c>
      <x:c r="E118" s="31" t="str">
        <x:v>Binary task success; paired with the main matched-control row.</x:v>
      </x:c>
      <x:c r="F118" s="31"/>
      <x:c r="G118" s="31"/>
      <x:c r="H118" s="31" t="str">
        <x:f>IF(OR(F118="",G118=""),"",IF(F118=G118,"Agree","Disagree"))</x:f>
      </x:c>
      <x:c r="I118" s="31"/>
      <x:c r="J118" s="31" t="str">
        <x:v>No</x:v>
      </x:c>
      <x:c r="K118" s="31" t="str"/>
      <x:c r="L118" s="31" t="str"/>
      <x:c r="M118" s="31" t="str"/>
      <x:c r="N118" s="31" t="str"/>
    </x:row>
    <x:row r="119" ht="42" customHeight="1">
      <x:c r="A119" s="35" t="n">
        <x:v>117</x:v>
      </x:c>
      <x:c r="B119" s="31" t="str">
        <x:f>IF('Execution Checklist'!Q119="","",'Execution Checklist'!Q119)</x:f>
      </x:c>
      <x:c r="C119" s="31" t="str">
        <x:v>Place the green pen to the right of the pink marker.</x:v>
      </x:c>
      <x:c r="D119" s="31" t="str">
        <x:v>green pen</x:v>
      </x:c>
      <x:c r="E119" s="31" t="str">
        <x:v>Binary task success using the task-specific rubric.</x:v>
      </x:c>
      <x:c r="F119" s="31"/>
      <x:c r="G119" s="31"/>
      <x:c r="H119" s="31" t="str">
        <x:f>IF(OR(F119="",G119=""),"",IF(F119=G119,"Agree","Disagree"))</x:f>
      </x:c>
      <x:c r="I119" s="31"/>
      <x:c r="J119" s="31" t="str">
        <x:v>No</x:v>
      </x:c>
      <x:c r="K119" s="31" t="str"/>
      <x:c r="L119" s="31" t="str"/>
      <x:c r="M119" s="31" t="str"/>
      <x:c r="N119" s="31" t="str"/>
    </x:row>
    <x:row r="120" ht="42" customHeight="1">
      <x:c r="A120" s="35" t="n">
        <x:v>118</x:v>
      </x:c>
      <x:c r="B120" s="31" t="str">
        <x:f>IF('Execution Checklist'!Q120="","",'Execution Checklist'!Q120)</x:f>
      </x:c>
      <x:c r="C120" s="31" t="str">
        <x:v>Place the red block beside the green pen.</x:v>
      </x:c>
      <x:c r="D120" s="31" t="str">
        <x:v>red block near green pen</x:v>
      </x:c>
      <x:c r="E120" s="31" t="str">
        <x:v>Binary task success; paired with the main transfer row.</x:v>
      </x:c>
      <x:c r="F120" s="31"/>
      <x:c r="G120" s="31"/>
      <x:c r="H120" s="31" t="str">
        <x:f>IF(OR(F120="",G120=""),"",IF(F120=G120,"Agree","Disagree"))</x:f>
      </x:c>
      <x:c r="I120" s="31"/>
      <x:c r="J120" s="31" t="str">
        <x:v>No</x:v>
      </x:c>
      <x:c r="K120" s="31" t="str"/>
      <x:c r="L120" s="31" t="str"/>
      <x:c r="M120" s="31" t="str"/>
      <x:c r="N120" s="31" t="str"/>
    </x:row>
    <x:row r="121" ht="42" customHeight="1">
      <x:c r="A121" s="35" t="n">
        <x:v>119</x:v>
      </x:c>
      <x:c r="B121" s="31" t="str">
        <x:f>IF('Execution Checklist'!Q121="","",'Execution Checklist'!Q121)</x:f>
      </x:c>
      <x:c r="C121" s="31" t="str">
        <x:v>Place the red block in front of the green pen.</x:v>
      </x:c>
      <x:c r="D121" s="31" t="str">
        <x:v>red block → in front of green pen</x:v>
      </x:c>
      <x:c r="E121" s="31" t="str">
        <x:v>Binary task success; paired with the main matched-control row.</x:v>
      </x:c>
      <x:c r="F121" s="31"/>
      <x:c r="G121" s="31"/>
      <x:c r="H121" s="31" t="str">
        <x:f>IF(OR(F121="",G121=""),"",IF(F121=G121,"Agree","Disagree"))</x:f>
      </x:c>
      <x:c r="I121" s="31"/>
      <x:c r="J121" s="31" t="str">
        <x:v>No</x:v>
      </x:c>
      <x:c r="K121" s="31" t="str"/>
      <x:c r="L121" s="31" t="str"/>
      <x:c r="M121" s="31" t="str"/>
      <x:c r="N121" s="31" t="str"/>
    </x:row>
    <x:row r="122" ht="42" customHeight="1">
      <x:c r="A122" s="35" t="n">
        <x:v>120</x:v>
      </x:c>
      <x:c r="B122" s="31" t="str">
        <x:f>IF('Execution Checklist'!Q122="","",'Execution Checklist'!Q122)</x:f>
      </x:c>
      <x:c r="C122" s="31" t="str">
        <x:v>Place the red block to the right of the green pen.</x:v>
      </x:c>
      <x:c r="D122" s="31" t="str">
        <x:v>red block → to the right of green pen</x:v>
      </x:c>
      <x:c r="E122" s="31" t="str">
        <x:v>Binary task success; paired with the main matched-control row.</x:v>
      </x:c>
      <x:c r="F122" s="31"/>
      <x:c r="G122" s="31"/>
      <x:c r="H122" s="31" t="str">
        <x:f>IF(OR(F122="",G122=""),"",IF(F122=G122,"Agree","Disagree"))</x:f>
      </x:c>
      <x:c r="I122" s="31"/>
      <x:c r="J122" s="31" t="str">
        <x:v>No</x:v>
      </x:c>
      <x:c r="K122" s="31" t="str"/>
      <x:c r="L122" s="31" t="str"/>
      <x:c r="M122" s="31" t="str"/>
      <x:c r="N122" s="31" t="str"/>
    </x:row>
    <x:row r="123" ht="42" customHeight="1">
      <x:c r="A123" s="35" t="n">
        <x:v>121</x:v>
      </x:c>
      <x:c r="B123" s="31" t="str">
        <x:f>IF('Execution Checklist'!Q123="","",'Execution Checklist'!Q123)</x:f>
      </x:c>
      <x:c r="C123" s="31" t="str">
        <x:v>Move the red block to the side of the pink marker facing the robot.</x:v>
      </x:c>
      <x:c r="D123" s="31" t="str">
        <x:v>red block</x:v>
      </x:c>
      <x:c r="E123" s="31" t="str">
        <x:v>Binary task success; compare with the seen-language row sharing Pair ID.</x:v>
      </x:c>
      <x:c r="F123" s="31"/>
      <x:c r="G123" s="31"/>
      <x:c r="H123" s="31" t="str">
        <x:f>IF(OR(F123="",G123=""),"",IF(F123=G123,"Agree","Disagree"))</x:f>
      </x:c>
      <x:c r="I123" s="31"/>
      <x:c r="J123" s="31" t="str">
        <x:v>No</x:v>
      </x:c>
      <x:c r="K123" s="31" t="str"/>
      <x:c r="L123" s="31" t="str"/>
      <x:c r="M123" s="31" t="str"/>
      <x:c r="N123" s="31" t="str"/>
    </x:row>
    <x:row r="124" ht="42" customHeight="1">
      <x:c r="A124" s="35" t="n">
        <x:v>122</x:v>
      </x:c>
      <x:c r="B124" s="31" t="str">
        <x:f>IF('Execution Checklist'!Q124="","",'Execution Checklist'!Q124)</x:f>
      </x:c>
      <x:c r="C124" s="31" t="str">
        <x:v>Place the green pen to the right of the red block.</x:v>
      </x:c>
      <x:c r="D124" s="31" t="str">
        <x:v>green pen → to the right of red block</x:v>
      </x:c>
      <x:c r="E124" s="31" t="str">
        <x:v>Binary task success; paired with the main matched-control row.</x:v>
      </x:c>
      <x:c r="F124" s="31"/>
      <x:c r="G124" s="31"/>
      <x:c r="H124" s="31" t="str">
        <x:f>IF(OR(F124="",G124=""),"",IF(F124=G124,"Agree","Disagree"))</x:f>
      </x:c>
      <x:c r="I124" s="31"/>
      <x:c r="J124" s="31" t="str">
        <x:v>No</x:v>
      </x:c>
      <x:c r="K124" s="31" t="str"/>
      <x:c r="L124" s="31" t="str"/>
      <x:c r="M124" s="31" t="str"/>
      <x:c r="N124" s="31" t="str"/>
    </x:row>
    <x:row r="125" ht="42" customHeight="1">
      <x:c r="A125" s="35" t="n">
        <x:v>123</x:v>
      </x:c>
      <x:c r="B125" s="31" t="str">
        <x:f>IF('Execution Checklist'!Q125="","",'Execution Checklist'!Q125)</x:f>
      </x:c>
      <x:c r="C125" s="31" t="str">
        <x:v>Move the red block to the side of the pink marker facing the robot.</x:v>
      </x:c>
      <x:c r="D125" s="31" t="str">
        <x:v>red block</x:v>
      </x:c>
      <x:c r="E125" s="31" t="str">
        <x:v>Binary task success; compare with the seen-language row sharing Pair ID.</x:v>
      </x:c>
      <x:c r="F125" s="31"/>
      <x:c r="G125" s="31"/>
      <x:c r="H125" s="31" t="str">
        <x:f>IF(OR(F125="",G125=""),"",IF(F125=G125,"Agree","Disagree"))</x:f>
      </x:c>
      <x:c r="I125" s="31"/>
      <x:c r="J125" s="31" t="str">
        <x:v>No</x:v>
      </x:c>
      <x:c r="K125" s="31" t="str"/>
      <x:c r="L125" s="31" t="str"/>
      <x:c r="M125" s="31" t="str"/>
      <x:c r="N125" s="31" t="str"/>
    </x:row>
    <x:row r="126" ht="42" customHeight="1">
      <x:c r="A126" s="35" t="n">
        <x:v>124</x:v>
      </x:c>
      <x:c r="B126" s="31" t="str">
        <x:f>IF('Execution Checklist'!Q126="","",'Execution Checklist'!Q126)</x:f>
      </x:c>
      <x:c r="C126" s="31" t="str">
        <x:v>Leave exactly two objects in the bowl.</x:v>
      </x:c>
      <x:c r="D126" s="31" t="str">
        <x:v>yellow block</x:v>
      </x:c>
      <x:c r="E126" s="31" t="str">
        <x:v>Binary task success using the task-specific rubric.</x:v>
      </x:c>
      <x:c r="F126" s="31"/>
      <x:c r="G126" s="31"/>
      <x:c r="H126" s="31" t="str">
        <x:f>IF(OR(F126="",G126=""),"",IF(F126=G126,"Agree","Disagree"))</x:f>
      </x:c>
      <x:c r="I126" s="31"/>
      <x:c r="J126" s="31" t="str">
        <x:v>No</x:v>
      </x:c>
      <x:c r="K126" s="31" t="str"/>
      <x:c r="L126" s="31" t="str"/>
      <x:c r="M126" s="31" t="str"/>
      <x:c r="N126" s="31" t="str"/>
    </x:row>
    <x:row r="127" ht="42" customHeight="1">
      <x:c r="A127" s="35" t="n">
        <x:v>125</x:v>
      </x:c>
      <x:c r="B127" s="31" t="str">
        <x:f>IF('Execution Checklist'!Q127="","",'Execution Checklist'!Q127)</x:f>
      </x:c>
      <x:c r="C127" s="31" t="str">
        <x:v>Move the blue pen into the bowl.</x:v>
      </x:c>
      <x:c r="D127" s="31" t="str">
        <x:v>blue pen</x:v>
      </x:c>
      <x:c r="E127" s="31" t="str">
        <x:v>Binary task success using the task-specific rubric.</x:v>
      </x:c>
      <x:c r="F127" s="31"/>
      <x:c r="G127" s="31"/>
      <x:c r="H127" s="31" t="str">
        <x:f>IF(OR(F127="",G127=""),"",IF(F127=G127,"Agree","Disagree"))</x:f>
      </x:c>
      <x:c r="I127" s="31"/>
      <x:c r="J127" s="31" t="str">
        <x:v>No</x:v>
      </x:c>
      <x:c r="K127" s="31" t="str"/>
      <x:c r="L127" s="31" t="str"/>
      <x:c r="M127" s="31" t="str"/>
      <x:c r="N127" s="31" t="str"/>
    </x:row>
    <x:row r="128" ht="42" customHeight="1">
      <x:c r="A128" s="35" t="n">
        <x:v>126</x:v>
      </x:c>
      <x:c r="B128" s="31" t="str">
        <x:f>IF('Execution Checklist'!Q128="","",'Execution Checklist'!Q128)</x:f>
      </x:c>
      <x:c r="C128" s="31" t="str">
        <x:v>Leave exactly three objects in the bowl.</x:v>
      </x:c>
      <x:c r="D128" s="31" t="str">
        <x:v>ADD one table object</x:v>
      </x:c>
      <x:c r="E128" s="31" t="str">
        <x:v>Binary success for the counterfactual instruction and paired action-switch analysis versus the parent.</x:v>
      </x:c>
      <x:c r="F128" s="31"/>
      <x:c r="G128" s="31"/>
      <x:c r="H128" s="31" t="str">
        <x:f>IF(OR(F128="",G128=""),"",IF(F128=G128,"Agree","Disagree"))</x:f>
      </x:c>
      <x:c r="I128" s="31"/>
      <x:c r="J128" s="31" t="str">
        <x:v>No</x:v>
      </x:c>
      <x:c r="K128" s="31" t="str"/>
      <x:c r="L128" s="31" t="str"/>
      <x:c r="M128" s="31" t="str"/>
      <x:c r="N128" s="31" t="str"/>
    </x:row>
    <x:row r="129" ht="42" customHeight="1">
      <x:c r="A129" s="35" t="n">
        <x:v>127</x:v>
      </x:c>
      <x:c r="B129" s="31" t="str">
        <x:f>IF('Execution Checklist'!Q129="","",'Execution Checklist'!Q129)</x:f>
      </x:c>
      <x:c r="C129" s="31" t="str">
        <x:v>Leave exactly three objects in the bowl.</x:v>
      </x:c>
      <x:c r="D129" s="31" t="str">
        <x:v>No prespecified task success under blank language; record any action/selected target.</x:v>
      </x:c>
      <x:c r="E129" s="31" t="str">
        <x:v>Do not score ordinary task success. Record action occurrence and agreement with the parent correct-prompt rollout.</x:v>
      </x:c>
      <x:c r="F129" s="31"/>
      <x:c r="G129" s="31"/>
      <x:c r="H129" s="31" t="str">
        <x:f>IF(OR(F129="",G129=""),"",IF(F129=G129,"Agree","Disagree"))</x:f>
      </x:c>
      <x:c r="I129" s="31"/>
      <x:c r="J129" s="31" t="str">
        <x:v>No</x:v>
      </x:c>
      <x:c r="K129" s="31" t="str"/>
      <x:c r="L129" s="31" t="str"/>
      <x:c r="M129" s="31" t="str"/>
      <x:c r="N129" s="31" t="str"/>
    </x:row>
    <x:row r="130" ht="42" customHeight="1">
      <x:c r="A130" s="35" t="n">
        <x:v>128</x:v>
      </x:c>
      <x:c r="B130" s="31" t="str">
        <x:f>IF('Execution Checklist'!Q130="","",'Execution Checklist'!Q130)</x:f>
      </x:c>
      <x:c r="C130" s="31" t="str">
        <x:v>Remove the green pencil sharpener from the bowl.</x:v>
      </x:c>
      <x:c r="D130" s="31" t="str">
        <x:v>REMOVE green pencil sharpener</x:v>
      </x:c>
      <x:c r="E130" s="31" t="str">
        <x:v>Binary task success; paired with the main transfer row.</x:v>
      </x:c>
      <x:c r="F130" s="31"/>
      <x:c r="G130" s="31"/>
      <x:c r="H130" s="31" t="str">
        <x:f>IF(OR(F130="",G130=""),"",IF(F130=G130,"Agree","Disagree"))</x:f>
      </x:c>
      <x:c r="I130" s="31"/>
      <x:c r="J130" s="31" t="str">
        <x:v>No</x:v>
      </x:c>
      <x:c r="K130" s="31" t="str"/>
      <x:c r="L130" s="31" t="str"/>
      <x:c r="M130" s="31" t="str"/>
      <x:c r="N130" s="31" t="str"/>
    </x:row>
    <x:row r="131" ht="42" customHeight="1">
      <x:c r="A131" s="35" t="n">
        <x:v>129</x:v>
      </x:c>
      <x:c r="B131" s="31" t="str">
        <x:f>IF('Execution Checklist'!Q131="","",'Execution Checklist'!Q131)</x:f>
      </x:c>
      <x:c r="C131" s="31" t="str">
        <x:v>Remove the green pencil sharpener from the bowl.</x:v>
      </x:c>
      <x:c r="D131" s="31" t="str">
        <x:v>REMOVE green pencil sharpener</x:v>
      </x:c>
      <x:c r="E131" s="31" t="str">
        <x:v>Binary task success; paired with the main transfer row.</x:v>
      </x:c>
      <x:c r="F131" s="31"/>
      <x:c r="G131" s="31"/>
      <x:c r="H131" s="31" t="str">
        <x:f>IF(OR(F131="",G131=""),"",IF(F131=G131,"Agree","Disagree"))</x:f>
      </x:c>
      <x:c r="I131" s="31"/>
      <x:c r="J131" s="31" t="str">
        <x:v>No</x:v>
      </x:c>
      <x:c r="K131" s="31" t="str"/>
      <x:c r="L131" s="31" t="str"/>
      <x:c r="M131" s="31" t="str"/>
      <x:c r="N131" s="31" t="str"/>
    </x:row>
    <x:row r="132" ht="42" customHeight="1">
      <x:c r="A132" s="35" t="n">
        <x:v>130</x:v>
      </x:c>
      <x:c r="B132" s="31" t="str">
        <x:f>IF('Execution Checklist'!Q132="","",'Execution Checklist'!Q132)</x:f>
      </x:c>
      <x:c r="C132" s="31" t="str">
        <x:v>Make the bowl contain exactly zero objects.</x:v>
      </x:c>
      <x:c r="D132" s="31" t="str"/>
      <x:c r="E132" s="31" t="str">
        <x:v>Binary task success using the task-specific rubric.</x:v>
      </x:c>
      <x:c r="F132" s="31"/>
      <x:c r="G132" s="31"/>
      <x:c r="H132" s="31" t="str">
        <x:f>IF(OR(F132="",G132=""),"",IF(F132=G132,"Agree","Disagree"))</x:f>
      </x:c>
      <x:c r="I132" s="31"/>
      <x:c r="J132" s="31" t="str">
        <x:v>No</x:v>
      </x:c>
      <x:c r="K132" s="31" t="str"/>
      <x:c r="L132" s="31" t="str"/>
      <x:c r="M132" s="31" t="str"/>
      <x:c r="N132" s="31" t="str"/>
    </x:row>
    <x:row r="133" ht="42" customHeight="1">
      <x:c r="A133" s="35" t="n">
        <x:v>131</x:v>
      </x:c>
      <x:c r="B133" s="31" t="str">
        <x:f>IF('Execution Checklist'!Q133="","",'Execution Checklist'!Q133)</x:f>
      </x:c>
      <x:c r="C133" s="31" t="str">
        <x:v>Remove the yellow block from the bowl.</x:v>
      </x:c>
      <x:c r="D133" s="31" t="str">
        <x:v>yellow block</x:v>
      </x:c>
      <x:c r="E133" s="31" t="str">
        <x:v>Binary task success using the task-specific rubric.</x:v>
      </x:c>
      <x:c r="F133" s="31"/>
      <x:c r="G133" s="31"/>
      <x:c r="H133" s="31" t="str">
        <x:f>IF(OR(F133="",G133=""),"",IF(F133=G133,"Agree","Disagree"))</x:f>
      </x:c>
      <x:c r="I133" s="31"/>
      <x:c r="J133" s="31" t="str">
        <x:v>No</x:v>
      </x:c>
      <x:c r="K133" s="31" t="str"/>
      <x:c r="L133" s="31" t="str"/>
      <x:c r="M133" s="31" t="str"/>
      <x:c r="N133" s="31" t="str"/>
    </x:row>
    <x:row r="134" ht="42" customHeight="1">
      <x:c r="A134" s="35" t="n">
        <x:v>132</x:v>
      </x:c>
      <x:c r="B134" s="31" t="str">
        <x:f>IF('Execution Checklist'!Q134="","",'Execution Checklist'!Q134)</x:f>
      </x:c>
      <x:c r="C134" s="31" t="str">
        <x:v>Leave exactly one object in the bowl.</x:v>
      </x:c>
      <x:c r="D134" s="31" t="str">
        <x:v>REMOVE one bowl object</x:v>
      </x:c>
      <x:c r="E134" s="31" t="str">
        <x:v>Binary task success; paired with the main matched-control row.</x:v>
      </x:c>
      <x:c r="F134" s="31"/>
      <x:c r="G134" s="31"/>
      <x:c r="H134" s="31" t="str">
        <x:f>IF(OR(F134="",G134=""),"",IF(F134=G134,"Agree","Disagree"))</x:f>
      </x:c>
      <x:c r="I134" s="31"/>
      <x:c r="J134" s="31" t="str">
        <x:v>No</x:v>
      </x:c>
      <x:c r="K134" s="31" t="str"/>
      <x:c r="L134" s="31" t="str"/>
      <x:c r="M134" s="31" t="str"/>
      <x:c r="N134" s="31" t="str"/>
    </x:row>
    <x:row r="135" ht="42" customHeight="1">
      <x:c r="A135" s="35" t="n">
        <x:v>133</x:v>
      </x:c>
      <x:c r="B135" s="31" t="str">
        <x:f>IF('Execution Checklist'!Q135="","",'Execution Checklist'!Q135)</x:f>
      </x:c>
      <x:c r="C135" s="31" t="str">
        <x:v>Finish with two objects in the bowl.</x:v>
      </x:c>
      <x:c r="D135" s="31" t="str"/>
      <x:c r="E135" s="31" t="str">
        <x:v>Binary task success; compare with the seen-language row sharing Pair ID.</x:v>
      </x:c>
      <x:c r="F135" s="31"/>
      <x:c r="G135" s="31"/>
      <x:c r="H135" s="31" t="str">
        <x:f>IF(OR(F135="",G135=""),"",IF(F135=G135,"Agree","Disagree"))</x:f>
      </x:c>
      <x:c r="I135" s="31"/>
      <x:c r="J135" s="31" t="str">
        <x:v>No</x:v>
      </x:c>
      <x:c r="K135" s="31" t="str"/>
      <x:c r="L135" s="31" t="str"/>
      <x:c r="M135" s="31" t="str"/>
      <x:c r="N135" s="31" t="str"/>
    </x:row>
    <x:row r="136" ht="42" customHeight="1">
      <x:c r="A136" s="35" t="n">
        <x:v>134</x:v>
      </x:c>
      <x:c r="B136" s="31" t="str">
        <x:f>IF('Execution Checklist'!Q136="","",'Execution Checklist'!Q136)</x:f>
      </x:c>
      <x:c r="C136" s="31" t="str">
        <x:v>Leave exactly three objects in the bowl.</x:v>
      </x:c>
      <x:c r="D136" s="31" t="str">
        <x:v>No prespecified task success under blank language; record any action/selected target.</x:v>
      </x:c>
      <x:c r="E136" s="31" t="str">
        <x:v>Do not score ordinary task success. Record action occurrence and agreement with the parent correct-prompt rollout.</x:v>
      </x:c>
      <x:c r="F136" s="31"/>
      <x:c r="G136" s="31"/>
      <x:c r="H136" s="31" t="str">
        <x:f>IF(OR(F136="",G136=""),"",IF(F136=G136,"Agree","Disagree"))</x:f>
      </x:c>
      <x:c r="I136" s="31"/>
      <x:c r="J136" s="31" t="str">
        <x:v>No</x:v>
      </x:c>
      <x:c r="K136" s="31" t="str"/>
      <x:c r="L136" s="31" t="str"/>
      <x:c r="M136" s="31" t="str"/>
      <x:c r="N136" s="31" t="str"/>
    </x:row>
    <x:row r="137" ht="42" customHeight="1">
      <x:c r="A137" s="35" t="n">
        <x:v>135</x:v>
      </x:c>
      <x:c r="B137" s="31" t="str">
        <x:f>IF('Execution Checklist'!Q137="","",'Execution Checklist'!Q137)</x:f>
      </x:c>
      <x:c r="C137" s="31" t="str">
        <x:v>Remove the blue pen from the bowl.</x:v>
      </x:c>
      <x:c r="D137" s="31" t="str">
        <x:v>REMOVE blue pen</x:v>
      </x:c>
      <x:c r="E137" s="31" t="str">
        <x:v>Binary task success; paired with the main transfer row.</x:v>
      </x:c>
      <x:c r="F137" s="31"/>
      <x:c r="G137" s="31"/>
      <x:c r="H137" s="31" t="str">
        <x:f>IF(OR(F137="",G137=""),"",IF(F137=G137,"Agree","Disagree"))</x:f>
      </x:c>
      <x:c r="I137" s="31"/>
      <x:c r="J137" s="31" t="str">
        <x:v>No</x:v>
      </x:c>
      <x:c r="K137" s="31" t="str"/>
      <x:c r="L137" s="31" t="str"/>
      <x:c r="M137" s="31" t="str"/>
      <x:c r="N137" s="31" t="str"/>
    </x:row>
    <x:row r="138" ht="42" customHeight="1">
      <x:c r="A138" s="35" t="n">
        <x:v>136</x:v>
      </x:c>
      <x:c r="B138" s="31" t="str">
        <x:f>IF('Execution Checklist'!Q138="","",'Execution Checklist'!Q138)</x:f>
      </x:c>
      <x:c r="C138" s="31" t="str">
        <x:v>Leave exactly three objects in the bowl.</x:v>
      </x:c>
      <x:c r="D138" s="31" t="str">
        <x:v>ADD one table object</x:v>
      </x:c>
      <x:c r="E138" s="31" t="str">
        <x:v>Binary task success; paired with the main matched-control row.</x:v>
      </x:c>
      <x:c r="F138" s="31"/>
      <x:c r="G138" s="31"/>
      <x:c r="H138" s="31" t="str">
        <x:f>IF(OR(F138="",G138=""),"",IF(F138=G138,"Agree","Disagree"))</x:f>
      </x:c>
      <x:c r="I138" s="31"/>
      <x:c r="J138" s="31" t="str">
        <x:v>No</x:v>
      </x:c>
      <x:c r="K138" s="31" t="str"/>
      <x:c r="L138" s="31" t="str"/>
      <x:c r="M138" s="31" t="str"/>
      <x:c r="N138" s="31" t="str"/>
    </x:row>
    <x:row r="139" ht="42" customHeight="1">
      <x:c r="A139" s="35" t="n">
        <x:v>137</x:v>
      </x:c>
      <x:c r="B139" s="31" t="str">
        <x:f>IF('Execution Checklist'!Q139="","",'Execution Checklist'!Q139)</x:f>
      </x:c>
      <x:c r="C139" s="31" t="str">
        <x:v>Adjust the bowl so that it contains zero objects.</x:v>
      </x:c>
      <x:c r="D139" s="31" t="str"/>
      <x:c r="E139" s="31" t="str">
        <x:v>Binary task success using the task-specific rubric.</x:v>
      </x:c>
      <x:c r="F139" s="31"/>
      <x:c r="G139" s="31"/>
      <x:c r="H139" s="31" t="str">
        <x:f>IF(OR(F139="",G139=""),"",IF(F139=G139,"Agree","Disagree"))</x:f>
      </x:c>
      <x:c r="I139" s="31"/>
      <x:c r="J139" s="31" t="str">
        <x:v>No</x:v>
      </x:c>
      <x:c r="K139" s="31" t="str"/>
      <x:c r="L139" s="31" t="str"/>
      <x:c r="M139" s="31" t="str"/>
      <x:c r="N139" s="31" t="str"/>
    </x:row>
    <x:row r="140" ht="42" customHeight="1">
      <x:c r="A140" s="35" t="n">
        <x:v>138</x:v>
      </x:c>
      <x:c r="B140" s="31" t="str">
        <x:f>IF('Execution Checklist'!Q140="","",'Execution Checklist'!Q140)</x:f>
      </x:c>
      <x:c r="C140" s="31" t="str">
        <x:v>Leave exactly one object in the bowl.</x:v>
      </x:c>
      <x:c r="D140" s="31" t="str">
        <x:v>No prespecified task success under blank language; record any action/selected target.</x:v>
      </x:c>
      <x:c r="E140" s="31" t="str">
        <x:v>Do not score ordinary task success. Record action occurrence and agreement with the parent correct-prompt rollout.</x:v>
      </x:c>
      <x:c r="F140" s="31"/>
      <x:c r="G140" s="31"/>
      <x:c r="H140" s="31" t="str">
        <x:f>IF(OR(F140="",G140=""),"",IF(F140=G140,"Agree","Disagree"))</x:f>
      </x:c>
      <x:c r="I140" s="31"/>
      <x:c r="J140" s="31" t="str">
        <x:v>No</x:v>
      </x:c>
      <x:c r="K140" s="31" t="str"/>
      <x:c r="L140" s="31" t="str"/>
      <x:c r="M140" s="31" t="str"/>
      <x:c r="N140" s="31" t="str"/>
    </x:row>
    <x:row r="141" ht="42" customHeight="1">
      <x:c r="A141" s="35" t="n">
        <x:v>139</x:v>
      </x:c>
      <x:c r="B141" s="31" t="str">
        <x:f>IF('Execution Checklist'!Q141="","",'Execution Checklist'!Q141)</x:f>
      </x:c>
      <x:c r="C141" s="31" t="str">
        <x:v>Put the yellow block in the bowl.</x:v>
      </x:c>
      <x:c r="D141" s="31" t="str">
        <x:v>ADD yellow block</x:v>
      </x:c>
      <x:c r="E141" s="31" t="str">
        <x:v>Binary task success; paired with the main transfer row.</x:v>
      </x:c>
      <x:c r="F141" s="31"/>
      <x:c r="G141" s="31"/>
      <x:c r="H141" s="31" t="str">
        <x:f>IF(OR(F141="",G141=""),"",IF(F141=G141,"Agree","Disagree"))</x:f>
      </x:c>
      <x:c r="I141" s="31"/>
      <x:c r="J141" s="31" t="str">
        <x:v>No</x:v>
      </x:c>
      <x:c r="K141" s="31" t="str"/>
      <x:c r="L141" s="31" t="str"/>
      <x:c r="M141" s="31" t="str"/>
      <x:c r="N141" s="31" t="str"/>
    </x:row>
    <x:row r="142" ht="42" customHeight="1">
      <x:c r="A142" s="35" t="n">
        <x:v>140</x:v>
      </x:c>
      <x:c r="B142" s="31" t="str">
        <x:f>IF('Execution Checklist'!Q142="","",'Execution Checklist'!Q142)</x:f>
      </x:c>
      <x:c r="C142" s="31" t="str">
        <x:v>Move the airplane toy without propellers into the bowl.</x:v>
      </x:c>
      <x:c r="D142" s="31" t="str">
        <x:v>airplane toy without propellers</x:v>
      </x:c>
      <x:c r="E142" s="31" t="str">
        <x:v>Binary task success using the task-specific rubric.</x:v>
      </x:c>
      <x:c r="F142" s="31"/>
      <x:c r="G142" s="31"/>
      <x:c r="H142" s="31" t="str">
        <x:f>IF(OR(F142="",G142=""),"",IF(F142=G142,"Agree","Disagree"))</x:f>
      </x:c>
      <x:c r="I142" s="31"/>
      <x:c r="J142" s="31" t="str">
        <x:v>No</x:v>
      </x:c>
      <x:c r="K142" s="31" t="str"/>
      <x:c r="L142" s="31" t="str"/>
      <x:c r="M142" s="31" t="str"/>
      <x:c r="N142" s="31" t="str"/>
    </x:row>
    <x:row r="143" ht="42" customHeight="1">
      <x:c r="A143" s="35" t="n">
        <x:v>141</x:v>
      </x:c>
      <x:c r="B143" s="31" t="str">
        <x:f>IF('Execution Checklist'!Q143="","",'Execution Checklist'!Q143)</x:f>
      </x:c>
      <x:c r="C143" s="31" t="str">
        <x:v>Leave exactly three objects in the bowl.</x:v>
      </x:c>
      <x:c r="D143" s="31" t="str">
        <x:v>ADD one table object</x:v>
      </x:c>
      <x:c r="E143" s="31" t="str">
        <x:v>Binary task success; paired with the main matched-control row.</x:v>
      </x:c>
      <x:c r="F143" s="31"/>
      <x:c r="G143" s="31"/>
      <x:c r="H143" s="31" t="str">
        <x:f>IF(OR(F143="",G143=""),"",IF(F143=G143,"Agree","Disagree"))</x:f>
      </x:c>
      <x:c r="I143" s="31"/>
      <x:c r="J143" s="31" t="str">
        <x:v>No</x:v>
      </x:c>
      <x:c r="K143" s="31" t="str"/>
      <x:c r="L143" s="31" t="str"/>
      <x:c r="M143" s="31" t="str"/>
      <x:c r="N143" s="31" t="str"/>
    </x:row>
    <x:row r="144" ht="42" customHeight="1">
      <x:c r="A144" s="35" t="n">
        <x:v>142</x:v>
      </x:c>
      <x:c r="B144" s="31" t="str">
        <x:f>IF('Execution Checklist'!Q144="","",'Execution Checklist'!Q144)</x:f>
      </x:c>
      <x:c r="C144" s="31" t="str">
        <x:v>Leave exactly one object in the bowl.</x:v>
      </x:c>
      <x:c r="D144" s="31" t="str">
        <x:v>REMOVE one bowl object</x:v>
      </x:c>
      <x:c r="E144" s="31" t="str">
        <x:v>Binary success for the counterfactual instruction and paired action-switch analysis versus the parent.</x:v>
      </x:c>
      <x:c r="F144" s="31"/>
      <x:c r="G144" s="31"/>
      <x:c r="H144" s="31" t="str">
        <x:f>IF(OR(F144="",G144=""),"",IF(F144=G144,"Agree","Disagree"))</x:f>
      </x:c>
      <x:c r="I144" s="31"/>
      <x:c r="J144" s="31" t="str">
        <x:v>No</x:v>
      </x:c>
      <x:c r="K144" s="31" t="str"/>
      <x:c r="L144" s="31" t="str"/>
      <x:c r="M144" s="31" t="str"/>
      <x:c r="N144" s="31" t="str"/>
    </x:row>
    <x:row r="145" ht="42" customHeight="1">
      <x:c r="A145" s="35" t="n">
        <x:v>143</x:v>
      </x:c>
      <x:c r="B145" s="31" t="str">
        <x:f>IF('Execution Checklist'!Q145="","",'Execution Checklist'!Q145)</x:f>
      </x:c>
      <x:c r="C145" s="31" t="str">
        <x:v>Leave exactly one object in the bowl.</x:v>
      </x:c>
      <x:c r="D145" s="31" t="str">
        <x:v>REMOVE one bowl object</x:v>
      </x:c>
      <x:c r="E145" s="31" t="str">
        <x:v>Binary task success; paired with the main matched-control row.</x:v>
      </x:c>
      <x:c r="F145" s="31"/>
      <x:c r="G145" s="31"/>
      <x:c r="H145" s="31" t="str">
        <x:f>IF(OR(F145="",G145=""),"",IF(F145=G145,"Agree","Disagree"))</x:f>
      </x:c>
      <x:c r="I145" s="31"/>
      <x:c r="J145" s="31" t="str">
        <x:v>No</x:v>
      </x:c>
      <x:c r="K145" s="31" t="str"/>
      <x:c r="L145" s="31" t="str"/>
      <x:c r="M145" s="31" t="str"/>
      <x:c r="N145" s="31" t="str"/>
    </x:row>
    <x:row r="146" ht="42" customHeight="1">
      <x:c r="A146" s="35" t="n">
        <x:v>144</x:v>
      </x:c>
      <x:c r="B146" s="31" t="str">
        <x:f>IF('Execution Checklist'!Q146="","",'Execution Checklist'!Q146)</x:f>
      </x:c>
      <x:c r="C146" s="31" t="str">
        <x:v>Adjust the bowl so that it contains zero objects.</x:v>
      </x:c>
      <x:c r="D146" s="31" t="str"/>
      <x:c r="E146" s="31" t="str">
        <x:v>Binary task success using the task-specific rubric.</x:v>
      </x:c>
      <x:c r="F146" s="31"/>
      <x:c r="G146" s="31"/>
      <x:c r="H146" s="31" t="str">
        <x:f>IF(OR(F146="",G146=""),"",IF(F146=G146,"Agree","Disagree"))</x:f>
      </x:c>
      <x:c r="I146" s="31"/>
      <x:c r="J146" s="31" t="str">
        <x:v>No</x:v>
      </x:c>
      <x:c r="K146" s="31" t="str"/>
      <x:c r="L146" s="31" t="str"/>
      <x:c r="M146" s="31" t="str"/>
      <x:c r="N146" s="31" t="str"/>
    </x:row>
    <x:row r="147" ht="42" customHeight="1">
      <x:c r="A147" s="35" t="n">
        <x:v>145</x:v>
      </x:c>
      <x:c r="B147" s="31" t="str">
        <x:f>IF('Execution Checklist'!Q147="","",'Execution Checklist'!Q147)</x:f>
      </x:c>
      <x:c r="C147" s="31" t="str">
        <x:v>Leave exactly one object in the bowl.</x:v>
      </x:c>
      <x:c r="D147" s="31" t="str">
        <x:v>REMOVE one bowl object</x:v>
      </x:c>
      <x:c r="E147" s="31" t="str">
        <x:v>Binary task success; paired with the main matched-control row.</x:v>
      </x:c>
      <x:c r="F147" s="31"/>
      <x:c r="G147" s="31"/>
      <x:c r="H147" s="31" t="str">
        <x:f>IF(OR(F147="",G147=""),"",IF(F147=G147,"Agree","Disagree"))</x:f>
      </x:c>
      <x:c r="I147" s="31"/>
      <x:c r="J147" s="31" t="str">
        <x:v>No</x:v>
      </x:c>
      <x:c r="K147" s="31" t="str"/>
      <x:c r="L147" s="31" t="str"/>
      <x:c r="M147" s="31" t="str"/>
      <x:c r="N147" s="31" t="str"/>
    </x:row>
    <x:row r="148" ht="42" customHeight="1">
      <x:c r="A148" s="35" t="n">
        <x:v>146</x:v>
      </x:c>
      <x:c r="B148" s="31" t="str">
        <x:f>IF('Execution Checklist'!Q148="","",'Execution Checklist'!Q148)</x:f>
      </x:c>
      <x:c r="C148" s="31" t="str">
        <x:v>Leave exactly three objects in the bowl.</x:v>
      </x:c>
      <x:c r="D148" s="31" t="str">
        <x:v>ADD one table object</x:v>
      </x:c>
      <x:c r="E148" s="31" t="str">
        <x:v>Binary task success; paired with the main matched-control row.</x:v>
      </x:c>
      <x:c r="F148" s="31"/>
      <x:c r="G148" s="31"/>
      <x:c r="H148" s="31" t="str">
        <x:f>IF(OR(F148="",G148=""),"",IF(F148=G148,"Agree","Disagree"))</x:f>
      </x:c>
      <x:c r="I148" s="31"/>
      <x:c r="J148" s="31" t="str">
        <x:v>No</x:v>
      </x:c>
      <x:c r="K148" s="31" t="str"/>
      <x:c r="L148" s="31" t="str"/>
      <x:c r="M148" s="31" t="str"/>
      <x:c r="N148" s="31" t="str"/>
    </x:row>
    <x:row r="149" ht="42" customHeight="1">
      <x:c r="A149" s="35" t="n">
        <x:v>147</x:v>
      </x:c>
      <x:c r="B149" s="31" t="str">
        <x:f>IF('Execution Checklist'!Q149="","",'Execution Checklist'!Q149)</x:f>
      </x:c>
      <x:c r="C149" s="31" t="str">
        <x:v>Put the green pencil sharpener in the bowl.</x:v>
      </x:c>
      <x:c r="D149" s="31" t="str">
        <x:v>ADD green pencil sharpener</x:v>
      </x:c>
      <x:c r="E149" s="31" t="str">
        <x:v>Binary task success; paired with the main transfer row.</x:v>
      </x:c>
      <x:c r="F149" s="31"/>
      <x:c r="G149" s="31"/>
      <x:c r="H149" s="31" t="str">
        <x:f>IF(OR(F149="",G149=""),"",IF(F149=G149,"Agree","Disagree"))</x:f>
      </x:c>
      <x:c r="I149" s="31"/>
      <x:c r="J149" s="31" t="str">
        <x:v>No</x:v>
      </x:c>
      <x:c r="K149" s="31" t="str"/>
      <x:c r="L149" s="31" t="str"/>
      <x:c r="M149" s="31" t="str"/>
      <x:c r="N149" s="31" t="str"/>
    </x:row>
    <x:row r="150" ht="42" customHeight="1">
      <x:c r="A150" s="35" t="n">
        <x:v>148</x:v>
      </x:c>
      <x:c r="B150" s="31" t="str">
        <x:f>IF('Execution Checklist'!Q150="","",'Execution Checklist'!Q150)</x:f>
      </x:c>
      <x:c r="C150" s="31" t="str">
        <x:v>Leave exactly three objects in the bowl.</x:v>
      </x:c>
      <x:c r="D150" s="31" t="str">
        <x:v>ADD one table object</x:v>
      </x:c>
      <x:c r="E150" s="31" t="str">
        <x:v>Binary task success; paired with the main matched-control row.</x:v>
      </x:c>
      <x:c r="F150" s="31"/>
      <x:c r="G150" s="31"/>
      <x:c r="H150" s="31" t="str">
        <x:f>IF(OR(F150="",G150=""),"",IF(F150=G150,"Agree","Disagree"))</x:f>
      </x:c>
      <x:c r="I150" s="31"/>
      <x:c r="J150" s="31" t="str">
        <x:v>No</x:v>
      </x:c>
      <x:c r="K150" s="31" t="str"/>
      <x:c r="L150" s="31" t="str"/>
      <x:c r="M150" s="31" t="str"/>
      <x:c r="N150" s="31" t="str"/>
    </x:row>
    <x:row r="151" ht="42" customHeight="1">
      <x:c r="A151" s="35" t="n">
        <x:v>149</x:v>
      </x:c>
      <x:c r="B151" s="31" t="str">
        <x:f>IF('Execution Checklist'!Q151="","",'Execution Checklist'!Q151)</x:f>
      </x:c>
      <x:c r="C151" s="31" t="str">
        <x:v>Put the blue pen in the bowl.</x:v>
      </x:c>
      <x:c r="D151" s="31" t="str">
        <x:v>ADD blue pen</x:v>
      </x:c>
      <x:c r="E151" s="31" t="str">
        <x:v>Binary task success; paired with the main transfer row.</x:v>
      </x:c>
      <x:c r="F151" s="31"/>
      <x:c r="G151" s="31"/>
      <x:c r="H151" s="31" t="str">
        <x:f>IF(OR(F151="",G151=""),"",IF(F151=G151,"Agree","Disagree"))</x:f>
      </x:c>
      <x:c r="I151" s="31"/>
      <x:c r="J151" s="31" t="str">
        <x:v>No</x:v>
      </x:c>
      <x:c r="K151" s="31" t="str"/>
      <x:c r="L151" s="31" t="str"/>
      <x:c r="M151" s="31" t="str"/>
      <x:c r="N151" s="31" t="str"/>
    </x:row>
    <x:row r="152" ht="42" customHeight="1">
      <x:c r="A152" s="35" t="n">
        <x:v>150</x:v>
      </x:c>
      <x:c r="B152" s="31" t="str">
        <x:f>IF('Execution Checklist'!Q152="","",'Execution Checklist'!Q152)</x:f>
      </x:c>
      <x:c r="C152" s="31" t="str">
        <x:v>Move the yellow block into the bowl.</x:v>
      </x:c>
      <x:c r="D152" s="31" t="str">
        <x:v>yellow block</x:v>
      </x:c>
      <x:c r="E152" s="31" t="str">
        <x:v>Binary task success using the task-specific rubric.</x:v>
      </x:c>
      <x:c r="F152" s="31"/>
      <x:c r="G152" s="31"/>
      <x:c r="H152" s="31" t="str">
        <x:f>IF(OR(F152="",G152=""),"",IF(F152=G152,"Agree","Disagree"))</x:f>
      </x:c>
      <x:c r="I152" s="31"/>
      <x:c r="J152" s="31" t="str">
        <x:v>No</x:v>
      </x:c>
      <x:c r="K152" s="31" t="str"/>
      <x:c r="L152" s="31" t="str"/>
      <x:c r="M152" s="31" t="str"/>
      <x:c r="N152" s="31" t="str"/>
    </x:row>
    <x:row r="153" ht="42" customHeight="1">
      <x:c r="A153" s="35" t="n">
        <x:v>151</x:v>
      </x:c>
      <x:c r="B153" s="31" t="str">
        <x:f>IF('Execution Checklist'!Q153="","",'Execution Checklist'!Q153)</x:f>
      </x:c>
      <x:c r="C153" s="31" t="str">
        <x:v>Leave exactly one object in the bowl.</x:v>
      </x:c>
      <x:c r="D153" s="31" t="str">
        <x:v>REMOVE one bowl object</x:v>
      </x:c>
      <x:c r="E153" s="31" t="str">
        <x:v>Binary task success; paired with the main matched-control row.</x:v>
      </x:c>
      <x:c r="F153" s="31"/>
      <x:c r="G153" s="31"/>
      <x:c r="H153" s="31" t="str">
        <x:f>IF(OR(F153="",G153=""),"",IF(F153=G153,"Agree","Disagree"))</x:f>
      </x:c>
      <x:c r="I153" s="31"/>
      <x:c r="J153" s="31" t="str">
        <x:v>No</x:v>
      </x:c>
      <x:c r="K153" s="31" t="str"/>
      <x:c r="L153" s="31" t="str"/>
      <x:c r="M153" s="31" t="str"/>
      <x:c r="N153" s="31" t="str"/>
    </x:row>
    <x:row r="154" ht="42" customHeight="1">
      <x:c r="A154" s="35" t="n">
        <x:v>152</x:v>
      </x:c>
      <x:c r="B154" s="31" t="str">
        <x:f>IF('Execution Checklist'!Q154="","",'Execution Checklist'!Q154)</x:f>
      </x:c>
      <x:c r="C154" s="31" t="str">
        <x:v>Put the airplane toy without propellers in the bowl.</x:v>
      </x:c>
      <x:c r="D154" s="31" t="str">
        <x:v>ADD airplane toy without propellers</x:v>
      </x:c>
      <x:c r="E154" s="31" t="str">
        <x:v>Binary task success; paired with the main transfer row.</x:v>
      </x:c>
      <x:c r="F154" s="31"/>
      <x:c r="G154" s="31"/>
      <x:c r="H154" s="31" t="str">
        <x:f>IF(OR(F154="",G154=""),"",IF(F154=G154,"Agree","Disagree"))</x:f>
      </x:c>
      <x:c r="I154" s="31"/>
      <x:c r="J154" s="31" t="str">
        <x:v>No</x:v>
      </x:c>
      <x:c r="K154" s="31" t="str"/>
      <x:c r="L154" s="31" t="str"/>
      <x:c r="M154" s="31" t="str"/>
      <x:c r="N154" s="31" t="str"/>
    </x:row>
    <x:row r="155" ht="42" customHeight="1">
      <x:c r="A155" s="35" t="n">
        <x:v>153</x:v>
      </x:c>
      <x:c r="B155" s="31" t="str">
        <x:f>IF('Execution Checklist'!Q155="","",'Execution Checklist'!Q155)</x:f>
      </x:c>
      <x:c r="C155" s="31" t="str">
        <x:v>Remove the yellow block from the bowl.</x:v>
      </x:c>
      <x:c r="D155" s="31" t="str">
        <x:v>REMOVE yellow block</x:v>
      </x:c>
      <x:c r="E155" s="31" t="str">
        <x:v>Binary task success; paired with the main transfer row.</x:v>
      </x:c>
      <x:c r="F155" s="31"/>
      <x:c r="G155" s="31"/>
      <x:c r="H155" s="31" t="str">
        <x:f>IF(OR(F155="",G155=""),"",IF(F155=G155,"Agree","Disagree"))</x:f>
      </x:c>
      <x:c r="I155" s="31"/>
      <x:c r="J155" s="31" t="str">
        <x:v>No</x:v>
      </x:c>
      <x:c r="K155" s="31" t="str"/>
      <x:c r="L155" s="31" t="str"/>
      <x:c r="M155" s="31" t="str"/>
      <x:c r="N155" s="31" t="str"/>
    </x:row>
    <x:row r="156" ht="42" customHeight="1">
      <x:c r="A156" s="35" t="n">
        <x:v>154</x:v>
      </x:c>
      <x:c r="B156" s="31" t="str">
        <x:f>IF('Execution Checklist'!Q156="","",'Execution Checklist'!Q156)</x:f>
      </x:c>
      <x:c r="C156" s="31" t="str">
        <x:v>Leave exactly one object in the bowl.</x:v>
      </x:c>
      <x:c r="D156" s="31" t="str">
        <x:v>REMOVE one bowl object</x:v>
      </x:c>
      <x:c r="E156" s="31" t="str">
        <x:v>Binary task success; paired with the main matched-control row.</x:v>
      </x:c>
      <x:c r="F156" s="31"/>
      <x:c r="G156" s="31"/>
      <x:c r="H156" s="31" t="str">
        <x:f>IF(OR(F156="",G156=""),"",IF(F156=G156,"Agree","Disagree"))</x:f>
      </x:c>
      <x:c r="I156" s="31"/>
      <x:c r="J156" s="31" t="str">
        <x:v>No</x:v>
      </x:c>
      <x:c r="K156" s="31" t="str"/>
      <x:c r="L156" s="31" t="str"/>
      <x:c r="M156" s="31" t="str"/>
      <x:c r="N156" s="31" t="str"/>
    </x:row>
    <x:row r="157" ht="42" customHeight="1">
      <x:c r="A157" s="35" t="n">
        <x:v>155</x:v>
      </x:c>
      <x:c r="B157" s="31" t="str">
        <x:f>IF('Execution Checklist'!Q157="","",'Execution Checklist'!Q157)</x:f>
      </x:c>
      <x:c r="C157" s="31" t="str">
        <x:v>Make the bowl contain exactly zero objects.</x:v>
      </x:c>
      <x:c r="D157" s="31" t="str"/>
      <x:c r="E157" s="31" t="str">
        <x:v>Binary task success using the task-specific rubric.</x:v>
      </x:c>
      <x:c r="F157" s="31"/>
      <x:c r="G157" s="31"/>
      <x:c r="H157" s="31" t="str">
        <x:f>IF(OR(F157="",G157=""),"",IF(F157=G157,"Agree","Disagree"))</x:f>
      </x:c>
      <x:c r="I157" s="31"/>
      <x:c r="J157" s="31" t="str">
        <x:v>No</x:v>
      </x:c>
      <x:c r="K157" s="31" t="str"/>
      <x:c r="L157" s="31" t="str"/>
      <x:c r="M157" s="31" t="str"/>
      <x:c r="N157" s="31" t="str"/>
    </x:row>
    <x:row r="158" ht="42" customHeight="1">
      <x:c r="A158" s="35" t="n">
        <x:v>156</x:v>
      </x:c>
      <x:c r="B158" s="31" t="str">
        <x:f>IF('Execution Checklist'!Q158="","",'Execution Checklist'!Q158)</x:f>
      </x:c>
      <x:c r="C158" s="31" t="str">
        <x:v>Remove the blue pen from the bowl.</x:v>
      </x:c>
      <x:c r="D158" s="31" t="str">
        <x:v>REMOVE blue pen</x:v>
      </x:c>
      <x:c r="E158" s="31" t="str">
        <x:v>Binary task success; paired with the main transfer row.</x:v>
      </x:c>
      <x:c r="F158" s="31"/>
      <x:c r="G158" s="31"/>
      <x:c r="H158" s="31" t="str">
        <x:f>IF(OR(F158="",G158=""),"",IF(F158=G158,"Agree","Disagree"))</x:f>
      </x:c>
      <x:c r="I158" s="31"/>
      <x:c r="J158" s="31" t="str">
        <x:v>No</x:v>
      </x:c>
      <x:c r="K158" s="31" t="str"/>
      <x:c r="L158" s="31" t="str"/>
      <x:c r="M158" s="31" t="str"/>
      <x:c r="N158" s="31" t="str"/>
    </x:row>
    <x:row r="159" ht="42" customHeight="1">
      <x:c r="A159" s="35" t="n">
        <x:v>157</x:v>
      </x:c>
      <x:c r="B159" s="31" t="str">
        <x:f>IF('Execution Checklist'!Q159="","",'Execution Checklist'!Q159)</x:f>
      </x:c>
      <x:c r="C159" s="31" t="str">
        <x:v>Leave exactly three objects in the bowl.</x:v>
      </x:c>
      <x:c r="D159" s="31" t="str">
        <x:v>ADD one table object</x:v>
      </x:c>
      <x:c r="E159" s="31" t="str">
        <x:v>Binary task success; paired with the main matched-control row.</x:v>
      </x:c>
      <x:c r="F159" s="31"/>
      <x:c r="G159" s="31"/>
      <x:c r="H159" s="31" t="str">
        <x:f>IF(OR(F159="",G159=""),"",IF(F159=G159,"Agree","Disagree"))</x:f>
      </x:c>
      <x:c r="I159" s="31"/>
      <x:c r="J159" s="31" t="str">
        <x:v>No</x:v>
      </x:c>
      <x:c r="K159" s="31" t="str"/>
      <x:c r="L159" s="31" t="str"/>
      <x:c r="M159" s="31" t="str"/>
      <x:c r="N159" s="31" t="str"/>
    </x:row>
    <x:row r="160" ht="42" customHeight="1">
      <x:c r="A160" s="35" t="n">
        <x:v>158</x:v>
      </x:c>
      <x:c r="B160" s="31" t="str">
        <x:f>IF('Execution Checklist'!Q160="","",'Execution Checklist'!Q160)</x:f>
      </x:c>
      <x:c r="C160" s="31" t="str">
        <x:v>Leave exactly three objects in the bowl.</x:v>
      </x:c>
      <x:c r="D160" s="31" t="str">
        <x:v>ADD one table object</x:v>
      </x:c>
      <x:c r="E160" s="31" t="str">
        <x:v>Binary task success; paired with the main matched-control row.</x:v>
      </x:c>
      <x:c r="F160" s="31"/>
      <x:c r="G160" s="31"/>
      <x:c r="H160" s="31" t="str">
        <x:f>IF(OR(F160="",G160=""),"",IF(F160=G160,"Agree","Disagree"))</x:f>
      </x:c>
      <x:c r="I160" s="31"/>
      <x:c r="J160" s="31" t="str">
        <x:v>No</x:v>
      </x:c>
      <x:c r="K160" s="31" t="str"/>
      <x:c r="L160" s="31" t="str"/>
      <x:c r="M160" s="31" t="str"/>
      <x:c r="N160" s="31" t="str"/>
    </x:row>
    <x:row r="161" ht="42" customHeight="1">
      <x:c r="A161" s="35" t="n">
        <x:v>159</x:v>
      </x:c>
      <x:c r="B161" s="31" t="str">
        <x:f>IF('Execution Checklist'!Q161="","",'Execution Checklist'!Q161)</x:f>
      </x:c>
      <x:c r="C161" s="31" t="str">
        <x:v>Remove the airplane toy without propellers from the bowl.</x:v>
      </x:c>
      <x:c r="D161" s="31" t="str">
        <x:v>REMOVE airplane toy without propellers</x:v>
      </x:c>
      <x:c r="E161" s="31" t="str">
        <x:v>Binary task success; paired with the main transfer row.</x:v>
      </x:c>
      <x:c r="F161" s="31"/>
      <x:c r="G161" s="31"/>
      <x:c r="H161" s="31" t="str">
        <x:f>IF(OR(F161="",G161=""),"",IF(F161=G161,"Agree","Disagree"))</x:f>
      </x:c>
      <x:c r="I161" s="31"/>
      <x:c r="J161" s="31" t="str">
        <x:v>No</x:v>
      </x:c>
      <x:c r="K161" s="31" t="str"/>
      <x:c r="L161" s="31" t="str"/>
      <x:c r="M161" s="31" t="str"/>
      <x:c r="N161" s="31" t="str"/>
    </x:row>
    <x:row r="162" ht="42" customHeight="1">
      <x:c r="A162" s="35" t="n">
        <x:v>160</x:v>
      </x:c>
      <x:c r="B162" s="31" t="str">
        <x:f>IF('Execution Checklist'!Q162="","",'Execution Checklist'!Q162)</x:f>
      </x:c>
      <x:c r="C162" s="31" t="str">
        <x:v>Finish with two objects in the bowl.</x:v>
      </x:c>
      <x:c r="D162" s="31" t="str"/>
      <x:c r="E162" s="31" t="str">
        <x:v>Binary task success; compare with the seen-language row sharing Pair ID.</x:v>
      </x:c>
      <x:c r="F162" s="31"/>
      <x:c r="G162" s="31"/>
      <x:c r="H162" s="31" t="str">
        <x:f>IF(OR(F162="",G162=""),"",IF(F162=G162,"Agree","Disagree"))</x:f>
      </x:c>
      <x:c r="I162" s="31"/>
      <x:c r="J162" s="31" t="str">
        <x:v>No</x:v>
      </x:c>
      <x:c r="K162" s="31" t="str"/>
      <x:c r="L162" s="31" t="str"/>
      <x:c r="M162" s="31" t="str"/>
      <x:c r="N162" s="31" t="str"/>
    </x:row>
    <x:row r="163" ht="42" customHeight="1">
      <x:c r="A163" s="35" t="n">
        <x:v>161</x:v>
      </x:c>
      <x:c r="B163" s="31" t="str">
        <x:f>IF('Execution Checklist'!Q163="","",'Execution Checklist'!Q163)</x:f>
      </x:c>
      <x:c r="C163" s="31" t="str">
        <x:v>Adjust the bowl so that it contains two objects.</x:v>
      </x:c>
      <x:c r="D163" s="31" t="str"/>
      <x:c r="E163" s="31" t="str">
        <x:v>Binary task success using the task-specific rubric.</x:v>
      </x:c>
      <x:c r="F163" s="31"/>
      <x:c r="G163" s="31"/>
      <x:c r="H163" s="31" t="str">
        <x:f>IF(OR(F163="",G163=""),"",IF(F163=G163,"Agree","Disagree"))</x:f>
      </x:c>
      <x:c r="I163" s="31"/>
      <x:c r="J163" s="31" t="str">
        <x:v>No</x:v>
      </x:c>
      <x:c r="K163" s="31" t="str"/>
      <x:c r="L163" s="31" t="str"/>
      <x:c r="M163" s="31" t="str"/>
      <x:c r="N163" s="31" t="str"/>
    </x:row>
    <x:row r="164" ht="42" customHeight="1">
      <x:c r="A164" s="35" t="n">
        <x:v>162</x:v>
      </x:c>
      <x:c r="B164" s="31" t="str">
        <x:f>IF('Execution Checklist'!Q164="","",'Execution Checklist'!Q164)</x:f>
      </x:c>
      <x:c r="C164" s="31" t="str">
        <x:v>Leave exactly one object in the bowl.</x:v>
      </x:c>
      <x:c r="D164" s="31" t="str">
        <x:v>REMOVE one bowl object</x:v>
      </x:c>
      <x:c r="E164" s="31" t="str">
        <x:v>Binary task success; paired with the main matched-control row.</x:v>
      </x:c>
      <x:c r="F164" s="31"/>
      <x:c r="G164" s="31"/>
      <x:c r="H164" s="31" t="str">
        <x:f>IF(OR(F164="",G164=""),"",IF(F164=G164,"Agree","Disagree"))</x:f>
      </x:c>
      <x:c r="I164" s="31"/>
      <x:c r="J164" s="31" t="str">
        <x:v>No</x:v>
      </x:c>
      <x:c r="K164" s="31" t="str"/>
      <x:c r="L164" s="31" t="str"/>
      <x:c r="M164" s="31" t="str"/>
      <x:c r="N164" s="31" t="str"/>
    </x:row>
    <x:row r="165" ht="42" customHeight="1">
      <x:c r="A165" s="35" t="n">
        <x:v>163</x:v>
      </x:c>
      <x:c r="B165" s="31" t="str">
        <x:f>IF('Execution Checklist'!Q165="","",'Execution Checklist'!Q165)</x:f>
      </x:c>
      <x:c r="C165" s="31" t="str">
        <x:v>Remove the yellow block from the bowl.</x:v>
      </x:c>
      <x:c r="D165" s="31" t="str">
        <x:v>REMOVE yellow block</x:v>
      </x:c>
      <x:c r="E165" s="31" t="str">
        <x:v>Binary task success; paired with the main transfer row.</x:v>
      </x:c>
      <x:c r="F165" s="31"/>
      <x:c r="G165" s="31"/>
      <x:c r="H165" s="31" t="str">
        <x:f>IF(OR(F165="",G165=""),"",IF(F165=G165,"Agree","Disagree"))</x:f>
      </x:c>
      <x:c r="I165" s="31"/>
      <x:c r="J165" s="31" t="str">
        <x:v>No</x:v>
      </x:c>
      <x:c r="K165" s="31" t="str"/>
      <x:c r="L165" s="31" t="str"/>
      <x:c r="M165" s="31" t="str"/>
      <x:c r="N165" s="31" t="str"/>
    </x:row>
    <x:row r="166" ht="42" customHeight="1">
      <x:c r="A166" s="35" t="n">
        <x:v>164</x:v>
      </x:c>
      <x:c r="B166" s="31" t="str">
        <x:f>IF('Execution Checklist'!Q166="","",'Execution Checklist'!Q166)</x:f>
      </x:c>
      <x:c r="C166" s="31" t="str">
        <x:v>Put the green pencil sharpener in the bowl.</x:v>
      </x:c>
      <x:c r="D166" s="31" t="str">
        <x:v>ADD green pencil sharpener</x:v>
      </x:c>
      <x:c r="E166" s="31" t="str">
        <x:v>Binary task success; paired with the main transfer row.</x:v>
      </x:c>
      <x:c r="F166" s="31"/>
      <x:c r="G166" s="31"/>
      <x:c r="H166" s="31" t="str">
        <x:f>IF(OR(F166="",G166=""),"",IF(F166=G166,"Agree","Disagree"))</x:f>
      </x:c>
      <x:c r="I166" s="31"/>
      <x:c r="J166" s="31" t="str">
        <x:v>No</x:v>
      </x:c>
      <x:c r="K166" s="31" t="str"/>
      <x:c r="L166" s="31" t="str"/>
      <x:c r="M166" s="31" t="str"/>
      <x:c r="N166" s="31" t="str"/>
    </x:row>
    <x:row r="167" ht="42" customHeight="1">
      <x:c r="A167" s="35" t="n">
        <x:v>165</x:v>
      </x:c>
      <x:c r="B167" s="31" t="str">
        <x:f>IF('Execution Checklist'!Q167="","",'Execution Checklist'!Q167)</x:f>
      </x:c>
      <x:c r="C167" s="31" t="str">
        <x:v>Put the airplane toy without propellers in the bowl.</x:v>
      </x:c>
      <x:c r="D167" s="31" t="str">
        <x:v>ADD airplane toy without propellers</x:v>
      </x:c>
      <x:c r="E167" s="31" t="str">
        <x:v>Binary task success; paired with the main transfer row.</x:v>
      </x:c>
      <x:c r="F167" s="31"/>
      <x:c r="G167" s="31"/>
      <x:c r="H167" s="31" t="str">
        <x:f>IF(OR(F167="",G167=""),"",IF(F167=G167,"Agree","Disagree"))</x:f>
      </x:c>
      <x:c r="I167" s="31"/>
      <x:c r="J167" s="31" t="str">
        <x:v>No</x:v>
      </x:c>
      <x:c r="K167" s="31" t="str"/>
      <x:c r="L167" s="31" t="str"/>
      <x:c r="M167" s="31" t="str"/>
      <x:c r="N167" s="31" t="str"/>
    </x:row>
    <x:row r="168" ht="42" customHeight="1">
      <x:c r="A168" s="35" t="n">
        <x:v>166</x:v>
      </x:c>
      <x:c r="B168" s="31" t="str">
        <x:f>IF('Execution Checklist'!Q168="","",'Execution Checklist'!Q168)</x:f>
      </x:c>
      <x:c r="C168" s="31" t="str">
        <x:v>Leave exactly one object in the bowl.</x:v>
      </x:c>
      <x:c r="D168" s="31" t="str">
        <x:v>REMOVE one bowl object</x:v>
      </x:c>
      <x:c r="E168" s="31" t="str">
        <x:v>Binary success for the counterfactual instruction and paired action-switch analysis versus the parent.</x:v>
      </x:c>
      <x:c r="F168" s="31"/>
      <x:c r="G168" s="31"/>
      <x:c r="H168" s="31" t="str">
        <x:f>IF(OR(F168="",G168=""),"",IF(F168=G168,"Agree","Disagree"))</x:f>
      </x:c>
      <x:c r="I168" s="31"/>
      <x:c r="J168" s="31" t="str">
        <x:v>No</x:v>
      </x:c>
      <x:c r="K168" s="31" t="str"/>
      <x:c r="L168" s="31" t="str"/>
      <x:c r="M168" s="31" t="str"/>
      <x:c r="N168" s="31" t="str"/>
    </x:row>
    <x:row r="169" ht="42" customHeight="1">
      <x:c r="A169" s="35" t="n">
        <x:v>167</x:v>
      </x:c>
      <x:c r="B169" s="31" t="str">
        <x:f>IF('Execution Checklist'!Q169="","",'Execution Checklist'!Q169)</x:f>
      </x:c>
      <x:c r="C169" s="31" t="str">
        <x:v>Put the yellow block in the bowl.</x:v>
      </x:c>
      <x:c r="D169" s="31" t="str">
        <x:v>ADD yellow block</x:v>
      </x:c>
      <x:c r="E169" s="31" t="str">
        <x:v>Binary task success; paired with the main transfer row.</x:v>
      </x:c>
      <x:c r="F169" s="31"/>
      <x:c r="G169" s="31"/>
      <x:c r="H169" s="31" t="str">
        <x:f>IF(OR(F169="",G169=""),"",IF(F169=G169,"Agree","Disagree"))</x:f>
      </x:c>
      <x:c r="I169" s="31"/>
      <x:c r="J169" s="31" t="str">
        <x:v>No</x:v>
      </x:c>
      <x:c r="K169" s="31" t="str"/>
      <x:c r="L169" s="31" t="str"/>
      <x:c r="M169" s="31" t="str"/>
      <x:c r="N169" s="31" t="str"/>
    </x:row>
    <x:row r="170" ht="42" customHeight="1">
      <x:c r="A170" s="35" t="n">
        <x:v>168</x:v>
      </x:c>
      <x:c r="B170" s="31" t="str">
        <x:f>IF('Execution Checklist'!Q170="","",'Execution Checklist'!Q170)</x:f>
      </x:c>
      <x:c r="C170" s="31" t="str">
        <x:v>Adjust the bowl so that it contains two objects.</x:v>
      </x:c>
      <x:c r="D170" s="31" t="str"/>
      <x:c r="E170" s="31" t="str">
        <x:v>Binary task success using the task-specific rubric.</x:v>
      </x:c>
      <x:c r="F170" s="31"/>
      <x:c r="G170" s="31"/>
      <x:c r="H170" s="31" t="str">
        <x:f>IF(OR(F170="",G170=""),"",IF(F170=G170,"Agree","Disagree"))</x:f>
      </x:c>
      <x:c r="I170" s="31"/>
      <x:c r="J170" s="31" t="str">
        <x:v>No</x:v>
      </x:c>
      <x:c r="K170" s="31" t="str"/>
      <x:c r="L170" s="31" t="str"/>
      <x:c r="M170" s="31" t="str"/>
      <x:c r="N170" s="31" t="str"/>
    </x:row>
    <x:row r="171" ht="42" customHeight="1">
      <x:c r="A171" s="35" t="n">
        <x:v>169</x:v>
      </x:c>
      <x:c r="B171" s="31" t="str">
        <x:f>IF('Execution Checklist'!Q171="","",'Execution Checklist'!Q171)</x:f>
      </x:c>
      <x:c r="C171" s="31" t="str">
        <x:v>Leave exactly one object in the bowl.</x:v>
      </x:c>
      <x:c r="D171" s="31" t="str">
        <x:v>REMOVE one bowl object</x:v>
      </x:c>
      <x:c r="E171" s="31" t="str">
        <x:v>Binary task success; paired with the main matched-control row.</x:v>
      </x:c>
      <x:c r="F171" s="31"/>
      <x:c r="G171" s="31"/>
      <x:c r="H171" s="31" t="str">
        <x:f>IF(OR(F171="",G171=""),"",IF(F171=G171,"Agree","Disagree"))</x:f>
      </x:c>
      <x:c r="I171" s="31"/>
      <x:c r="J171" s="31" t="str">
        <x:v>No</x:v>
      </x:c>
      <x:c r="K171" s="31" t="str"/>
      <x:c r="L171" s="31" t="str"/>
      <x:c r="M171" s="31" t="str"/>
      <x:c r="N171" s="31" t="str"/>
    </x:row>
    <x:row r="172" ht="42" customHeight="1">
      <x:c r="A172" s="35" t="n">
        <x:v>170</x:v>
      </x:c>
      <x:c r="B172" s="31" t="str">
        <x:f>IF('Execution Checklist'!Q172="","",'Execution Checklist'!Q172)</x:f>
      </x:c>
      <x:c r="C172" s="31" t="str">
        <x:v>Finish with two objects in the bowl.</x:v>
      </x:c>
      <x:c r="D172" s="31" t="str"/>
      <x:c r="E172" s="31" t="str">
        <x:v>Binary task success; compare with the seen-language row sharing Pair ID.</x:v>
      </x:c>
      <x:c r="F172" s="31"/>
      <x:c r="G172" s="31"/>
      <x:c r="H172" s="31" t="str">
        <x:f>IF(OR(F172="",G172=""),"",IF(F172=G172,"Agree","Disagree"))</x:f>
      </x:c>
      <x:c r="I172" s="31"/>
      <x:c r="J172" s="31" t="str">
        <x:v>No</x:v>
      </x:c>
      <x:c r="K172" s="31" t="str"/>
      <x:c r="L172" s="31" t="str"/>
      <x:c r="M172" s="31" t="str"/>
      <x:c r="N172" s="31" t="str"/>
    </x:row>
    <x:row r="173" ht="42" customHeight="1">
      <x:c r="A173" s="35" t="n">
        <x:v>171</x:v>
      </x:c>
      <x:c r="B173" s="31" t="str">
        <x:f>IF('Execution Checklist'!Q173="","",'Execution Checklist'!Q173)</x:f>
      </x:c>
      <x:c r="C173" s="31" t="str">
        <x:v>Leave exactly three objects in the bowl.</x:v>
      </x:c>
      <x:c r="D173" s="31" t="str">
        <x:v>ADD one table object</x:v>
      </x:c>
      <x:c r="E173" s="31" t="str">
        <x:v>Binary task success; paired with the main matched-control row.</x:v>
      </x:c>
      <x:c r="F173" s="31"/>
      <x:c r="G173" s="31"/>
      <x:c r="H173" s="31" t="str">
        <x:f>IF(OR(F173="",G173=""),"",IF(F173=G173,"Agree","Disagree"))</x:f>
      </x:c>
      <x:c r="I173" s="31"/>
      <x:c r="J173" s="31" t="str">
        <x:v>No</x:v>
      </x:c>
      <x:c r="K173" s="31" t="str"/>
      <x:c r="L173" s="31" t="str"/>
      <x:c r="M173" s="31" t="str"/>
      <x:c r="N173" s="31" t="str"/>
    </x:row>
    <x:row r="174" ht="42" customHeight="1">
      <x:c r="A174" s="35" t="n">
        <x:v>172</x:v>
      </x:c>
      <x:c r="B174" s="31" t="str">
        <x:f>IF('Execution Checklist'!Q174="","",'Execution Checklist'!Q174)</x:f>
      </x:c>
      <x:c r="C174" s="31" t="str">
        <x:v>Finish with two objects in the bowl.</x:v>
      </x:c>
      <x:c r="D174" s="31" t="str"/>
      <x:c r="E174" s="31" t="str">
        <x:v>Binary task success; compare with the seen-language row sharing Pair ID.</x:v>
      </x:c>
      <x:c r="F174" s="31"/>
      <x:c r="G174" s="31"/>
      <x:c r="H174" s="31" t="str">
        <x:f>IF(OR(F174="",G174=""),"",IF(F174=G174,"Agree","Disagree"))</x:f>
      </x:c>
      <x:c r="I174" s="31"/>
      <x:c r="J174" s="31" t="str">
        <x:v>No</x:v>
      </x:c>
      <x:c r="K174" s="31" t="str"/>
      <x:c r="L174" s="31" t="str"/>
      <x:c r="M174" s="31" t="str"/>
      <x:c r="N174" s="31" t="str"/>
    </x:row>
    <x:row r="175" ht="42" customHeight="1">
      <x:c r="A175" s="35" t="n">
        <x:v>173</x:v>
      </x:c>
      <x:c r="B175" s="31" t="str">
        <x:f>IF('Execution Checklist'!Q175="","",'Execution Checklist'!Q175)</x:f>
      </x:c>
      <x:c r="C175" s="31" t="str">
        <x:v>Remove the airplane toy without propellers from the bowl.</x:v>
      </x:c>
      <x:c r="D175" s="31" t="str">
        <x:v>REMOVE airplane toy without propellers</x:v>
      </x:c>
      <x:c r="E175" s="31" t="str">
        <x:v>Binary task success; paired with the main transfer row.</x:v>
      </x:c>
      <x:c r="F175" s="31"/>
      <x:c r="G175" s="31"/>
      <x:c r="H175" s="31" t="str">
        <x:f>IF(OR(F175="",G175=""),"",IF(F175=G175,"Agree","Disagree"))</x:f>
      </x:c>
      <x:c r="I175" s="31"/>
      <x:c r="J175" s="31" t="str">
        <x:v>No</x:v>
      </x:c>
      <x:c r="K175" s="31" t="str"/>
      <x:c r="L175" s="31" t="str"/>
      <x:c r="M175" s="31" t="str"/>
      <x:c r="N175" s="31" t="str"/>
    </x:row>
    <x:row r="176" ht="42" customHeight="1">
      <x:c r="A176" s="35" t="n">
        <x:v>174</x:v>
      </x:c>
      <x:c r="B176" s="31" t="str">
        <x:f>IF('Execution Checklist'!Q176="","",'Execution Checklist'!Q176)</x:f>
      </x:c>
      <x:c r="C176" s="31" t="str">
        <x:v>Finish with two objects in the bowl.</x:v>
      </x:c>
      <x:c r="D176" s="31" t="str"/>
      <x:c r="E176" s="31" t="str">
        <x:v>Binary task success; compare with the seen-language row sharing Pair ID.</x:v>
      </x:c>
      <x:c r="F176" s="31"/>
      <x:c r="G176" s="31"/>
      <x:c r="H176" s="31" t="str">
        <x:f>IF(OR(F176="",G176=""),"",IF(F176=G176,"Agree","Disagree"))</x:f>
      </x:c>
      <x:c r="I176" s="31"/>
      <x:c r="J176" s="31" t="str">
        <x:v>No</x:v>
      </x:c>
      <x:c r="K176" s="31" t="str"/>
      <x:c r="L176" s="31" t="str"/>
      <x:c r="M176" s="31" t="str"/>
      <x:c r="N176" s="31" t="str"/>
    </x:row>
    <x:row r="177" ht="42" customHeight="1">
      <x:c r="A177" s="35" t="n">
        <x:v>175</x:v>
      </x:c>
      <x:c r="B177" s="31" t="str">
        <x:f>IF('Execution Checklist'!Q177="","",'Execution Checklist'!Q177)</x:f>
      </x:c>
      <x:c r="C177" s="31" t="str">
        <x:v>Finish with two objects in the bowl.</x:v>
      </x:c>
      <x:c r="D177" s="31" t="str"/>
      <x:c r="E177" s="31" t="str">
        <x:v>Binary task success; compare with the seen-language row sharing Pair ID.</x:v>
      </x:c>
      <x:c r="F177" s="31"/>
      <x:c r="G177" s="31"/>
      <x:c r="H177" s="31" t="str">
        <x:f>IF(OR(F177="",G177=""),"",IF(F177=G177,"Agree","Disagree"))</x:f>
      </x:c>
      <x:c r="I177" s="31"/>
      <x:c r="J177" s="31" t="str">
        <x:v>No</x:v>
      </x:c>
      <x:c r="K177" s="31" t="str"/>
      <x:c r="L177" s="31" t="str"/>
      <x:c r="M177" s="31" t="str"/>
      <x:c r="N177" s="31" t="str"/>
    </x:row>
    <x:row r="178" ht="42" customHeight="1">
      <x:c r="A178" s="35" t="n">
        <x:v>176</x:v>
      </x:c>
      <x:c r="B178" s="31" t="str">
        <x:f>IF('Execution Checklist'!Q178="","",'Execution Checklist'!Q178)</x:f>
      </x:c>
      <x:c r="C178" s="31" t="str">
        <x:v>Leave exactly one object in the bowl.</x:v>
      </x:c>
      <x:c r="D178" s="31" t="str">
        <x:v>REMOVE one bowl object</x:v>
      </x:c>
      <x:c r="E178" s="31" t="str">
        <x:v>Binary task success; paired with the main matched-control row.</x:v>
      </x:c>
      <x:c r="F178" s="31"/>
      <x:c r="G178" s="31"/>
      <x:c r="H178" s="31" t="str">
        <x:f>IF(OR(F178="",G178=""),"",IF(F178=G178,"Agree","Disagree"))</x:f>
      </x:c>
      <x:c r="I178" s="31"/>
      <x:c r="J178" s="31" t="str">
        <x:v>No</x:v>
      </x:c>
      <x:c r="K178" s="31" t="str"/>
      <x:c r="L178" s="31" t="str"/>
      <x:c r="M178" s="31" t="str"/>
      <x:c r="N178" s="31" t="str"/>
    </x:row>
    <x:row r="179" ht="42" customHeight="1">
      <x:c r="A179" s="35" t="n">
        <x:v>177</x:v>
      </x:c>
      <x:c r="B179" s="31" t="str">
        <x:f>IF('Execution Checklist'!Q179="","",'Execution Checklist'!Q179)</x:f>
      </x:c>
      <x:c r="C179" s="31" t="str">
        <x:v>Finish with two objects in the bowl.</x:v>
      </x:c>
      <x:c r="D179" s="31" t="str"/>
      <x:c r="E179" s="31" t="str">
        <x:v>Binary task success; compare with the seen-language row sharing Pair ID.</x:v>
      </x:c>
      <x:c r="F179" s="31"/>
      <x:c r="G179" s="31"/>
      <x:c r="H179" s="31" t="str">
        <x:f>IF(OR(F179="",G179=""),"",IF(F179=G179,"Agree","Disagree"))</x:f>
      </x:c>
      <x:c r="I179" s="31"/>
      <x:c r="J179" s="31" t="str">
        <x:v>No</x:v>
      </x:c>
      <x:c r="K179" s="31" t="str"/>
      <x:c r="L179" s="31" t="str"/>
      <x:c r="M179" s="31" t="str"/>
      <x:c r="N179" s="31" t="str"/>
    </x:row>
    <x:row r="180" ht="42" customHeight="1">
      <x:c r="A180" s="35" t="n">
        <x:v>178</x:v>
      </x:c>
      <x:c r="B180" s="31" t="str">
        <x:f>IF('Execution Checklist'!Q180="","",'Execution Checklist'!Q180)</x:f>
      </x:c>
      <x:c r="C180" s="31" t="str">
        <x:v>Leave exactly three objects in the bowl.</x:v>
      </x:c>
      <x:c r="D180" s="31" t="str">
        <x:v>ADD one table object</x:v>
      </x:c>
      <x:c r="E180" s="31" t="str">
        <x:v>Binary task success; paired with the main matched-control row.</x:v>
      </x:c>
      <x:c r="F180" s="31"/>
      <x:c r="G180" s="31"/>
      <x:c r="H180" s="31" t="str">
        <x:f>IF(OR(F180="",G180=""),"",IF(F180=G180,"Agree","Disagree"))</x:f>
      </x:c>
      <x:c r="I180" s="31"/>
      <x:c r="J180" s="31" t="str">
        <x:v>No</x:v>
      </x:c>
      <x:c r="K180" s="31" t="str"/>
      <x:c r="L180" s="31" t="str"/>
      <x:c r="M180" s="31" t="str"/>
      <x:c r="N180" s="31" t="str"/>
    </x:row>
    <x:row r="181" ht="42" customHeight="1">
      <x:c r="A181" s="35" t="n">
        <x:v>179</x:v>
      </x:c>
      <x:c r="B181" s="31" t="str">
        <x:f>IF('Execution Checklist'!Q181="","",'Execution Checklist'!Q181)</x:f>
      </x:c>
      <x:c r="C181" s="31" t="str">
        <x:v>Make the bowl contain exactly two objects.</x:v>
      </x:c>
      <x:c r="D181" s="31" t="str"/>
      <x:c r="E181" s="31" t="str">
        <x:v>Binary task success using the task-specific rubric.</x:v>
      </x:c>
      <x:c r="F181" s="31"/>
      <x:c r="G181" s="31"/>
      <x:c r="H181" s="31" t="str">
        <x:f>IF(OR(F181="",G181=""),"",IF(F181=G181,"Agree","Disagree"))</x:f>
      </x:c>
      <x:c r="I181" s="31"/>
      <x:c r="J181" s="31" t="str">
        <x:v>No</x:v>
      </x:c>
      <x:c r="K181" s="31" t="str"/>
      <x:c r="L181" s="31" t="str"/>
      <x:c r="M181" s="31" t="str"/>
      <x:c r="N181" s="31" t="str"/>
    </x:row>
    <x:row r="182" ht="42" customHeight="1">
      <x:c r="A182" s="35" t="n">
        <x:v>180</x:v>
      </x:c>
      <x:c r="B182" s="31" t="str">
        <x:f>IF('Execution Checklist'!Q182="","",'Execution Checklist'!Q182)</x:f>
      </x:c>
      <x:c r="C182" s="31" t="str">
        <x:v>Put the blue pen in the bowl.</x:v>
      </x:c>
      <x:c r="D182" s="31" t="str">
        <x:v>ADD blue pen</x:v>
      </x:c>
      <x:c r="E182" s="31" t="str">
        <x:v>Binary task success; paired with the main transfer row.</x:v>
      </x:c>
      <x:c r="F182" s="31"/>
      <x:c r="G182" s="31"/>
      <x:c r="H182" s="31" t="str">
        <x:f>IF(OR(F182="",G182=""),"",IF(F182=G182,"Agree","Disagree"))</x:f>
      </x:c>
      <x:c r="I182" s="31"/>
      <x:c r="J182" s="31" t="str">
        <x:v>No</x:v>
      </x:c>
      <x:c r="K182" s="31" t="str"/>
      <x:c r="L182" s="31" t="str"/>
      <x:c r="M182" s="31" t="str"/>
      <x:c r="N182" s="31" t="str"/>
    </x:row>
    <x:row r="183" ht="42" customHeight="1">
      <x:c r="A183" s="35" t="n">
        <x:v>181</x:v>
      </x:c>
      <x:c r="B183" s="31" t="str">
        <x:f>IF('Execution Checklist'!Q183="","",'Execution Checklist'!Q183)</x:f>
      </x:c>
      <x:c r="C183" s="31" t="str">
        <x:v>Make the bowl contain exactly two objects.</x:v>
      </x:c>
      <x:c r="D183" s="31" t="str"/>
      <x:c r="E183" s="31" t="str">
        <x:v>Binary task success using the task-specific rubric.</x:v>
      </x:c>
      <x:c r="F183" s="31"/>
      <x:c r="G183" s="31"/>
      <x:c r="H183" s="31" t="str">
        <x:f>IF(OR(F183="",G183=""),"",IF(F183=G183,"Agree","Disagree"))</x:f>
      </x:c>
      <x:c r="I183" s="31"/>
      <x:c r="J183" s="31" t="str">
        <x:v>No</x:v>
      </x:c>
      <x:c r="K183" s="31" t="str"/>
      <x:c r="L183" s="31" t="str"/>
      <x:c r="M183" s="31" t="str"/>
      <x:c r="N183" s="31" t="str"/>
    </x:row>
    <x:row r="184" ht="42" customHeight="1">
      <x:c r="A184" s="35" t="n">
        <x:v>182</x:v>
      </x:c>
      <x:c r="B184" s="31" t="str">
        <x:f>IF('Execution Checklist'!Q184="","",'Execution Checklist'!Q184)</x:f>
      </x:c>
      <x:c r="C184" s="31" t="str">
        <x:v>Leave no objects in the bowl.</x:v>
      </x:c>
      <x:c r="D184" s="31" t="str">
        <x:v>blue pen</x:v>
      </x:c>
      <x:c r="E184" s="31" t="str">
        <x:v>Binary task success using the task-specific rubric.</x:v>
      </x:c>
      <x:c r="F184" s="31"/>
      <x:c r="G184" s="31"/>
      <x:c r="H184" s="31" t="str">
        <x:f>IF(OR(F184="",G184=""),"",IF(F184=G184,"Agree","Disagree"))</x:f>
      </x:c>
      <x:c r="I184" s="31"/>
      <x:c r="J184" s="31" t="str">
        <x:v>No</x:v>
      </x:c>
      <x:c r="K184" s="31" t="str"/>
      <x:c r="L184" s="31" t="str"/>
      <x:c r="M184" s="31" t="str"/>
      <x:c r="N184" s="31" t="str"/>
    </x:row>
    <x:row r="185" ht="42" customHeight="1">
      <x:c r="A185" s="35" t="n">
        <x:v>183</x:v>
      </x:c>
      <x:c r="B185" s="31" t="str">
        <x:f>IF('Execution Checklist'!Q185="","",'Execution Checklist'!Q185)</x:f>
      </x:c>
      <x:c r="C185" s="31" t="str">
        <x:v>Leave exactly one object in the bowl.</x:v>
      </x:c>
      <x:c r="D185" s="31" t="str">
        <x:v>No prespecified task success under blank language; record any action/selected target.</x:v>
      </x:c>
      <x:c r="E185" s="31" t="str">
        <x:v>Do not score ordinary task success. Record action occurrence and agreement with the parent correct-prompt rollout.</x:v>
      </x:c>
      <x:c r="F185" s="31"/>
      <x:c r="G185" s="31"/>
      <x:c r="H185" s="31" t="str">
        <x:f>IF(OR(F185="",G185=""),"",IF(F185=G185,"Agree","Disagree"))</x:f>
      </x:c>
      <x:c r="I185" s="31"/>
      <x:c r="J185" s="31" t="str">
        <x:v>No</x:v>
      </x:c>
      <x:c r="K185" s="31" t="str"/>
      <x:c r="L185" s="31" t="str"/>
      <x:c r="M185" s="31" t="str"/>
      <x:c r="N185" s="31" t="str"/>
    </x:row>
    <x:row r="186" ht="42" customHeight="1">
      <x:c r="A186" s="35" t="n">
        <x:v>184</x:v>
      </x:c>
      <x:c r="B186" s="31" t="str">
        <x:f>IF('Execution Checklist'!Q186="","",'Execution Checklist'!Q186)</x:f>
      </x:c>
      <x:c r="C186" s="31" t="str">
        <x:v>Leave exactly three objects in the bowl.</x:v>
      </x:c>
      <x:c r="D186" s="31" t="str">
        <x:v>ADD one table object</x:v>
      </x:c>
      <x:c r="E186" s="31" t="str">
        <x:v>Binary success for the counterfactual instruction and paired action-switch analysis versus the parent.</x:v>
      </x:c>
      <x:c r="F186" s="31"/>
      <x:c r="G186" s="31"/>
      <x:c r="H186" s="31" t="str">
        <x:f>IF(OR(F186="",G186=""),"",IF(F186=G186,"Agree","Disagree"))</x:f>
      </x:c>
      <x:c r="I186" s="31"/>
      <x:c r="J186" s="31" t="str">
        <x:v>No</x:v>
      </x:c>
      <x:c r="K186" s="31" t="str"/>
      <x:c r="L186" s="31" t="str"/>
      <x:c r="M186" s="31" t="str"/>
      <x:c r="N186" s="31" t="str"/>
    </x:row>
    <x:row r="187" ht="42" customHeight="1">
      <x:c r="A187" s="35" t="n">
        <x:v>185</x:v>
      </x:c>
      <x:c r="B187" s="31" t="str">
        <x:f>IF('Execution Checklist'!Q187="","",'Execution Checklist'!Q187)</x:f>
      </x:c>
      <x:c r="C187" s="31" t="str">
        <x:v>Finish with two objects in the bowl.</x:v>
      </x:c>
      <x:c r="D187" s="31" t="str"/>
      <x:c r="E187" s="31" t="str">
        <x:v>Binary task success; compare with the seen-language row sharing Pair ID.</x:v>
      </x:c>
      <x:c r="F187" s="31"/>
      <x:c r="G187" s="31"/>
      <x:c r="H187" s="31" t="str">
        <x:f>IF(OR(F187="",G187=""),"",IF(F187=G187,"Agree","Disagree"))</x:f>
      </x:c>
      <x:c r="I187" s="31"/>
      <x:c r="J187" s="31" t="str">
        <x:v>No</x:v>
      </x:c>
      <x:c r="K187" s="31" t="str"/>
      <x:c r="L187" s="31" t="str"/>
      <x:c r="M187" s="31" t="str"/>
      <x:c r="N187" s="31" t="str"/>
    </x:row>
    <x:row r="188" ht="42" customHeight="1">
      <x:c r="A188" s="35" t="n">
        <x:v>186</x:v>
      </x:c>
      <x:c r="B188" s="31" t="str">
        <x:f>IF('Execution Checklist'!Q188="","",'Execution Checklist'!Q188)</x:f>
      </x:c>
      <x:c r="C188" s="31" t="str">
        <x:v>Place the red block in front of the green pen.</x:v>
      </x:c>
      <x:c r="D188" s="31" t="str">
        <x:v>red block → in front of green pen</x:v>
      </x:c>
      <x:c r="E188" s="31" t="str">
        <x:v>Binary task success; paired with the main matched-control row.</x:v>
      </x:c>
      <x:c r="F188" s="31"/>
      <x:c r="G188" s="31"/>
      <x:c r="H188" s="31" t="str">
        <x:f>IF(OR(F188="",G188=""),"",IF(F188=G188,"Agree","Disagree"))</x:f>
      </x:c>
      <x:c r="I188" s="31"/>
      <x:c r="J188" s="31" t="str">
        <x:v>No</x:v>
      </x:c>
      <x:c r="K188" s="31" t="str"/>
      <x:c r="L188" s="31" t="str"/>
      <x:c r="M188" s="31" t="str"/>
      <x:c r="N188" s="31" t="str"/>
    </x:row>
    <x:row r="189" ht="42" customHeight="1">
      <x:c r="A189" s="35" t="n">
        <x:v>187</x:v>
      </x:c>
      <x:c r="B189" s="31" t="str">
        <x:f>IF('Execution Checklist'!Q189="","",'Execution Checklist'!Q189)</x:f>
      </x:c>
      <x:c r="C189" s="31" t="str">
        <x:v>Place the blue block in front of the green pen.</x:v>
      </x:c>
      <x:c r="D189" s="31" t="str">
        <x:v>blue block</x:v>
      </x:c>
      <x:c r="E189" s="31" t="str">
        <x:v>Binary task success using the task-specific rubric.</x:v>
      </x:c>
      <x:c r="F189" s="31"/>
      <x:c r="G189" s="31"/>
      <x:c r="H189" s="31" t="str">
        <x:f>IF(OR(F189="",G189=""),"",IF(F189=G189,"Agree","Disagree"))</x:f>
      </x:c>
      <x:c r="I189" s="31"/>
      <x:c r="J189" s="31" t="str">
        <x:v>No</x:v>
      </x:c>
      <x:c r="K189" s="31" t="str"/>
      <x:c r="L189" s="31" t="str"/>
      <x:c r="M189" s="31" t="str"/>
      <x:c r="N189" s="31" t="str"/>
    </x:row>
    <x:row r="190" ht="42" customHeight="1">
      <x:c r="A190" s="35" t="n">
        <x:v>188</x:v>
      </x:c>
      <x:c r="B190" s="31" t="str">
        <x:f>IF('Execution Checklist'!Q190="","",'Execution Checklist'!Q190)</x:f>
      </x:c>
      <x:c r="C190" s="31" t="str">
        <x:v>Place the green pen beside the red block.</x:v>
      </x:c>
      <x:c r="D190" s="31" t="str">
        <x:v>green pen near red block</x:v>
      </x:c>
      <x:c r="E190" s="31" t="str">
        <x:v>Binary task success; paired with the main transfer row.</x:v>
      </x:c>
      <x:c r="F190" s="31"/>
      <x:c r="G190" s="31"/>
      <x:c r="H190" s="31" t="str">
        <x:f>IF(OR(F190="",G190=""),"",IF(F190=G190,"Agree","Disagree"))</x:f>
      </x:c>
      <x:c r="I190" s="31"/>
      <x:c r="J190" s="31" t="str">
        <x:v>No</x:v>
      </x:c>
      <x:c r="K190" s="31" t="str"/>
      <x:c r="L190" s="31" t="str"/>
      <x:c r="M190" s="31" t="str"/>
      <x:c r="N190" s="31" t="str"/>
    </x:row>
    <x:row r="191" ht="42" customHeight="1">
      <x:c r="A191" s="35" t="n">
        <x:v>189</x:v>
      </x:c>
      <x:c r="B191" s="31" t="str">
        <x:f>IF('Execution Checklist'!Q191="","",'Execution Checklist'!Q191)</x:f>
      </x:c>
      <x:c r="C191" s="31" t="str">
        <x:v>Place the green pen in front of the red block.</x:v>
      </x:c>
      <x:c r="D191" s="31" t="str">
        <x:v>No prespecified task success under blank language; record any action/selected target.</x:v>
      </x:c>
      <x:c r="E191" s="31" t="str">
        <x:v>Do not score ordinary task success. Record action occurrence and agreement with the parent correct-prompt rollout.</x:v>
      </x:c>
      <x:c r="F191" s="31"/>
      <x:c r="G191" s="31"/>
      <x:c r="H191" s="31" t="str">
        <x:f>IF(OR(F191="",G191=""),"",IF(F191=G191,"Agree","Disagree"))</x:f>
      </x:c>
      <x:c r="I191" s="31"/>
      <x:c r="J191" s="31" t="str">
        <x:v>No</x:v>
      </x:c>
      <x:c r="K191" s="31" t="str"/>
      <x:c r="L191" s="31" t="str"/>
      <x:c r="M191" s="31" t="str"/>
      <x:c r="N191" s="31" t="str"/>
    </x:row>
    <x:row r="192" ht="42" customHeight="1">
      <x:c r="A192" s="35" t="n">
        <x:v>190</x:v>
      </x:c>
      <x:c r="B192" s="31" t="str">
        <x:f>IF('Execution Checklist'!Q192="","",'Execution Checklist'!Q192)</x:f>
      </x:c>
      <x:c r="C192" s="31" t="str">
        <x:v>Place the red block beside the green pen.</x:v>
      </x:c>
      <x:c r="D192" s="31" t="str">
        <x:v>red block near green pen</x:v>
      </x:c>
      <x:c r="E192" s="31" t="str">
        <x:v>Binary task success; paired with the main transfer row.</x:v>
      </x:c>
      <x:c r="F192" s="31"/>
      <x:c r="G192" s="31"/>
      <x:c r="H192" s="31" t="str">
        <x:f>IF(OR(F192="",G192=""),"",IF(F192=G192,"Agree","Disagree"))</x:f>
      </x:c>
      <x:c r="I192" s="31"/>
      <x:c r="J192" s="31" t="str">
        <x:v>No</x:v>
      </x:c>
      <x:c r="K192" s="31" t="str"/>
      <x:c r="L192" s="31" t="str"/>
      <x:c r="M192" s="31" t="str"/>
      <x:c r="N192" s="31" t="str"/>
    </x:row>
    <x:row r="193" ht="42" customHeight="1">
      <x:c r="A193" s="35" t="n">
        <x:v>191</x:v>
      </x:c>
      <x:c r="B193" s="31" t="str">
        <x:f>IF('Execution Checklist'!Q193="","",'Execution Checklist'!Q193)</x:f>
      </x:c>
      <x:c r="C193" s="31" t="str">
        <x:v>Place the red block in front of the green pen.</x:v>
      </x:c>
      <x:c r="D193" s="31" t="str">
        <x:v>red block → in front of green pen</x:v>
      </x:c>
      <x:c r="E193" s="31" t="str">
        <x:v>Binary task success; paired with the main matched-control row.</x:v>
      </x:c>
      <x:c r="F193" s="31"/>
      <x:c r="G193" s="31"/>
      <x:c r="H193" s="31" t="str">
        <x:f>IF(OR(F193="",G193=""),"",IF(F193=G193,"Agree","Disagree"))</x:f>
      </x:c>
      <x:c r="I193" s="31"/>
      <x:c r="J193" s="31" t="str">
        <x:v>No</x:v>
      </x:c>
      <x:c r="K193" s="31" t="str"/>
      <x:c r="L193" s="31" t="str"/>
      <x:c r="M193" s="31" t="str"/>
      <x:c r="N193" s="31" t="str"/>
    </x:row>
    <x:row r="194" ht="42" customHeight="1">
      <x:c r="A194" s="35" t="n">
        <x:v>192</x:v>
      </x:c>
      <x:c r="B194" s="31" t="str">
        <x:f>IF('Execution Checklist'!Q194="","",'Execution Checklist'!Q194)</x:f>
      </x:c>
      <x:c r="C194" s="31" t="str">
        <x:v>Move the green pen to the front of the pink marker.</x:v>
      </x:c>
      <x:c r="D194" s="31" t="str">
        <x:v>green pen</x:v>
      </x:c>
      <x:c r="E194" s="31" t="str">
        <x:v>Binary task success using the task-specific rubric.</x:v>
      </x:c>
      <x:c r="F194" s="31"/>
      <x:c r="G194" s="31"/>
      <x:c r="H194" s="31" t="str">
        <x:f>IF(OR(F194="",G194=""),"",IF(F194=G194,"Agree","Disagree"))</x:f>
      </x:c>
      <x:c r="I194" s="31"/>
      <x:c r="J194" s="31" t="str">
        <x:v>No</x:v>
      </x:c>
      <x:c r="K194" s="31" t="str"/>
      <x:c r="L194" s="31" t="str"/>
      <x:c r="M194" s="31" t="str"/>
      <x:c r="N194" s="31" t="str"/>
    </x:row>
    <x:row r="195" ht="42" customHeight="1">
      <x:c r="A195" s="35" t="n">
        <x:v>193</x:v>
      </x:c>
      <x:c r="B195" s="31" t="str">
        <x:f>IF('Execution Checklist'!Q195="","",'Execution Checklist'!Q195)</x:f>
      </x:c>
      <x:c r="C195" s="31" t="str">
        <x:v>Move the red block to the side of the pink marker facing the robot.</x:v>
      </x:c>
      <x:c r="D195" s="31" t="str">
        <x:v>red block</x:v>
      </x:c>
      <x:c r="E195" s="31" t="str">
        <x:v>Binary task success; compare with the seen-language row sharing Pair ID.</x:v>
      </x:c>
      <x:c r="F195" s="31"/>
      <x:c r="G195" s="31"/>
      <x:c r="H195" s="31" t="str">
        <x:f>IF(OR(F195="",G195=""),"",IF(F195=G195,"Agree","Disagree"))</x:f>
      </x:c>
      <x:c r="I195" s="31"/>
      <x:c r="J195" s="31" t="str">
        <x:v>No</x:v>
      </x:c>
      <x:c r="K195" s="31" t="str"/>
      <x:c r="L195" s="31" t="str"/>
      <x:c r="M195" s="31" t="str"/>
      <x:c r="N195" s="31" t="str"/>
    </x:row>
    <x:row r="196" ht="42" customHeight="1">
      <x:c r="A196" s="35" t="n">
        <x:v>194</x:v>
      </x:c>
      <x:c r="B196" s="31" t="str">
        <x:f>IF('Execution Checklist'!Q196="","",'Execution Checklist'!Q196)</x:f>
      </x:c>
      <x:c r="C196" s="31" t="str">
        <x:v>Place the red block near the green pen.</x:v>
      </x:c>
      <x:c r="D196" s="31" t="str">
        <x:v>red block near green pen</x:v>
      </x:c>
      <x:c r="E196" s="31" t="str">
        <x:v>Binary task success; paired with the main transfer row.</x:v>
      </x:c>
      <x:c r="F196" s="31"/>
      <x:c r="G196" s="31"/>
      <x:c r="H196" s="31" t="str">
        <x:f>IF(OR(F196="",G196=""),"",IF(F196=G196,"Agree","Disagree"))</x:f>
      </x:c>
      <x:c r="I196" s="31"/>
      <x:c r="J196" s="31" t="str">
        <x:v>No</x:v>
      </x:c>
      <x:c r="K196" s="31" t="str"/>
      <x:c r="L196" s="31" t="str"/>
      <x:c r="M196" s="31" t="str"/>
      <x:c r="N196" s="31" t="str"/>
    </x:row>
    <x:row r="197" ht="42" customHeight="1">
      <x:c r="A197" s="35" t="n">
        <x:v>195</x:v>
      </x:c>
      <x:c r="B197" s="31" t="str">
        <x:f>IF('Execution Checklist'!Q197="","",'Execution Checklist'!Q197)</x:f>
      </x:c>
      <x:c r="C197" s="31" t="str">
        <x:v>Place the green pen beside the red block.</x:v>
      </x:c>
      <x:c r="D197" s="31" t="str">
        <x:v>green pen near red block</x:v>
      </x:c>
      <x:c r="E197" s="31" t="str">
        <x:v>Binary task success; paired with the main transfer row.</x:v>
      </x:c>
      <x:c r="F197" s="31"/>
      <x:c r="G197" s="31"/>
      <x:c r="H197" s="31" t="str">
        <x:f>IF(OR(F197="",G197=""),"",IF(F197=G197,"Agree","Disagree"))</x:f>
      </x:c>
      <x:c r="I197" s="31"/>
      <x:c r="J197" s="31" t="str">
        <x:v>No</x:v>
      </x:c>
      <x:c r="K197" s="31" t="str"/>
      <x:c r="L197" s="31" t="str"/>
      <x:c r="M197" s="31" t="str"/>
      <x:c r="N197" s="31" t="str"/>
    </x:row>
    <x:row r="198" ht="42" customHeight="1">
      <x:c r="A198" s="35" t="n">
        <x:v>196</x:v>
      </x:c>
      <x:c r="B198" s="31" t="str">
        <x:f>IF('Execution Checklist'!Q198="","",'Execution Checklist'!Q198)</x:f>
      </x:c>
      <x:c r="C198" s="31" t="str">
        <x:v>Place the green pen behind the red block.</x:v>
      </x:c>
      <x:c r="D198" s="31" t="str">
        <x:v>green pen → behind red block</x:v>
      </x:c>
      <x:c r="E198" s="31" t="str">
        <x:v>Binary task success; paired with the main matched-control row.</x:v>
      </x:c>
      <x:c r="F198" s="31"/>
      <x:c r="G198" s="31"/>
      <x:c r="H198" s="31" t="str">
        <x:f>IF(OR(F198="",G198=""),"",IF(F198=G198,"Agree","Disagree"))</x:f>
      </x:c>
      <x:c r="I198" s="31"/>
      <x:c r="J198" s="31" t="str">
        <x:v>No</x:v>
      </x:c>
      <x:c r="K198" s="31" t="str"/>
      <x:c r="L198" s="31" t="str"/>
      <x:c r="M198" s="31" t="str"/>
      <x:c r="N198" s="31" t="str"/>
    </x:row>
    <x:row r="199" ht="42" customHeight="1">
      <x:c r="A199" s="35" t="n">
        <x:v>197</x:v>
      </x:c>
      <x:c r="B199" s="31" t="str">
        <x:f>IF('Execution Checklist'!Q199="","",'Execution Checklist'!Q199)</x:f>
      </x:c>
      <x:c r="C199" s="31" t="str">
        <x:v>Move the red block to the side of the pink marker facing the robot.</x:v>
      </x:c>
      <x:c r="D199" s="31" t="str">
        <x:v>red block</x:v>
      </x:c>
      <x:c r="E199" s="31" t="str">
        <x:v>Binary task success; compare with the seen-language row sharing Pair ID.</x:v>
      </x:c>
      <x:c r="F199" s="31"/>
      <x:c r="G199" s="31"/>
      <x:c r="H199" s="31" t="str">
        <x:f>IF(OR(F199="",G199=""),"",IF(F199=G199,"Agree","Disagree"))</x:f>
      </x:c>
      <x:c r="I199" s="31"/>
      <x:c r="J199" s="31" t="str">
        <x:v>No</x:v>
      </x:c>
      <x:c r="K199" s="31" t="str"/>
      <x:c r="L199" s="31" t="str"/>
      <x:c r="M199" s="31" t="str"/>
      <x:c r="N199" s="31" t="str"/>
    </x:row>
    <x:row r="200" ht="42" customHeight="1">
      <x:c r="A200" s="35" t="n">
        <x:v>198</x:v>
      </x:c>
      <x:c r="B200" s="31" t="str">
        <x:f>IF('Execution Checklist'!Q200="","",'Execution Checklist'!Q200)</x:f>
      </x:c>
      <x:c r="C200" s="31" t="str">
        <x:v>Place the green pen in front of the red block.</x:v>
      </x:c>
      <x:c r="D200" s="31" t="str">
        <x:v>green pen → in front of red block</x:v>
      </x:c>
      <x:c r="E200" s="31" t="str">
        <x:v>Binary task success; paired with the main matched-control row.</x:v>
      </x:c>
      <x:c r="F200" s="31"/>
      <x:c r="G200" s="31"/>
      <x:c r="H200" s="31" t="str">
        <x:f>IF(OR(F200="",G200=""),"",IF(F200=G200,"Agree","Disagree"))</x:f>
      </x:c>
      <x:c r="I200" s="31"/>
      <x:c r="J200" s="31" t="str">
        <x:v>No</x:v>
      </x:c>
      <x:c r="K200" s="31" t="str"/>
      <x:c r="L200" s="31" t="str"/>
      <x:c r="M200" s="31" t="str"/>
      <x:c r="N200" s="31" t="str"/>
    </x:row>
    <x:row r="201" ht="42" customHeight="1">
      <x:c r="A201" s="35" t="n">
        <x:v>199</x:v>
      </x:c>
      <x:c r="B201" s="31" t="str">
        <x:f>IF('Execution Checklist'!Q201="","",'Execution Checklist'!Q201)</x:f>
      </x:c>
      <x:c r="C201" s="31" t="str">
        <x:v>Place the green pen near the red block.</x:v>
      </x:c>
      <x:c r="D201" s="31" t="str">
        <x:v>green pen near red block</x:v>
      </x:c>
      <x:c r="E201" s="31" t="str">
        <x:v>Binary task success; paired with the main transfer row.</x:v>
      </x:c>
      <x:c r="F201" s="31"/>
      <x:c r="G201" s="31"/>
      <x:c r="H201" s="31" t="str">
        <x:f>IF(OR(F201="",G201=""),"",IF(F201=G201,"Agree","Disagree"))</x:f>
      </x:c>
      <x:c r="I201" s="31"/>
      <x:c r="J201" s="31" t="str">
        <x:v>No</x:v>
      </x:c>
      <x:c r="K201" s="31" t="str"/>
      <x:c r="L201" s="31" t="str"/>
      <x:c r="M201" s="31" t="str"/>
      <x:c r="N201" s="31" t="str"/>
    </x:row>
    <x:row r="202" ht="42" customHeight="1">
      <x:c r="A202" s="35" t="n">
        <x:v>200</x:v>
      </x:c>
      <x:c r="B202" s="31" t="str">
        <x:f>IF('Execution Checklist'!Q202="","",'Execution Checklist'!Q202)</x:f>
      </x:c>
      <x:c r="C202" s="31" t="str">
        <x:v>Place the green pen to the left of the red block.</x:v>
      </x:c>
      <x:c r="D202" s="31" t="str">
        <x:v>green pen → to the left of red block</x:v>
      </x:c>
      <x:c r="E202" s="31" t="str">
        <x:v>Binary success for the counterfactual instruction and paired action-switch analysis versus the parent.</x:v>
      </x:c>
      <x:c r="F202" s="31"/>
      <x:c r="G202" s="31"/>
      <x:c r="H202" s="31" t="str">
        <x:f>IF(OR(F202="",G202=""),"",IF(F202=G202,"Agree","Disagree"))</x:f>
      </x:c>
      <x:c r="I202" s="31"/>
      <x:c r="J202" s="31" t="str">
        <x:v>No</x:v>
      </x:c>
      <x:c r="K202" s="31" t="str"/>
      <x:c r="L202" s="31" t="str"/>
      <x:c r="M202" s="31" t="str"/>
      <x:c r="N202" s="31" t="str"/>
    </x:row>
    <x:row r="203" ht="42" customHeight="1">
      <x:c r="A203" s="35" t="n">
        <x:v>201</x:v>
      </x:c>
      <x:c r="B203" s="31" t="str">
        <x:f>IF('Execution Checklist'!Q203="","",'Execution Checklist'!Q203)</x:f>
      </x:c>
      <x:c r="C203" s="31" t="str">
        <x:v>Place the green pen in front of the red block.</x:v>
      </x:c>
      <x:c r="D203" s="31" t="str">
        <x:v>green pen → in front of red block</x:v>
      </x:c>
      <x:c r="E203" s="31" t="str">
        <x:v>Binary task success; paired with the main matched-control row.</x:v>
      </x:c>
      <x:c r="F203" s="31"/>
      <x:c r="G203" s="31"/>
      <x:c r="H203" s="31" t="str">
        <x:f>IF(OR(F203="",G203=""),"",IF(F203=G203,"Agree","Disagree"))</x:f>
      </x:c>
      <x:c r="I203" s="31"/>
      <x:c r="J203" s="31" t="str">
        <x:v>No</x:v>
      </x:c>
      <x:c r="K203" s="31" t="str"/>
      <x:c r="L203" s="31" t="str"/>
      <x:c r="M203" s="31" t="str"/>
      <x:c r="N203" s="31" t="str"/>
    </x:row>
    <x:row r="204" ht="42" customHeight="1">
      <x:c r="A204" s="35" t="n">
        <x:v>202</x:v>
      </x:c>
      <x:c r="B204" s="31" t="str">
        <x:f>IF('Execution Checklist'!Q204="","",'Execution Checklist'!Q204)</x:f>
      </x:c>
      <x:c r="C204" s="31" t="str">
        <x:v>Place the red block near the green pen.</x:v>
      </x:c>
      <x:c r="D204" s="31" t="str">
        <x:v>red block near green pen</x:v>
      </x:c>
      <x:c r="E204" s="31" t="str">
        <x:v>Binary task success; paired with the main transfer row.</x:v>
      </x:c>
      <x:c r="F204" s="31"/>
      <x:c r="G204" s="31"/>
      <x:c r="H204" s="31" t="str">
        <x:f>IF(OR(F204="",G204=""),"",IF(F204=G204,"Agree","Disagree"))</x:f>
      </x:c>
      <x:c r="I204" s="31"/>
      <x:c r="J204" s="31" t="str">
        <x:v>No</x:v>
      </x:c>
      <x:c r="K204" s="31" t="str"/>
      <x:c r="L204" s="31" t="str"/>
      <x:c r="M204" s="31" t="str"/>
      <x:c r="N204" s="31" t="str"/>
    </x:row>
    <x:row r="205" ht="42" customHeight="1">
      <x:c r="A205" s="35" t="n">
        <x:v>203</x:v>
      </x:c>
      <x:c r="B205" s="31" t="str">
        <x:f>IF('Execution Checklist'!Q205="","",'Execution Checklist'!Q205)</x:f>
      </x:c>
      <x:c r="C205" s="31" t="str">
        <x:v>Place the green pen to the right of the pink marker.</x:v>
      </x:c>
      <x:c r="D205" s="31" t="str">
        <x:v>green pen</x:v>
      </x:c>
      <x:c r="E205" s="31" t="str">
        <x:v>Binary task success using the task-specific rubric.</x:v>
      </x:c>
      <x:c r="F205" s="31"/>
      <x:c r="G205" s="31"/>
      <x:c r="H205" s="31" t="str">
        <x:f>IF(OR(F205="",G205=""),"",IF(F205=G205,"Agree","Disagree"))</x:f>
      </x:c>
      <x:c r="I205" s="31"/>
      <x:c r="J205" s="31" t="str">
        <x:v>No</x:v>
      </x:c>
      <x:c r="K205" s="31" t="str"/>
      <x:c r="L205" s="31" t="str"/>
      <x:c r="M205" s="31" t="str"/>
      <x:c r="N205" s="31" t="str"/>
    </x:row>
    <x:row r="206" ht="42" customHeight="1">
      <x:c r="A206" s="35" t="n">
        <x:v>204</x:v>
      </x:c>
      <x:c r="B206" s="31" t="str">
        <x:f>IF('Execution Checklist'!Q206="","",'Execution Checklist'!Q206)</x:f>
      </x:c>
      <x:c r="C206" s="31" t="str">
        <x:v>Put the green pen on the table in front of the pink marker.</x:v>
      </x:c>
      <x:c r="D206" s="31" t="str">
        <x:v>green pen</x:v>
      </x:c>
      <x:c r="E206" s="31" t="str">
        <x:v>Binary task success using the task-specific rubric.</x:v>
      </x:c>
      <x:c r="F206" s="31"/>
      <x:c r="G206" s="31"/>
      <x:c r="H206" s="31" t="str">
        <x:f>IF(OR(F206="",G206=""),"",IF(F206=G206,"Agree","Disagree"))</x:f>
      </x:c>
      <x:c r="I206" s="31"/>
      <x:c r="J206" s="31" t="str">
        <x:v>No</x:v>
      </x:c>
      <x:c r="K206" s="31" t="str"/>
      <x:c r="L206" s="31" t="str"/>
      <x:c r="M206" s="31" t="str"/>
      <x:c r="N206" s="31" t="str"/>
    </x:row>
    <x:row r="207" ht="42" customHeight="1">
      <x:c r="A207" s="35" t="n">
        <x:v>205</x:v>
      </x:c>
      <x:c r="B207" s="31" t="str">
        <x:f>IF('Execution Checklist'!Q207="","",'Execution Checklist'!Q207)</x:f>
      </x:c>
      <x:c r="C207" s="31" t="str">
        <x:v>Move the red block to the side of the pink marker facing the robot.</x:v>
      </x:c>
      <x:c r="D207" s="31" t="str">
        <x:v>red block</x:v>
      </x:c>
      <x:c r="E207" s="31" t="str">
        <x:v>Binary task success; compare with the seen-language row sharing Pair ID.</x:v>
      </x:c>
      <x:c r="F207" s="31"/>
      <x:c r="G207" s="31"/>
      <x:c r="H207" s="31" t="str">
        <x:f>IF(OR(F207="",G207=""),"",IF(F207=G207,"Agree","Disagree"))</x:f>
      </x:c>
      <x:c r="I207" s="31"/>
      <x:c r="J207" s="31" t="str">
        <x:v>No</x:v>
      </x:c>
      <x:c r="K207" s="31" t="str"/>
      <x:c r="L207" s="31" t="str"/>
      <x:c r="M207" s="31" t="str"/>
      <x:c r="N207" s="31" t="str"/>
    </x:row>
    <x:row r="208" ht="42" customHeight="1">
      <x:c r="A208" s="35" t="n">
        <x:v>206</x:v>
      </x:c>
      <x:c r="B208" s="31" t="str">
        <x:f>IF('Execution Checklist'!Q208="","",'Execution Checklist'!Q208)</x:f>
      </x:c>
      <x:c r="C208" s="31" t="str">
        <x:v>Place the pink marker in front of the blue block.</x:v>
      </x:c>
      <x:c r="D208" s="31" t="str">
        <x:v>pink marker</x:v>
      </x:c>
      <x:c r="E208" s="31" t="str">
        <x:v>Binary task success using the task-specific rubric.</x:v>
      </x:c>
      <x:c r="F208" s="31"/>
      <x:c r="G208" s="31"/>
      <x:c r="H208" s="31" t="str">
        <x:f>IF(OR(F208="",G208=""),"",IF(F208=G208,"Agree","Disagree"))</x:f>
      </x:c>
      <x:c r="I208" s="31"/>
      <x:c r="J208" s="31" t="str">
        <x:v>No</x:v>
      </x:c>
      <x:c r="K208" s="31" t="str"/>
      <x:c r="L208" s="31" t="str"/>
      <x:c r="M208" s="31" t="str"/>
      <x:c r="N208" s="31" t="str"/>
    </x:row>
    <x:row r="209" ht="42" customHeight="1">
      <x:c r="A209" s="35" t="n">
        <x:v>207</x:v>
      </x:c>
      <x:c r="B209" s="31" t="str">
        <x:f>IF('Execution Checklist'!Q209="","",'Execution Checklist'!Q209)</x:f>
      </x:c>
      <x:c r="C209" s="31" t="str">
        <x:v>Place the green pen to the right of the red block.</x:v>
      </x:c>
      <x:c r="D209" s="31" t="str">
        <x:v>green pen → to the right of red block</x:v>
      </x:c>
      <x:c r="E209" s="31" t="str">
        <x:v>Binary task success; paired with the main matched-control row.</x:v>
      </x:c>
      <x:c r="F209" s="31"/>
      <x:c r="G209" s="31"/>
      <x:c r="H209" s="31" t="str">
        <x:f>IF(OR(F209="",G209=""),"",IF(F209=G209,"Agree","Disagree"))</x:f>
      </x:c>
      <x:c r="I209" s="31"/>
      <x:c r="J209" s="31" t="str">
        <x:v>No</x:v>
      </x:c>
      <x:c r="K209" s="31" t="str"/>
      <x:c r="L209" s="31" t="str"/>
      <x:c r="M209" s="31" t="str"/>
      <x:c r="N209" s="31" t="str"/>
    </x:row>
    <x:row r="210" ht="42" customHeight="1">
      <x:c r="A210" s="35" t="n">
        <x:v>208</x:v>
      </x:c>
      <x:c r="B210" s="31" t="str">
        <x:f>IF('Execution Checklist'!Q210="","",'Execution Checklist'!Q210)</x:f>
      </x:c>
      <x:c r="C210" s="31" t="str">
        <x:v>Place the red block to the right of the blue block.</x:v>
      </x:c>
      <x:c r="D210" s="31" t="str">
        <x:v>red block</x:v>
      </x:c>
      <x:c r="E210" s="31" t="str">
        <x:v>Binary task success using the task-specific rubric.</x:v>
      </x:c>
      <x:c r="F210" s="31"/>
      <x:c r="G210" s="31"/>
      <x:c r="H210" s="31" t="str">
        <x:f>IF(OR(F210="",G210=""),"",IF(F210=G210,"Agree","Disagree"))</x:f>
      </x:c>
      <x:c r="I210" s="31"/>
      <x:c r="J210" s="31" t="str">
        <x:v>No</x:v>
      </x:c>
      <x:c r="K210" s="31" t="str"/>
      <x:c r="L210" s="31" t="str"/>
      <x:c r="M210" s="31" t="str"/>
      <x:c r="N210" s="31" t="str"/>
    </x:row>
    <x:row r="211" ht="42" customHeight="1">
      <x:c r="A211" s="35" t="n">
        <x:v>209</x:v>
      </x:c>
      <x:c r="B211" s="31" t="str">
        <x:f>IF('Execution Checklist'!Q211="","",'Execution Checklist'!Q211)</x:f>
      </x:c>
      <x:c r="C211" s="31" t="str">
        <x:v>Place the red block near the green pen.</x:v>
      </x:c>
      <x:c r="D211" s="31" t="str">
        <x:v>red block near green pen</x:v>
      </x:c>
      <x:c r="E211" s="31" t="str">
        <x:v>Binary task success; paired with the main transfer row.</x:v>
      </x:c>
      <x:c r="F211" s="31"/>
      <x:c r="G211" s="31"/>
      <x:c r="H211" s="31" t="str">
        <x:f>IF(OR(F211="",G211=""),"",IF(F211=G211,"Agree","Disagree"))</x:f>
      </x:c>
      <x:c r="I211" s="31"/>
      <x:c r="J211" s="31" t="str">
        <x:v>No</x:v>
      </x:c>
      <x:c r="K211" s="31" t="str"/>
      <x:c r="L211" s="31" t="str"/>
      <x:c r="M211" s="31" t="str"/>
      <x:c r="N211" s="31" t="str"/>
    </x:row>
    <x:row r="212" ht="42" customHeight="1">
      <x:c r="A212" s="35" t="n">
        <x:v>210</x:v>
      </x:c>
      <x:c r="B212" s="31" t="str">
        <x:f>IF('Execution Checklist'!Q212="","",'Execution Checklist'!Q212)</x:f>
      </x:c>
      <x:c r="C212" s="31" t="str">
        <x:v>Move the red block to the side of the pink marker facing the robot.</x:v>
      </x:c>
      <x:c r="D212" s="31" t="str">
        <x:v>red block</x:v>
      </x:c>
      <x:c r="E212" s="31" t="str">
        <x:v>Binary task success; compare with the seen-language row sharing Pair ID.</x:v>
      </x:c>
      <x:c r="F212" s="31"/>
      <x:c r="G212" s="31"/>
      <x:c r="H212" s="31" t="str">
        <x:f>IF(OR(F212="",G212=""),"",IF(F212=G212,"Agree","Disagree"))</x:f>
      </x:c>
      <x:c r="I212" s="31"/>
      <x:c r="J212" s="31" t="str">
        <x:v>No</x:v>
      </x:c>
      <x:c r="K212" s="31" t="str"/>
      <x:c r="L212" s="31" t="str"/>
      <x:c r="M212" s="31" t="str"/>
      <x:c r="N212" s="31" t="str"/>
    </x:row>
    <x:row r="213" ht="42" customHeight="1">
      <x:c r="A213" s="35" t="n">
        <x:v>211</x:v>
      </x:c>
      <x:c r="B213" s="31" t="str">
        <x:f>IF('Execution Checklist'!Q213="","",'Execution Checklist'!Q213)</x:f>
      </x:c>
      <x:c r="C213" s="31" t="str">
        <x:v>Place the red block behind the green pen.</x:v>
      </x:c>
      <x:c r="D213" s="31" t="str">
        <x:v>red block → behind green pen</x:v>
      </x:c>
      <x:c r="E213" s="31" t="str">
        <x:v>Binary task success; paired with the main matched-control row.</x:v>
      </x:c>
      <x:c r="F213" s="31"/>
      <x:c r="G213" s="31"/>
      <x:c r="H213" s="31" t="str">
        <x:f>IF(OR(F213="",G213=""),"",IF(F213=G213,"Agree","Disagree"))</x:f>
      </x:c>
      <x:c r="I213" s="31"/>
      <x:c r="J213" s="31" t="str">
        <x:v>No</x:v>
      </x:c>
      <x:c r="K213" s="31" t="str"/>
      <x:c r="L213" s="31" t="str"/>
      <x:c r="M213" s="31" t="str"/>
      <x:c r="N213" s="31" t="str"/>
    </x:row>
    <x:row r="214" ht="42" customHeight="1">
      <x:c r="A214" s="35" t="n">
        <x:v>212</x:v>
      </x:c>
      <x:c r="B214" s="31" t="str">
        <x:f>IF('Execution Checklist'!Q214="","",'Execution Checklist'!Q214)</x:f>
      </x:c>
      <x:c r="C214" s="31" t="str">
        <x:v>Place the blue block behind the green pen.</x:v>
      </x:c>
      <x:c r="D214" s="31" t="str">
        <x:v>blue block</x:v>
      </x:c>
      <x:c r="E214" s="31" t="str">
        <x:v>Binary task success using the task-specific rubric.</x:v>
      </x:c>
      <x:c r="F214" s="31"/>
      <x:c r="G214" s="31"/>
      <x:c r="H214" s="31" t="str">
        <x:f>IF(OR(F214="",G214=""),"",IF(F214=G214,"Agree","Disagree"))</x:f>
      </x:c>
      <x:c r="I214" s="31"/>
      <x:c r="J214" s="31" t="str">
        <x:v>No</x:v>
      </x:c>
      <x:c r="K214" s="31" t="str"/>
      <x:c r="L214" s="31" t="str"/>
      <x:c r="M214" s="31" t="str"/>
      <x:c r="N214" s="31" t="str"/>
    </x:row>
    <x:row r="215" ht="42" customHeight="1">
      <x:c r="A215" s="35" t="n">
        <x:v>213</x:v>
      </x:c>
      <x:c r="B215" s="31" t="str">
        <x:f>IF('Execution Checklist'!Q215="","",'Execution Checklist'!Q215)</x:f>
      </x:c>
      <x:c r="C215" s="31" t="str">
        <x:v>Place the green pen to the right of the red block.</x:v>
      </x:c>
      <x:c r="D215" s="31" t="str">
        <x:v>No prespecified task success under blank language; record any action/selected target.</x:v>
      </x:c>
      <x:c r="E215" s="31" t="str">
        <x:v>Do not score ordinary task success. Record action occurrence and agreement with the parent correct-prompt rollout.</x:v>
      </x:c>
      <x:c r="F215" s="31"/>
      <x:c r="G215" s="31"/>
      <x:c r="H215" s="31" t="str">
        <x:f>IF(OR(F215="",G215=""),"",IF(F215=G215,"Agree","Disagree"))</x:f>
      </x:c>
      <x:c r="I215" s="31"/>
      <x:c r="J215" s="31" t="str">
        <x:v>No</x:v>
      </x:c>
      <x:c r="K215" s="31" t="str"/>
      <x:c r="L215" s="31" t="str"/>
      <x:c r="M215" s="31" t="str"/>
      <x:c r="N215" s="31" t="str"/>
    </x:row>
    <x:row r="216" ht="42" customHeight="1">
      <x:c r="A216" s="35" t="n">
        <x:v>214</x:v>
      </x:c>
      <x:c r="B216" s="31" t="str">
        <x:f>IF('Execution Checklist'!Q216="","",'Execution Checklist'!Q216)</x:f>
      </x:c>
      <x:c r="C216" s="31" t="str">
        <x:v>Place the red block to the right of the green pen.</x:v>
      </x:c>
      <x:c r="D216" s="31" t="str">
        <x:v>red block → to the right of green pen</x:v>
      </x:c>
      <x:c r="E216" s="31" t="str">
        <x:v>Binary task success; paired with the main matched-control row.</x:v>
      </x:c>
      <x:c r="F216" s="31"/>
      <x:c r="G216" s="31"/>
      <x:c r="H216" s="31" t="str">
        <x:f>IF(OR(F216="",G216=""),"",IF(F216=G216,"Agree","Disagree"))</x:f>
      </x:c>
      <x:c r="I216" s="31"/>
      <x:c r="J216" s="31" t="str">
        <x:v>No</x:v>
      </x:c>
      <x:c r="K216" s="31" t="str"/>
      <x:c r="L216" s="31" t="str"/>
      <x:c r="M216" s="31" t="str"/>
      <x:c r="N216" s="31" t="str"/>
    </x:row>
    <x:row r="217" ht="42" customHeight="1">
      <x:c r="A217" s="35" t="n">
        <x:v>215</x:v>
      </x:c>
      <x:c r="B217" s="31" t="str">
        <x:f>IF('Execution Checklist'!Q217="","",'Execution Checklist'!Q217)</x:f>
      </x:c>
      <x:c r="C217" s="31" t="str">
        <x:v>Place the green pen to the right of the red block.</x:v>
      </x:c>
      <x:c r="D217" s="31" t="str">
        <x:v>green pen → to the right of red block</x:v>
      </x:c>
      <x:c r="E217" s="31" t="str">
        <x:v>Binary success for the counterfactual instruction and paired action-switch analysis versus the parent.</x:v>
      </x:c>
      <x:c r="F217" s="31"/>
      <x:c r="G217" s="31"/>
      <x:c r="H217" s="31" t="str">
        <x:f>IF(OR(F217="",G217=""),"",IF(F217=G217,"Agree","Disagree"))</x:f>
      </x:c>
      <x:c r="I217" s="31"/>
      <x:c r="J217" s="31" t="str">
        <x:v>No</x:v>
      </x:c>
      <x:c r="K217" s="31" t="str"/>
      <x:c r="L217" s="31" t="str"/>
      <x:c r="M217" s="31" t="str"/>
      <x:c r="N217" s="31" t="str"/>
    </x:row>
    <x:row r="218" ht="42" customHeight="1">
      <x:c r="A218" s="35" t="n">
        <x:v>216</x:v>
      </x:c>
      <x:c r="B218" s="31" t="str">
        <x:f>IF('Execution Checklist'!Q218="","",'Execution Checklist'!Q218)</x:f>
      </x:c>
      <x:c r="C218" s="31" t="str">
        <x:v>Move the red block to the side of the pink marker facing the robot.</x:v>
      </x:c>
      <x:c r="D218" s="31" t="str">
        <x:v>red block</x:v>
      </x:c>
      <x:c r="E218" s="31" t="str">
        <x:v>Binary task success; compare with the seen-language row sharing Pair ID.</x:v>
      </x:c>
      <x:c r="F218" s="31"/>
      <x:c r="G218" s="31"/>
      <x:c r="H218" s="31" t="str">
        <x:f>IF(OR(F218="",G218=""),"",IF(F218=G218,"Agree","Disagree"))</x:f>
      </x:c>
      <x:c r="I218" s="31"/>
      <x:c r="J218" s="31" t="str">
        <x:v>No</x:v>
      </x:c>
      <x:c r="K218" s="31" t="str"/>
      <x:c r="L218" s="31" t="str"/>
      <x:c r="M218" s="31" t="str"/>
      <x:c r="N218" s="31" t="str"/>
    </x:row>
    <x:row r="219" ht="42" customHeight="1">
      <x:c r="A219" s="35" t="n">
        <x:v>217</x:v>
      </x:c>
      <x:c r="B219" s="31" t="str">
        <x:f>IF('Execution Checklist'!Q219="","",'Execution Checklist'!Q219)</x:f>
      </x:c>
      <x:c r="C219" s="31" t="str">
        <x:v>Place the red block beside the green pen.</x:v>
      </x:c>
      <x:c r="D219" s="31" t="str">
        <x:v>red block near green pen</x:v>
      </x:c>
      <x:c r="E219" s="31" t="str">
        <x:v>Binary task success; paired with the main transfer row.</x:v>
      </x:c>
      <x:c r="F219" s="31"/>
      <x:c r="G219" s="31"/>
      <x:c r="H219" s="31" t="str">
        <x:f>IF(OR(F219="",G219=""),"",IF(F219=G219,"Agree","Disagree"))</x:f>
      </x:c>
      <x:c r="I219" s="31"/>
      <x:c r="J219" s="31" t="str">
        <x:v>No</x:v>
      </x:c>
      <x:c r="K219" s="31" t="str"/>
      <x:c r="L219" s="31" t="str"/>
      <x:c r="M219" s="31" t="str"/>
      <x:c r="N219" s="31" t="str"/>
    </x:row>
    <x:row r="220" ht="42" customHeight="1">
      <x:c r="A220" s="35" t="n">
        <x:v>218</x:v>
      </x:c>
      <x:c r="B220" s="31" t="str">
        <x:f>IF('Execution Checklist'!Q220="","",'Execution Checklist'!Q220)</x:f>
      </x:c>
      <x:c r="C220" s="31" t="str">
        <x:v>Place the red block to the left of the green pen.</x:v>
      </x:c>
      <x:c r="D220" s="31" t="str">
        <x:v>red block → to the left of green pen</x:v>
      </x:c>
      <x:c r="E220" s="31" t="str">
        <x:v>Binary task success; paired with the main matched-control row.</x:v>
      </x:c>
      <x:c r="F220" s="31"/>
      <x:c r="G220" s="31"/>
      <x:c r="H220" s="31" t="str">
        <x:f>IF(OR(F220="",G220=""),"",IF(F220=G220,"Agree","Disagree"))</x:f>
      </x:c>
      <x:c r="I220" s="31"/>
      <x:c r="J220" s="31" t="str">
        <x:v>No</x:v>
      </x:c>
      <x:c r="K220" s="31" t="str"/>
      <x:c r="L220" s="31" t="str"/>
      <x:c r="M220" s="31" t="str"/>
      <x:c r="N220" s="31" t="str"/>
    </x:row>
    <x:row r="221" ht="42" customHeight="1">
      <x:c r="A221" s="35" t="n">
        <x:v>219</x:v>
      </x:c>
      <x:c r="B221" s="31" t="str">
        <x:f>IF('Execution Checklist'!Q221="","",'Execution Checklist'!Q221)</x:f>
      </x:c>
      <x:c r="C221" s="31" t="str">
        <x:v>Place the green pen in front of the pink marker.</x:v>
      </x:c>
      <x:c r="D221" s="31" t="str">
        <x:v>green pen</x:v>
      </x:c>
      <x:c r="E221" s="31" t="str">
        <x:v>Binary task success using the task-specific rubric.</x:v>
      </x:c>
      <x:c r="F221" s="31"/>
      <x:c r="G221" s="31"/>
      <x:c r="H221" s="31" t="str">
        <x:f>IF(OR(F221="",G221=""),"",IF(F221=G221,"Agree","Disagree"))</x:f>
      </x:c>
      <x:c r="I221" s="31"/>
      <x:c r="J221" s="31" t="str">
        <x:v>No</x:v>
      </x:c>
      <x:c r="K221" s="31" t="str"/>
      <x:c r="L221" s="31" t="str"/>
      <x:c r="M221" s="31" t="str"/>
      <x:c r="N221" s="31" t="str"/>
    </x:row>
    <x:row r="222" ht="42" customHeight="1">
      <x:c r="A222" s="35" t="n">
        <x:v>220</x:v>
      </x:c>
      <x:c r="B222" s="31" t="str">
        <x:f>IF('Execution Checklist'!Q222="","",'Execution Checklist'!Q222)</x:f>
      </x:c>
      <x:c r="C222" s="31" t="str">
        <x:v>Place the green pen to the left of the red block.</x:v>
      </x:c>
      <x:c r="D222" s="31" t="str">
        <x:v>green pen → to the left of red block</x:v>
      </x:c>
      <x:c r="E222" s="31" t="str">
        <x:v>Binary task success; paired with the main matched-control row.</x:v>
      </x:c>
      <x:c r="F222" s="31"/>
      <x:c r="G222" s="31"/>
      <x:c r="H222" s="31" t="str">
        <x:f>IF(OR(F222="",G222=""),"",IF(F222=G222,"Agree","Disagree"))</x:f>
      </x:c>
      <x:c r="I222" s="31"/>
      <x:c r="J222" s="31" t="str">
        <x:v>No</x:v>
      </x:c>
      <x:c r="K222" s="31" t="str"/>
      <x:c r="L222" s="31" t="str"/>
      <x:c r="M222" s="31" t="str"/>
      <x:c r="N222" s="31" t="str"/>
    </x:row>
    <x:row r="223" ht="42" customHeight="1">
      <x:c r="A223" s="35" t="n">
        <x:v>221</x:v>
      </x:c>
      <x:c r="B223" s="31" t="str">
        <x:f>IF('Execution Checklist'!Q223="","",'Execution Checklist'!Q223)</x:f>
      </x:c>
      <x:c r="C223" s="31" t="str">
        <x:v>Place the red block to the left of the blue block.</x:v>
      </x:c>
      <x:c r="D223" s="31" t="str">
        <x:v>red block</x:v>
      </x:c>
      <x:c r="E223" s="31" t="str">
        <x:v>Binary task success using the task-specific rubric.</x:v>
      </x:c>
      <x:c r="F223" s="31"/>
      <x:c r="G223" s="31"/>
      <x:c r="H223" s="31" t="str">
        <x:f>IF(OR(F223="",G223=""),"",IF(F223=G223,"Agree","Disagree"))</x:f>
      </x:c>
      <x:c r="I223" s="31"/>
      <x:c r="J223" s="31" t="str">
        <x:v>No</x:v>
      </x:c>
      <x:c r="K223" s="31" t="str"/>
      <x:c r="L223" s="31" t="str"/>
      <x:c r="M223" s="31" t="str"/>
      <x:c r="N223" s="31" t="str"/>
    </x:row>
    <x:row r="224" ht="42" customHeight="1">
      <x:c r="A224" s="35" t="n">
        <x:v>222</x:v>
      </x:c>
      <x:c r="B224" s="31" t="str">
        <x:f>IF('Execution Checklist'!Q224="","",'Execution Checklist'!Q224)</x:f>
      </x:c>
      <x:c r="C224" s="31" t="str">
        <x:v>Place the green pen near the red block.</x:v>
      </x:c>
      <x:c r="D224" s="31" t="str">
        <x:v>green pen near red block</x:v>
      </x:c>
      <x:c r="E224" s="31" t="str">
        <x:v>Binary task success; paired with the main transfer row.</x:v>
      </x:c>
      <x:c r="F224" s="31"/>
      <x:c r="G224" s="31"/>
      <x:c r="H224" s="31" t="str">
        <x:f>IF(OR(F224="",G224=""),"",IF(F224=G224,"Agree","Disagree"))</x:f>
      </x:c>
      <x:c r="I224" s="31"/>
      <x:c r="J224" s="31" t="str">
        <x:v>No</x:v>
      </x:c>
      <x:c r="K224" s="31" t="str"/>
      <x:c r="L224" s="31" t="str"/>
      <x:c r="M224" s="31" t="str"/>
      <x:c r="N224" s="31" t="str"/>
    </x:row>
    <x:row r="225" ht="42" customHeight="1">
      <x:c r="A225" s="35" t="n">
        <x:v>223</x:v>
      </x:c>
      <x:c r="B225" s="31" t="str">
        <x:f>IF('Execution Checklist'!Q225="","",'Execution Checklist'!Q225)</x:f>
      </x:c>
      <x:c r="C225" s="31" t="str">
        <x:v>Place the green pen to the right of the pink marker.</x:v>
      </x:c>
      <x:c r="D225" s="31" t="str">
        <x:v>green pen</x:v>
      </x:c>
      <x:c r="E225" s="31" t="str">
        <x:v>Binary task success using the task-specific rubric.</x:v>
      </x:c>
      <x:c r="F225" s="31"/>
      <x:c r="G225" s="31"/>
      <x:c r="H225" s="31" t="str">
        <x:f>IF(OR(F225="",G225=""),"",IF(F225=G225,"Agree","Disagree"))</x:f>
      </x:c>
      <x:c r="I225" s="31"/>
      <x:c r="J225" s="31" t="str">
        <x:v>No</x:v>
      </x:c>
      <x:c r="K225" s="31" t="str"/>
      <x:c r="L225" s="31" t="str"/>
      <x:c r="M225" s="31" t="str"/>
      <x:c r="N225" s="31" t="str"/>
    </x:row>
    <x:row r="226" ht="42" customHeight="1">
      <x:c r="A226" s="35" t="n">
        <x:v>224</x:v>
      </x:c>
      <x:c r="B226" s="31" t="str">
        <x:f>IF('Execution Checklist'!Q226="","",'Execution Checklist'!Q226)</x:f>
      </x:c>
      <x:c r="C226" s="31" t="str">
        <x:v>Place the green pen behind the red block.</x:v>
      </x:c>
      <x:c r="D226" s="31" t="str">
        <x:v>green pen → behind red block</x:v>
      </x:c>
      <x:c r="E226" s="31" t="str">
        <x:v>Binary success for the counterfactual instruction and paired action-switch analysis versus the parent.</x:v>
      </x:c>
      <x:c r="F226" s="31"/>
      <x:c r="G226" s="31"/>
      <x:c r="H226" s="31" t="str">
        <x:f>IF(OR(F226="",G226=""),"",IF(F226=G226,"Agree","Disagree"))</x:f>
      </x:c>
      <x:c r="I226" s="31"/>
      <x:c r="J226" s="31" t="str">
        <x:v>No</x:v>
      </x:c>
      <x:c r="K226" s="31" t="str"/>
      <x:c r="L226" s="31" t="str"/>
      <x:c r="M226" s="31" t="str"/>
      <x:c r="N226" s="31" t="str"/>
    </x:row>
    <x:row r="227" ht="42" customHeight="1">
      <x:c r="A227" s="35" t="n">
        <x:v>225</x:v>
      </x:c>
      <x:c r="B227" s="31" t="str">
        <x:f>IF('Execution Checklist'!Q227="","",'Execution Checklist'!Q227)</x:f>
      </x:c>
      <x:c r="C227" s="31" t="str">
        <x:v>Place the red block beside the green pen.</x:v>
      </x:c>
      <x:c r="D227" s="31" t="str">
        <x:v>red block near green pen</x:v>
      </x:c>
      <x:c r="E227" s="31" t="str">
        <x:v>Binary task success; paired with the main transfer row.</x:v>
      </x:c>
      <x:c r="F227" s="31"/>
      <x:c r="G227" s="31"/>
      <x:c r="H227" s="31" t="str">
        <x:f>IF(OR(F227="",G227=""),"",IF(F227=G227,"Agree","Disagree"))</x:f>
      </x:c>
      <x:c r="I227" s="31"/>
      <x:c r="J227" s="31" t="str">
        <x:v>No</x:v>
      </x:c>
      <x:c r="K227" s="31" t="str"/>
      <x:c r="L227" s="31" t="str"/>
      <x:c r="M227" s="31" t="str"/>
      <x:c r="N227" s="31" t="str"/>
    </x:row>
    <x:row r="228" ht="42" customHeight="1">
      <x:c r="A228" s="35" t="n">
        <x:v>226</x:v>
      </x:c>
      <x:c r="B228" s="31" t="str">
        <x:f>IF('Execution Checklist'!Q228="","",'Execution Checklist'!Q228)</x:f>
      </x:c>
      <x:c r="C228" s="31" t="str">
        <x:v>Place the red block next to the green pen.</x:v>
      </x:c>
      <x:c r="D228" s="31" t="str">
        <x:v>red block near green pen</x:v>
      </x:c>
      <x:c r="E228" s="31" t="str">
        <x:v>Binary task success; paired with the main transfer row.</x:v>
      </x:c>
      <x:c r="F228" s="31"/>
      <x:c r="G228" s="31"/>
      <x:c r="H228" s="31" t="str">
        <x:f>IF(OR(F228="",G228=""),"",IF(F228=G228,"Agree","Disagree"))</x:f>
      </x:c>
      <x:c r="I228" s="31"/>
      <x:c r="J228" s="31" t="str">
        <x:v>No</x:v>
      </x:c>
      <x:c r="K228" s="31" t="str"/>
      <x:c r="L228" s="31" t="str"/>
      <x:c r="M228" s="31" t="str"/>
      <x:c r="N228" s="31" t="str"/>
    </x:row>
    <x:row r="229" ht="42" customHeight="1">
      <x:c r="A229" s="35" t="n">
        <x:v>227</x:v>
      </x:c>
      <x:c r="B229" s="31" t="str">
        <x:f>IF('Execution Checklist'!Q229="","",'Execution Checklist'!Q229)</x:f>
      </x:c>
      <x:c r="C229" s="31" t="str">
        <x:v>Place the green pen behind the pink marker.</x:v>
      </x:c>
      <x:c r="D229" s="31" t="str">
        <x:v>green pen</x:v>
      </x:c>
      <x:c r="E229" s="31" t="str">
        <x:v>Binary task success using the task-specific rubric.</x:v>
      </x:c>
      <x:c r="F229" s="31"/>
      <x:c r="G229" s="31"/>
      <x:c r="H229" s="31" t="str">
        <x:f>IF(OR(F229="",G229=""),"",IF(F229=G229,"Agree","Disagree"))</x:f>
      </x:c>
      <x:c r="I229" s="31"/>
      <x:c r="J229" s="31" t="str">
        <x:v>No</x:v>
      </x:c>
      <x:c r="K229" s="31" t="str"/>
      <x:c r="L229" s="31" t="str"/>
      <x:c r="M229" s="31" t="str"/>
      <x:c r="N229" s="31" t="str"/>
    </x:row>
    <x:row r="230" ht="42" customHeight="1">
      <x:c r="A230" s="35" t="n">
        <x:v>228</x:v>
      </x:c>
      <x:c r="B230" s="31" t="str">
        <x:f>IF('Execution Checklist'!Q230="","",'Execution Checklist'!Q230)</x:f>
      </x:c>
      <x:c r="C230" s="31" t="str">
        <x:v>Place the green pen behind the red block.</x:v>
      </x:c>
      <x:c r="D230" s="31" t="str">
        <x:v>green pen → behind red block</x:v>
      </x:c>
      <x:c r="E230" s="31" t="str">
        <x:v>Binary task success; paired with the main matched-control row.</x:v>
      </x:c>
      <x:c r="F230" s="31"/>
      <x:c r="G230" s="31"/>
      <x:c r="H230" s="31" t="str">
        <x:f>IF(OR(F230="",G230=""),"",IF(F230=G230,"Agree","Disagree"))</x:f>
      </x:c>
      <x:c r="I230" s="31"/>
      <x:c r="J230" s="31" t="str">
        <x:v>No</x:v>
      </x:c>
      <x:c r="K230" s="31" t="str"/>
      <x:c r="L230" s="31" t="str"/>
      <x:c r="M230" s="31" t="str"/>
      <x:c r="N230" s="31" t="str"/>
    </x:row>
    <x:row r="231" ht="42" customHeight="1">
      <x:c r="A231" s="35" t="n">
        <x:v>229</x:v>
      </x:c>
      <x:c r="B231" s="31" t="str">
        <x:f>IF('Execution Checklist'!Q231="","",'Execution Checklist'!Q231)</x:f>
      </x:c>
      <x:c r="C231" s="31" t="str">
        <x:v>Place the green pen to the right of the red block.</x:v>
      </x:c>
      <x:c r="D231" s="31" t="str">
        <x:v>green pen → to the right of red block</x:v>
      </x:c>
      <x:c r="E231" s="31" t="str">
        <x:v>Binary task success; paired with the main matched-control row.</x:v>
      </x:c>
      <x:c r="F231" s="31"/>
      <x:c r="G231" s="31"/>
      <x:c r="H231" s="31" t="str">
        <x:f>IF(OR(F231="",G231=""),"",IF(F231=G231,"Agree","Disagree"))</x:f>
      </x:c>
      <x:c r="I231" s="31"/>
      <x:c r="J231" s="31" t="str">
        <x:v>No</x:v>
      </x:c>
      <x:c r="K231" s="31" t="str"/>
      <x:c r="L231" s="31" t="str"/>
      <x:c r="M231" s="31" t="str"/>
      <x:c r="N231" s="31" t="str"/>
    </x:row>
    <x:row r="232" ht="42" customHeight="1">
      <x:c r="A232" s="35" t="n">
        <x:v>230</x:v>
      </x:c>
      <x:c r="B232" s="31" t="str">
        <x:f>IF('Execution Checklist'!Q232="","",'Execution Checklist'!Q232)</x:f>
      </x:c>
      <x:c r="C232" s="31" t="str">
        <x:v>Place the green pen in front of the red block.</x:v>
      </x:c>
      <x:c r="D232" s="31" t="str">
        <x:v>green pen → in front of red block</x:v>
      </x:c>
      <x:c r="E232" s="31" t="str">
        <x:v>Binary success for the counterfactual instruction and paired action-switch analysis versus the parent.</x:v>
      </x:c>
      <x:c r="F232" s="31"/>
      <x:c r="G232" s="31"/>
      <x:c r="H232" s="31" t="str">
        <x:f>IF(OR(F232="",G232=""),"",IF(F232=G232,"Agree","Disagree"))</x:f>
      </x:c>
      <x:c r="I232" s="31"/>
      <x:c r="J232" s="31" t="str">
        <x:v>No</x:v>
      </x:c>
      <x:c r="K232" s="31" t="str"/>
      <x:c r="L232" s="31" t="str"/>
      <x:c r="M232" s="31" t="str"/>
      <x:c r="N232" s="31" t="str"/>
    </x:row>
    <x:row r="233" ht="42" customHeight="1">
      <x:c r="A233" s="35" t="n">
        <x:v>231</x:v>
      </x:c>
      <x:c r="B233" s="31" t="str">
        <x:f>IF('Execution Checklist'!Q233="","",'Execution Checklist'!Q233)</x:f>
      </x:c>
      <x:c r="C233" s="31" t="str">
        <x:v>Place the green pen next to the red block.</x:v>
      </x:c>
      <x:c r="D233" s="31" t="str">
        <x:v>green pen near red block</x:v>
      </x:c>
      <x:c r="E233" s="31" t="str">
        <x:v>Binary task success; paired with the main transfer row.</x:v>
      </x:c>
      <x:c r="F233" s="31"/>
      <x:c r="G233" s="31"/>
      <x:c r="H233" s="31" t="str">
        <x:f>IF(OR(F233="",G233=""),"",IF(F233=G233,"Agree","Disagree"))</x:f>
      </x:c>
      <x:c r="I233" s="31"/>
      <x:c r="J233" s="31" t="str">
        <x:v>No</x:v>
      </x:c>
      <x:c r="K233" s="31" t="str"/>
      <x:c r="L233" s="31" t="str"/>
      <x:c r="M233" s="31" t="str"/>
      <x:c r="N233" s="31" t="str"/>
    </x:row>
    <x:row r="234" ht="42" customHeight="1">
      <x:c r="A234" s="35" t="n">
        <x:v>232</x:v>
      </x:c>
      <x:c r="B234" s="31" t="str">
        <x:f>IF('Execution Checklist'!Q234="","",'Execution Checklist'!Q234)</x:f>
      </x:c>
      <x:c r="C234" s="31" t="str">
        <x:v>Place the red block to the left of the green pen.</x:v>
      </x:c>
      <x:c r="D234" s="31" t="str">
        <x:v>red block → to the left of green pen</x:v>
      </x:c>
      <x:c r="E234" s="31" t="str">
        <x:v>Binary task success; paired with the main matched-control row.</x:v>
      </x:c>
      <x:c r="F234" s="31"/>
      <x:c r="G234" s="31"/>
      <x:c r="H234" s="31" t="str">
        <x:f>IF(OR(F234="",G234=""),"",IF(F234=G234,"Agree","Disagree"))</x:f>
      </x:c>
      <x:c r="I234" s="31"/>
      <x:c r="J234" s="31" t="str">
        <x:v>No</x:v>
      </x:c>
      <x:c r="K234" s="31" t="str"/>
      <x:c r="L234" s="31" t="str"/>
      <x:c r="M234" s="31" t="str"/>
      <x:c r="N234" s="31" t="str"/>
    </x:row>
    <x:row r="235" ht="42" customHeight="1">
      <x:c r="A235" s="35" t="n">
        <x:v>233</x:v>
      </x:c>
      <x:c r="B235" s="31" t="str">
        <x:f>IF('Execution Checklist'!Q235="","",'Execution Checklist'!Q235)</x:f>
      </x:c>
      <x:c r="C235" s="31" t="str">
        <x:v>Move the red block to the side of the pink marker facing the robot.</x:v>
      </x:c>
      <x:c r="D235" s="31" t="str">
        <x:v>red block</x:v>
      </x:c>
      <x:c r="E235" s="31" t="str">
        <x:v>Binary task success; compare with the seen-language row sharing Pair ID.</x:v>
      </x:c>
      <x:c r="F235" s="31"/>
      <x:c r="G235" s="31"/>
      <x:c r="H235" s="31" t="str">
        <x:f>IF(OR(F235="",G235=""),"",IF(F235=G235,"Agree","Disagree"))</x:f>
      </x:c>
      <x:c r="I235" s="31"/>
      <x:c r="J235" s="31" t="str">
        <x:v>No</x:v>
      </x:c>
      <x:c r="K235" s="31" t="str"/>
      <x:c r="L235" s="31" t="str"/>
      <x:c r="M235" s="31" t="str"/>
      <x:c r="N235" s="31" t="str"/>
    </x:row>
    <x:row r="236" ht="42" customHeight="1">
      <x:c r="A236" s="35" t="n">
        <x:v>234</x:v>
      </x:c>
      <x:c r="B236" s="31" t="str">
        <x:f>IF('Execution Checklist'!Q236="","",'Execution Checklist'!Q236)</x:f>
      </x:c>
      <x:c r="C236" s="31" t="str">
        <x:v>Place the green pen near the red block.</x:v>
      </x:c>
      <x:c r="D236" s="31" t="str">
        <x:v>green pen near red block</x:v>
      </x:c>
      <x:c r="E236" s="31" t="str">
        <x:v>Binary task success; paired with the main transfer row.</x:v>
      </x:c>
      <x:c r="F236" s="31"/>
      <x:c r="G236" s="31"/>
      <x:c r="H236" s="31" t="str">
        <x:f>IF(OR(F236="",G236=""),"",IF(F236=G236,"Agree","Disagree"))</x:f>
      </x:c>
      <x:c r="I236" s="31"/>
      <x:c r="J236" s="31" t="str">
        <x:v>No</x:v>
      </x:c>
      <x:c r="K236" s="31" t="str"/>
      <x:c r="L236" s="31" t="str"/>
      <x:c r="M236" s="31" t="str"/>
      <x:c r="N236" s="31" t="str"/>
    </x:row>
    <x:row r="237" ht="42" customHeight="1">
      <x:c r="A237" s="35" t="n">
        <x:v>235</x:v>
      </x:c>
      <x:c r="B237" s="31" t="str">
        <x:f>IF('Execution Checklist'!Q237="","",'Execution Checklist'!Q237)</x:f>
      </x:c>
      <x:c r="C237" s="31" t="str">
        <x:v>Place the green pen to the left of the pink marker.</x:v>
      </x:c>
      <x:c r="D237" s="31" t="str">
        <x:v>green pen</x:v>
      </x:c>
      <x:c r="E237" s="31" t="str">
        <x:v>Binary task success using the task-specific rubric.</x:v>
      </x:c>
      <x:c r="F237" s="31"/>
      <x:c r="G237" s="31"/>
      <x:c r="H237" s="31" t="str">
        <x:f>IF(OR(F237="",G237=""),"",IF(F237=G237,"Agree","Disagree"))</x:f>
      </x:c>
      <x:c r="I237" s="31"/>
      <x:c r="J237" s="31" t="str">
        <x:v>No</x:v>
      </x:c>
      <x:c r="K237" s="31" t="str"/>
      <x:c r="L237" s="31" t="str"/>
      <x:c r="M237" s="31" t="str"/>
      <x:c r="N237" s="31" t="str"/>
    </x:row>
    <x:row r="238" ht="42" customHeight="1">
      <x:c r="A238" s="35" t="n">
        <x:v>236</x:v>
      </x:c>
      <x:c r="B238" s="31" t="str">
        <x:f>IF('Execution Checklist'!Q238="","",'Execution Checklist'!Q238)</x:f>
      </x:c>
      <x:c r="C238" s="31" t="str">
        <x:v>Move the red block to the side of the pink marker facing the robot.</x:v>
      </x:c>
      <x:c r="D238" s="31" t="str">
        <x:v>red block</x:v>
      </x:c>
      <x:c r="E238" s="31" t="str">
        <x:v>Binary task success; compare with the seen-language row sharing Pair ID.</x:v>
      </x:c>
      <x:c r="F238" s="31"/>
      <x:c r="G238" s="31"/>
      <x:c r="H238" s="31" t="str">
        <x:f>IF(OR(F238="",G238=""),"",IF(F238=G238,"Agree","Disagree"))</x:f>
      </x:c>
      <x:c r="I238" s="31"/>
      <x:c r="J238" s="31" t="str">
        <x:v>No</x:v>
      </x:c>
      <x:c r="K238" s="31" t="str"/>
      <x:c r="L238" s="31" t="str"/>
      <x:c r="M238" s="31" t="str"/>
      <x:c r="N238" s="31" t="str"/>
    </x:row>
    <x:row r="239" ht="42" customHeight="1">
      <x:c r="A239" s="35" t="n">
        <x:v>237</x:v>
      </x:c>
      <x:c r="B239" s="31" t="str">
        <x:f>IF('Execution Checklist'!Q239="","",'Execution Checklist'!Q239)</x:f>
      </x:c>
      <x:c r="C239" s="31" t="str">
        <x:v>Place the red block to the right of the green pen.</x:v>
      </x:c>
      <x:c r="D239" s="31" t="str">
        <x:v>red block → to the right of green pen</x:v>
      </x:c>
      <x:c r="E239" s="31" t="str">
        <x:v>Binary task success; paired with the main matched-control row.</x:v>
      </x:c>
      <x:c r="F239" s="31"/>
      <x:c r="G239" s="31"/>
      <x:c r="H239" s="31" t="str">
        <x:f>IF(OR(F239="",G239=""),"",IF(F239=G239,"Agree","Disagree"))</x:f>
      </x:c>
      <x:c r="I239" s="31"/>
      <x:c r="J239" s="31" t="str">
        <x:v>No</x:v>
      </x:c>
      <x:c r="K239" s="31" t="str"/>
      <x:c r="L239" s="31" t="str"/>
      <x:c r="M239" s="31" t="str"/>
      <x:c r="N239" s="31" t="str"/>
    </x:row>
    <x:row r="240" ht="42" customHeight="1">
      <x:c r="A240" s="35" t="n">
        <x:v>238</x:v>
      </x:c>
      <x:c r="B240" s="31" t="str">
        <x:f>IF('Execution Checklist'!Q240="","",'Execution Checklist'!Q240)</x:f>
      </x:c>
      <x:c r="C240" s="31" t="str">
        <x:v>Place the pink marker to the right of the blue block.</x:v>
      </x:c>
      <x:c r="D240" s="31" t="str">
        <x:v>pink marker</x:v>
      </x:c>
      <x:c r="E240" s="31" t="str">
        <x:v>Binary task success using the task-specific rubric.</x:v>
      </x:c>
      <x:c r="F240" s="31"/>
      <x:c r="G240" s="31"/>
      <x:c r="H240" s="31" t="str">
        <x:f>IF(OR(F240="",G240=""),"",IF(F240=G240,"Agree","Disagree"))</x:f>
      </x:c>
      <x:c r="I240" s="31"/>
      <x:c r="J240" s="31" t="str">
        <x:v>No</x:v>
      </x:c>
      <x:c r="K240" s="31" t="str"/>
      <x:c r="L240" s="31" t="str"/>
      <x:c r="M240" s="31" t="str"/>
      <x:c r="N240" s="31" t="str"/>
    </x:row>
    <x:row r="241" ht="42" customHeight="1">
      <x:c r="A241" s="35" t="n">
        <x:v>239</x:v>
      </x:c>
      <x:c r="B241" s="31" t="str">
        <x:f>IF('Execution Checklist'!Q241="","",'Execution Checklist'!Q241)</x:f>
      </x:c>
      <x:c r="C241" s="31" t="str">
        <x:v>Move the red block to the side of the pink marker facing the robot.</x:v>
      </x:c>
      <x:c r="D241" s="31" t="str">
        <x:v>red block</x:v>
      </x:c>
      <x:c r="E241" s="31" t="str">
        <x:v>Binary task success; compare with the seen-language row sharing Pair ID.</x:v>
      </x:c>
      <x:c r="F241" s="31"/>
      <x:c r="G241" s="31"/>
      <x:c r="H241" s="31" t="str">
        <x:f>IF(OR(F241="",G241=""),"",IF(F241=G241,"Agree","Disagree"))</x:f>
      </x:c>
      <x:c r="I241" s="31"/>
      <x:c r="J241" s="31" t="str">
        <x:v>No</x:v>
      </x:c>
      <x:c r="K241" s="31" t="str"/>
      <x:c r="L241" s="31" t="str"/>
      <x:c r="M241" s="31" t="str"/>
      <x:c r="N241" s="31" t="str"/>
    </x:row>
    <x:row r="242" ht="42" customHeight="1">
      <x:c r="A242" s="35" t="n">
        <x:v>240</x:v>
      </x:c>
      <x:c r="B242" s="31" t="str">
        <x:f>IF('Execution Checklist'!Q242="","",'Execution Checklist'!Q242)</x:f>
      </x:c>
      <x:c r="C242" s="31" t="str">
        <x:v>Place the green pen next to the red block.</x:v>
      </x:c>
      <x:c r="D242" s="31" t="str">
        <x:v>green pen near red block</x:v>
      </x:c>
      <x:c r="E242" s="31" t="str">
        <x:v>Binary task success; paired with the main transfer row.</x:v>
      </x:c>
      <x:c r="F242" s="31"/>
      <x:c r="G242" s="31"/>
      <x:c r="H242" s="31" t="str">
        <x:f>IF(OR(F242="",G242=""),"",IF(F242=G242,"Agree","Disagree"))</x:f>
      </x:c>
      <x:c r="I242" s="31"/>
      <x:c r="J242" s="31" t="str">
        <x:v>No</x:v>
      </x:c>
      <x:c r="K242" s="31" t="str"/>
      <x:c r="L242" s="31" t="str"/>
      <x:c r="M242" s="31" t="str"/>
      <x:c r="N242" s="31" t="str"/>
    </x:row>
    <x:row r="243" ht="42" customHeight="1">
      <x:c r="A243" s="35" t="n">
        <x:v>241</x:v>
      </x:c>
      <x:c r="B243" s="31" t="str">
        <x:f>IF('Execution Checklist'!Q243="","",'Execution Checklist'!Q243)</x:f>
      </x:c>
      <x:c r="C243" s="31" t="str">
        <x:v>Place the green pen to the left of the red block.</x:v>
      </x:c>
      <x:c r="D243" s="31" t="str">
        <x:v>No prespecified task success under blank language; record any action/selected target.</x:v>
      </x:c>
      <x:c r="E243" s="31" t="str">
        <x:v>Do not score ordinary task success. Record action occurrence and agreement with the parent correct-prompt rollout.</x:v>
      </x:c>
      <x:c r="F243" s="31"/>
      <x:c r="G243" s="31"/>
      <x:c r="H243" s="31" t="str">
        <x:f>IF(OR(F243="",G243=""),"",IF(F243=G243,"Agree","Disagree"))</x:f>
      </x:c>
      <x:c r="I243" s="31"/>
      <x:c r="J243" s="31" t="str">
        <x:v>No</x:v>
      </x:c>
      <x:c r="K243" s="31" t="str"/>
      <x:c r="L243" s="31" t="str"/>
      <x:c r="M243" s="31" t="str"/>
      <x:c r="N243" s="31" t="str"/>
    </x:row>
    <x:row r="244" ht="42" customHeight="1">
      <x:c r="A244" s="35" t="n">
        <x:v>242</x:v>
      </x:c>
      <x:c r="B244" s="31" t="str">
        <x:f>IF('Execution Checklist'!Q244="","",'Execution Checklist'!Q244)</x:f>
      </x:c>
      <x:c r="C244" s="31" t="str">
        <x:v>Place the green pen behind the red block.</x:v>
      </x:c>
      <x:c r="D244" s="31" t="str">
        <x:v>No prespecified task success under blank language; record any action/selected target.</x:v>
      </x:c>
      <x:c r="E244" s="31" t="str">
        <x:v>Do not score ordinary task success. Record action occurrence and agreement with the parent correct-prompt rollout.</x:v>
      </x:c>
      <x:c r="F244" s="31"/>
      <x:c r="G244" s="31"/>
      <x:c r="H244" s="31" t="str">
        <x:f>IF(OR(F244="",G244=""),"",IF(F244=G244,"Agree","Disagree"))</x:f>
      </x:c>
      <x:c r="I244" s="31"/>
      <x:c r="J244" s="31" t="str">
        <x:v>No</x:v>
      </x:c>
      <x:c r="K244" s="31" t="str"/>
      <x:c r="L244" s="31" t="str"/>
      <x:c r="M244" s="31" t="str"/>
      <x:c r="N244" s="31" t="str"/>
    </x:row>
    <x:row r="245" ht="42" customHeight="1">
      <x:c r="A245" s="35" t="n">
        <x:v>243</x:v>
      </x:c>
      <x:c r="B245" s="31" t="str">
        <x:f>IF('Execution Checklist'!Q245="","",'Execution Checklist'!Q245)</x:f>
      </x:c>
      <x:c r="C245" s="31" t="str">
        <x:v>Place the green pen beside the red block.</x:v>
      </x:c>
      <x:c r="D245" s="31" t="str">
        <x:v>green pen near red block</x:v>
      </x:c>
      <x:c r="E245" s="31" t="str">
        <x:v>Binary task success; paired with the main transfer row.</x:v>
      </x:c>
      <x:c r="F245" s="31"/>
      <x:c r="G245" s="31"/>
      <x:c r="H245" s="31" t="str">
        <x:f>IF(OR(F245="",G245=""),"",IF(F245=G245,"Agree","Disagree"))</x:f>
      </x:c>
      <x:c r="I245" s="31"/>
      <x:c r="J245" s="31" t="str">
        <x:v>No</x:v>
      </x:c>
      <x:c r="K245" s="31" t="str"/>
      <x:c r="L245" s="31" t="str"/>
      <x:c r="M245" s="31" t="str"/>
      <x:c r="N245" s="31" t="str"/>
    </x:row>
    <x:row r="246" ht="42" customHeight="1">
      <x:c r="A246" s="35" t="n">
        <x:v>244</x:v>
      </x:c>
      <x:c r="B246" s="31" t="str">
        <x:f>IF('Execution Checklist'!Q246="","",'Execution Checklist'!Q246)</x:f>
      </x:c>
      <x:c r="C246" s="31" t="str">
        <x:v>Place the green pen behind the pink marker.</x:v>
      </x:c>
      <x:c r="D246" s="31" t="str">
        <x:v>green pen</x:v>
      </x:c>
      <x:c r="E246" s="31" t="str">
        <x:v>Binary task success using the task-specific rubric.</x:v>
      </x:c>
      <x:c r="F246" s="31"/>
      <x:c r="G246" s="31"/>
      <x:c r="H246" s="31" t="str">
        <x:f>IF(OR(F246="",G246=""),"",IF(F246=G246,"Agree","Disagree"))</x:f>
      </x:c>
      <x:c r="I246" s="31"/>
      <x:c r="J246" s="31" t="str">
        <x:v>No</x:v>
      </x:c>
      <x:c r="K246" s="31" t="str"/>
      <x:c r="L246" s="31" t="str"/>
      <x:c r="M246" s="31" t="str"/>
      <x:c r="N246" s="31" t="str"/>
    </x:row>
    <x:row r="247" ht="42" customHeight="1">
      <x:c r="A247" s="35" t="n">
        <x:v>245</x:v>
      </x:c>
      <x:c r="B247" s="31" t="str">
        <x:f>IF('Execution Checklist'!Q247="","",'Execution Checklist'!Q247)</x:f>
      </x:c>
      <x:c r="C247" s="31" t="str">
        <x:v>Place the green pen to the left of the red block.</x:v>
      </x:c>
      <x:c r="D247" s="31" t="str">
        <x:v>green pen → to the left of red block</x:v>
      </x:c>
      <x:c r="E247" s="31" t="str">
        <x:v>Binary task success; paired with the main matched-control row.</x:v>
      </x:c>
      <x:c r="F247" s="31"/>
      <x:c r="G247" s="31"/>
      <x:c r="H247" s="31" t="str">
        <x:f>IF(OR(F247="",G247=""),"",IF(F247=G247,"Agree","Disagree"))</x:f>
      </x:c>
      <x:c r="I247" s="31"/>
      <x:c r="J247" s="31" t="str">
        <x:v>No</x:v>
      </x:c>
      <x:c r="K247" s="31" t="str"/>
      <x:c r="L247" s="31" t="str"/>
      <x:c r="M247" s="31" t="str"/>
      <x:c r="N247" s="31" t="str"/>
    </x:row>
    <x:row r="248" ht="42" customHeight="1">
      <x:c r="A248" s="35" t="n">
        <x:v>246</x:v>
      </x:c>
      <x:c r="B248" s="31" t="str">
        <x:f>IF('Execution Checklist'!Q248="","",'Execution Checklist'!Q248)</x:f>
      </x:c>
      <x:c r="C248" s="31" t="str">
        <x:v>Place the red block next to the green pen.</x:v>
      </x:c>
      <x:c r="D248" s="31" t="str">
        <x:v>red block near green pen</x:v>
      </x:c>
      <x:c r="E248" s="31" t="str">
        <x:v>Binary task success; paired with the main transfer row.</x:v>
      </x:c>
      <x:c r="F248" s="31"/>
      <x:c r="G248" s="31"/>
      <x:c r="H248" s="31" t="str">
        <x:f>IF(OR(F248="",G248=""),"",IF(F248=G248,"Agree","Disagree"))</x:f>
      </x:c>
      <x:c r="I248" s="31"/>
      <x:c r="J248" s="31" t="str">
        <x:v>No</x:v>
      </x:c>
      <x:c r="K248" s="31" t="str"/>
      <x:c r="L248" s="31" t="str"/>
      <x:c r="M248" s="31" t="str"/>
      <x:c r="N248" s="31" t="str"/>
    </x:row>
    <x:row r="249" ht="42" customHeight="1">
      <x:c r="A249" s="35" t="n">
        <x:v>247</x:v>
      </x:c>
      <x:c r="B249" s="31" t="str">
        <x:f>IF('Execution Checklist'!Q249="","",'Execution Checklist'!Q249)</x:f>
      </x:c>
      <x:c r="C249" s="31" t="str">
        <x:v>Place the red block behind the green pen.</x:v>
      </x:c>
      <x:c r="D249" s="31" t="str">
        <x:v>red block → behind green pen</x:v>
      </x:c>
      <x:c r="E249" s="31" t="str">
        <x:v>Binary task success; paired with the main matched-control row.</x:v>
      </x:c>
      <x:c r="F249" s="31"/>
      <x:c r="G249" s="31"/>
      <x:c r="H249" s="31" t="str">
        <x:f>IF(OR(F249="",G249=""),"",IF(F249=G249,"Agree","Disagree"))</x:f>
      </x:c>
      <x:c r="I249" s="31"/>
      <x:c r="J249" s="31" t="str">
        <x:v>No</x:v>
      </x:c>
      <x:c r="K249" s="31" t="str"/>
      <x:c r="L249" s="31" t="str"/>
      <x:c r="M249" s="31" t="str"/>
      <x:c r="N249" s="31" t="str"/>
    </x:row>
    <x:row r="250" ht="42" customHeight="1">
      <x:c r="A250" s="35" t="n">
        <x:v>248</x:v>
      </x:c>
      <x:c r="B250" s="31" t="str">
        <x:f>IF('Execution Checklist'!Q250="","",'Execution Checklist'!Q250)</x:f>
      </x:c>
      <x:c r="C250" s="31" t="str">
        <x:v>Make the bowl contain exactly zero objects.</x:v>
      </x:c>
      <x:c r="D250" s="31" t="str"/>
      <x:c r="E250" s="31" t="str">
        <x:v>Binary task success using the task-specific rubric.</x:v>
      </x:c>
      <x:c r="F250" s="31"/>
      <x:c r="G250" s="31"/>
      <x:c r="H250" s="31" t="str">
        <x:f>IF(OR(F250="",G250=""),"",IF(F250=G250,"Agree","Disagree"))</x:f>
      </x:c>
      <x:c r="I250" s="31"/>
      <x:c r="J250" s="31" t="str">
        <x:v>No</x:v>
      </x:c>
      <x:c r="K250" s="31" t="str"/>
      <x:c r="L250" s="31" t="str"/>
      <x:c r="M250" s="31" t="str"/>
      <x:c r="N250" s="31" t="str"/>
    </x:row>
    <x:row r="251" ht="42" customHeight="1">
      <x:c r="A251" s="35" t="n">
        <x:v>249</x:v>
      </x:c>
      <x:c r="B251" s="31" t="str">
        <x:f>IF('Execution Checklist'!Q251="","",'Execution Checklist'!Q251)</x:f>
      </x:c>
      <x:c r="C251" s="31" t="str">
        <x:v>Leave exactly one object in the bowl.</x:v>
      </x:c>
      <x:c r="D251" s="31" t="str">
        <x:v>REMOVE one bowl object</x:v>
      </x:c>
      <x:c r="E251" s="31" t="str">
        <x:v>Binary task success; paired with the main matched-control row.</x:v>
      </x:c>
      <x:c r="F251" s="31"/>
      <x:c r="G251" s="31"/>
      <x:c r="H251" s="31" t="str">
        <x:f>IF(OR(F251="",G251=""),"",IF(F251=G251,"Agree","Disagree"))</x:f>
      </x:c>
      <x:c r="I251" s="31"/>
      <x:c r="J251" s="31" t="str">
        <x:v>No</x:v>
      </x:c>
      <x:c r="K251" s="31" t="str"/>
      <x:c r="L251" s="31" t="str"/>
      <x:c r="M251" s="31" t="str"/>
      <x:c r="N251" s="31" t="str"/>
    </x:row>
    <x:row r="252" ht="42" customHeight="1">
      <x:c r="A252" s="35" t="n">
        <x:v>250</x:v>
      </x:c>
      <x:c r="B252" s="31" t="str">
        <x:f>IF('Execution Checklist'!Q252="","",'Execution Checklist'!Q252)</x:f>
      </x:c>
      <x:c r="C252" s="31" t="str">
        <x:v>Leave exactly three objects in the bowl.</x:v>
      </x:c>
      <x:c r="D252" s="31" t="str">
        <x:v>ADD one table object</x:v>
      </x:c>
      <x:c r="E252" s="31" t="str">
        <x:v>Binary task success; paired with the main matched-control row.</x:v>
      </x:c>
      <x:c r="F252" s="31"/>
      <x:c r="G252" s="31"/>
      <x:c r="H252" s="31" t="str">
        <x:f>IF(OR(F252="",G252=""),"",IF(F252=G252,"Agree","Disagree"))</x:f>
      </x:c>
      <x:c r="I252" s="31"/>
      <x:c r="J252" s="31" t="str">
        <x:v>No</x:v>
      </x:c>
      <x:c r="K252" s="31" t="str"/>
      <x:c r="L252" s="31" t="str"/>
      <x:c r="M252" s="31" t="str"/>
      <x:c r="N252" s="31" t="str"/>
    </x:row>
    <x:row r="253" ht="42" customHeight="1">
      <x:c r="A253" s="35" t="n">
        <x:v>251</x:v>
      </x:c>
      <x:c r="B253" s="31" t="str">
        <x:f>IF('Execution Checklist'!Q253="","",'Execution Checklist'!Q253)</x:f>
      </x:c>
      <x:c r="C253" s="31" t="str">
        <x:v>Leave exactly one object in the bowl.</x:v>
      </x:c>
      <x:c r="D253" s="31" t="str">
        <x:v>REMOVE one bowl object</x:v>
      </x:c>
      <x:c r="E253" s="31" t="str">
        <x:v>Binary success for the counterfactual instruction and paired action-switch analysis versus the parent.</x:v>
      </x:c>
      <x:c r="F253" s="31"/>
      <x:c r="G253" s="31"/>
      <x:c r="H253" s="31" t="str">
        <x:f>IF(OR(F253="",G253=""),"",IF(F253=G253,"Agree","Disagree"))</x:f>
      </x:c>
      <x:c r="I253" s="31"/>
      <x:c r="J253" s="31" t="str">
        <x:v>No</x:v>
      </x:c>
      <x:c r="K253" s="31" t="str"/>
      <x:c r="L253" s="31" t="str"/>
      <x:c r="M253" s="31" t="str"/>
      <x:c r="N253" s="31" t="str"/>
    </x:row>
    <x:row r="254" ht="42" customHeight="1">
      <x:c r="A254" s="35" t="n">
        <x:v>252</x:v>
      </x:c>
      <x:c r="B254" s="31" t="str">
        <x:f>IF('Execution Checklist'!Q254="","",'Execution Checklist'!Q254)</x:f>
      </x:c>
      <x:c r="C254" s="31" t="str">
        <x:v>Leave exactly one object in the bowl.</x:v>
      </x:c>
      <x:c r="D254" s="31" t="str">
        <x:v>No prespecified task success under blank language; record any action/selected target.</x:v>
      </x:c>
      <x:c r="E254" s="31" t="str">
        <x:v>Do not score ordinary task success. Record action occurrence and agreement with the parent correct-prompt rollout.</x:v>
      </x:c>
      <x:c r="F254" s="31"/>
      <x:c r="G254" s="31"/>
      <x:c r="H254" s="31" t="str">
        <x:f>IF(OR(F254="",G254=""),"",IF(F254=G254,"Agree","Disagree"))</x:f>
      </x:c>
      <x:c r="I254" s="31"/>
      <x:c r="J254" s="31" t="str">
        <x:v>No</x:v>
      </x:c>
      <x:c r="K254" s="31" t="str"/>
      <x:c r="L254" s="31" t="str"/>
      <x:c r="M254" s="31" t="str"/>
      <x:c r="N254" s="31" t="str"/>
    </x:row>
    <x:row r="255" ht="42" customHeight="1">
      <x:c r="A255" s="35" t="n">
        <x:v>253</x:v>
      </x:c>
      <x:c r="B255" s="31" t="str">
        <x:f>IF('Execution Checklist'!Q255="","",'Execution Checklist'!Q255)</x:f>
      </x:c>
      <x:c r="C255" s="31" t="str">
        <x:v>Leave exactly one object in the bowl.</x:v>
      </x:c>
      <x:c r="D255" s="31" t="str">
        <x:v>REMOVE one bowl object</x:v>
      </x:c>
      <x:c r="E255" s="31" t="str">
        <x:v>Binary task success; paired with the main matched-control row.</x:v>
      </x:c>
      <x:c r="F255" s="31"/>
      <x:c r="G255" s="31"/>
      <x:c r="H255" s="31" t="str">
        <x:f>IF(OR(F255="",G255=""),"",IF(F255=G255,"Agree","Disagree"))</x:f>
      </x:c>
      <x:c r="I255" s="31"/>
      <x:c r="J255" s="31" t="str">
        <x:v>No</x:v>
      </x:c>
      <x:c r="K255" s="31" t="str"/>
      <x:c r="L255" s="31" t="str"/>
      <x:c r="M255" s="31" t="str"/>
      <x:c r="N255" s="31" t="str"/>
    </x:row>
    <x:row r="256" ht="42" customHeight="1">
      <x:c r="A256" s="35" t="n">
        <x:v>254</x:v>
      </x:c>
      <x:c r="B256" s="31" t="str">
        <x:f>IF('Execution Checklist'!Q256="","",'Execution Checklist'!Q256)</x:f>
      </x:c>
      <x:c r="C256" s="31" t="str">
        <x:v>Finish with two objects in the bowl.</x:v>
      </x:c>
      <x:c r="D256" s="31" t="str"/>
      <x:c r="E256" s="31" t="str">
        <x:v>Binary task success; compare with the seen-language row sharing Pair ID.</x:v>
      </x:c>
      <x:c r="F256" s="31"/>
      <x:c r="G256" s="31"/>
      <x:c r="H256" s="31" t="str">
        <x:f>IF(OR(F256="",G256=""),"",IF(F256=G256,"Agree","Disagree"))</x:f>
      </x:c>
      <x:c r="I256" s="31"/>
      <x:c r="J256" s="31" t="str">
        <x:v>No</x:v>
      </x:c>
      <x:c r="K256" s="31" t="str"/>
      <x:c r="L256" s="31" t="str"/>
      <x:c r="M256" s="31" t="str"/>
      <x:c r="N256" s="31" t="str"/>
    </x:row>
    <x:row r="257" ht="42" customHeight="1">
      <x:c r="A257" s="35" t="n">
        <x:v>255</x:v>
      </x:c>
      <x:c r="B257" s="31" t="str">
        <x:f>IF('Execution Checklist'!Q257="","",'Execution Checklist'!Q257)</x:f>
      </x:c>
      <x:c r="C257" s="31" t="str">
        <x:v>Remove the yellow block from the bowl.</x:v>
      </x:c>
      <x:c r="D257" s="31" t="str">
        <x:v>yellow block</x:v>
      </x:c>
      <x:c r="E257" s="31" t="str">
        <x:v>Binary task success using the task-specific rubric.</x:v>
      </x:c>
      <x:c r="F257" s="31"/>
      <x:c r="G257" s="31"/>
      <x:c r="H257" s="31" t="str">
        <x:f>IF(OR(F257="",G257=""),"",IF(F257=G257,"Agree","Disagree"))</x:f>
      </x:c>
      <x:c r="I257" s="31"/>
      <x:c r="J257" s="31" t="str">
        <x:v>No</x:v>
      </x:c>
      <x:c r="K257" s="31" t="str"/>
      <x:c r="L257" s="31" t="str"/>
      <x:c r="M257" s="31" t="str"/>
      <x:c r="N257" s="31" t="str"/>
    </x:row>
    <x:row r="258" ht="42" customHeight="1">
      <x:c r="A258" s="35" t="n">
        <x:v>256</x:v>
      </x:c>
      <x:c r="B258" s="31" t="str">
        <x:f>IF('Execution Checklist'!Q258="","",'Execution Checklist'!Q258)</x:f>
      </x:c>
      <x:c r="C258" s="31" t="str">
        <x:v>Move the blue pen into the bowl.</x:v>
      </x:c>
      <x:c r="D258" s="31" t="str">
        <x:v>blue pen</x:v>
      </x:c>
      <x:c r="E258" s="31" t="str">
        <x:v>Binary task success using the task-specific rubric.</x:v>
      </x:c>
      <x:c r="F258" s="31"/>
      <x:c r="G258" s="31"/>
      <x:c r="H258" s="31" t="str">
        <x:f>IF(OR(F258="",G258=""),"",IF(F258=G258,"Agree","Disagree"))</x:f>
      </x:c>
      <x:c r="I258" s="31"/>
      <x:c r="J258" s="31" t="str">
        <x:v>No</x:v>
      </x:c>
      <x:c r="K258" s="31" t="str"/>
      <x:c r="L258" s="31" t="str"/>
      <x:c r="M258" s="31" t="str"/>
      <x:c r="N258" s="31" t="str"/>
    </x:row>
    <x:row r="259" ht="42" customHeight="1">
      <x:c r="A259" s="35" t="n">
        <x:v>257</x:v>
      </x:c>
      <x:c r="B259" s="31" t="str">
        <x:f>IF('Execution Checklist'!Q259="","",'Execution Checklist'!Q259)</x:f>
      </x:c>
      <x:c r="C259" s="31" t="str">
        <x:v>Adjust the bowl so that it contains zero objects.</x:v>
      </x:c>
      <x:c r="D259" s="31" t="str"/>
      <x:c r="E259" s="31" t="str">
        <x:v>Binary task success using the task-specific rubric.</x:v>
      </x:c>
      <x:c r="F259" s="31"/>
      <x:c r="G259" s="31"/>
      <x:c r="H259" s="31" t="str">
        <x:f>IF(OR(F259="",G259=""),"",IF(F259=G259,"Agree","Disagree"))</x:f>
      </x:c>
      <x:c r="I259" s="31"/>
      <x:c r="J259" s="31" t="str">
        <x:v>No</x:v>
      </x:c>
      <x:c r="K259" s="31" t="str"/>
      <x:c r="L259" s="31" t="str"/>
      <x:c r="M259" s="31" t="str"/>
      <x:c r="N259" s="31" t="str"/>
    </x:row>
    <x:row r="260" ht="42" customHeight="1">
      <x:c r="A260" s="35" t="n">
        <x:v>258</x:v>
      </x:c>
      <x:c r="B260" s="31" t="str">
        <x:f>IF('Execution Checklist'!Q260="","",'Execution Checklist'!Q260)</x:f>
      </x:c>
      <x:c r="C260" s="31" t="str">
        <x:v>Make the bowl contain exactly two objects.</x:v>
      </x:c>
      <x:c r="D260" s="31" t="str"/>
      <x:c r="E260" s="31" t="str">
        <x:v>Binary task success using the task-specific rubric.</x:v>
      </x:c>
      <x:c r="F260" s="31"/>
      <x:c r="G260" s="31"/>
      <x:c r="H260" s="31" t="str">
        <x:f>IF(OR(F260="",G260=""),"",IF(F260=G260,"Agree","Disagree"))</x:f>
      </x:c>
      <x:c r="I260" s="31"/>
      <x:c r="J260" s="31" t="str">
        <x:v>No</x:v>
      </x:c>
      <x:c r="K260" s="31" t="str"/>
      <x:c r="L260" s="31" t="str"/>
      <x:c r="M260" s="31" t="str"/>
      <x:c r="N260" s="31" t="str"/>
    </x:row>
    <x:row r="261" ht="42" customHeight="1">
      <x:c r="A261" s="35" t="n">
        <x:v>259</x:v>
      </x:c>
      <x:c r="B261" s="31" t="str">
        <x:f>IF('Execution Checklist'!Q261="","",'Execution Checklist'!Q261)</x:f>
      </x:c>
      <x:c r="C261" s="31" t="str">
        <x:v>Remove the airplane toy without propellers from the bowl.</x:v>
      </x:c>
      <x:c r="D261" s="31" t="str">
        <x:v>REMOVE airplane toy without propellers</x:v>
      </x:c>
      <x:c r="E261" s="31" t="str">
        <x:v>Binary task success; paired with the main transfer row.</x:v>
      </x:c>
      <x:c r="F261" s="31"/>
      <x:c r="G261" s="31"/>
      <x:c r="H261" s="31" t="str">
        <x:f>IF(OR(F261="",G261=""),"",IF(F261=G261,"Agree","Disagree"))</x:f>
      </x:c>
      <x:c r="I261" s="31"/>
      <x:c r="J261" s="31" t="str">
        <x:v>No</x:v>
      </x:c>
      <x:c r="K261" s="31" t="str"/>
      <x:c r="L261" s="31" t="str"/>
      <x:c r="M261" s="31" t="str"/>
      <x:c r="N261" s="31" t="str"/>
    </x:row>
    <x:row r="262" ht="42" customHeight="1">
      <x:c r="A262" s="35" t="n">
        <x:v>260</x:v>
      </x:c>
      <x:c r="B262" s="31" t="str">
        <x:f>IF('Execution Checklist'!Q262="","",'Execution Checklist'!Q262)</x:f>
      </x:c>
      <x:c r="C262" s="31" t="str">
        <x:v>Leave no objects in the bowl.</x:v>
      </x:c>
      <x:c r="D262" s="31" t="str">
        <x:v>blue pen</x:v>
      </x:c>
      <x:c r="E262" s="31" t="str">
        <x:v>Binary task success using the task-specific rubric.</x:v>
      </x:c>
      <x:c r="F262" s="31"/>
      <x:c r="G262" s="31"/>
      <x:c r="H262" s="31" t="str">
        <x:f>IF(OR(F262="",G262=""),"",IF(F262=G262,"Agree","Disagree"))</x:f>
      </x:c>
      <x:c r="I262" s="31"/>
      <x:c r="J262" s="31" t="str">
        <x:v>No</x:v>
      </x:c>
      <x:c r="K262" s="31" t="str"/>
      <x:c r="L262" s="31" t="str"/>
      <x:c r="M262" s="31" t="str"/>
      <x:c r="N262" s="31" t="str"/>
    </x:row>
    <x:row r="263" ht="42" customHeight="1">
      <x:c r="A263" s="35" t="n">
        <x:v>261</x:v>
      </x:c>
      <x:c r="B263" s="31" t="str">
        <x:f>IF('Execution Checklist'!Q263="","",'Execution Checklist'!Q263)</x:f>
      </x:c>
      <x:c r="C263" s="31" t="str">
        <x:v>Put the green pencil sharpener in the bowl.</x:v>
      </x:c>
      <x:c r="D263" s="31" t="str">
        <x:v>ADD green pencil sharpener</x:v>
      </x:c>
      <x:c r="E263" s="31" t="str">
        <x:v>Binary task success; paired with the main transfer row.</x:v>
      </x:c>
      <x:c r="F263" s="31"/>
      <x:c r="G263" s="31"/>
      <x:c r="H263" s="31" t="str">
        <x:f>IF(OR(F263="",G263=""),"",IF(F263=G263,"Agree","Disagree"))</x:f>
      </x:c>
      <x:c r="I263" s="31"/>
      <x:c r="J263" s="31" t="str">
        <x:v>No</x:v>
      </x:c>
      <x:c r="K263" s="31" t="str"/>
      <x:c r="L263" s="31" t="str"/>
      <x:c r="M263" s="31" t="str"/>
      <x:c r="N263" s="31" t="str"/>
    </x:row>
    <x:row r="264" ht="42" customHeight="1">
      <x:c r="A264" s="35" t="n">
        <x:v>262</x:v>
      </x:c>
      <x:c r="B264" s="31" t="str">
        <x:f>IF('Execution Checklist'!Q264="","",'Execution Checklist'!Q264)</x:f>
      </x:c>
      <x:c r="C264" s="31" t="str">
        <x:v>Put the airplane toy without propellers in the bowl.</x:v>
      </x:c>
      <x:c r="D264" s="31" t="str">
        <x:v>ADD airplane toy without propellers</x:v>
      </x:c>
      <x:c r="E264" s="31" t="str">
        <x:v>Binary task success; paired with the main transfer row.</x:v>
      </x:c>
      <x:c r="F264" s="31"/>
      <x:c r="G264" s="31"/>
      <x:c r="H264" s="31" t="str">
        <x:f>IF(OR(F264="",G264=""),"",IF(F264=G264,"Agree","Disagree"))</x:f>
      </x:c>
      <x:c r="I264" s="31"/>
      <x:c r="J264" s="31" t="str">
        <x:v>No</x:v>
      </x:c>
      <x:c r="K264" s="31" t="str"/>
      <x:c r="L264" s="31" t="str"/>
      <x:c r="M264" s="31" t="str"/>
      <x:c r="N264" s="31" t="str"/>
    </x:row>
    <x:row r="265" ht="42" customHeight="1">
      <x:c r="A265" s="35" t="n">
        <x:v>263</x:v>
      </x:c>
      <x:c r="B265" s="31" t="str">
        <x:f>IF('Execution Checklist'!Q265="","",'Execution Checklist'!Q265)</x:f>
      </x:c>
      <x:c r="C265" s="31" t="str">
        <x:v>Leave exactly one object in the bowl.</x:v>
      </x:c>
      <x:c r="D265" s="31" t="str">
        <x:v>REMOVE one bowl object</x:v>
      </x:c>
      <x:c r="E265" s="31" t="str">
        <x:v>Binary task success; paired with the main matched-control row.</x:v>
      </x:c>
      <x:c r="F265" s="31"/>
      <x:c r="G265" s="31"/>
      <x:c r="H265" s="31" t="str">
        <x:f>IF(OR(F265="",G265=""),"",IF(F265=G265,"Agree","Disagree"))</x:f>
      </x:c>
      <x:c r="I265" s="31"/>
      <x:c r="J265" s="31" t="str">
        <x:v>No</x:v>
      </x:c>
      <x:c r="K265" s="31" t="str"/>
      <x:c r="L265" s="31" t="str"/>
      <x:c r="M265" s="31" t="str"/>
      <x:c r="N265" s="31" t="str"/>
    </x:row>
    <x:row r="266" ht="42" customHeight="1">
      <x:c r="A266" s="35" t="n">
        <x:v>264</x:v>
      </x:c>
      <x:c r="B266" s="31" t="str">
        <x:f>IF('Execution Checklist'!Q266="","",'Execution Checklist'!Q266)</x:f>
      </x:c>
      <x:c r="C266" s="31" t="str">
        <x:v>Leave exactly three objects in the bowl.</x:v>
      </x:c>
      <x:c r="D266" s="31" t="str">
        <x:v>No prespecified task success under blank language; record any action/selected target.</x:v>
      </x:c>
      <x:c r="E266" s="31" t="str">
        <x:v>Do not score ordinary task success. Record action occurrence and agreement with the parent correct-prompt rollout.</x:v>
      </x:c>
      <x:c r="F266" s="31"/>
      <x:c r="G266" s="31"/>
      <x:c r="H266" s="31" t="str">
        <x:f>IF(OR(F266="",G266=""),"",IF(F266=G266,"Agree","Disagree"))</x:f>
      </x:c>
      <x:c r="I266" s="31"/>
      <x:c r="J266" s="31" t="str">
        <x:v>No</x:v>
      </x:c>
      <x:c r="K266" s="31" t="str"/>
      <x:c r="L266" s="31" t="str"/>
      <x:c r="M266" s="31" t="str"/>
      <x:c r="N266" s="31" t="str"/>
    </x:row>
    <x:row r="267" ht="42" customHeight="1">
      <x:c r="A267" s="35" t="n">
        <x:v>265</x:v>
      </x:c>
      <x:c r="B267" s="31" t="str">
        <x:f>IF('Execution Checklist'!Q267="","",'Execution Checklist'!Q267)</x:f>
      </x:c>
      <x:c r="C267" s="31" t="str">
        <x:v>Remove the green pencil sharpener from the bowl.</x:v>
      </x:c>
      <x:c r="D267" s="31" t="str">
        <x:v>REMOVE green pencil sharpener</x:v>
      </x:c>
      <x:c r="E267" s="31" t="str">
        <x:v>Binary task success; paired with the main transfer row.</x:v>
      </x:c>
      <x:c r="F267" s="31"/>
      <x:c r="G267" s="31"/>
      <x:c r="H267" s="31" t="str">
        <x:f>IF(OR(F267="",G267=""),"",IF(F267=G267,"Agree","Disagree"))</x:f>
      </x:c>
      <x:c r="I267" s="31"/>
      <x:c r="J267" s="31" t="str">
        <x:v>No</x:v>
      </x:c>
      <x:c r="K267" s="31" t="str"/>
      <x:c r="L267" s="31" t="str"/>
      <x:c r="M267" s="31" t="str"/>
      <x:c r="N267" s="31" t="str"/>
    </x:row>
    <x:row r="268" ht="42" customHeight="1">
      <x:c r="A268" s="35" t="n">
        <x:v>266</x:v>
      </x:c>
      <x:c r="B268" s="31" t="str">
        <x:f>IF('Execution Checklist'!Q268="","",'Execution Checklist'!Q268)</x:f>
      </x:c>
      <x:c r="C268" s="31" t="str">
        <x:v>Finish with two objects in the bowl.</x:v>
      </x:c>
      <x:c r="D268" s="31" t="str"/>
      <x:c r="E268" s="31" t="str">
        <x:v>Binary task success; compare with the seen-language row sharing Pair ID.</x:v>
      </x:c>
      <x:c r="F268" s="31"/>
      <x:c r="G268" s="31"/>
      <x:c r="H268" s="31" t="str">
        <x:f>IF(OR(F268="",G268=""),"",IF(F268=G268,"Agree","Disagree"))</x:f>
      </x:c>
      <x:c r="I268" s="31"/>
      <x:c r="J268" s="31" t="str">
        <x:v>No</x:v>
      </x:c>
      <x:c r="K268" s="31" t="str"/>
      <x:c r="L268" s="31" t="str"/>
      <x:c r="M268" s="31" t="str"/>
      <x:c r="N268" s="31" t="str"/>
    </x:row>
    <x:row r="269" ht="42" customHeight="1">
      <x:c r="A269" s="35" t="n">
        <x:v>267</x:v>
      </x:c>
      <x:c r="B269" s="31" t="str">
        <x:f>IF('Execution Checklist'!Q269="","",'Execution Checklist'!Q269)</x:f>
      </x:c>
      <x:c r="C269" s="31" t="str">
        <x:v>Put the airplane toy without propellers in the bowl.</x:v>
      </x:c>
      <x:c r="D269" s="31" t="str">
        <x:v>ADD airplane toy without propellers</x:v>
      </x:c>
      <x:c r="E269" s="31" t="str">
        <x:v>Binary task success; paired with the main transfer row.</x:v>
      </x:c>
      <x:c r="F269" s="31"/>
      <x:c r="G269" s="31"/>
      <x:c r="H269" s="31" t="str">
        <x:f>IF(OR(F269="",G269=""),"",IF(F269=G269,"Agree","Disagree"))</x:f>
      </x:c>
      <x:c r="I269" s="31"/>
      <x:c r="J269" s="31" t="str">
        <x:v>No</x:v>
      </x:c>
      <x:c r="K269" s="31" t="str"/>
      <x:c r="L269" s="31" t="str"/>
      <x:c r="M269" s="31" t="str"/>
      <x:c r="N269" s="31" t="str"/>
    </x:row>
    <x:row r="270" ht="42" customHeight="1">
      <x:c r="A270" s="35" t="n">
        <x:v>268</x:v>
      </x:c>
      <x:c r="B270" s="31" t="str">
        <x:f>IF('Execution Checklist'!Q270="","",'Execution Checklist'!Q270)</x:f>
      </x:c>
      <x:c r="C270" s="31" t="str">
        <x:v>Leave exactly three objects in the bowl.</x:v>
      </x:c>
      <x:c r="D270" s="31" t="str">
        <x:v>No prespecified task success under blank language; record any action/selected target.</x:v>
      </x:c>
      <x:c r="E270" s="31" t="str">
        <x:v>Do not score ordinary task success. Record action occurrence and agreement with the parent correct-prompt rollout.</x:v>
      </x:c>
      <x:c r="F270" s="31"/>
      <x:c r="G270" s="31"/>
      <x:c r="H270" s="31" t="str">
        <x:f>IF(OR(F270="",G270=""),"",IF(F270=G270,"Agree","Disagree"))</x:f>
      </x:c>
      <x:c r="I270" s="31"/>
      <x:c r="J270" s="31" t="str">
        <x:v>No</x:v>
      </x:c>
      <x:c r="K270" s="31" t="str"/>
      <x:c r="L270" s="31" t="str"/>
      <x:c r="M270" s="31" t="str"/>
      <x:c r="N270" s="31" t="str"/>
    </x:row>
    <x:row r="271" ht="42" customHeight="1">
      <x:c r="A271" s="35" t="n">
        <x:v>269</x:v>
      </x:c>
      <x:c r="B271" s="31" t="str">
        <x:f>IF('Execution Checklist'!Q271="","",'Execution Checklist'!Q271)</x:f>
      </x:c>
      <x:c r="C271" s="31" t="str">
        <x:v>Put the green pencil sharpener in the bowl.</x:v>
      </x:c>
      <x:c r="D271" s="31" t="str">
        <x:v>ADD green pencil sharpener</x:v>
      </x:c>
      <x:c r="E271" s="31" t="str">
        <x:v>Binary task success; paired with the main transfer row.</x:v>
      </x:c>
      <x:c r="F271" s="31"/>
      <x:c r="G271" s="31"/>
      <x:c r="H271" s="31" t="str">
        <x:f>IF(OR(F271="",G271=""),"",IF(F271=G271,"Agree","Disagree"))</x:f>
      </x:c>
      <x:c r="I271" s="31"/>
      <x:c r="J271" s="31" t="str">
        <x:v>No</x:v>
      </x:c>
      <x:c r="K271" s="31" t="str"/>
      <x:c r="L271" s="31" t="str"/>
      <x:c r="M271" s="31" t="str"/>
      <x:c r="N271" s="31" t="str"/>
    </x:row>
    <x:row r="272" ht="42" customHeight="1">
      <x:c r="A272" s="35" t="n">
        <x:v>270</x:v>
      </x:c>
      <x:c r="B272" s="31" t="str">
        <x:f>IF('Execution Checklist'!Q272="","",'Execution Checklist'!Q272)</x:f>
      </x:c>
      <x:c r="C272" s="31" t="str">
        <x:v>Remove the yellow block from the bowl.</x:v>
      </x:c>
      <x:c r="D272" s="31" t="str">
        <x:v>REMOVE yellow block</x:v>
      </x:c>
      <x:c r="E272" s="31" t="str">
        <x:v>Binary task success; paired with the main transfer row.</x:v>
      </x:c>
      <x:c r="F272" s="31"/>
      <x:c r="G272" s="31"/>
      <x:c r="H272" s="31" t="str">
        <x:f>IF(OR(F272="",G272=""),"",IF(F272=G272,"Agree","Disagree"))</x:f>
      </x:c>
      <x:c r="I272" s="31"/>
      <x:c r="J272" s="31" t="str">
        <x:v>No</x:v>
      </x:c>
      <x:c r="K272" s="31" t="str"/>
      <x:c r="L272" s="31" t="str"/>
      <x:c r="M272" s="31" t="str"/>
      <x:c r="N272" s="31" t="str"/>
    </x:row>
    <x:row r="273" ht="42" customHeight="1">
      <x:c r="A273" s="35" t="n">
        <x:v>271</x:v>
      </x:c>
      <x:c r="B273" s="31" t="str">
        <x:f>IF('Execution Checklist'!Q273="","",'Execution Checklist'!Q273)</x:f>
      </x:c>
      <x:c r="C273" s="31" t="str">
        <x:v>Leave exactly one object in the bowl.</x:v>
      </x:c>
      <x:c r="D273" s="31" t="str">
        <x:v>REMOVE one bowl object</x:v>
      </x:c>
      <x:c r="E273" s="31" t="str">
        <x:v>Binary task success; paired with the main matched-control row.</x:v>
      </x:c>
      <x:c r="F273" s="31"/>
      <x:c r="G273" s="31"/>
      <x:c r="H273" s="31" t="str">
        <x:f>IF(OR(F273="",G273=""),"",IF(F273=G273,"Agree","Disagree"))</x:f>
      </x:c>
      <x:c r="I273" s="31"/>
      <x:c r="J273" s="31" t="str">
        <x:v>No</x:v>
      </x:c>
      <x:c r="K273" s="31" t="str"/>
      <x:c r="L273" s="31" t="str"/>
      <x:c r="M273" s="31" t="str"/>
      <x:c r="N273" s="31" t="str"/>
    </x:row>
    <x:row r="274" ht="42" customHeight="1">
      <x:c r="A274" s="35" t="n">
        <x:v>272</x:v>
      </x:c>
      <x:c r="B274" s="31" t="str">
        <x:f>IF('Execution Checklist'!Q274="","",'Execution Checklist'!Q274)</x:f>
      </x:c>
      <x:c r="C274" s="31" t="str">
        <x:v>Remove the yellow block from the bowl.</x:v>
      </x:c>
      <x:c r="D274" s="31" t="str">
        <x:v>REMOVE yellow block</x:v>
      </x:c>
      <x:c r="E274" s="31" t="str">
        <x:v>Binary task success; paired with the main transfer row.</x:v>
      </x:c>
      <x:c r="F274" s="31"/>
      <x:c r="G274" s="31"/>
      <x:c r="H274" s="31" t="str">
        <x:f>IF(OR(F274="",G274=""),"",IF(F274=G274,"Agree","Disagree"))</x:f>
      </x:c>
      <x:c r="I274" s="31"/>
      <x:c r="J274" s="31" t="str">
        <x:v>No</x:v>
      </x:c>
      <x:c r="K274" s="31" t="str"/>
      <x:c r="L274" s="31" t="str"/>
      <x:c r="M274" s="31" t="str"/>
      <x:c r="N274" s="31" t="str"/>
    </x:row>
    <x:row r="275" ht="42" customHeight="1">
      <x:c r="A275" s="35" t="n">
        <x:v>273</x:v>
      </x:c>
      <x:c r="B275" s="31" t="str">
        <x:f>IF('Execution Checklist'!Q275="","",'Execution Checklist'!Q275)</x:f>
      </x:c>
      <x:c r="C275" s="31" t="str">
        <x:v>Remove the blue pen from the bowl.</x:v>
      </x:c>
      <x:c r="D275" s="31" t="str">
        <x:v>REMOVE blue pen</x:v>
      </x:c>
      <x:c r="E275" s="31" t="str">
        <x:v>Binary task success; paired with the main transfer row.</x:v>
      </x:c>
      <x:c r="F275" s="31"/>
      <x:c r="G275" s="31"/>
      <x:c r="H275" s="31" t="str">
        <x:f>IF(OR(F275="",G275=""),"",IF(F275=G275,"Agree","Disagree"))</x:f>
      </x:c>
      <x:c r="I275" s="31"/>
      <x:c r="J275" s="31" t="str">
        <x:v>No</x:v>
      </x:c>
      <x:c r="K275" s="31" t="str"/>
      <x:c r="L275" s="31" t="str"/>
      <x:c r="M275" s="31" t="str"/>
      <x:c r="N275" s="31" t="str"/>
    </x:row>
    <x:row r="276" ht="42" customHeight="1">
      <x:c r="A276" s="35" t="n">
        <x:v>274</x:v>
      </x:c>
      <x:c r="B276" s="31" t="str">
        <x:f>IF('Execution Checklist'!Q276="","",'Execution Checklist'!Q276)</x:f>
      </x:c>
      <x:c r="C276" s="31" t="str">
        <x:v>Leave exactly one object in the bowl.</x:v>
      </x:c>
      <x:c r="D276" s="31" t="str">
        <x:v>REMOVE one bowl object</x:v>
      </x:c>
      <x:c r="E276" s="31" t="str">
        <x:v>Binary task success; paired with the main matched-control row.</x:v>
      </x:c>
      <x:c r="F276" s="31"/>
      <x:c r="G276" s="31"/>
      <x:c r="H276" s="31" t="str">
        <x:f>IF(OR(F276="",G276=""),"",IF(F276=G276,"Agree","Disagree"))</x:f>
      </x:c>
      <x:c r="I276" s="31"/>
      <x:c r="J276" s="31" t="str">
        <x:v>No</x:v>
      </x:c>
      <x:c r="K276" s="31" t="str"/>
      <x:c r="L276" s="31" t="str"/>
      <x:c r="M276" s="31" t="str"/>
      <x:c r="N276" s="31" t="str"/>
    </x:row>
    <x:row r="277" ht="42" customHeight="1">
      <x:c r="A277" s="35" t="n">
        <x:v>275</x:v>
      </x:c>
      <x:c r="B277" s="31" t="str">
        <x:f>IF('Execution Checklist'!Q277="","",'Execution Checklist'!Q277)</x:f>
      </x:c>
      <x:c r="C277" s="31" t="str">
        <x:v>Leave exactly one object in the bowl.</x:v>
      </x:c>
      <x:c r="D277" s="31" t="str">
        <x:v>REMOVE one bowl object</x:v>
      </x:c>
      <x:c r="E277" s="31" t="str">
        <x:v>Binary task success; paired with the main matched-control row.</x:v>
      </x:c>
      <x:c r="F277" s="31"/>
      <x:c r="G277" s="31"/>
      <x:c r="H277" s="31" t="str">
        <x:f>IF(OR(F277="",G277=""),"",IF(F277=G277,"Agree","Disagree"))</x:f>
      </x:c>
      <x:c r="I277" s="31"/>
      <x:c r="J277" s="31" t="str">
        <x:v>No</x:v>
      </x:c>
      <x:c r="K277" s="31" t="str"/>
      <x:c r="L277" s="31" t="str"/>
      <x:c r="M277" s="31" t="str"/>
      <x:c r="N277" s="31" t="str"/>
    </x:row>
    <x:row r="278" ht="42" customHeight="1">
      <x:c r="A278" s="35" t="n">
        <x:v>276</x:v>
      </x:c>
      <x:c r="B278" s="31" t="str">
        <x:f>IF('Execution Checklist'!Q278="","",'Execution Checklist'!Q278)</x:f>
      </x:c>
      <x:c r="C278" s="31" t="str">
        <x:v>Move the yellow block into the bowl.</x:v>
      </x:c>
      <x:c r="D278" s="31" t="str">
        <x:v>yellow block</x:v>
      </x:c>
      <x:c r="E278" s="31" t="str">
        <x:v>Binary task success using the task-specific rubric.</x:v>
      </x:c>
      <x:c r="F278" s="31"/>
      <x:c r="G278" s="31"/>
      <x:c r="H278" s="31" t="str">
        <x:f>IF(OR(F278="",G278=""),"",IF(F278=G278,"Agree","Disagree"))</x:f>
      </x:c>
      <x:c r="I278" s="31"/>
      <x:c r="J278" s="31" t="str">
        <x:v>No</x:v>
      </x:c>
      <x:c r="K278" s="31" t="str"/>
      <x:c r="L278" s="31" t="str"/>
      <x:c r="M278" s="31" t="str"/>
      <x:c r="N278" s="31" t="str"/>
    </x:row>
    <x:row r="279" ht="42" customHeight="1">
      <x:c r="A279" s="35" t="n">
        <x:v>277</x:v>
      </x:c>
      <x:c r="B279" s="31" t="str">
        <x:f>IF('Execution Checklist'!Q279="","",'Execution Checklist'!Q279)</x:f>
      </x:c>
      <x:c r="C279" s="31" t="str">
        <x:v>Leave exactly three objects in the bowl.</x:v>
      </x:c>
      <x:c r="D279" s="31" t="str">
        <x:v>ADD one table object</x:v>
      </x:c>
      <x:c r="E279" s="31" t="str">
        <x:v>Binary task success; paired with the main matched-control row.</x:v>
      </x:c>
      <x:c r="F279" s="31"/>
      <x:c r="G279" s="31"/>
      <x:c r="H279" s="31" t="str">
        <x:f>IF(OR(F279="",G279=""),"",IF(F279=G279,"Agree","Disagree"))</x:f>
      </x:c>
      <x:c r="I279" s="31"/>
      <x:c r="J279" s="31" t="str">
        <x:v>No</x:v>
      </x:c>
      <x:c r="K279" s="31" t="str"/>
      <x:c r="L279" s="31" t="str"/>
      <x:c r="M279" s="31" t="str"/>
      <x:c r="N279" s="31" t="str"/>
    </x:row>
    <x:row r="280" ht="42" customHeight="1">
      <x:c r="A280" s="35" t="n">
        <x:v>278</x:v>
      </x:c>
      <x:c r="B280" s="31" t="str">
        <x:f>IF('Execution Checklist'!Q280="","",'Execution Checklist'!Q280)</x:f>
      </x:c>
      <x:c r="C280" s="31" t="str">
        <x:v>Leave exactly three objects in the bowl.</x:v>
      </x:c>
      <x:c r="D280" s="31" t="str">
        <x:v>ADD one table object</x:v>
      </x:c>
      <x:c r="E280" s="31" t="str">
        <x:v>Binary task success; paired with the main matched-control row.</x:v>
      </x:c>
      <x:c r="F280" s="31"/>
      <x:c r="G280" s="31"/>
      <x:c r="H280" s="31" t="str">
        <x:f>IF(OR(F280="",G280=""),"",IF(F280=G280,"Agree","Disagree"))</x:f>
      </x:c>
      <x:c r="I280" s="31"/>
      <x:c r="J280" s="31" t="str">
        <x:v>No</x:v>
      </x:c>
      <x:c r="K280" s="31" t="str"/>
      <x:c r="L280" s="31" t="str"/>
      <x:c r="M280" s="31" t="str"/>
      <x:c r="N280" s="31" t="str"/>
    </x:row>
    <x:row r="281" ht="42" customHeight="1">
      <x:c r="A281" s="35" t="n">
        <x:v>279</x:v>
      </x:c>
      <x:c r="B281" s="31" t="str">
        <x:f>IF('Execution Checklist'!Q281="","",'Execution Checklist'!Q281)</x:f>
      </x:c>
      <x:c r="C281" s="31" t="str">
        <x:v>Remove the blue pen from the bowl.</x:v>
      </x:c>
      <x:c r="D281" s="31" t="str">
        <x:v>REMOVE blue pen</x:v>
      </x:c>
      <x:c r="E281" s="31" t="str">
        <x:v>Binary task success; paired with the main transfer row.</x:v>
      </x:c>
      <x:c r="F281" s="31"/>
      <x:c r="G281" s="31"/>
      <x:c r="H281" s="31" t="str">
        <x:f>IF(OR(F281="",G281=""),"",IF(F281=G281,"Agree","Disagree"))</x:f>
      </x:c>
      <x:c r="I281" s="31"/>
      <x:c r="J281" s="31" t="str">
        <x:v>No</x:v>
      </x:c>
      <x:c r="K281" s="31" t="str"/>
      <x:c r="L281" s="31" t="str"/>
      <x:c r="M281" s="31" t="str"/>
      <x:c r="N281" s="31" t="str"/>
    </x:row>
    <x:row r="282" ht="42" customHeight="1">
      <x:c r="A282" s="35" t="n">
        <x:v>280</x:v>
      </x:c>
      <x:c r="B282" s="31" t="str">
        <x:f>IF('Execution Checklist'!Q282="","",'Execution Checklist'!Q282)</x:f>
      </x:c>
      <x:c r="C282" s="31" t="str">
        <x:v>Finish with two objects in the bowl.</x:v>
      </x:c>
      <x:c r="D282" s="31" t="str"/>
      <x:c r="E282" s="31" t="str">
        <x:v>Binary task success; compare with the seen-language row sharing Pair ID.</x:v>
      </x:c>
      <x:c r="F282" s="31"/>
      <x:c r="G282" s="31"/>
      <x:c r="H282" s="31" t="str">
        <x:f>IF(OR(F282="",G282=""),"",IF(F282=G282,"Agree","Disagree"))</x:f>
      </x:c>
      <x:c r="I282" s="31"/>
      <x:c r="J282" s="31" t="str">
        <x:v>No</x:v>
      </x:c>
      <x:c r="K282" s="31" t="str"/>
      <x:c r="L282" s="31" t="str"/>
      <x:c r="M282" s="31" t="str"/>
      <x:c r="N282" s="31" t="str"/>
    </x:row>
    <x:row r="283" ht="42" customHeight="1">
      <x:c r="A283" s="35" t="n">
        <x:v>281</x:v>
      </x:c>
      <x:c r="B283" s="31" t="str">
        <x:f>IF('Execution Checklist'!Q283="","",'Execution Checklist'!Q283)</x:f>
      </x:c>
      <x:c r="C283" s="31" t="str">
        <x:v>Leave exactly three objects in the bowl.</x:v>
      </x:c>
      <x:c r="D283" s="31" t="str">
        <x:v>ADD one table object</x:v>
      </x:c>
      <x:c r="E283" s="31" t="str">
        <x:v>Binary task success; paired with the main matched-control row.</x:v>
      </x:c>
      <x:c r="F283" s="31"/>
      <x:c r="G283" s="31"/>
      <x:c r="H283" s="31" t="str">
        <x:f>IF(OR(F283="",G283=""),"",IF(F283=G283,"Agree","Disagree"))</x:f>
      </x:c>
      <x:c r="I283" s="31"/>
      <x:c r="J283" s="31" t="str">
        <x:v>No</x:v>
      </x:c>
      <x:c r="K283" s="31" t="str"/>
      <x:c r="L283" s="31" t="str"/>
      <x:c r="M283" s="31" t="str"/>
      <x:c r="N283" s="31" t="str"/>
    </x:row>
    <x:row r="284" ht="42" customHeight="1">
      <x:c r="A284" s="35" t="n">
        <x:v>282</x:v>
      </x:c>
      <x:c r="B284" s="31" t="str">
        <x:f>IF('Execution Checklist'!Q284="","",'Execution Checklist'!Q284)</x:f>
      </x:c>
      <x:c r="C284" s="31" t="str">
        <x:v>Leave exactly three objects in the bowl.</x:v>
      </x:c>
      <x:c r="D284" s="31" t="str">
        <x:v>ADD one table object</x:v>
      </x:c>
      <x:c r="E284" s="31" t="str">
        <x:v>Binary task success; paired with the main matched-control row.</x:v>
      </x:c>
      <x:c r="F284" s="31"/>
      <x:c r="G284" s="31"/>
      <x:c r="H284" s="31" t="str">
        <x:f>IF(OR(F284="",G284=""),"",IF(F284=G284,"Agree","Disagree"))</x:f>
      </x:c>
      <x:c r="I284" s="31"/>
      <x:c r="J284" s="31" t="str">
        <x:v>No</x:v>
      </x:c>
      <x:c r="K284" s="31" t="str"/>
      <x:c r="L284" s="31" t="str"/>
      <x:c r="M284" s="31" t="str"/>
      <x:c r="N284" s="31" t="str"/>
    </x:row>
    <x:row r="285" ht="42" customHeight="1">
      <x:c r="A285" s="35" t="n">
        <x:v>283</x:v>
      </x:c>
      <x:c r="B285" s="31" t="str">
        <x:f>IF('Execution Checklist'!Q285="","",'Execution Checklist'!Q285)</x:f>
      </x:c>
      <x:c r="C285" s="31" t="str">
        <x:v>Adjust the bowl so that it contains two objects.</x:v>
      </x:c>
      <x:c r="D285" s="31" t="str"/>
      <x:c r="E285" s="31" t="str">
        <x:v>Binary task success using the task-specific rubric.</x:v>
      </x:c>
      <x:c r="F285" s="31"/>
      <x:c r="G285" s="31"/>
      <x:c r="H285" s="31" t="str">
        <x:f>IF(OR(F285="",G285=""),"",IF(F285=G285,"Agree","Disagree"))</x:f>
      </x:c>
      <x:c r="I285" s="31"/>
      <x:c r="J285" s="31" t="str">
        <x:v>No</x:v>
      </x:c>
      <x:c r="K285" s="31" t="str"/>
      <x:c r="L285" s="31" t="str"/>
      <x:c r="M285" s="31" t="str"/>
      <x:c r="N285" s="31" t="str"/>
    </x:row>
    <x:row r="286" ht="42" customHeight="1">
      <x:c r="A286" s="35" t="n">
        <x:v>284</x:v>
      </x:c>
      <x:c r="B286" s="31" t="str">
        <x:f>IF('Execution Checklist'!Q286="","",'Execution Checklist'!Q286)</x:f>
      </x:c>
      <x:c r="C286" s="31" t="str">
        <x:v>Put the yellow block in the bowl.</x:v>
      </x:c>
      <x:c r="D286" s="31" t="str">
        <x:v>ADD yellow block</x:v>
      </x:c>
      <x:c r="E286" s="31" t="str">
        <x:v>Binary task success; paired with the main transfer row.</x:v>
      </x:c>
      <x:c r="F286" s="31"/>
      <x:c r="G286" s="31"/>
      <x:c r="H286" s="31" t="str">
        <x:f>IF(OR(F286="",G286=""),"",IF(F286=G286,"Agree","Disagree"))</x:f>
      </x:c>
      <x:c r="I286" s="31"/>
      <x:c r="J286" s="31" t="str">
        <x:v>No</x:v>
      </x:c>
      <x:c r="K286" s="31" t="str"/>
      <x:c r="L286" s="31" t="str"/>
      <x:c r="M286" s="31" t="str"/>
      <x:c r="N286" s="31" t="str"/>
    </x:row>
    <x:row r="287" ht="42" customHeight="1">
      <x:c r="A287" s="35" t="n">
        <x:v>285</x:v>
      </x:c>
      <x:c r="B287" s="31" t="str">
        <x:f>IF('Execution Checklist'!Q287="","",'Execution Checklist'!Q287)</x:f>
      </x:c>
      <x:c r="C287" s="31" t="str">
        <x:v>Finish with two objects in the bowl.</x:v>
      </x:c>
      <x:c r="D287" s="31" t="str"/>
      <x:c r="E287" s="31" t="str">
        <x:v>Binary task success; compare with the seen-language row sharing Pair ID.</x:v>
      </x:c>
      <x:c r="F287" s="31"/>
      <x:c r="G287" s="31"/>
      <x:c r="H287" s="31" t="str">
        <x:f>IF(OR(F287="",G287=""),"",IF(F287=G287,"Agree","Disagree"))</x:f>
      </x:c>
      <x:c r="I287" s="31"/>
      <x:c r="J287" s="31" t="str">
        <x:v>No</x:v>
      </x:c>
      <x:c r="K287" s="31" t="str"/>
      <x:c r="L287" s="31" t="str"/>
      <x:c r="M287" s="31" t="str"/>
      <x:c r="N287" s="31" t="str"/>
    </x:row>
    <x:row r="288" ht="42" customHeight="1">
      <x:c r="A288" s="35" t="n">
        <x:v>286</x:v>
      </x:c>
      <x:c r="B288" s="31" t="str">
        <x:f>IF('Execution Checklist'!Q288="","",'Execution Checklist'!Q288)</x:f>
      </x:c>
      <x:c r="C288" s="31" t="str">
        <x:v>Put the yellow block in the bowl.</x:v>
      </x:c>
      <x:c r="D288" s="31" t="str">
        <x:v>ADD yellow block</x:v>
      </x:c>
      <x:c r="E288" s="31" t="str">
        <x:v>Binary task success; paired with the main transfer row.</x:v>
      </x:c>
      <x:c r="F288" s="31"/>
      <x:c r="G288" s="31"/>
      <x:c r="H288" s="31" t="str">
        <x:f>IF(OR(F288="",G288=""),"",IF(F288=G288,"Agree","Disagree"))</x:f>
      </x:c>
      <x:c r="I288" s="31"/>
      <x:c r="J288" s="31" t="str">
        <x:v>No</x:v>
      </x:c>
      <x:c r="K288" s="31" t="str"/>
      <x:c r="L288" s="31" t="str"/>
      <x:c r="M288" s="31" t="str"/>
      <x:c r="N288" s="31" t="str"/>
    </x:row>
    <x:row r="289" ht="42" customHeight="1">
      <x:c r="A289" s="35" t="n">
        <x:v>287</x:v>
      </x:c>
      <x:c r="B289" s="31" t="str">
        <x:f>IF('Execution Checklist'!Q289="","",'Execution Checklist'!Q289)</x:f>
      </x:c>
      <x:c r="C289" s="31" t="str">
        <x:v>Make the bowl contain exactly two objects.</x:v>
      </x:c>
      <x:c r="D289" s="31" t="str"/>
      <x:c r="E289" s="31" t="str">
        <x:v>Binary task success using the task-specific rubric.</x:v>
      </x:c>
      <x:c r="F289" s="31"/>
      <x:c r="G289" s="31"/>
      <x:c r="H289" s="31" t="str">
        <x:f>IF(OR(F289="",G289=""),"",IF(F289=G289,"Agree","Disagree"))</x:f>
      </x:c>
      <x:c r="I289" s="31"/>
      <x:c r="J289" s="31" t="str">
        <x:v>No</x:v>
      </x:c>
      <x:c r="K289" s="31" t="str"/>
      <x:c r="L289" s="31" t="str"/>
      <x:c r="M289" s="31" t="str"/>
      <x:c r="N289" s="31" t="str"/>
    </x:row>
    <x:row r="290" ht="42" customHeight="1">
      <x:c r="A290" s="35" t="n">
        <x:v>288</x:v>
      </x:c>
      <x:c r="B290" s="31" t="str">
        <x:f>IF('Execution Checklist'!Q290="","",'Execution Checklist'!Q290)</x:f>
      </x:c>
      <x:c r="C290" s="31" t="str">
        <x:v>Leave exactly one object in the bowl.</x:v>
      </x:c>
      <x:c r="D290" s="31" t="str">
        <x:v>No prespecified task success under blank language; record any action/selected target.</x:v>
      </x:c>
      <x:c r="E290" s="31" t="str">
        <x:v>Do not score ordinary task success. Record action occurrence and agreement with the parent correct-prompt rollout.</x:v>
      </x:c>
      <x:c r="F290" s="31"/>
      <x:c r="G290" s="31"/>
      <x:c r="H290" s="31" t="str">
        <x:f>IF(OR(F290="",G290=""),"",IF(F290=G290,"Agree","Disagree"))</x:f>
      </x:c>
      <x:c r="I290" s="31"/>
      <x:c r="J290" s="31" t="str">
        <x:v>No</x:v>
      </x:c>
      <x:c r="K290" s="31" t="str"/>
      <x:c r="L290" s="31" t="str"/>
      <x:c r="M290" s="31" t="str"/>
      <x:c r="N290" s="31" t="str"/>
    </x:row>
    <x:row r="291" ht="42" customHeight="1">
      <x:c r="A291" s="35" t="n">
        <x:v>289</x:v>
      </x:c>
      <x:c r="B291" s="31" t="str">
        <x:f>IF('Execution Checklist'!Q291="","",'Execution Checklist'!Q291)</x:f>
      </x:c>
      <x:c r="C291" s="31" t="str">
        <x:v>Finish with two objects in the bowl.</x:v>
      </x:c>
      <x:c r="D291" s="31" t="str"/>
      <x:c r="E291" s="31" t="str">
        <x:v>Binary task success; compare with the seen-language row sharing Pair ID.</x:v>
      </x:c>
      <x:c r="F291" s="31"/>
      <x:c r="G291" s="31"/>
      <x:c r="H291" s="31" t="str">
        <x:f>IF(OR(F291="",G291=""),"",IF(F291=G291,"Agree","Disagree"))</x:f>
      </x:c>
      <x:c r="I291" s="31"/>
      <x:c r="J291" s="31" t="str">
        <x:v>No</x:v>
      </x:c>
      <x:c r="K291" s="31" t="str"/>
      <x:c r="L291" s="31" t="str"/>
      <x:c r="M291" s="31" t="str"/>
      <x:c r="N291" s="31" t="str"/>
    </x:row>
    <x:row r="292" ht="42" customHeight="1">
      <x:c r="A292" s="35" t="n">
        <x:v>290</x:v>
      </x:c>
      <x:c r="B292" s="31" t="str">
        <x:f>IF('Execution Checklist'!Q292="","",'Execution Checklist'!Q292)</x:f>
      </x:c>
      <x:c r="C292" s="31" t="str">
        <x:v>Finish with two objects in the bowl.</x:v>
      </x:c>
      <x:c r="D292" s="31" t="str"/>
      <x:c r="E292" s="31" t="str">
        <x:v>Binary task success; compare with the seen-language row sharing Pair ID.</x:v>
      </x:c>
      <x:c r="F292" s="31"/>
      <x:c r="G292" s="31"/>
      <x:c r="H292" s="31" t="str">
        <x:f>IF(OR(F292="",G292=""),"",IF(F292=G292,"Agree","Disagree"))</x:f>
      </x:c>
      <x:c r="I292" s="31"/>
      <x:c r="J292" s="31" t="str">
        <x:v>No</x:v>
      </x:c>
      <x:c r="K292" s="31" t="str"/>
      <x:c r="L292" s="31" t="str"/>
      <x:c r="M292" s="31" t="str"/>
      <x:c r="N292" s="31" t="str"/>
    </x:row>
    <x:row r="293" ht="42" customHeight="1">
      <x:c r="A293" s="35" t="n">
        <x:v>291</x:v>
      </x:c>
      <x:c r="B293" s="31" t="str">
        <x:f>IF('Execution Checklist'!Q293="","",'Execution Checklist'!Q293)</x:f>
      </x:c>
      <x:c r="C293" s="31" t="str">
        <x:v>Leave exactly three objects in the bowl.</x:v>
      </x:c>
      <x:c r="D293" s="31" t="str">
        <x:v>ADD one table object</x:v>
      </x:c>
      <x:c r="E293" s="31" t="str">
        <x:v>Binary task success; paired with the main matched-control row.</x:v>
      </x:c>
      <x:c r="F293" s="31"/>
      <x:c r="G293" s="31"/>
      <x:c r="H293" s="31" t="str">
        <x:f>IF(OR(F293="",G293=""),"",IF(F293=G293,"Agree","Disagree"))</x:f>
      </x:c>
      <x:c r="I293" s="31"/>
      <x:c r="J293" s="31" t="str">
        <x:v>No</x:v>
      </x:c>
      <x:c r="K293" s="31" t="str"/>
      <x:c r="L293" s="31" t="str"/>
      <x:c r="M293" s="31" t="str"/>
      <x:c r="N293" s="31" t="str"/>
    </x:row>
    <x:row r="294" ht="42" customHeight="1">
      <x:c r="A294" s="35" t="n">
        <x:v>292</x:v>
      </x:c>
      <x:c r="B294" s="31" t="str">
        <x:f>IF('Execution Checklist'!Q294="","",'Execution Checklist'!Q294)</x:f>
      </x:c>
      <x:c r="C294" s="31" t="str">
        <x:v>Leave exactly three objects in the bowl.</x:v>
      </x:c>
      <x:c r="D294" s="31" t="str">
        <x:v>ADD one table object</x:v>
      </x:c>
      <x:c r="E294" s="31" t="str">
        <x:v>Binary success for the counterfactual instruction and paired action-switch analysis versus the parent.</x:v>
      </x:c>
      <x:c r="F294" s="31"/>
      <x:c r="G294" s="31"/>
      <x:c r="H294" s="31" t="str">
        <x:f>IF(OR(F294="",G294=""),"",IF(F294=G294,"Agree","Disagree"))</x:f>
      </x:c>
      <x:c r="I294" s="31"/>
      <x:c r="J294" s="31" t="str">
        <x:v>No</x:v>
      </x:c>
      <x:c r="K294" s="31" t="str"/>
      <x:c r="L294" s="31" t="str"/>
      <x:c r="M294" s="31" t="str"/>
      <x:c r="N294" s="31" t="str"/>
    </x:row>
    <x:row r="295" ht="42" customHeight="1">
      <x:c r="A295" s="35" t="n">
        <x:v>293</x:v>
      </x:c>
      <x:c r="B295" s="31" t="str">
        <x:f>IF('Execution Checklist'!Q295="","",'Execution Checklist'!Q295)</x:f>
      </x:c>
      <x:c r="C295" s="31" t="str">
        <x:v>Remove the green pencil sharpener from the bowl.</x:v>
      </x:c>
      <x:c r="D295" s="31" t="str">
        <x:v>REMOVE green pencil sharpener</x:v>
      </x:c>
      <x:c r="E295" s="31" t="str">
        <x:v>Binary task success; paired with the main transfer row.</x:v>
      </x:c>
      <x:c r="F295" s="31"/>
      <x:c r="G295" s="31"/>
      <x:c r="H295" s="31" t="str">
        <x:f>IF(OR(F295="",G295=""),"",IF(F295=G295,"Agree","Disagree"))</x:f>
      </x:c>
      <x:c r="I295" s="31"/>
      <x:c r="J295" s="31" t="str">
        <x:v>No</x:v>
      </x:c>
      <x:c r="K295" s="31" t="str"/>
      <x:c r="L295" s="31" t="str"/>
      <x:c r="M295" s="31" t="str"/>
      <x:c r="N295" s="31" t="str"/>
    </x:row>
    <x:row r="296" ht="42" customHeight="1">
      <x:c r="A296" s="35" t="n">
        <x:v>294</x:v>
      </x:c>
      <x:c r="B296" s="31" t="str">
        <x:f>IF('Execution Checklist'!Q296="","",'Execution Checklist'!Q296)</x:f>
      </x:c>
      <x:c r="C296" s="31" t="str">
        <x:v>Adjust the bowl so that it contains two objects.</x:v>
      </x:c>
      <x:c r="D296" s="31" t="str"/>
      <x:c r="E296" s="31" t="str">
        <x:v>Binary task success using the task-specific rubric.</x:v>
      </x:c>
      <x:c r="F296" s="31"/>
      <x:c r="G296" s="31"/>
      <x:c r="H296" s="31" t="str">
        <x:f>IF(OR(F296="",G296=""),"",IF(F296=G296,"Agree","Disagree"))</x:f>
      </x:c>
      <x:c r="I296" s="31"/>
      <x:c r="J296" s="31" t="str">
        <x:v>No</x:v>
      </x:c>
      <x:c r="K296" s="31" t="str"/>
      <x:c r="L296" s="31" t="str"/>
      <x:c r="M296" s="31" t="str"/>
      <x:c r="N296" s="31" t="str"/>
    </x:row>
    <x:row r="297" ht="42" customHeight="1">
      <x:c r="A297" s="35" t="n">
        <x:v>295</x:v>
      </x:c>
      <x:c r="B297" s="31" t="str">
        <x:f>IF('Execution Checklist'!Q297="","",'Execution Checklist'!Q297)</x:f>
      </x:c>
      <x:c r="C297" s="31" t="str">
        <x:v>Leave exactly three objects in the bowl.</x:v>
      </x:c>
      <x:c r="D297" s="31" t="str">
        <x:v>ADD one table object</x:v>
      </x:c>
      <x:c r="E297" s="31" t="str">
        <x:v>Binary task success; paired with the main matched-control row.</x:v>
      </x:c>
      <x:c r="F297" s="31"/>
      <x:c r="G297" s="31"/>
      <x:c r="H297" s="31" t="str">
        <x:f>IF(OR(F297="",G297=""),"",IF(F297=G297,"Agree","Disagree"))</x:f>
      </x:c>
      <x:c r="I297" s="31"/>
      <x:c r="J297" s="31" t="str">
        <x:v>No</x:v>
      </x:c>
      <x:c r="K297" s="31" t="str"/>
      <x:c r="L297" s="31" t="str"/>
      <x:c r="M297" s="31" t="str"/>
      <x:c r="N297" s="31" t="str"/>
    </x:row>
    <x:row r="298" ht="42" customHeight="1">
      <x:c r="A298" s="35" t="n">
        <x:v>296</x:v>
      </x:c>
      <x:c r="B298" s="31" t="str">
        <x:f>IF('Execution Checklist'!Q298="","",'Execution Checklist'!Q298)</x:f>
      </x:c>
      <x:c r="C298" s="31" t="str">
        <x:v>Finish with two objects in the bowl.</x:v>
      </x:c>
      <x:c r="D298" s="31" t="str"/>
      <x:c r="E298" s="31" t="str">
        <x:v>Binary task success; compare with the seen-language row sharing Pair ID.</x:v>
      </x:c>
      <x:c r="F298" s="31"/>
      <x:c r="G298" s="31"/>
      <x:c r="H298" s="31" t="str">
        <x:f>IF(OR(F298="",G298=""),"",IF(F298=G298,"Agree","Disagree"))</x:f>
      </x:c>
      <x:c r="I298" s="31"/>
      <x:c r="J298" s="31" t="str">
        <x:v>No</x:v>
      </x:c>
      <x:c r="K298" s="31" t="str"/>
      <x:c r="L298" s="31" t="str"/>
      <x:c r="M298" s="31" t="str"/>
      <x:c r="N298" s="31" t="str"/>
    </x:row>
    <x:row r="299" ht="42" customHeight="1">
      <x:c r="A299" s="35" t="n">
        <x:v>297</x:v>
      </x:c>
      <x:c r="B299" s="31" t="str">
        <x:f>IF('Execution Checklist'!Q299="","",'Execution Checklist'!Q299)</x:f>
      </x:c>
      <x:c r="C299" s="31" t="str">
        <x:v>Remove the airplane toy without propellers from the bowl.</x:v>
      </x:c>
      <x:c r="D299" s="31" t="str">
        <x:v>REMOVE airplane toy without propellers</x:v>
      </x:c>
      <x:c r="E299" s="31" t="str">
        <x:v>Binary task success; paired with the main transfer row.</x:v>
      </x:c>
      <x:c r="F299" s="31"/>
      <x:c r="G299" s="31"/>
      <x:c r="H299" s="31" t="str">
        <x:f>IF(OR(F299="",G299=""),"",IF(F299=G299,"Agree","Disagree"))</x:f>
      </x:c>
      <x:c r="I299" s="31"/>
      <x:c r="J299" s="31" t="str">
        <x:v>No</x:v>
      </x:c>
      <x:c r="K299" s="31" t="str"/>
      <x:c r="L299" s="31" t="str"/>
      <x:c r="M299" s="31" t="str"/>
      <x:c r="N299" s="31" t="str"/>
    </x:row>
    <x:row r="300" ht="42" customHeight="1">
      <x:c r="A300" s="35" t="n">
        <x:v>298</x:v>
      </x:c>
      <x:c r="B300" s="31" t="str">
        <x:f>IF('Execution Checklist'!Q300="","",'Execution Checklist'!Q300)</x:f>
      </x:c>
      <x:c r="C300" s="31" t="str">
        <x:v>Leave exactly one object in the bowl.</x:v>
      </x:c>
      <x:c r="D300" s="31" t="str">
        <x:v>REMOVE one bowl object</x:v>
      </x:c>
      <x:c r="E300" s="31" t="str">
        <x:v>Binary success for the counterfactual instruction and paired action-switch analysis versus the parent.</x:v>
      </x:c>
      <x:c r="F300" s="31"/>
      <x:c r="G300" s="31"/>
      <x:c r="H300" s="31" t="str">
        <x:f>IF(OR(F300="",G300=""),"",IF(F300=G300,"Agree","Disagree"))</x:f>
      </x:c>
      <x:c r="I300" s="31"/>
      <x:c r="J300" s="31" t="str">
        <x:v>No</x:v>
      </x:c>
      <x:c r="K300" s="31" t="str"/>
      <x:c r="L300" s="31" t="str"/>
      <x:c r="M300" s="31" t="str"/>
      <x:c r="N300" s="31" t="str"/>
    </x:row>
    <x:row r="301" ht="42" customHeight="1">
      <x:c r="A301" s="35" t="n">
        <x:v>299</x:v>
      </x:c>
      <x:c r="B301" s="31" t="str">
        <x:f>IF('Execution Checklist'!Q301="","",'Execution Checklist'!Q301)</x:f>
      </x:c>
      <x:c r="C301" s="31" t="str">
        <x:v>Finish with two objects in the bowl.</x:v>
      </x:c>
      <x:c r="D301" s="31" t="str"/>
      <x:c r="E301" s="31" t="str">
        <x:v>Binary task success; compare with the seen-language row sharing Pair ID.</x:v>
      </x:c>
      <x:c r="F301" s="31"/>
      <x:c r="G301" s="31"/>
      <x:c r="H301" s="31" t="str">
        <x:f>IF(OR(F301="",G301=""),"",IF(F301=G301,"Agree","Disagree"))</x:f>
      </x:c>
      <x:c r="I301" s="31"/>
      <x:c r="J301" s="31" t="str">
        <x:v>No</x:v>
      </x:c>
      <x:c r="K301" s="31" t="str"/>
      <x:c r="L301" s="31" t="str"/>
      <x:c r="M301" s="31" t="str"/>
      <x:c r="N301" s="31" t="str"/>
    </x:row>
    <x:row r="302" ht="42" customHeight="1">
      <x:c r="A302" s="35" t="n">
        <x:v>300</x:v>
      </x:c>
      <x:c r="B302" s="31" t="str">
        <x:f>IF('Execution Checklist'!Q302="","",'Execution Checklist'!Q302)</x:f>
      </x:c>
      <x:c r="C302" s="31" t="str">
        <x:v>Leave exactly one object in the bowl.</x:v>
      </x:c>
      <x:c r="D302" s="31" t="str">
        <x:v>REMOVE one bowl object</x:v>
      </x:c>
      <x:c r="E302" s="31" t="str">
        <x:v>Binary task success; paired with the main matched-control row.</x:v>
      </x:c>
      <x:c r="F302" s="31"/>
      <x:c r="G302" s="31"/>
      <x:c r="H302" s="31" t="str">
        <x:f>IF(OR(F302="",G302=""),"",IF(F302=G302,"Agree","Disagree"))</x:f>
      </x:c>
      <x:c r="I302" s="31"/>
      <x:c r="J302" s="31" t="str">
        <x:v>No</x:v>
      </x:c>
      <x:c r="K302" s="31" t="str"/>
      <x:c r="L302" s="31" t="str"/>
      <x:c r="M302" s="31" t="str"/>
      <x:c r="N302" s="31" t="str"/>
    </x:row>
    <x:row r="303" ht="42" customHeight="1">
      <x:c r="A303" s="35" t="n">
        <x:v>301</x:v>
      </x:c>
      <x:c r="B303" s="31" t="str">
        <x:f>IF('Execution Checklist'!Q303="","",'Execution Checklist'!Q303)</x:f>
      </x:c>
      <x:c r="C303" s="31" t="str">
        <x:v>Leave exactly three objects in the bowl.</x:v>
      </x:c>
      <x:c r="D303" s="31" t="str">
        <x:v>ADD one table object</x:v>
      </x:c>
      <x:c r="E303" s="31" t="str">
        <x:v>Binary success for the counterfactual instruction and paired action-switch analysis versus the parent.</x:v>
      </x:c>
      <x:c r="F303" s="31"/>
      <x:c r="G303" s="31"/>
      <x:c r="H303" s="31" t="str">
        <x:f>IF(OR(F303="",G303=""),"",IF(F303=G303,"Agree","Disagree"))</x:f>
      </x:c>
      <x:c r="I303" s="31"/>
      <x:c r="J303" s="31" t="str">
        <x:v>No</x:v>
      </x:c>
      <x:c r="K303" s="31" t="str"/>
      <x:c r="L303" s="31" t="str"/>
      <x:c r="M303" s="31" t="str"/>
      <x:c r="N303" s="31" t="str"/>
    </x:row>
    <x:row r="304" ht="42" customHeight="1">
      <x:c r="A304" s="35" t="n">
        <x:v>302</x:v>
      </x:c>
      <x:c r="B304" s="31" t="str">
        <x:f>IF('Execution Checklist'!Q304="","",'Execution Checklist'!Q304)</x:f>
      </x:c>
      <x:c r="C304" s="31" t="str">
        <x:v>Leave exactly three objects in the bowl.</x:v>
      </x:c>
      <x:c r="D304" s="31" t="str">
        <x:v>ADD one table object</x:v>
      </x:c>
      <x:c r="E304" s="31" t="str">
        <x:v>Binary task success; paired with the main matched-control row.</x:v>
      </x:c>
      <x:c r="F304" s="31"/>
      <x:c r="G304" s="31"/>
      <x:c r="H304" s="31" t="str">
        <x:f>IF(OR(F304="",G304=""),"",IF(F304=G304,"Agree","Disagree"))</x:f>
      </x:c>
      <x:c r="I304" s="31"/>
      <x:c r="J304" s="31" t="str">
        <x:v>No</x:v>
      </x:c>
      <x:c r="K304" s="31" t="str"/>
      <x:c r="L304" s="31" t="str"/>
      <x:c r="M304" s="31" t="str"/>
      <x:c r="N304" s="31" t="str"/>
    </x:row>
    <x:row r="305" ht="42" customHeight="1">
      <x:c r="A305" s="35" t="n">
        <x:v>303</x:v>
      </x:c>
      <x:c r="B305" s="31" t="str">
        <x:f>IF('Execution Checklist'!Q305="","",'Execution Checklist'!Q305)</x:f>
      </x:c>
      <x:c r="C305" s="31" t="str">
        <x:v>Adjust the bowl so that it contains zero objects.</x:v>
      </x:c>
      <x:c r="D305" s="31" t="str"/>
      <x:c r="E305" s="31" t="str">
        <x:v>Binary task success using the task-specific rubric.</x:v>
      </x:c>
      <x:c r="F305" s="31"/>
      <x:c r="G305" s="31"/>
      <x:c r="H305" s="31" t="str">
        <x:f>IF(OR(F305="",G305=""),"",IF(F305=G305,"Agree","Disagree"))</x:f>
      </x:c>
      <x:c r="I305" s="31"/>
      <x:c r="J305" s="31" t="str">
        <x:v>No</x:v>
      </x:c>
      <x:c r="K305" s="31" t="str"/>
      <x:c r="L305" s="31" t="str"/>
      <x:c r="M305" s="31" t="str"/>
      <x:c r="N305" s="31" t="str"/>
    </x:row>
    <x:row r="306" ht="42" customHeight="1">
      <x:c r="A306" s="35" t="n">
        <x:v>304</x:v>
      </x:c>
      <x:c r="B306" s="31" t="str">
        <x:f>IF('Execution Checklist'!Q306="","",'Execution Checklist'!Q306)</x:f>
      </x:c>
      <x:c r="C306" s="31" t="str">
        <x:v>Put the blue pen in the bowl.</x:v>
      </x:c>
      <x:c r="D306" s="31" t="str">
        <x:v>ADD blue pen</x:v>
      </x:c>
      <x:c r="E306" s="31" t="str">
        <x:v>Binary task success; paired with the main transfer row.</x:v>
      </x:c>
      <x:c r="F306" s="31"/>
      <x:c r="G306" s="31"/>
      <x:c r="H306" s="31" t="str">
        <x:f>IF(OR(F306="",G306=""),"",IF(F306=G306,"Agree","Disagree"))</x:f>
      </x:c>
      <x:c r="I306" s="31"/>
      <x:c r="J306" s="31" t="str">
        <x:v>No</x:v>
      </x:c>
      <x:c r="K306" s="31" t="str"/>
      <x:c r="L306" s="31" t="str"/>
      <x:c r="M306" s="31" t="str"/>
      <x:c r="N306" s="31" t="str"/>
    </x:row>
    <x:row r="307" ht="42" customHeight="1">
      <x:c r="A307" s="35" t="n">
        <x:v>305</x:v>
      </x:c>
      <x:c r="B307" s="31" t="str">
        <x:f>IF('Execution Checklist'!Q307="","",'Execution Checklist'!Q307)</x:f>
      </x:c>
      <x:c r="C307" s="31" t="str">
        <x:v>Make the bowl contain exactly zero objects.</x:v>
      </x:c>
      <x:c r="D307" s="31" t="str"/>
      <x:c r="E307" s="31" t="str">
        <x:v>Binary task success using the task-specific rubric.</x:v>
      </x:c>
      <x:c r="F307" s="31"/>
      <x:c r="G307" s="31"/>
      <x:c r="H307" s="31" t="str">
        <x:f>IF(OR(F307="",G307=""),"",IF(F307=G307,"Agree","Disagree"))</x:f>
      </x:c>
      <x:c r="I307" s="31"/>
      <x:c r="J307" s="31" t="str">
        <x:v>No</x:v>
      </x:c>
      <x:c r="K307" s="31" t="str"/>
      <x:c r="L307" s="31" t="str"/>
      <x:c r="M307" s="31" t="str"/>
      <x:c r="N307" s="31" t="str"/>
    </x:row>
    <x:row r="308" ht="42" customHeight="1">
      <x:c r="A308" s="35" t="n">
        <x:v>306</x:v>
      </x:c>
      <x:c r="B308" s="31" t="str">
        <x:f>IF('Execution Checklist'!Q308="","",'Execution Checklist'!Q308)</x:f>
      </x:c>
      <x:c r="C308" s="31" t="str">
        <x:v>Leave exactly two objects in the bowl.</x:v>
      </x:c>
      <x:c r="D308" s="31" t="str">
        <x:v>yellow block</x:v>
      </x:c>
      <x:c r="E308" s="31" t="str">
        <x:v>Binary task success using the task-specific rubric.</x:v>
      </x:c>
      <x:c r="F308" s="31"/>
      <x:c r="G308" s="31"/>
      <x:c r="H308" s="31" t="str">
        <x:f>IF(OR(F308="",G308=""),"",IF(F308=G308,"Agree","Disagree"))</x:f>
      </x:c>
      <x:c r="I308" s="31"/>
      <x:c r="J308" s="31" t="str">
        <x:v>No</x:v>
      </x:c>
      <x:c r="K308" s="31" t="str"/>
      <x:c r="L308" s="31" t="str"/>
      <x:c r="M308" s="31" t="str"/>
      <x:c r="N308" s="31" t="str"/>
    </x:row>
    <x:row r="309" ht="42" customHeight="1">
      <x:c r="A309" s="35" t="n">
        <x:v>307</x:v>
      </x:c>
      <x:c r="B309" s="31" t="str">
        <x:f>IF('Execution Checklist'!Q309="","",'Execution Checklist'!Q309)</x:f>
      </x:c>
      <x:c r="C309" s="31" t="str">
        <x:v>Leave exactly one object in the bowl.</x:v>
      </x:c>
      <x:c r="D309" s="31" t="str">
        <x:v>REMOVE one bowl object</x:v>
      </x:c>
      <x:c r="E309" s="31" t="str">
        <x:v>Binary task success; paired with the main matched-control row.</x:v>
      </x:c>
      <x:c r="F309" s="31"/>
      <x:c r="G309" s="31"/>
      <x:c r="H309" s="31" t="str">
        <x:f>IF(OR(F309="",G309=""),"",IF(F309=G309,"Agree","Disagree"))</x:f>
      </x:c>
      <x:c r="I309" s="31"/>
      <x:c r="J309" s="31" t="str">
        <x:v>No</x:v>
      </x:c>
      <x:c r="K309" s="31" t="str"/>
      <x:c r="L309" s="31" t="str"/>
      <x:c r="M309" s="31" t="str"/>
      <x:c r="N309" s="31" t="str"/>
    </x:row>
    <x:row r="310" ht="42" customHeight="1">
      <x:c r="A310" s="35" t="n">
        <x:v>308</x:v>
      </x:c>
      <x:c r="B310" s="31" t="str">
        <x:f>IF('Execution Checklist'!Q310="","",'Execution Checklist'!Q310)</x:f>
      </x:c>
      <x:c r="C310" s="31" t="str">
        <x:v>Put the blue pen in the bowl.</x:v>
      </x:c>
      <x:c r="D310" s="31" t="str">
        <x:v>ADD blue pen</x:v>
      </x:c>
      <x:c r="E310" s="31" t="str">
        <x:v>Binary task success; paired with the main transfer row.</x:v>
      </x:c>
      <x:c r="F310" s="31"/>
      <x:c r="G310" s="31"/>
      <x:c r="H310" s="31" t="str">
        <x:f>IF(OR(F310="",G310=""),"",IF(F310=G310,"Agree","Disagree"))</x:f>
      </x:c>
      <x:c r="I310" s="31"/>
      <x:c r="J310" s="31" t="str">
        <x:v>No</x:v>
      </x:c>
      <x:c r="K310" s="31" t="str"/>
      <x:c r="L310" s="31" t="str"/>
      <x:c r="M310" s="31" t="str"/>
      <x:c r="N310" s="31" t="str"/>
    </x:row>
    <x:row r="311" ht="42" customHeight="1">
      <x:c r="A311" s="35" t="n">
        <x:v>309</x:v>
      </x:c>
      <x:c r="B311" s="31" t="str">
        <x:f>IF('Execution Checklist'!Q311="","",'Execution Checklist'!Q311)</x:f>
      </x:c>
      <x:c r="C311" s="31" t="str">
        <x:v>Move the airplane toy without propellers into the bowl.</x:v>
      </x:c>
      <x:c r="D311" s="31" t="str">
        <x:v>airplane toy without propellers</x:v>
      </x:c>
      <x:c r="E311" s="31" t="str">
        <x:v>Binary task success using the task-specific rubric.</x:v>
      </x:c>
      <x:c r="F311" s="31"/>
      <x:c r="G311" s="31"/>
      <x:c r="H311" s="31" t="str">
        <x:f>IF(OR(F311="",G311=""),"",IF(F311=G311,"Agree","Disagree"))</x:f>
      </x:c>
      <x:c r="I311" s="31"/>
      <x:c r="J311" s="31" t="str">
        <x:v>No</x:v>
      </x:c>
      <x:c r="K311" s="31" t="str"/>
      <x:c r="L311" s="31" t="str"/>
      <x:c r="M311" s="31" t="str"/>
      <x:c r="N311" s="31" t="str"/>
    </x:row>
    <x:row r="312" ht="42" customHeight="1">
      <x:c r="A312" s="35" t="n">
        <x:v>310</x:v>
      </x:c>
      <x:c r="B312" s="31" t="str">
        <x:f>IF('Execution Checklist'!Q312="","",'Execution Checklist'!Q312)</x:f>
      </x:c>
      <x:c r="C312" s="31" t="str">
        <x:v>Place the upright glass spice container in the bowl.</x:v>
      </x:c>
      <x:c r="D312" s="31" t="str">
        <x:v>glass spice container A</x:v>
      </x:c>
      <x:c r="E312" s="31" t="str">
        <x:v>Binary task success; paired with the main matched-control row.</x:v>
      </x:c>
      <x:c r="F312" s="31"/>
      <x:c r="G312" s="31"/>
      <x:c r="H312" s="31" t="str">
        <x:f>IF(OR(F312="",G312=""),"",IF(F312=G312,"Agree","Disagree"))</x:f>
      </x:c>
      <x:c r="I312" s="31"/>
      <x:c r="J312" s="31" t="str">
        <x:v>No</x:v>
      </x:c>
      <x:c r="K312" s="31" t="str"/>
      <x:c r="L312" s="31" t="str"/>
      <x:c r="M312" s="31" t="str"/>
      <x:c r="N312" s="31" t="str"/>
    </x:row>
    <x:row r="313" ht="42" customHeight="1">
      <x:c r="A313" s="35" t="n">
        <x:v>311</x:v>
      </x:c>
      <x:c r="B313" s="31" t="str">
        <x:f>IF('Execution Checklist'!Q313="","",'Execution Checklist'!Q313)</x:f>
      </x:c>
      <x:c r="C313" s="31" t="str">
        <x:v>Place a yellow-white striped cup in the bowl.</x:v>
      </x:c>
      <x:c r="D313" s="31" t="str">
        <x:v>yellow-white striped cup A</x:v>
      </x:c>
      <x:c r="E313" s="31" t="str">
        <x:v>Binary task success; paired with the main transfer row.</x:v>
      </x:c>
      <x:c r="F313" s="31"/>
      <x:c r="G313" s="31"/>
      <x:c r="H313" s="31" t="str">
        <x:f>IF(OR(F313="",G313=""),"",IF(F313=G313,"Agree","Disagree"))</x:f>
      </x:c>
      <x:c r="I313" s="31"/>
      <x:c r="J313" s="31" t="str">
        <x:v>No</x:v>
      </x:c>
      <x:c r="K313" s="31" t="str"/>
      <x:c r="L313" s="31" t="str"/>
      <x:c r="M313" s="31" t="str"/>
      <x:c r="N313" s="31" t="str"/>
    </x:row>
    <x:row r="314" ht="42" customHeight="1">
      <x:c r="A314" s="35" t="n">
        <x:v>312</x:v>
      </x:c>
      <x:c r="B314" s="31" t="str">
        <x:f>IF('Execution Checklist'!Q314="","",'Execution Checklist'!Q314)</x:f>
      </x:c>
      <x:c r="C314" s="31" t="str">
        <x:v>Place the open yellow-white striped cup in the bowl.</x:v>
      </x:c>
      <x:c r="D314" s="31" t="str">
        <x:v>yellow-white striped cup B</x:v>
      </x:c>
      <x:c r="E314" s="31" t="str">
        <x:v>Binary task success using the task-specific rubric.</x:v>
      </x:c>
      <x:c r="F314" s="31"/>
      <x:c r="G314" s="31"/>
      <x:c r="H314" s="31" t="str">
        <x:f>IF(OR(F314="",G314=""),"",IF(F314=G314,"Agree","Disagree"))</x:f>
      </x:c>
      <x:c r="I314" s="31"/>
      <x:c r="J314" s="31" t="str">
        <x:v>No</x:v>
      </x:c>
      <x:c r="K314" s="31" t="str"/>
      <x:c r="L314" s="31" t="str"/>
      <x:c r="M314" s="31" t="str"/>
      <x:c r="N314" s="31" t="str"/>
    </x:row>
    <x:row r="315" ht="42" customHeight="1">
      <x:c r="A315" s="35" t="n">
        <x:v>313</x:v>
      </x:c>
      <x:c r="B315" s="31" t="str">
        <x:f>IF('Execution Checklist'!Q315="","",'Execution Checklist'!Q315)</x:f>
      </x:c>
      <x:c r="C315" s="31" t="str">
        <x:v>Move the overturned glass spice container into the bowl.</x:v>
      </x:c>
      <x:c r="D315" s="31" t="str">
        <x:v>glass spice container B</x:v>
      </x:c>
      <x:c r="E315" s="31" t="str">
        <x:v>Binary task success; compare with the seen-language row sharing Pair ID.</x:v>
      </x:c>
      <x:c r="F315" s="31"/>
      <x:c r="G315" s="31"/>
      <x:c r="H315" s="31" t="str">
        <x:f>IF(OR(F315="",G315=""),"",IF(F315=G315,"Agree","Disagree"))</x:f>
      </x:c>
      <x:c r="I315" s="31"/>
      <x:c r="J315" s="31" t="str">
        <x:v>No</x:v>
      </x:c>
      <x:c r="K315" s="31" t="str"/>
      <x:c r="L315" s="31" t="str"/>
      <x:c r="M315" s="31" t="str"/>
      <x:c r="N315" s="31" t="str"/>
    </x:row>
    <x:row r="316" ht="42" customHeight="1">
      <x:c r="A316" s="35" t="n">
        <x:v>314</x:v>
      </x:c>
      <x:c r="B316" s="31" t="str">
        <x:f>IF('Execution Checklist'!Q316="","",'Execution Checklist'!Q316)</x:f>
      </x:c>
      <x:c r="C316" s="31" t="str">
        <x:v>Move the yellow-white striped cup that is open into the bowl.</x:v>
      </x:c>
      <x:c r="D316" s="31" t="str">
        <x:v>yellow-white striped cup B</x:v>
      </x:c>
      <x:c r="E316" s="31" t="str">
        <x:v>Binary task success; compare with the seen-language row sharing Pair ID.</x:v>
      </x:c>
      <x:c r="F316" s="31"/>
      <x:c r="G316" s="31"/>
      <x:c r="H316" s="31" t="str">
        <x:f>IF(OR(F316="",G316=""),"",IF(F316=G316,"Agree","Disagree"))</x:f>
      </x:c>
      <x:c r="I316" s="31"/>
      <x:c r="J316" s="31" t="str">
        <x:v>No</x:v>
      </x:c>
      <x:c r="K316" s="31" t="str"/>
      <x:c r="L316" s="31" t="str"/>
      <x:c r="M316" s="31" t="str"/>
      <x:c r="N316" s="31" t="str"/>
    </x:row>
    <x:row r="317" ht="42" customHeight="1">
      <x:c r="A317" s="35" t="n">
        <x:v>315</x:v>
      </x:c>
      <x:c r="B317" s="31" t="str">
        <x:f>IF('Execution Checklist'!Q317="","",'Execution Checklist'!Q317)</x:f>
      </x:c>
      <x:c r="C317" s="31" t="str">
        <x:v>Find the white cup that is turned upside down and move it into the bowl.</x:v>
      </x:c>
      <x:c r="D317" s="31" t="str">
        <x:v>white cup A</x:v>
      </x:c>
      <x:c r="E317" s="31" t="str">
        <x:v>Binary task success; compare with the seen-language row sharing Pair ID.</x:v>
      </x:c>
      <x:c r="F317" s="31"/>
      <x:c r="G317" s="31"/>
      <x:c r="H317" s="31" t="str">
        <x:f>IF(OR(F317="",G317=""),"",IF(F317=G317,"Agree","Disagree"))</x:f>
      </x:c>
      <x:c r="I317" s="31"/>
      <x:c r="J317" s="31" t="str">
        <x:v>No</x:v>
      </x:c>
      <x:c r="K317" s="31" t="str"/>
      <x:c r="L317" s="31" t="str"/>
      <x:c r="M317" s="31" t="str"/>
      <x:c r="N317" s="31" t="str"/>
    </x:row>
    <x:row r="318" ht="42" customHeight="1">
      <x:c r="A318" s="35" t="n">
        <x:v>316</x:v>
      </x:c>
      <x:c r="B318" s="31" t="str">
        <x:f>IF('Execution Checklist'!Q318="","",'Execution Checklist'!Q318)</x:f>
      </x:c>
      <x:c r="C318" s="31" t="str">
        <x:v>Place the open glass spice container in the bowl.</x:v>
      </x:c>
      <x:c r="D318" s="31" t="str">
        <x:v>glass spice container A</x:v>
      </x:c>
      <x:c r="E318" s="31" t="str">
        <x:v>Binary success for the counterfactual instruction and paired action-switch analysis versus the parent.</x:v>
      </x:c>
      <x:c r="F318" s="31"/>
      <x:c r="G318" s="31"/>
      <x:c r="H318" s="31" t="str">
        <x:f>IF(OR(F318="",G318=""),"",IF(F318=G318,"Agree","Disagree"))</x:f>
      </x:c>
      <x:c r="I318" s="31"/>
      <x:c r="J318" s="31" t="str">
        <x:v>No</x:v>
      </x:c>
      <x:c r="K318" s="31" t="str"/>
      <x:c r="L318" s="31" t="str"/>
      <x:c r="M318" s="31" t="str"/>
      <x:c r="N318" s="31" t="str"/>
    </x:row>
    <x:row r="319" ht="42" customHeight="1">
      <x:c r="A319" s="35" t="n">
        <x:v>317</x:v>
      </x:c>
      <x:c r="B319" s="31" t="str">
        <x:f>IF('Execution Checklist'!Q319="","",'Execution Checklist'!Q319)</x:f>
      </x:c>
      <x:c r="C319" s="31" t="str">
        <x:v>Place a glass spice container in the bowl.</x:v>
      </x:c>
      <x:c r="D319" s="31" t="str">
        <x:v>glass spice container B</x:v>
      </x:c>
      <x:c r="E319" s="31" t="str">
        <x:v>Binary task success; paired with the main transfer row.</x:v>
      </x:c>
      <x:c r="F319" s="31"/>
      <x:c r="G319" s="31"/>
      <x:c r="H319" s="31" t="str">
        <x:f>IF(OR(F319="",G319=""),"",IF(F319=G319,"Agree","Disagree"))</x:f>
      </x:c>
      <x:c r="I319" s="31"/>
      <x:c r="J319" s="31" t="str">
        <x:v>No</x:v>
      </x:c>
      <x:c r="K319" s="31" t="str"/>
      <x:c r="L319" s="31" t="str"/>
      <x:c r="M319" s="31" t="str"/>
      <x:c r="N319" s="31" t="str"/>
    </x:row>
    <x:row r="320" ht="42" customHeight="1">
      <x:c r="A320" s="35" t="n">
        <x:v>318</x:v>
      </x:c>
      <x:c r="B320" s="31" t="str">
        <x:f>IF('Execution Checklist'!Q320="","",'Execution Checklist'!Q320)</x:f>
      </x:c>
      <x:c r="C320" s="31" t="str">
        <x:v>Move a glass spice container into the bowl.</x:v>
      </x:c>
      <x:c r="D320" s="31" t="str">
        <x:v>glass spice container A</x:v>
      </x:c>
      <x:c r="E320" s="31" t="str">
        <x:v>Binary task success using the task-specific rubric.</x:v>
      </x:c>
      <x:c r="F320" s="31"/>
      <x:c r="G320" s="31"/>
      <x:c r="H320" s="31" t="str">
        <x:f>IF(OR(F320="",G320=""),"",IF(F320=G320,"Agree","Disagree"))</x:f>
      </x:c>
      <x:c r="I320" s="31"/>
      <x:c r="J320" s="31" t="str">
        <x:v>No</x:v>
      </x:c>
      <x:c r="K320" s="31" t="str"/>
      <x:c r="L320" s="31" t="str"/>
      <x:c r="M320" s="31" t="str"/>
      <x:c r="N320" s="31" t="str"/>
    </x:row>
    <x:row r="321" ht="42" customHeight="1">
      <x:c r="A321" s="35" t="n">
        <x:v>319</x:v>
      </x:c>
      <x:c r="B321" s="31" t="str">
        <x:f>IF('Execution Checklist'!Q321="","",'Execution Checklist'!Q321)</x:f>
      </x:c>
      <x:c r="C321" s="31" t="str">
        <x:v>Place a white cup in the bowl.</x:v>
      </x:c>
      <x:c r="D321" s="31" t="str">
        <x:v>white cup A</x:v>
      </x:c>
      <x:c r="E321" s="31" t="str">
        <x:v>Binary task success; paired with the main transfer row.</x:v>
      </x:c>
      <x:c r="F321" s="31"/>
      <x:c r="G321" s="31"/>
      <x:c r="H321" s="31" t="str">
        <x:f>IF(OR(F321="",G321=""),"",IF(F321=G321,"Agree","Disagree"))</x:f>
      </x:c>
      <x:c r="I321" s="31"/>
      <x:c r="J321" s="31" t="str">
        <x:v>No</x:v>
      </x:c>
      <x:c r="K321" s="31" t="str"/>
      <x:c r="L321" s="31" t="str"/>
      <x:c r="M321" s="31" t="str"/>
      <x:c r="N321" s="31" t="str"/>
    </x:row>
    <x:row r="322" ht="42" customHeight="1">
      <x:c r="A322" s="35" t="n">
        <x:v>320</x:v>
      </x:c>
      <x:c r="B322" s="31" t="str">
        <x:f>IF('Execution Checklist'!Q322="","",'Execution Checklist'!Q322)</x:f>
      </x:c>
      <x:c r="C322" s="31" t="str">
        <x:v>Place a glass spice container in the bowl.</x:v>
      </x:c>
      <x:c r="D322" s="31" t="str">
        <x:v>glass spice container A</x:v>
      </x:c>
      <x:c r="E322" s="31" t="str">
        <x:v>Binary task success; paired with the main transfer row.</x:v>
      </x:c>
      <x:c r="F322" s="31"/>
      <x:c r="G322" s="31"/>
      <x:c r="H322" s="31" t="str">
        <x:f>IF(OR(F322="",G322=""),"",IF(F322=G322,"Agree","Disagree"))</x:f>
      </x:c>
      <x:c r="I322" s="31"/>
      <x:c r="J322" s="31" t="str">
        <x:v>No</x:v>
      </x:c>
      <x:c r="K322" s="31" t="str"/>
      <x:c r="L322" s="31" t="str"/>
      <x:c r="M322" s="31" t="str"/>
      <x:c r="N322" s="31" t="str"/>
    </x:row>
    <x:row r="323" ht="42" customHeight="1">
      <x:c r="A323" s="35" t="n">
        <x:v>321</x:v>
      </x:c>
      <x:c r="B323" s="31" t="str">
        <x:f>IF('Execution Checklist'!Q323="","",'Execution Checklist'!Q323)</x:f>
      </x:c>
      <x:c r="C323" s="31" t="str">
        <x:v>Place a glass spice container in the bowl.</x:v>
      </x:c>
      <x:c r="D323" s="31" t="str">
        <x:v>glass spice container B</x:v>
      </x:c>
      <x:c r="E323" s="31" t="str">
        <x:v>Binary task success; paired with the main transfer row.</x:v>
      </x:c>
      <x:c r="F323" s="31"/>
      <x:c r="G323" s="31"/>
      <x:c r="H323" s="31" t="str">
        <x:f>IF(OR(F323="",G323=""),"",IF(F323=G323,"Agree","Disagree"))</x:f>
      </x:c>
      <x:c r="I323" s="31"/>
      <x:c r="J323" s="31" t="str">
        <x:v>No</x:v>
      </x:c>
      <x:c r="K323" s="31" t="str"/>
      <x:c r="L323" s="31" t="str"/>
      <x:c r="M323" s="31" t="str"/>
      <x:c r="N323" s="31" t="str"/>
    </x:row>
    <x:row r="324" ht="42" customHeight="1">
      <x:c r="A324" s="35" t="n">
        <x:v>322</x:v>
      </x:c>
      <x:c r="B324" s="31" t="str">
        <x:f>IF('Execution Checklist'!Q324="","",'Execution Checklist'!Q324)</x:f>
      </x:c>
      <x:c r="C324" s="31" t="str">
        <x:v>Place the closed white cup in the bowl.</x:v>
      </x:c>
      <x:c r="D324" s="31" t="str">
        <x:v>white cup A</x:v>
      </x:c>
      <x:c r="E324" s="31" t="str">
        <x:v>Binary task success; paired with the main matched-control row.</x:v>
      </x:c>
      <x:c r="F324" s="31"/>
      <x:c r="G324" s="31"/>
      <x:c r="H324" s="31" t="str">
        <x:f>IF(OR(F324="",G324=""),"",IF(F324=G324,"Agree","Disagree"))</x:f>
      </x:c>
      <x:c r="I324" s="31"/>
      <x:c r="J324" s="31" t="str">
        <x:v>No</x:v>
      </x:c>
      <x:c r="K324" s="31" t="str"/>
      <x:c r="L324" s="31" t="str"/>
      <x:c r="M324" s="31" t="str"/>
      <x:c r="N324" s="31" t="str"/>
    </x:row>
    <x:row r="325" ht="42" customHeight="1">
      <x:c r="A325" s="35" t="n">
        <x:v>323</x:v>
      </x:c>
      <x:c r="B325" s="31" t="str">
        <x:f>IF('Execution Checklist'!Q325="","",'Execution Checklist'!Q325)</x:f>
      </x:c>
      <x:c r="C325" s="31" t="str">
        <x:v>Place the closed white cup in the bowl.</x:v>
      </x:c>
      <x:c r="D325" s="31" t="str">
        <x:v>white cup A</x:v>
      </x:c>
      <x:c r="E325" s="31" t="str">
        <x:v>Binary task success; paired with the main matched-control row.</x:v>
      </x:c>
      <x:c r="F325" s="31"/>
      <x:c r="G325" s="31"/>
      <x:c r="H325" s="31" t="str">
        <x:f>IF(OR(F325="",G325=""),"",IF(F325=G325,"Agree","Disagree"))</x:f>
      </x:c>
      <x:c r="I325" s="31"/>
      <x:c r="J325" s="31" t="str">
        <x:v>No</x:v>
      </x:c>
      <x:c r="K325" s="31" t="str"/>
      <x:c r="L325" s="31" t="str"/>
      <x:c r="M325" s="31" t="str"/>
      <x:c r="N325" s="31" t="str"/>
    </x:row>
    <x:row r="326" ht="42" customHeight="1">
      <x:c r="A326" s="35" t="n">
        <x:v>324</x:v>
      </x:c>
      <x:c r="B326" s="31" t="str">
        <x:f>IF('Execution Checklist'!Q326="","",'Execution Checklist'!Q326)</x:f>
      </x:c>
      <x:c r="C326" s="31" t="str">
        <x:v>Place the open white cup in the bowl.</x:v>
      </x:c>
      <x:c r="D326" s="31" t="str">
        <x:v>white cup B</x:v>
      </x:c>
      <x:c r="E326" s="31" t="str">
        <x:v>Binary task success using the task-specific rubric.</x:v>
      </x:c>
      <x:c r="F326" s="31"/>
      <x:c r="G326" s="31"/>
      <x:c r="H326" s="31" t="str">
        <x:f>IF(OR(F326="",G326=""),"",IF(F326=G326,"Agree","Disagree"))</x:f>
      </x:c>
      <x:c r="I326" s="31"/>
      <x:c r="J326" s="31" t="str">
        <x:v>No</x:v>
      </x:c>
      <x:c r="K326" s="31" t="str"/>
      <x:c r="L326" s="31" t="str"/>
      <x:c r="M326" s="31" t="str"/>
      <x:c r="N326" s="31" t="str"/>
    </x:row>
    <x:row r="327" ht="42" customHeight="1">
      <x:c r="A327" s="35" t="n">
        <x:v>325</x:v>
      </x:c>
      <x:c r="B327" s="31" t="str">
        <x:f>IF('Execution Checklist'!Q327="","",'Execution Checklist'!Q327)</x:f>
      </x:c>
      <x:c r="C327" s="31" t="str">
        <x:v>Place the upright brown cup in the bowl.</x:v>
      </x:c>
      <x:c r="D327" s="31" t="str">
        <x:v>brown cup B</x:v>
      </x:c>
      <x:c r="E327" s="31" t="str">
        <x:v>Binary task success; paired with the main matched-control row.</x:v>
      </x:c>
      <x:c r="F327" s="31"/>
      <x:c r="G327" s="31"/>
      <x:c r="H327" s="31" t="str">
        <x:f>IF(OR(F327="",G327=""),"",IF(F327=G327,"Agree","Disagree"))</x:f>
      </x:c>
      <x:c r="I327" s="31"/>
      <x:c r="J327" s="31" t="str">
        <x:v>No</x:v>
      </x:c>
      <x:c r="K327" s="31" t="str"/>
      <x:c r="L327" s="31" t="str"/>
      <x:c r="M327" s="31" t="str"/>
      <x:c r="N327" s="31" t="str"/>
    </x:row>
    <x:row r="328" ht="42" customHeight="1">
      <x:c r="A328" s="35" t="n">
        <x:v>326</x:v>
      </x:c>
      <x:c r="B328" s="31" t="str">
        <x:f>IF('Execution Checklist'!Q328="","",'Execution Checklist'!Q328)</x:f>
      </x:c>
      <x:c r="C328" s="31" t="str">
        <x:v>Place the closed brown cup in the bowl.</x:v>
      </x:c>
      <x:c r="D328" s="31" t="str">
        <x:v>No prespecified task success under blank language; record any action/selected target.</x:v>
      </x:c>
      <x:c r="E328" s="31" t="str">
        <x:v>Do not score ordinary task success. Record action occurrence and agreement with the parent correct-prompt rollout.</x:v>
      </x:c>
      <x:c r="F328" s="31"/>
      <x:c r="G328" s="31"/>
      <x:c r="H328" s="31" t="str">
        <x:f>IF(OR(F328="",G328=""),"",IF(F328=G328,"Agree","Disagree"))</x:f>
      </x:c>
      <x:c r="I328" s="31"/>
      <x:c r="J328" s="31" t="str">
        <x:v>No</x:v>
      </x:c>
      <x:c r="K328" s="31" t="str"/>
      <x:c r="L328" s="31" t="str"/>
      <x:c r="M328" s="31" t="str"/>
      <x:c r="N328" s="31" t="str"/>
    </x:row>
    <x:row r="329" ht="42" customHeight="1">
      <x:c r="A329" s="35" t="n">
        <x:v>327</x:v>
      </x:c>
      <x:c r="B329" s="31" t="str">
        <x:f>IF('Execution Checklist'!Q329="","",'Execution Checklist'!Q329)</x:f>
      </x:c>
      <x:c r="C329" s="31" t="str">
        <x:v>Place a yellow-white striped cup in the bowl.</x:v>
      </x:c>
      <x:c r="D329" s="31" t="str">
        <x:v>yellow-white striped cup B</x:v>
      </x:c>
      <x:c r="E329" s="31" t="str">
        <x:v>Binary task success; paired with the main transfer row.</x:v>
      </x:c>
      <x:c r="F329" s="31"/>
      <x:c r="G329" s="31"/>
      <x:c r="H329" s="31" t="str">
        <x:f>IF(OR(F329="",G329=""),"",IF(F329=G329,"Agree","Disagree"))</x:f>
      </x:c>
      <x:c r="I329" s="31"/>
      <x:c r="J329" s="31" t="str">
        <x:v>No</x:v>
      </x:c>
      <x:c r="K329" s="31" t="str"/>
      <x:c r="L329" s="31" t="str"/>
      <x:c r="M329" s="31" t="str"/>
      <x:c r="N329" s="31" t="str"/>
    </x:row>
    <x:row r="330" ht="42" customHeight="1">
      <x:c r="A330" s="35" t="n">
        <x:v>328</x:v>
      </x:c>
      <x:c r="B330" s="31" t="str">
        <x:f>IF('Execution Checklist'!Q330="","",'Execution Checklist'!Q330)</x:f>
      </x:c>
      <x:c r="C330" s="31" t="str">
        <x:v>Place the closed glass spice container in the bowl.</x:v>
      </x:c>
      <x:c r="D330" s="31" t="str">
        <x:v>No prespecified task success under blank language; record any action/selected target.</x:v>
      </x:c>
      <x:c r="E330" s="31" t="str">
        <x:v>Do not score ordinary task success. Record action occurrence and agreement with the parent correct-prompt rollout.</x:v>
      </x:c>
      <x:c r="F330" s="31"/>
      <x:c r="G330" s="31"/>
      <x:c r="H330" s="31" t="str">
        <x:f>IF(OR(F330="",G330=""),"",IF(F330=G330,"Agree","Disagree"))</x:f>
      </x:c>
      <x:c r="I330" s="31"/>
      <x:c r="J330" s="31" t="str">
        <x:v>No</x:v>
      </x:c>
      <x:c r="K330" s="31" t="str"/>
      <x:c r="L330" s="31" t="str"/>
      <x:c r="M330" s="31" t="str"/>
      <x:c r="N330" s="31" t="str"/>
    </x:row>
    <x:row r="331" ht="42" customHeight="1">
      <x:c r="A331" s="35" t="n">
        <x:v>329</x:v>
      </x:c>
      <x:c r="B331" s="31" t="str">
        <x:f>IF('Execution Checklist'!Q331="","",'Execution Checklist'!Q331)</x:f>
      </x:c>
      <x:c r="C331" s="31" t="str">
        <x:v>Place a glass spice container in the bowl.</x:v>
      </x:c>
      <x:c r="D331" s="31" t="str">
        <x:v>glass spice container A</x:v>
      </x:c>
      <x:c r="E331" s="31" t="str">
        <x:v>Binary task success; paired with the main transfer row.</x:v>
      </x:c>
      <x:c r="F331" s="31"/>
      <x:c r="G331" s="31"/>
      <x:c r="H331" s="31" t="str">
        <x:f>IF(OR(F331="",G331=""),"",IF(F331=G331,"Agree","Disagree"))</x:f>
      </x:c>
      <x:c r="I331" s="31"/>
      <x:c r="J331" s="31" t="str">
        <x:v>No</x:v>
      </x:c>
      <x:c r="K331" s="31" t="str"/>
      <x:c r="L331" s="31" t="str"/>
      <x:c r="M331" s="31" t="str"/>
      <x:c r="N331" s="31" t="str"/>
    </x:row>
    <x:row r="332" ht="42" customHeight="1">
      <x:c r="A332" s="35" t="n">
        <x:v>330</x:v>
      </x:c>
      <x:c r="B332" s="31" t="str">
        <x:f>IF('Execution Checklist'!Q332="","",'Execution Checklist'!Q332)</x:f>
      </x:c>
      <x:c r="C332" s="31" t="str">
        <x:v>Move the overturned white cup into the bowl.</x:v>
      </x:c>
      <x:c r="D332" s="31" t="str">
        <x:v>white cup A</x:v>
      </x:c>
      <x:c r="E332" s="31" t="str">
        <x:v>Binary task success; compare with the seen-language row sharing Pair ID.</x:v>
      </x:c>
      <x:c r="F332" s="31"/>
      <x:c r="G332" s="31"/>
      <x:c r="H332" s="31" t="str">
        <x:f>IF(OR(F332="",G332=""),"",IF(F332=G332,"Agree","Disagree"))</x:f>
      </x:c>
      <x:c r="I332" s="31"/>
      <x:c r="J332" s="31" t="str">
        <x:v>No</x:v>
      </x:c>
      <x:c r="K332" s="31" t="str"/>
      <x:c r="L332" s="31" t="str"/>
      <x:c r="M332" s="31" t="str"/>
      <x:c r="N332" s="31" t="str"/>
    </x:row>
    <x:row r="333" ht="42" customHeight="1">
      <x:c r="A333" s="35" t="n">
        <x:v>331</x:v>
      </x:c>
      <x:c r="B333" s="31" t="str">
        <x:f>IF('Execution Checklist'!Q333="","",'Execution Checklist'!Q333)</x:f>
      </x:c>
      <x:c r="C333" s="31" t="str">
        <x:v>Put the inverted white cup into the bowl.</x:v>
      </x:c>
      <x:c r="D333" s="31" t="str">
        <x:v>white cup A</x:v>
      </x:c>
      <x:c r="E333" s="31" t="str">
        <x:v>Binary task success; compare with the seen-language row sharing Pair ID.</x:v>
      </x:c>
      <x:c r="F333" s="31"/>
      <x:c r="G333" s="31"/>
      <x:c r="H333" s="31" t="str">
        <x:f>IF(OR(F333="",G333=""),"",IF(F333=G333,"Agree","Disagree"))</x:f>
      </x:c>
      <x:c r="I333" s="31"/>
      <x:c r="J333" s="31" t="str">
        <x:v>No</x:v>
      </x:c>
      <x:c r="K333" s="31" t="str"/>
      <x:c r="L333" s="31" t="str"/>
      <x:c r="M333" s="31" t="str"/>
      <x:c r="N333" s="31" t="str"/>
    </x:row>
    <x:row r="334" ht="42" customHeight="1">
      <x:c r="A334" s="35" t="n">
        <x:v>332</x:v>
      </x:c>
      <x:c r="B334" s="31" t="str">
        <x:f>IF('Execution Checklist'!Q334="","",'Execution Checklist'!Q334)</x:f>
      </x:c>
      <x:c r="C334" s="31" t="str">
        <x:v>Place the upside-down white cup in the bowl.</x:v>
      </x:c>
      <x:c r="D334" s="31" t="str">
        <x:v>white cup A</x:v>
      </x:c>
      <x:c r="E334" s="31" t="str">
        <x:v>Binary task success using the task-specific rubric.</x:v>
      </x:c>
      <x:c r="F334" s="31"/>
      <x:c r="G334" s="31"/>
      <x:c r="H334" s="31" t="str">
        <x:f>IF(OR(F334="",G334=""),"",IF(F334=G334,"Agree","Disagree"))</x:f>
      </x:c>
      <x:c r="I334" s="31"/>
      <x:c r="J334" s="31" t="str">
        <x:v>No</x:v>
      </x:c>
      <x:c r="K334" s="31" t="str"/>
      <x:c r="L334" s="31" t="str"/>
      <x:c r="M334" s="31" t="str"/>
      <x:c r="N334" s="31" t="str"/>
    </x:row>
    <x:row r="335" ht="42" customHeight="1">
      <x:c r="A335" s="35" t="n">
        <x:v>333</x:v>
      </x:c>
      <x:c r="B335" s="31" t="str">
        <x:f>IF('Execution Checklist'!Q335="","",'Execution Checklist'!Q335)</x:f>
      </x:c>
      <x:c r="C335" s="31" t="str">
        <x:v>Place a white cup in the bowl.</x:v>
      </x:c>
      <x:c r="D335" s="31" t="str">
        <x:v>white cup B</x:v>
      </x:c>
      <x:c r="E335" s="31" t="str">
        <x:v>Binary task success; paired with the main transfer row.</x:v>
      </x:c>
      <x:c r="F335" s="31"/>
      <x:c r="G335" s="31"/>
      <x:c r="H335" s="31" t="str">
        <x:f>IF(OR(F335="",G335=""),"",IF(F335=G335,"Agree","Disagree"))</x:f>
      </x:c>
      <x:c r="I335" s="31"/>
      <x:c r="J335" s="31" t="str">
        <x:v>No</x:v>
      </x:c>
      <x:c r="K335" s="31" t="str"/>
      <x:c r="L335" s="31" t="str"/>
      <x:c r="M335" s="31" t="str"/>
      <x:c r="N335" s="31" t="str"/>
    </x:row>
    <x:row r="336" ht="42" customHeight="1">
      <x:c r="A336" s="35" t="n">
        <x:v>334</x:v>
      </x:c>
      <x:c r="B336" s="31" t="str">
        <x:f>IF('Execution Checklist'!Q336="","",'Execution Checklist'!Q336)</x:f>
      </x:c>
      <x:c r="C336" s="31" t="str">
        <x:v>Place the upside-down white cup in the bowl.</x:v>
      </x:c>
      <x:c r="D336" s="31" t="str">
        <x:v>white cup A</x:v>
      </x:c>
      <x:c r="E336" s="31" t="str">
        <x:v>Binary task success using the task-specific rubric.</x:v>
      </x:c>
      <x:c r="F336" s="31"/>
      <x:c r="G336" s="31"/>
      <x:c r="H336" s="31" t="str">
        <x:f>IF(OR(F336="",G336=""),"",IF(F336=G336,"Agree","Disagree"))</x:f>
      </x:c>
      <x:c r="I336" s="31"/>
      <x:c r="J336" s="31" t="str">
        <x:v>No</x:v>
      </x:c>
      <x:c r="K336" s="31" t="str"/>
      <x:c r="L336" s="31" t="str"/>
      <x:c r="M336" s="31" t="str"/>
      <x:c r="N336" s="31" t="str"/>
    </x:row>
    <x:row r="337" ht="42" customHeight="1">
      <x:c r="A337" s="35" t="n">
        <x:v>335</x:v>
      </x:c>
      <x:c r="B337" s="31" t="str">
        <x:f>IF('Execution Checklist'!Q337="","",'Execution Checklist'!Q337)</x:f>
      </x:c>
      <x:c r="C337" s="31" t="str">
        <x:v>Place the closed yellow-white striped cup in the bowl.</x:v>
      </x:c>
      <x:c r="D337" s="31" t="str">
        <x:v>No prespecified task success under blank language; record any action/selected target.</x:v>
      </x:c>
      <x:c r="E337" s="31" t="str">
        <x:v>Do not score ordinary task success. Record action occurrence and agreement with the parent correct-prompt rollout.</x:v>
      </x:c>
      <x:c r="F337" s="31"/>
      <x:c r="G337" s="31"/>
      <x:c r="H337" s="31" t="str">
        <x:f>IF(OR(F337="",G337=""),"",IF(F337=G337,"Agree","Disagree"))</x:f>
      </x:c>
      <x:c r="I337" s="31"/>
      <x:c r="J337" s="31" t="str">
        <x:v>No</x:v>
      </x:c>
      <x:c r="K337" s="31" t="str"/>
      <x:c r="L337" s="31" t="str"/>
      <x:c r="M337" s="31" t="str"/>
      <x:c r="N337" s="31" t="str"/>
    </x:row>
    <x:row r="338" ht="42" customHeight="1">
      <x:c r="A338" s="35" t="n">
        <x:v>336</x:v>
      </x:c>
      <x:c r="B338" s="31" t="str">
        <x:f>IF('Execution Checklist'!Q338="","",'Execution Checklist'!Q338)</x:f>
      </x:c>
      <x:c r="C338" s="31" t="str">
        <x:v>Place a yellow-white striped cup in the bowl.</x:v>
      </x:c>
      <x:c r="D338" s="31" t="str">
        <x:v>yellow-white striped cup B</x:v>
      </x:c>
      <x:c r="E338" s="31" t="str">
        <x:v>Binary task success; paired with the main transfer row.</x:v>
      </x:c>
      <x:c r="F338" s="31"/>
      <x:c r="G338" s="31"/>
      <x:c r="H338" s="31" t="str">
        <x:f>IF(OR(F338="",G338=""),"",IF(F338=G338,"Agree","Disagree"))</x:f>
      </x:c>
      <x:c r="I338" s="31"/>
      <x:c r="J338" s="31" t="str">
        <x:v>No</x:v>
      </x:c>
      <x:c r="K338" s="31" t="str"/>
      <x:c r="L338" s="31" t="str"/>
      <x:c r="M338" s="31" t="str"/>
      <x:c r="N338" s="31" t="str"/>
    </x:row>
    <x:row r="339" ht="42" customHeight="1">
      <x:c r="A339" s="35" t="n">
        <x:v>337</x:v>
      </x:c>
      <x:c r="B339" s="31" t="str">
        <x:f>IF('Execution Checklist'!Q339="","",'Execution Checklist'!Q339)</x:f>
      </x:c>
      <x:c r="C339" s="31" t="str">
        <x:v>Place the open white cup in the bowl.</x:v>
      </x:c>
      <x:c r="D339" s="31" t="str">
        <x:v>white cup B</x:v>
      </x:c>
      <x:c r="E339" s="31" t="str">
        <x:v>Binary task success using the task-specific rubric.</x:v>
      </x:c>
      <x:c r="F339" s="31"/>
      <x:c r="G339" s="31"/>
      <x:c r="H339" s="31" t="str">
        <x:f>IF(OR(F339="",G339=""),"",IF(F339=G339,"Agree","Disagree"))</x:f>
      </x:c>
      <x:c r="I339" s="31"/>
      <x:c r="J339" s="31" t="str">
        <x:v>No</x:v>
      </x:c>
      <x:c r="K339" s="31" t="str"/>
      <x:c r="L339" s="31" t="str"/>
      <x:c r="M339" s="31" t="str"/>
      <x:c r="N339" s="31" t="str"/>
    </x:row>
    <x:row r="340" ht="42" customHeight="1">
      <x:c r="A340" s="35" t="n">
        <x:v>338</x:v>
      </x:c>
      <x:c r="B340" s="31" t="str">
        <x:f>IF('Execution Checklist'!Q340="","",'Execution Checklist'!Q340)</x:f>
      </x:c>
      <x:c r="C340" s="31" t="str">
        <x:v>Place the closed yellow-white striped cup in the bowl.</x:v>
      </x:c>
      <x:c r="D340" s="31" t="str">
        <x:v>yellow-white striped cup A</x:v>
      </x:c>
      <x:c r="E340" s="31" t="str">
        <x:v>Binary task success; paired with the main matched-control row.</x:v>
      </x:c>
      <x:c r="F340" s="31"/>
      <x:c r="G340" s="31"/>
      <x:c r="H340" s="31" t="str">
        <x:f>IF(OR(F340="",G340=""),"",IF(F340=G340,"Agree","Disagree"))</x:f>
      </x:c>
      <x:c r="I340" s="31"/>
      <x:c r="J340" s="31" t="str">
        <x:v>No</x:v>
      </x:c>
      <x:c r="K340" s="31" t="str"/>
      <x:c r="L340" s="31" t="str"/>
      <x:c r="M340" s="31" t="str"/>
      <x:c r="N340" s="31" t="str"/>
    </x:row>
    <x:row r="341" ht="42" customHeight="1">
      <x:c r="A341" s="35" t="n">
        <x:v>339</x:v>
      </x:c>
      <x:c r="B341" s="31" t="str">
        <x:f>IF('Execution Checklist'!Q341="","",'Execution Checklist'!Q341)</x:f>
      </x:c>
      <x:c r="C341" s="31" t="str">
        <x:v>Place the closed glass spice container in the bowl.</x:v>
      </x:c>
      <x:c r="D341" s="31" t="str">
        <x:v>glass spice container B</x:v>
      </x:c>
      <x:c r="E341" s="31" t="str">
        <x:v>Binary task success; paired with the main matched-control row.</x:v>
      </x:c>
      <x:c r="F341" s="31"/>
      <x:c r="G341" s="31"/>
      <x:c r="H341" s="31" t="str">
        <x:f>IF(OR(F341="",G341=""),"",IF(F341=G341,"Agree","Disagree"))</x:f>
      </x:c>
      <x:c r="I341" s="31"/>
      <x:c r="J341" s="31" t="str">
        <x:v>No</x:v>
      </x:c>
      <x:c r="K341" s="31" t="str"/>
      <x:c r="L341" s="31" t="str"/>
      <x:c r="M341" s="31" t="str"/>
      <x:c r="N341" s="31" t="str"/>
    </x:row>
    <x:row r="342" ht="42" customHeight="1">
      <x:c r="A342" s="35" t="n">
        <x:v>340</x:v>
      </x:c>
      <x:c r="B342" s="31" t="str">
        <x:f>IF('Execution Checklist'!Q342="","",'Execution Checklist'!Q342)</x:f>
      </x:c>
      <x:c r="C342" s="31" t="str">
        <x:v>Place the upside-down glass spice container in the bowl.</x:v>
      </x:c>
      <x:c r="D342" s="31" t="str">
        <x:v>glass spice container B</x:v>
      </x:c>
      <x:c r="E342" s="31" t="str">
        <x:v>Binary task success using the task-specific rubric.</x:v>
      </x:c>
      <x:c r="F342" s="31"/>
      <x:c r="G342" s="31"/>
      <x:c r="H342" s="31" t="str">
        <x:f>IF(OR(F342="",G342=""),"",IF(F342=G342,"Agree","Disagree"))</x:f>
      </x:c>
      <x:c r="I342" s="31"/>
      <x:c r="J342" s="31" t="str">
        <x:v>No</x:v>
      </x:c>
      <x:c r="K342" s="31" t="str"/>
      <x:c r="L342" s="31" t="str"/>
      <x:c r="M342" s="31" t="str"/>
      <x:c r="N342" s="31" t="str"/>
    </x:row>
    <x:row r="343" ht="42" customHeight="1">
      <x:c r="A343" s="35" t="n">
        <x:v>341</x:v>
      </x:c>
      <x:c r="B343" s="31" t="str">
        <x:f>IF('Execution Checklist'!Q343="","",'Execution Checklist'!Q343)</x:f>
      </x:c>
      <x:c r="C343" s="31" t="str">
        <x:v>Place the upright glass spice container in the bowl.</x:v>
      </x:c>
      <x:c r="D343" s="31" t="str">
        <x:v>glass spice container A</x:v>
      </x:c>
      <x:c r="E343" s="31" t="str">
        <x:v>Binary task success; paired with the main matched-control row.</x:v>
      </x:c>
      <x:c r="F343" s="31"/>
      <x:c r="G343" s="31"/>
      <x:c r="H343" s="31" t="str">
        <x:f>IF(OR(F343="",G343=""),"",IF(F343=G343,"Agree","Disagree"))</x:f>
      </x:c>
      <x:c r="I343" s="31"/>
      <x:c r="J343" s="31" t="str">
        <x:v>No</x:v>
      </x:c>
      <x:c r="K343" s="31" t="str"/>
      <x:c r="L343" s="31" t="str"/>
      <x:c r="M343" s="31" t="str"/>
      <x:c r="N343" s="31" t="str"/>
    </x:row>
    <x:row r="344" ht="42" customHeight="1">
      <x:c r="A344" s="35" t="n">
        <x:v>342</x:v>
      </x:c>
      <x:c r="B344" s="31" t="str">
        <x:f>IF('Execution Checklist'!Q344="","",'Execution Checklist'!Q344)</x:f>
      </x:c>
      <x:c r="C344" s="31" t="str">
        <x:v>Place the open white cup in the bowl.</x:v>
      </x:c>
      <x:c r="D344" s="31" t="str">
        <x:v>white cup B</x:v>
      </x:c>
      <x:c r="E344" s="31" t="str">
        <x:v>Binary success for the counterfactual instruction and paired action-switch analysis versus the parent.</x:v>
      </x:c>
      <x:c r="F344" s="31"/>
      <x:c r="G344" s="31"/>
      <x:c r="H344" s="31" t="str">
        <x:f>IF(OR(F344="",G344=""),"",IF(F344=G344,"Agree","Disagree"))</x:f>
      </x:c>
      <x:c r="I344" s="31"/>
      <x:c r="J344" s="31" t="str">
        <x:v>No</x:v>
      </x:c>
      <x:c r="K344" s="31" t="str"/>
      <x:c r="L344" s="31" t="str"/>
      <x:c r="M344" s="31" t="str"/>
      <x:c r="N344" s="31" t="str"/>
    </x:row>
    <x:row r="345" ht="42" customHeight="1">
      <x:c r="A345" s="35" t="n">
        <x:v>343</x:v>
      </x:c>
      <x:c r="B345" s="31" t="str">
        <x:f>IF('Execution Checklist'!Q345="","",'Execution Checklist'!Q345)</x:f>
      </x:c>
      <x:c r="C345" s="31" t="str">
        <x:v>Place the closed brown cup in the bowl.</x:v>
      </x:c>
      <x:c r="D345" s="31" t="str">
        <x:v>brown cup A</x:v>
      </x:c>
      <x:c r="E345" s="31" t="str">
        <x:v>Binary task success; paired with the main matched-control row.</x:v>
      </x:c>
      <x:c r="F345" s="31"/>
      <x:c r="G345" s="31"/>
      <x:c r="H345" s="31" t="str">
        <x:f>IF(OR(F345="",G345=""),"",IF(F345=G345,"Agree","Disagree"))</x:f>
      </x:c>
      <x:c r="I345" s="31"/>
      <x:c r="J345" s="31" t="str">
        <x:v>No</x:v>
      </x:c>
      <x:c r="K345" s="31" t="str"/>
      <x:c r="L345" s="31" t="str"/>
      <x:c r="M345" s="31" t="str"/>
      <x:c r="N345" s="31" t="str"/>
    </x:row>
    <x:row r="346" ht="42" customHeight="1">
      <x:c r="A346" s="35" t="n">
        <x:v>344</x:v>
      </x:c>
      <x:c r="B346" s="31" t="str">
        <x:f>IF('Execution Checklist'!Q346="","",'Execution Checklist'!Q346)</x:f>
      </x:c>
      <x:c r="C346" s="31" t="str">
        <x:v>Place the closed white cup in the bowl.</x:v>
      </x:c>
      <x:c r="D346" s="31" t="str">
        <x:v>No prespecified task success under blank language; record any action/selected target.</x:v>
      </x:c>
      <x:c r="E346" s="31" t="str">
        <x:v>Do not score ordinary task success. Record action occurrence and agreement with the parent correct-prompt rollout.</x:v>
      </x:c>
      <x:c r="F346" s="31"/>
      <x:c r="G346" s="31"/>
      <x:c r="H346" s="31" t="str">
        <x:f>IF(OR(F346="",G346=""),"",IF(F346=G346,"Agree","Disagree"))</x:f>
      </x:c>
      <x:c r="I346" s="31"/>
      <x:c r="J346" s="31" t="str">
        <x:v>No</x:v>
      </x:c>
      <x:c r="K346" s="31" t="str"/>
      <x:c r="L346" s="31" t="str"/>
      <x:c r="M346" s="31" t="str"/>
      <x:c r="N346" s="31" t="str"/>
    </x:row>
    <x:row r="347" ht="42" customHeight="1">
      <x:c r="A347" s="35" t="n">
        <x:v>345</x:v>
      </x:c>
      <x:c r="B347" s="31" t="str">
        <x:f>IF('Execution Checklist'!Q347="","",'Execution Checklist'!Q347)</x:f>
      </x:c>
      <x:c r="C347" s="31" t="str">
        <x:v>Place a brown cup in the bowl.</x:v>
      </x:c>
      <x:c r="D347" s="31" t="str">
        <x:v>brown cup A</x:v>
      </x:c>
      <x:c r="E347" s="31" t="str">
        <x:v>Binary task success; paired with the main transfer row.</x:v>
      </x:c>
      <x:c r="F347" s="31"/>
      <x:c r="G347" s="31"/>
      <x:c r="H347" s="31" t="str">
        <x:f>IF(OR(F347="",G347=""),"",IF(F347=G347,"Agree","Disagree"))</x:f>
      </x:c>
      <x:c r="I347" s="31"/>
      <x:c r="J347" s="31" t="str">
        <x:v>No</x:v>
      </x:c>
      <x:c r="K347" s="31" t="str"/>
      <x:c r="L347" s="31" t="str"/>
      <x:c r="M347" s="31" t="str"/>
      <x:c r="N347" s="31" t="str"/>
    </x:row>
    <x:row r="348" ht="42" customHeight="1">
      <x:c r="A348" s="35" t="n">
        <x:v>346</x:v>
      </x:c>
      <x:c r="B348" s="31" t="str">
        <x:f>IF('Execution Checklist'!Q348="","",'Execution Checklist'!Q348)</x:f>
      </x:c>
      <x:c r="C348" s="31" t="str">
        <x:v>Move the white cup that is open into the bowl.</x:v>
      </x:c>
      <x:c r="D348" s="31" t="str">
        <x:v>white cup B</x:v>
      </x:c>
      <x:c r="E348" s="31" t="str">
        <x:v>Binary task success; compare with the seen-language row sharing Pair ID.</x:v>
      </x:c>
      <x:c r="F348" s="31"/>
      <x:c r="G348" s="31"/>
      <x:c r="H348" s="31" t="str">
        <x:f>IF(OR(F348="",G348=""),"",IF(F348=G348,"Agree","Disagree"))</x:f>
      </x:c>
      <x:c r="I348" s="31"/>
      <x:c r="J348" s="31" t="str">
        <x:v>No</x:v>
      </x:c>
      <x:c r="K348" s="31" t="str"/>
      <x:c r="L348" s="31" t="str"/>
      <x:c r="M348" s="31" t="str"/>
      <x:c r="N348" s="31" t="str"/>
    </x:row>
    <x:row r="349" ht="42" customHeight="1">
      <x:c r="A349" s="35" t="n">
        <x:v>347</x:v>
      </x:c>
      <x:c r="B349" s="31" t="str">
        <x:f>IF('Execution Checklist'!Q349="","",'Execution Checklist'!Q349)</x:f>
      </x:c>
      <x:c r="C349" s="31" t="str">
        <x:v>Place the closed yellow-white striped cup in the bowl.</x:v>
      </x:c>
      <x:c r="D349" s="31" t="str">
        <x:v>yellow-white striped cup A</x:v>
      </x:c>
      <x:c r="E349" s="31" t="str">
        <x:v>Binary task success; paired with the main matched-control row.</x:v>
      </x:c>
      <x:c r="F349" s="31"/>
      <x:c r="G349" s="31"/>
      <x:c r="H349" s="31" t="str">
        <x:f>IF(OR(F349="",G349=""),"",IF(F349=G349,"Agree","Disagree"))</x:f>
      </x:c>
      <x:c r="I349" s="31"/>
      <x:c r="J349" s="31" t="str">
        <x:v>No</x:v>
      </x:c>
      <x:c r="K349" s="31" t="str"/>
      <x:c r="L349" s="31" t="str"/>
      <x:c r="M349" s="31" t="str"/>
      <x:c r="N349" s="31" t="str"/>
    </x:row>
    <x:row r="350" ht="42" customHeight="1">
      <x:c r="A350" s="35" t="n">
        <x:v>348</x:v>
      </x:c>
      <x:c r="B350" s="31" t="str">
        <x:f>IF('Execution Checklist'!Q350="","",'Execution Checklist'!Q350)</x:f>
      </x:c>
      <x:c r="C350" s="31" t="str">
        <x:v>Put the open white cup in the bowl.</x:v>
      </x:c>
      <x:c r="D350" s="31" t="str">
        <x:v>white cup B</x:v>
      </x:c>
      <x:c r="E350" s="31" t="str">
        <x:v>Binary task success; compare with the seen-language row sharing Pair ID.</x:v>
      </x:c>
      <x:c r="F350" s="31"/>
      <x:c r="G350" s="31"/>
      <x:c r="H350" s="31" t="str">
        <x:f>IF(OR(F350="",G350=""),"",IF(F350=G350,"Agree","Disagree"))</x:f>
      </x:c>
      <x:c r="I350" s="31"/>
      <x:c r="J350" s="31" t="str">
        <x:v>No</x:v>
      </x:c>
      <x:c r="K350" s="31" t="str"/>
      <x:c r="L350" s="31" t="str"/>
      <x:c r="M350" s="31" t="str"/>
      <x:c r="N350" s="31" t="str"/>
    </x:row>
    <x:row r="351" ht="42" customHeight="1">
      <x:c r="A351" s="35" t="n">
        <x:v>349</x:v>
      </x:c>
      <x:c r="B351" s="31" t="str">
        <x:f>IF('Execution Checklist'!Q351="","",'Execution Checklist'!Q351)</x:f>
      </x:c>
      <x:c r="C351" s="31" t="str">
        <x:v>Place the upright yellow-white striped cup in the bowl.</x:v>
      </x:c>
      <x:c r="D351" s="31" t="str">
        <x:v>yellow-white striped cup B</x:v>
      </x:c>
      <x:c r="E351" s="31" t="str">
        <x:v>Binary task success; paired with the main matched-control row.</x:v>
      </x:c>
      <x:c r="F351" s="31"/>
      <x:c r="G351" s="31"/>
      <x:c r="H351" s="31" t="str">
        <x:f>IF(OR(F351="",G351=""),"",IF(F351=G351,"Agree","Disagree"))</x:f>
      </x:c>
      <x:c r="I351" s="31"/>
      <x:c r="J351" s="31" t="str">
        <x:v>No</x:v>
      </x:c>
      <x:c r="K351" s="31" t="str"/>
      <x:c r="L351" s="31" t="str"/>
      <x:c r="M351" s="31" t="str"/>
      <x:c r="N351" s="31" t="str"/>
    </x:row>
    <x:row r="352" ht="42" customHeight="1">
      <x:c r="A352" s="35" t="n">
        <x:v>350</x:v>
      </x:c>
      <x:c r="B352" s="31" t="str">
        <x:f>IF('Execution Checklist'!Q352="","",'Execution Checklist'!Q352)</x:f>
      </x:c>
      <x:c r="C352" s="31" t="str">
        <x:v>Place the open brown cup in the bowl.</x:v>
      </x:c>
      <x:c r="D352" s="31" t="str">
        <x:v>brown cup B</x:v>
      </x:c>
      <x:c r="E352" s="31" t="str">
        <x:v>Binary success for the counterfactual instruction and paired action-switch analysis versus the parent.</x:v>
      </x:c>
      <x:c r="F352" s="31"/>
      <x:c r="G352" s="31"/>
      <x:c r="H352" s="31" t="str">
        <x:f>IF(OR(F352="",G352=""),"",IF(F352=G352,"Agree","Disagree"))</x:f>
      </x:c>
      <x:c r="I352" s="31"/>
      <x:c r="J352" s="31" t="str">
        <x:v>No</x:v>
      </x:c>
      <x:c r="K352" s="31" t="str"/>
      <x:c r="L352" s="31" t="str"/>
      <x:c r="M352" s="31" t="str"/>
      <x:c r="N352" s="31" t="str"/>
    </x:row>
    <x:row r="353" ht="42" customHeight="1">
      <x:c r="A353" s="35" t="n">
        <x:v>351</x:v>
      </x:c>
      <x:c r="B353" s="31" t="str">
        <x:f>IF('Execution Checklist'!Q353="","",'Execution Checklist'!Q353)</x:f>
      </x:c>
      <x:c r="C353" s="31" t="str">
        <x:v>Put the open glass spice container in the bowl.</x:v>
      </x:c>
      <x:c r="D353" s="31" t="str">
        <x:v>glass spice container B</x:v>
      </x:c>
      <x:c r="E353" s="31" t="str">
        <x:v>Binary task success using the task-specific rubric.</x:v>
      </x:c>
      <x:c r="F353" s="31"/>
      <x:c r="G353" s="31"/>
      <x:c r="H353" s="31" t="str">
        <x:f>IF(OR(F353="",G353=""),"",IF(F353=G353,"Agree","Disagree"))</x:f>
      </x:c>
      <x:c r="I353" s="31"/>
      <x:c r="J353" s="31" t="str">
        <x:v>No</x:v>
      </x:c>
      <x:c r="K353" s="31" t="str"/>
      <x:c r="L353" s="31" t="str"/>
      <x:c r="M353" s="31" t="str"/>
      <x:c r="N353" s="31" t="str"/>
    </x:row>
    <x:row r="354" ht="42" customHeight="1">
      <x:c r="A354" s="35" t="n">
        <x:v>352</x:v>
      </x:c>
      <x:c r="B354" s="31" t="str">
        <x:f>IF('Execution Checklist'!Q354="","",'Execution Checklist'!Q354)</x:f>
      </x:c>
      <x:c r="C354" s="31" t="str">
        <x:v>Move the open white cup into the bowl.</x:v>
      </x:c>
      <x:c r="D354" s="31" t="str">
        <x:v>white cup A</x:v>
      </x:c>
      <x:c r="E354" s="31" t="str">
        <x:v>Binary task success using the task-specific rubric.</x:v>
      </x:c>
      <x:c r="F354" s="31"/>
      <x:c r="G354" s="31"/>
      <x:c r="H354" s="31" t="str">
        <x:f>IF(OR(F354="",G354=""),"",IF(F354=G354,"Agree","Disagree"))</x:f>
      </x:c>
      <x:c r="I354" s="31"/>
      <x:c r="J354" s="31" t="str">
        <x:v>No</x:v>
      </x:c>
      <x:c r="K354" s="31" t="str"/>
      <x:c r="L354" s="31" t="str"/>
      <x:c r="M354" s="31" t="str"/>
      <x:c r="N354" s="31" t="str"/>
    </x:row>
    <x:row r="355" ht="42" customHeight="1">
      <x:c r="A355" s="35" t="n">
        <x:v>353</x:v>
      </x:c>
      <x:c r="B355" s="31" t="str">
        <x:f>IF('Execution Checklist'!Q355="","",'Execution Checklist'!Q355)</x:f>
      </x:c>
      <x:c r="C355" s="31" t="str">
        <x:v>Place the upright yellow-white striped cup in the bowl.</x:v>
      </x:c>
      <x:c r="D355" s="31" t="str">
        <x:v>yellow-white striped cup B</x:v>
      </x:c>
      <x:c r="E355" s="31" t="str">
        <x:v>Binary task success; paired with the main matched-control row.</x:v>
      </x:c>
      <x:c r="F355" s="31"/>
      <x:c r="G355" s="31"/>
      <x:c r="H355" s="31" t="str">
        <x:f>IF(OR(F355="",G355=""),"",IF(F355=G355,"Agree","Disagree"))</x:f>
      </x:c>
      <x:c r="I355" s="31"/>
      <x:c r="J355" s="31" t="str">
        <x:v>No</x:v>
      </x:c>
      <x:c r="K355" s="31" t="str"/>
      <x:c r="L355" s="31" t="str"/>
      <x:c r="M355" s="31" t="str"/>
      <x:c r="N355" s="31" t="str"/>
    </x:row>
    <x:row r="356" ht="42" customHeight="1">
      <x:c r="A356" s="35" t="n">
        <x:v>354</x:v>
      </x:c>
      <x:c r="B356" s="31" t="str">
        <x:f>IF('Execution Checklist'!Q356="","",'Execution Checklist'!Q356)</x:f>
      </x:c>
      <x:c r="C356" s="31" t="str">
        <x:v>Place the closed glass spice container in the bowl.</x:v>
      </x:c>
      <x:c r="D356" s="31" t="str">
        <x:v>glass spice container B</x:v>
      </x:c>
      <x:c r="E356" s="31" t="str">
        <x:v>Binary task success; paired with the main matched-control row.</x:v>
      </x:c>
      <x:c r="F356" s="31"/>
      <x:c r="G356" s="31"/>
      <x:c r="H356" s="31" t="str">
        <x:f>IF(OR(F356="",G356=""),"",IF(F356=G356,"Agree","Disagree"))</x:f>
      </x:c>
      <x:c r="I356" s="31"/>
      <x:c r="J356" s="31" t="str">
        <x:v>No</x:v>
      </x:c>
      <x:c r="K356" s="31" t="str"/>
      <x:c r="L356" s="31" t="str"/>
      <x:c r="M356" s="31" t="str"/>
      <x:c r="N356" s="31" t="str"/>
    </x:row>
    <x:row r="357" ht="42" customHeight="1">
      <x:c r="A357" s="35" t="n">
        <x:v>355</x:v>
      </x:c>
      <x:c r="B357" s="31" t="str">
        <x:f>IF('Execution Checklist'!Q357="","",'Execution Checklist'!Q357)</x:f>
      </x:c>
      <x:c r="C357" s="31" t="str">
        <x:v>Place a brown cup in the bowl.</x:v>
      </x:c>
      <x:c r="D357" s="31" t="str">
        <x:v>brown cup A</x:v>
      </x:c>
      <x:c r="E357" s="31" t="str">
        <x:v>Binary task success; paired with the main transfer row.</x:v>
      </x:c>
      <x:c r="F357" s="31"/>
      <x:c r="G357" s="31"/>
      <x:c r="H357" s="31" t="str">
        <x:f>IF(OR(F357="",G357=""),"",IF(F357=G357,"Agree","Disagree"))</x:f>
      </x:c>
      <x:c r="I357" s="31"/>
      <x:c r="J357" s="31" t="str">
        <x:v>No</x:v>
      </x:c>
      <x:c r="K357" s="31" t="str"/>
      <x:c r="L357" s="31" t="str"/>
      <x:c r="M357" s="31" t="str"/>
      <x:c r="N357" s="31" t="str"/>
    </x:row>
    <x:row r="358" ht="42" customHeight="1">
      <x:c r="A358" s="35" t="n">
        <x:v>356</x:v>
      </x:c>
      <x:c r="B358" s="31" t="str">
        <x:f>IF('Execution Checklist'!Q358="","",'Execution Checklist'!Q358)</x:f>
      </x:c>
      <x:c r="C358" s="31" t="str">
        <x:v>Place a brown cup in the bowl.</x:v>
      </x:c>
      <x:c r="D358" s="31" t="str">
        <x:v>brown cup B</x:v>
      </x:c>
      <x:c r="E358" s="31" t="str">
        <x:v>Binary task success; paired with the main transfer row.</x:v>
      </x:c>
      <x:c r="F358" s="31"/>
      <x:c r="G358" s="31"/>
      <x:c r="H358" s="31" t="str">
        <x:f>IF(OR(F358="",G358=""),"",IF(F358=G358,"Agree","Disagree"))</x:f>
      </x:c>
      <x:c r="I358" s="31"/>
      <x:c r="J358" s="31" t="str">
        <x:v>No</x:v>
      </x:c>
      <x:c r="K358" s="31" t="str"/>
      <x:c r="L358" s="31" t="str"/>
      <x:c r="M358" s="31" t="str"/>
      <x:c r="N358" s="31" t="str"/>
    </x:row>
    <x:row r="359" ht="42" customHeight="1">
      <x:c r="A359" s="35" t="n">
        <x:v>357</x:v>
      </x:c>
      <x:c r="B359" s="31" t="str">
        <x:f>IF('Execution Checklist'!Q359="","",'Execution Checklist'!Q359)</x:f>
      </x:c>
      <x:c r="C359" s="31" t="str">
        <x:v>Place the open yellow-white striped cup in the bowl.</x:v>
      </x:c>
      <x:c r="D359" s="31" t="str">
        <x:v>yellow-white striped cup B</x:v>
      </x:c>
      <x:c r="E359" s="31" t="str">
        <x:v>Binary success for the counterfactual instruction and paired action-switch analysis versus the parent.</x:v>
      </x:c>
      <x:c r="F359" s="31"/>
      <x:c r="G359" s="31"/>
      <x:c r="H359" s="31" t="str">
        <x:f>IF(OR(F359="",G359=""),"",IF(F359=G359,"Agree","Disagree"))</x:f>
      </x:c>
      <x:c r="I359" s="31"/>
      <x:c r="J359" s="31" t="str">
        <x:v>No</x:v>
      </x:c>
      <x:c r="K359" s="31" t="str"/>
      <x:c r="L359" s="31" t="str"/>
      <x:c r="M359" s="31" t="str"/>
      <x:c r="N359" s="31" t="str"/>
    </x:row>
    <x:row r="360" ht="42" customHeight="1">
      <x:c r="A360" s="35" t="n">
        <x:v>358</x:v>
      </x:c>
      <x:c r="B360" s="31" t="str">
        <x:f>IF('Execution Checklist'!Q360="","",'Execution Checklist'!Q360)</x:f>
      </x:c>
      <x:c r="C360" s="31" t="str">
        <x:v>Place a yellow-white striped cup in the bowl.</x:v>
      </x:c>
      <x:c r="D360" s="31" t="str">
        <x:v>yellow-white striped cup A</x:v>
      </x:c>
      <x:c r="E360" s="31" t="str">
        <x:v>Binary task success; paired with the main transfer row.</x:v>
      </x:c>
      <x:c r="F360" s="31"/>
      <x:c r="G360" s="31"/>
      <x:c r="H360" s="31" t="str">
        <x:f>IF(OR(F360="",G360=""),"",IF(F360=G360,"Agree","Disagree"))</x:f>
      </x:c>
      <x:c r="I360" s="31"/>
      <x:c r="J360" s="31" t="str">
        <x:v>No</x:v>
      </x:c>
      <x:c r="K360" s="31" t="str"/>
      <x:c r="L360" s="31" t="str"/>
      <x:c r="M360" s="31" t="str"/>
      <x:c r="N360" s="31" t="str"/>
    </x:row>
    <x:row r="361" ht="42" customHeight="1">
      <x:c r="A361" s="35" t="n">
        <x:v>359</x:v>
      </x:c>
      <x:c r="B361" s="31" t="str">
        <x:f>IF('Execution Checklist'!Q361="","",'Execution Checklist'!Q361)</x:f>
      </x:c>
      <x:c r="C361" s="31" t="str">
        <x:v>Put a yellow-white striped cup in the bowl.</x:v>
      </x:c>
      <x:c r="D361" s="31" t="str">
        <x:v>yellow-white striped cup A</x:v>
      </x:c>
      <x:c r="E361" s="31" t="str">
        <x:v>Binary task success using the task-specific rubric.</x:v>
      </x:c>
      <x:c r="F361" s="31"/>
      <x:c r="G361" s="31"/>
      <x:c r="H361" s="31" t="str">
        <x:f>IF(OR(F361="",G361=""),"",IF(F361=G361,"Agree","Disagree"))</x:f>
      </x:c>
      <x:c r="I361" s="31"/>
      <x:c r="J361" s="31" t="str">
        <x:v>No</x:v>
      </x:c>
      <x:c r="K361" s="31" t="str"/>
      <x:c r="L361" s="31" t="str"/>
      <x:c r="M361" s="31" t="str"/>
      <x:c r="N361" s="31" t="str"/>
    </x:row>
    <x:row r="362" ht="42" customHeight="1">
      <x:c r="A362" s="35" t="n">
        <x:v>360</x:v>
      </x:c>
      <x:c r="B362" s="31" t="str">
        <x:f>IF('Execution Checklist'!Q362="","",'Execution Checklist'!Q362)</x:f>
      </x:c>
      <x:c r="C362" s="31" t="str">
        <x:v>Move the open brown cup into the bowl.</x:v>
      </x:c>
      <x:c r="D362" s="31" t="str">
        <x:v>brown cup B</x:v>
      </x:c>
      <x:c r="E362" s="31" t="str">
        <x:v>Binary task success using the task-specific rubric.</x:v>
      </x:c>
      <x:c r="F362" s="31"/>
      <x:c r="G362" s="31"/>
      <x:c r="H362" s="31" t="str">
        <x:f>IF(OR(F362="",G362=""),"",IF(F362=G362,"Agree","Disagree"))</x:f>
      </x:c>
      <x:c r="I362" s="31"/>
      <x:c r="J362" s="31" t="str">
        <x:v>No</x:v>
      </x:c>
      <x:c r="K362" s="31" t="str"/>
      <x:c r="L362" s="31" t="str"/>
      <x:c r="M362" s="31" t="str"/>
      <x:c r="N362" s="31" t="str"/>
    </x:row>
    <x:row r="363" ht="42" customHeight="1">
      <x:c r="A363" s="35" t="n">
        <x:v>361</x:v>
      </x:c>
      <x:c r="B363" s="31" t="str">
        <x:f>IF('Execution Checklist'!Q363="","",'Execution Checklist'!Q363)</x:f>
      </x:c>
      <x:c r="C363" s="31" t="str">
        <x:v>Place a white cup in the bowl.</x:v>
      </x:c>
      <x:c r="D363" s="31" t="str">
        <x:v>white cup A</x:v>
      </x:c>
      <x:c r="E363" s="31" t="str">
        <x:v>Binary task success; paired with the main transfer row.</x:v>
      </x:c>
      <x:c r="F363" s="31"/>
      <x:c r="G363" s="31"/>
      <x:c r="H363" s="31" t="str">
        <x:f>IF(OR(F363="",G363=""),"",IF(F363=G363,"Agree","Disagree"))</x:f>
      </x:c>
      <x:c r="I363" s="31"/>
      <x:c r="J363" s="31" t="str">
        <x:v>No</x:v>
      </x:c>
      <x:c r="K363" s="31" t="str"/>
      <x:c r="L363" s="31" t="str"/>
      <x:c r="M363" s="31" t="str"/>
      <x:c r="N363" s="31" t="str"/>
    </x:row>
    <x:row r="364" ht="42" customHeight="1">
      <x:c r="A364" s="35" t="n">
        <x:v>362</x:v>
      </x:c>
      <x:c r="B364" s="31" t="str">
        <x:f>IF('Execution Checklist'!Q364="","",'Execution Checklist'!Q364)</x:f>
      </x:c>
      <x:c r="C364" s="31" t="str">
        <x:v>Place the closed brown cup in the bowl.</x:v>
      </x:c>
      <x:c r="D364" s="31" t="str">
        <x:v>brown cup A</x:v>
      </x:c>
      <x:c r="E364" s="31" t="str">
        <x:v>Binary task success; paired with the main matched-control row.</x:v>
      </x:c>
      <x:c r="F364" s="31"/>
      <x:c r="G364" s="31"/>
      <x:c r="H364" s="31" t="str">
        <x:f>IF(OR(F364="",G364=""),"",IF(F364=G364,"Agree","Disagree"))</x:f>
      </x:c>
      <x:c r="I364" s="31"/>
      <x:c r="J364" s="31" t="str">
        <x:v>No</x:v>
      </x:c>
      <x:c r="K364" s="31" t="str"/>
      <x:c r="L364" s="31" t="str"/>
      <x:c r="M364" s="31" t="str"/>
      <x:c r="N364" s="31" t="str"/>
    </x:row>
    <x:row r="365" ht="42" customHeight="1">
      <x:c r="A365" s="35" t="n">
        <x:v>363</x:v>
      </x:c>
      <x:c r="B365" s="31" t="str">
        <x:f>IF('Execution Checklist'!Q365="","",'Execution Checklist'!Q365)</x:f>
      </x:c>
      <x:c r="C365" s="31" t="str">
        <x:v>Place a white cup in the bowl.</x:v>
      </x:c>
      <x:c r="D365" s="31" t="str">
        <x:v>white cup B</x:v>
      </x:c>
      <x:c r="E365" s="31" t="str">
        <x:v>Binary task success; paired with the main transfer row.</x:v>
      </x:c>
      <x:c r="F365" s="31"/>
      <x:c r="G365" s="31"/>
      <x:c r="H365" s="31" t="str">
        <x:f>IF(OR(F365="",G365=""),"",IF(F365=G365,"Agree","Disagree"))</x:f>
      </x:c>
      <x:c r="I365" s="31"/>
      <x:c r="J365" s="31" t="str">
        <x:v>No</x:v>
      </x:c>
      <x:c r="K365" s="31" t="str"/>
      <x:c r="L365" s="31" t="str"/>
      <x:c r="M365" s="31" t="str"/>
      <x:c r="N365" s="31" t="str"/>
    </x:row>
    <x:row r="366" ht="42" customHeight="1">
      <x:c r="A366" s="35" t="n">
        <x:v>364</x:v>
      </x:c>
      <x:c r="B366" s="31" t="str">
        <x:f>IF('Execution Checklist'!Q366="","",'Execution Checklist'!Q366)</x:f>
      </x:c>
      <x:c r="C366" s="31" t="str">
        <x:v>Place the upright white cup in the bowl.</x:v>
      </x:c>
      <x:c r="D366" s="31" t="str">
        <x:v>white cup B</x:v>
      </x:c>
      <x:c r="E366" s="31" t="str">
        <x:v>Binary task success; paired with the main matched-control row.</x:v>
      </x:c>
      <x:c r="F366" s="31"/>
      <x:c r="G366" s="31"/>
      <x:c r="H366" s="31" t="str">
        <x:f>IF(OR(F366="",G366=""),"",IF(F366=G366,"Agree","Disagree"))</x:f>
      </x:c>
      <x:c r="I366" s="31"/>
      <x:c r="J366" s="31" t="str">
        <x:v>No</x:v>
      </x:c>
      <x:c r="K366" s="31" t="str"/>
      <x:c r="L366" s="31" t="str"/>
      <x:c r="M366" s="31" t="str"/>
      <x:c r="N366" s="31" t="str"/>
    </x:row>
    <x:row r="367" ht="42" customHeight="1">
      <x:c r="A367" s="35" t="n">
        <x:v>365</x:v>
      </x:c>
      <x:c r="B367" s="31" t="str">
        <x:f>IF('Execution Checklist'!Q367="","",'Execution Checklist'!Q367)</x:f>
      </x:c>
      <x:c r="C367" s="31" t="str">
        <x:v>Place the upright white cup in the bowl.</x:v>
      </x:c>
      <x:c r="D367" s="31" t="str">
        <x:v>white cup B</x:v>
      </x:c>
      <x:c r="E367" s="31" t="str">
        <x:v>Binary task success; paired with the main matched-control row.</x:v>
      </x:c>
      <x:c r="F367" s="31"/>
      <x:c r="G367" s="31"/>
      <x:c r="H367" s="31" t="str">
        <x:f>IF(OR(F367="",G367=""),"",IF(F367=G367,"Agree","Disagree"))</x:f>
      </x:c>
      <x:c r="I367" s="31"/>
      <x:c r="J367" s="31" t="str">
        <x:v>No</x:v>
      </x:c>
      <x:c r="K367" s="31" t="str"/>
      <x:c r="L367" s="31" t="str"/>
      <x:c r="M367" s="31" t="str"/>
      <x:c r="N367" s="31" t="str"/>
    </x:row>
    <x:row r="368" ht="42" customHeight="1">
      <x:c r="A368" s="35" t="n">
        <x:v>366</x:v>
      </x:c>
      <x:c r="B368" s="31" t="str">
        <x:f>IF('Execution Checklist'!Q368="","",'Execution Checklist'!Q368)</x:f>
      </x:c>
      <x:c r="C368" s="31" t="str">
        <x:v>Place the upside-down white cup in the bowl.</x:v>
      </x:c>
      <x:c r="D368" s="31" t="str">
        <x:v>white cup A</x:v>
      </x:c>
      <x:c r="E368" s="31" t="str">
        <x:v>Binary task success using the task-specific rubric.</x:v>
      </x:c>
      <x:c r="F368" s="31"/>
      <x:c r="G368" s="31"/>
      <x:c r="H368" s="31" t="str">
        <x:f>IF(OR(F368="",G368=""),"",IF(F368=G368,"Agree","Disagree"))</x:f>
      </x:c>
      <x:c r="I368" s="31"/>
      <x:c r="J368" s="31" t="str">
        <x:v>No</x:v>
      </x:c>
      <x:c r="K368" s="31" t="str"/>
      <x:c r="L368" s="31" t="str"/>
      <x:c r="M368" s="31" t="str"/>
      <x:c r="N368" s="31" t="str"/>
    </x:row>
    <x:row r="369" ht="42" customHeight="1">
      <x:c r="A369" s="35" t="n">
        <x:v>367</x:v>
      </x:c>
      <x:c r="B369" s="31" t="str">
        <x:f>IF('Execution Checklist'!Q369="","",'Execution Checklist'!Q369)</x:f>
      </x:c>
      <x:c r="C369" s="31" t="str">
        <x:v>Put a brown cup in the bowl.</x:v>
      </x:c>
      <x:c r="D369" s="31" t="str">
        <x:v>brown cup B</x:v>
      </x:c>
      <x:c r="E369" s="31" t="str">
        <x:v>Binary task success using the task-specific rubric.</x:v>
      </x:c>
      <x:c r="F369" s="31"/>
      <x:c r="G369" s="31"/>
      <x:c r="H369" s="31" t="str">
        <x:f>IF(OR(F369="",G369=""),"",IF(F369=G369,"Agree","Disagree"))</x:f>
      </x:c>
      <x:c r="I369" s="31"/>
      <x:c r="J369" s="31" t="str">
        <x:v>No</x:v>
      </x:c>
      <x:c r="K369" s="31" t="str"/>
      <x:c r="L369" s="31" t="str"/>
      <x:c r="M369" s="31" t="str"/>
      <x:c r="N369" s="31" t="str"/>
    </x:row>
    <x:row r="370" ht="42" customHeight="1">
      <x:c r="A370" s="35" t="n">
        <x:v>368</x:v>
      </x:c>
      <x:c r="B370" s="31" t="str">
        <x:f>IF('Execution Checklist'!Q370="","",'Execution Checklist'!Q370)</x:f>
      </x:c>
      <x:c r="C370" s="31" t="str">
        <x:v>Find the white cup with its opening uncovered and move it into the bowl.</x:v>
      </x:c>
      <x:c r="D370" s="31" t="str">
        <x:v>white cup B</x:v>
      </x:c>
      <x:c r="E370" s="31" t="str">
        <x:v>Binary task success; compare with the seen-language row sharing Pair ID.</x:v>
      </x:c>
      <x:c r="F370" s="31"/>
      <x:c r="G370" s="31"/>
      <x:c r="H370" s="31" t="str">
        <x:f>IF(OR(F370="",G370=""),"",IF(F370=G370,"Agree","Disagree"))</x:f>
      </x:c>
      <x:c r="I370" s="31"/>
      <x:c r="J370" s="31" t="str">
        <x:v>No</x:v>
      </x:c>
      <x:c r="K370" s="31" t="str"/>
      <x:c r="L370" s="31" t="str"/>
      <x:c r="M370" s="31" t="str"/>
      <x:c r="N370" s="31" t="str"/>
    </x:row>
    <x:row r="371" ht="42" customHeight="1">
      <x:c r="A371" s="35" t="n">
        <x:v>369</x:v>
      </x:c>
      <x:c r="B371" s="31" t="str">
        <x:f>IF('Execution Checklist'!Q371="","",'Execution Checklist'!Q371)</x:f>
      </x:c>
      <x:c r="C371" s="31" t="str">
        <x:v>Place a brown cup in the bowl.</x:v>
      </x:c>
      <x:c r="D371" s="31" t="str">
        <x:v>brown cup B</x:v>
      </x:c>
      <x:c r="E371" s="31" t="str">
        <x:v>Binary task success; paired with the main transfer row.</x:v>
      </x:c>
      <x:c r="F371" s="31"/>
      <x:c r="G371" s="31"/>
      <x:c r="H371" s="31" t="str">
        <x:f>IF(OR(F371="",G371=""),"",IF(F371=G371,"Agree","Disagree"))</x:f>
      </x:c>
      <x:c r="I371" s="31"/>
      <x:c r="J371" s="31" t="str">
        <x:v>No</x:v>
      </x:c>
      <x:c r="K371" s="31" t="str"/>
      <x:c r="L371" s="31" t="str"/>
      <x:c r="M371" s="31" t="str"/>
      <x:c r="N371" s="31" t="str"/>
    </x:row>
    <x:row r="372" ht="42" customHeight="1">
      <x:c r="A372" s="35" t="n">
        <x:v>370</x:v>
      </x:c>
      <x:c r="B372" s="31" t="str">
        <x:f>IF('Execution Checklist'!Q372="","",'Execution Checklist'!Q372)</x:f>
      </x:c>
      <x:c r="C372" s="31" t="str">
        <x:v>Place the open white cup in the bowl.</x:v>
      </x:c>
      <x:c r="D372" s="31" t="str">
        <x:v>white cup B</x:v>
      </x:c>
      <x:c r="E372" s="31" t="str">
        <x:v>Binary task success using the task-specific rubric.</x:v>
      </x:c>
      <x:c r="F372" s="31"/>
      <x:c r="G372" s="31"/>
      <x:c r="H372" s="31" t="str">
        <x:f>IF(OR(F372="",G372=""),"",IF(F372=G372,"Agree","Disagree"))</x:f>
      </x:c>
      <x:c r="I372" s="31"/>
      <x:c r="J372" s="31" t="str">
        <x:v>No</x:v>
      </x:c>
      <x:c r="K372" s="31" t="str"/>
      <x:c r="L372" s="31" t="str"/>
      <x:c r="M372" s="31" t="str"/>
      <x:c r="N372" s="31" t="str"/>
    </x:row>
    <x:row r="373" ht="42" customHeight="1">
      <x:c r="A373" s="35" t="n">
        <x:v>371</x:v>
      </x:c>
      <x:c r="B373" s="31" t="str">
        <x:f>IF('Execution Checklist'!Q373="","",'Execution Checklist'!Q373)</x:f>
      </x:c>
      <x:c r="C373" s="31" t="str">
        <x:v>Place the upright brown cup in the bowl.</x:v>
      </x:c>
      <x:c r="D373" s="31" t="str">
        <x:v>brown cup B</x:v>
      </x:c>
      <x:c r="E373" s="31" t="str">
        <x:v>Binary task success; paired with the main matched-control row.</x:v>
      </x:c>
      <x:c r="F373" s="31"/>
      <x:c r="G373" s="31"/>
      <x:c r="H373" s="31" t="str">
        <x:f>IF(OR(F373="",G373=""),"",IF(F373=G373,"Agree","Disagree"))</x:f>
      </x:c>
      <x:c r="I373" s="31"/>
      <x:c r="J373" s="31" t="str">
        <x:v>No</x:v>
      </x:c>
      <x:c r="K373" s="31" t="str"/>
      <x:c r="L373" s="31" t="str"/>
      <x:c r="M373" s="31" t="str"/>
      <x:c r="N373" s="31" t="str"/>
    </x:row>
    <x:row r="374" ht="42" customHeight="1">
      <x:c r="A374" s="35" t="n">
        <x:v>372</x:v>
      </x:c>
      <x:c r="B374" s="31" t="str">
        <x:f>IF('Execution Checklist'!Q374="","",'Execution Checklist'!Q374)</x:f>
      </x:c>
      <x:c r="C374" s="31" t="str">
        <x:v>Finish with two objects in the bowl.</x:v>
      </x:c>
      <x:c r="D374" s="31" t="str"/>
      <x:c r="E374" s="31" t="str">
        <x:v>Binary task success; compare with the seen-language row sharing Pair ID.</x:v>
      </x:c>
      <x:c r="F374" s="31"/>
      <x:c r="G374" s="31"/>
      <x:c r="H374" s="31" t="str">
        <x:f>IF(OR(F374="",G374=""),"",IF(F374=G374,"Agree","Disagree"))</x:f>
      </x:c>
      <x:c r="I374" s="31"/>
      <x:c r="J374" s="31" t="str">
        <x:v>No</x:v>
      </x:c>
      <x:c r="K374" s="31" t="str"/>
      <x:c r="L374" s="31" t="str"/>
      <x:c r="M374" s="31" t="str"/>
      <x:c r="N374" s="31" t="str"/>
    </x:row>
    <x:row r="375" ht="42" customHeight="1">
      <x:c r="A375" s="35" t="n">
        <x:v>373</x:v>
      </x:c>
      <x:c r="B375" s="31" t="str">
        <x:f>IF('Execution Checklist'!Q375="","",'Execution Checklist'!Q375)</x:f>
      </x:c>
      <x:c r="C375" s="31" t="str">
        <x:v>Adjust the bowl so that it contains two objects.</x:v>
      </x:c>
      <x:c r="D375" s="31" t="str"/>
      <x:c r="E375" s="31" t="str">
        <x:v>Binary task success using the task-specific rubric.</x:v>
      </x:c>
      <x:c r="F375" s="31"/>
      <x:c r="G375" s="31"/>
      <x:c r="H375" s="31" t="str">
        <x:f>IF(OR(F375="",G375=""),"",IF(F375=G375,"Agree","Disagree"))</x:f>
      </x:c>
      <x:c r="I375" s="31"/>
      <x:c r="J375" s="31" t="str">
        <x:v>No</x:v>
      </x:c>
      <x:c r="K375" s="31" t="str"/>
      <x:c r="L375" s="31" t="str"/>
      <x:c r="M375" s="31" t="str"/>
      <x:c r="N375" s="31" t="str"/>
    </x:row>
    <x:row r="376" ht="42" customHeight="1">
      <x:c r="A376" s="35" t="n">
        <x:v>374</x:v>
      </x:c>
      <x:c r="B376" s="31" t="str">
        <x:f>IF('Execution Checklist'!Q376="","",'Execution Checklist'!Q376)</x:f>
      </x:c>
      <x:c r="C376" s="31" t="str">
        <x:v>Put the green pencil sharpener in the bowl.</x:v>
      </x:c>
      <x:c r="D376" s="31" t="str">
        <x:v>ADD green pencil sharpener</x:v>
      </x:c>
      <x:c r="E376" s="31" t="str">
        <x:v>Binary task success; paired with the main transfer row.</x:v>
      </x:c>
      <x:c r="F376" s="31"/>
      <x:c r="G376" s="31"/>
      <x:c r="H376" s="31" t="str">
        <x:f>IF(OR(F376="",G376=""),"",IF(F376=G376,"Agree","Disagree"))</x:f>
      </x:c>
      <x:c r="I376" s="31"/>
      <x:c r="J376" s="31" t="str">
        <x:v>No</x:v>
      </x:c>
      <x:c r="K376" s="31" t="str"/>
      <x:c r="L376" s="31" t="str"/>
      <x:c r="M376" s="31" t="str"/>
      <x:c r="N376" s="31" t="str"/>
    </x:row>
    <x:row r="377" ht="42" customHeight="1">
      <x:c r="A377" s="35" t="n">
        <x:v>375</x:v>
      </x:c>
      <x:c r="B377" s="31" t="str">
        <x:f>IF('Execution Checklist'!Q377="","",'Execution Checklist'!Q377)</x:f>
      </x:c>
      <x:c r="C377" s="31" t="str">
        <x:v>Remove the yellow block from the bowl.</x:v>
      </x:c>
      <x:c r="D377" s="31" t="str">
        <x:v>REMOVE yellow block</x:v>
      </x:c>
      <x:c r="E377" s="31" t="str">
        <x:v>Binary task success; paired with the main transfer row.</x:v>
      </x:c>
      <x:c r="F377" s="31"/>
      <x:c r="G377" s="31"/>
      <x:c r="H377" s="31" t="str">
        <x:f>IF(OR(F377="",G377=""),"",IF(F377=G377,"Agree","Disagree"))</x:f>
      </x:c>
      <x:c r="I377" s="31"/>
      <x:c r="J377" s="31" t="str">
        <x:v>No</x:v>
      </x:c>
      <x:c r="K377" s="31" t="str"/>
      <x:c r="L377" s="31" t="str"/>
      <x:c r="M377" s="31" t="str"/>
      <x:c r="N377" s="31" t="str"/>
    </x:row>
    <x:row r="378" ht="42" customHeight="1">
      <x:c r="A378" s="35" t="n">
        <x:v>376</x:v>
      </x:c>
      <x:c r="B378" s="31" t="str">
        <x:f>IF('Execution Checklist'!Q378="","",'Execution Checklist'!Q378)</x:f>
      </x:c>
      <x:c r="C378" s="31" t="str">
        <x:v>Leave exactly three objects in the bowl.</x:v>
      </x:c>
      <x:c r="D378" s="31" t="str">
        <x:v>ADD one table object</x:v>
      </x:c>
      <x:c r="E378" s="31" t="str">
        <x:v>Binary task success; paired with the main matched-control row.</x:v>
      </x:c>
      <x:c r="F378" s="31"/>
      <x:c r="G378" s="31"/>
      <x:c r="H378" s="31" t="str">
        <x:f>IF(OR(F378="",G378=""),"",IF(F378=G378,"Agree","Disagree"))</x:f>
      </x:c>
      <x:c r="I378" s="31"/>
      <x:c r="J378" s="31" t="str">
        <x:v>No</x:v>
      </x:c>
      <x:c r="K378" s="31" t="str"/>
      <x:c r="L378" s="31" t="str"/>
      <x:c r="M378" s="31" t="str"/>
      <x:c r="N378" s="31" t="str"/>
    </x:row>
    <x:row r="379" ht="42" customHeight="1">
      <x:c r="A379" s="35" t="n">
        <x:v>377</x:v>
      </x:c>
      <x:c r="B379" s="31" t="str">
        <x:f>IF('Execution Checklist'!Q379="","",'Execution Checklist'!Q379)</x:f>
      </x:c>
      <x:c r="C379" s="31" t="str">
        <x:v>Move the airplane toy without propellers into the bowl.</x:v>
      </x:c>
      <x:c r="D379" s="31" t="str">
        <x:v>airplane toy without propellers</x:v>
      </x:c>
      <x:c r="E379" s="31" t="str">
        <x:v>Binary task success using the task-specific rubric.</x:v>
      </x:c>
      <x:c r="F379" s="31"/>
      <x:c r="G379" s="31"/>
      <x:c r="H379" s="31" t="str">
        <x:f>IF(OR(F379="",G379=""),"",IF(F379=G379,"Agree","Disagree"))</x:f>
      </x:c>
      <x:c r="I379" s="31"/>
      <x:c r="J379" s="31" t="str">
        <x:v>No</x:v>
      </x:c>
      <x:c r="K379" s="31" t="str"/>
      <x:c r="L379" s="31" t="str"/>
      <x:c r="M379" s="31" t="str"/>
      <x:c r="N379" s="31" t="str"/>
    </x:row>
    <x:row r="380" ht="42" customHeight="1">
      <x:c r="A380" s="35" t="n">
        <x:v>378</x:v>
      </x:c>
      <x:c r="B380" s="31" t="str">
        <x:f>IF('Execution Checklist'!Q380="","",'Execution Checklist'!Q380)</x:f>
      </x:c>
      <x:c r="C380" s="31" t="str">
        <x:v>Remove the blue pen from the bowl.</x:v>
      </x:c>
      <x:c r="D380" s="31" t="str">
        <x:v>REMOVE blue pen</x:v>
      </x:c>
      <x:c r="E380" s="31" t="str">
        <x:v>Binary task success; paired with the main transfer row.</x:v>
      </x:c>
      <x:c r="F380" s="31"/>
      <x:c r="G380" s="31"/>
      <x:c r="H380" s="31" t="str">
        <x:f>IF(OR(F380="",G380=""),"",IF(F380=G380,"Agree","Disagree"))</x:f>
      </x:c>
      <x:c r="I380" s="31"/>
      <x:c r="J380" s="31" t="str">
        <x:v>No</x:v>
      </x:c>
      <x:c r="K380" s="31" t="str"/>
      <x:c r="L380" s="31" t="str"/>
      <x:c r="M380" s="31" t="str"/>
      <x:c r="N380" s="31" t="str"/>
    </x:row>
    <x:row r="381" ht="42" customHeight="1">
      <x:c r="A381" s="35" t="n">
        <x:v>379</x:v>
      </x:c>
      <x:c r="B381" s="31" t="str">
        <x:f>IF('Execution Checklist'!Q381="","",'Execution Checklist'!Q381)</x:f>
      </x:c>
      <x:c r="C381" s="31" t="str">
        <x:v>Leave exactly one object in the bowl.</x:v>
      </x:c>
      <x:c r="D381" s="31" t="str">
        <x:v>REMOVE one bowl object</x:v>
      </x:c>
      <x:c r="E381" s="31" t="str">
        <x:v>Binary task success; paired with the main matched-control row.</x:v>
      </x:c>
      <x:c r="F381" s="31"/>
      <x:c r="G381" s="31"/>
      <x:c r="H381" s="31" t="str">
        <x:f>IF(OR(F381="",G381=""),"",IF(F381=G381,"Agree","Disagree"))</x:f>
      </x:c>
      <x:c r="I381" s="31"/>
      <x:c r="J381" s="31" t="str">
        <x:v>No</x:v>
      </x:c>
      <x:c r="K381" s="31" t="str"/>
      <x:c r="L381" s="31" t="str"/>
      <x:c r="M381" s="31" t="str"/>
      <x:c r="N381" s="31" t="str"/>
    </x:row>
    <x:row r="382" ht="42" customHeight="1">
      <x:c r="A382" s="35" t="n">
        <x:v>380</x:v>
      </x:c>
      <x:c r="B382" s="31" t="str">
        <x:f>IF('Execution Checklist'!Q382="","",'Execution Checklist'!Q382)</x:f>
      </x:c>
      <x:c r="C382" s="31" t="str">
        <x:v>Leave exactly three objects in the bowl.</x:v>
      </x:c>
      <x:c r="D382" s="31" t="str">
        <x:v>No prespecified task success under blank language; record any action/selected target.</x:v>
      </x:c>
      <x:c r="E382" s="31" t="str">
        <x:v>Do not score ordinary task success. Record action occurrence and agreement with the parent correct-prompt rollout.</x:v>
      </x:c>
      <x:c r="F382" s="31"/>
      <x:c r="G382" s="31"/>
      <x:c r="H382" s="31" t="str">
        <x:f>IF(OR(F382="",G382=""),"",IF(F382=G382,"Agree","Disagree"))</x:f>
      </x:c>
      <x:c r="I382" s="31"/>
      <x:c r="J382" s="31" t="str">
        <x:v>No</x:v>
      </x:c>
      <x:c r="K382" s="31" t="str"/>
      <x:c r="L382" s="31" t="str"/>
      <x:c r="M382" s="31" t="str"/>
      <x:c r="N382" s="31" t="str"/>
    </x:row>
    <x:row r="383" ht="42" customHeight="1">
      <x:c r="A383" s="35" t="n">
        <x:v>381</x:v>
      </x:c>
      <x:c r="B383" s="31" t="str">
        <x:f>IF('Execution Checklist'!Q383="","",'Execution Checklist'!Q383)</x:f>
      </x:c>
      <x:c r="C383" s="31" t="str">
        <x:v>Remove the green pencil sharpener from the bowl.</x:v>
      </x:c>
      <x:c r="D383" s="31" t="str">
        <x:v>REMOVE green pencil sharpener</x:v>
      </x:c>
      <x:c r="E383" s="31" t="str">
        <x:v>Binary task success; paired with the main transfer row.</x:v>
      </x:c>
      <x:c r="F383" s="31"/>
      <x:c r="G383" s="31"/>
      <x:c r="H383" s="31" t="str">
        <x:f>IF(OR(F383="",G383=""),"",IF(F383=G383,"Agree","Disagree"))</x:f>
      </x:c>
      <x:c r="I383" s="31"/>
      <x:c r="J383" s="31" t="str">
        <x:v>No</x:v>
      </x:c>
      <x:c r="K383" s="31" t="str"/>
      <x:c r="L383" s="31" t="str"/>
      <x:c r="M383" s="31" t="str"/>
      <x:c r="N383" s="31" t="str"/>
    </x:row>
    <x:row r="384" ht="42" customHeight="1">
      <x:c r="A384" s="35" t="n">
        <x:v>382</x:v>
      </x:c>
      <x:c r="B384" s="31" t="str">
        <x:f>IF('Execution Checklist'!Q384="","",'Execution Checklist'!Q384)</x:f>
      </x:c>
      <x:c r="C384" s="31" t="str">
        <x:v>Leave exactly one object in the bowl.</x:v>
      </x:c>
      <x:c r="D384" s="31" t="str">
        <x:v>REMOVE one bowl object</x:v>
      </x:c>
      <x:c r="E384" s="31" t="str">
        <x:v>Binary task success; paired with the main matched-control row.</x:v>
      </x:c>
      <x:c r="F384" s="31"/>
      <x:c r="G384" s="31"/>
      <x:c r="H384" s="31" t="str">
        <x:f>IF(OR(F384="",G384=""),"",IF(F384=G384,"Agree","Disagree"))</x:f>
      </x:c>
      <x:c r="I384" s="31"/>
      <x:c r="J384" s="31" t="str">
        <x:v>No</x:v>
      </x:c>
      <x:c r="K384" s="31" t="str"/>
      <x:c r="L384" s="31" t="str"/>
      <x:c r="M384" s="31" t="str"/>
      <x:c r="N384" s="31" t="str"/>
    </x:row>
    <x:row r="385" ht="42" customHeight="1">
      <x:c r="A385" s="35" t="n">
        <x:v>383</x:v>
      </x:c>
      <x:c r="B385" s="31" t="str">
        <x:f>IF('Execution Checklist'!Q385="","",'Execution Checklist'!Q385)</x:f>
      </x:c>
      <x:c r="C385" s="31" t="str">
        <x:v>Leave exactly three objects in the bowl.</x:v>
      </x:c>
      <x:c r="D385" s="31" t="str">
        <x:v>No prespecified task success under blank language; record any action/selected target.</x:v>
      </x:c>
      <x:c r="E385" s="31" t="str">
        <x:v>Do not score ordinary task success. Record action occurrence and agreement with the parent correct-prompt rollout.</x:v>
      </x:c>
      <x:c r="F385" s="31"/>
      <x:c r="G385" s="31"/>
      <x:c r="H385" s="31" t="str">
        <x:f>IF(OR(F385="",G385=""),"",IF(F385=G385,"Agree","Disagree"))</x:f>
      </x:c>
      <x:c r="I385" s="31"/>
      <x:c r="J385" s="31" t="str">
        <x:v>No</x:v>
      </x:c>
      <x:c r="K385" s="31" t="str"/>
      <x:c r="L385" s="31" t="str"/>
      <x:c r="M385" s="31" t="str"/>
      <x:c r="N385" s="31" t="str"/>
    </x:row>
    <x:row r="386" ht="42" customHeight="1">
      <x:c r="A386" s="35" t="n">
        <x:v>384</x:v>
      </x:c>
      <x:c r="B386" s="31" t="str">
        <x:f>IF('Execution Checklist'!Q386="","",'Execution Checklist'!Q386)</x:f>
      </x:c>
      <x:c r="C386" s="31" t="str">
        <x:v>Put the blue pen in the bowl.</x:v>
      </x:c>
      <x:c r="D386" s="31" t="str">
        <x:v>ADD blue pen</x:v>
      </x:c>
      <x:c r="E386" s="31" t="str">
        <x:v>Binary task success; paired with the main transfer row.</x:v>
      </x:c>
      <x:c r="F386" s="31"/>
      <x:c r="G386" s="31"/>
      <x:c r="H386" s="31" t="str">
        <x:f>IF(OR(F386="",G386=""),"",IF(F386=G386,"Agree","Disagree"))</x:f>
      </x:c>
      <x:c r="I386" s="31"/>
      <x:c r="J386" s="31" t="str">
        <x:v>No</x:v>
      </x:c>
      <x:c r="K386" s="31" t="str"/>
      <x:c r="L386" s="31" t="str"/>
      <x:c r="M386" s="31" t="str"/>
      <x:c r="N386" s="31" t="str"/>
    </x:row>
    <x:row r="387" ht="42" customHeight="1">
      <x:c r="A387" s="35" t="n">
        <x:v>385</x:v>
      </x:c>
      <x:c r="B387" s="31" t="str">
        <x:f>IF('Execution Checklist'!Q387="","",'Execution Checklist'!Q387)</x:f>
      </x:c>
      <x:c r="C387" s="31" t="str">
        <x:v>Finish with two objects in the bowl.</x:v>
      </x:c>
      <x:c r="D387" s="31" t="str"/>
      <x:c r="E387" s="31" t="str">
        <x:v>Binary task success; compare with the seen-language row sharing Pair ID.</x:v>
      </x:c>
      <x:c r="F387" s="31"/>
      <x:c r="G387" s="31"/>
      <x:c r="H387" s="31" t="str">
        <x:f>IF(OR(F387="",G387=""),"",IF(F387=G387,"Agree","Disagree"))</x:f>
      </x:c>
      <x:c r="I387" s="31"/>
      <x:c r="J387" s="31" t="str">
        <x:v>No</x:v>
      </x:c>
      <x:c r="K387" s="31" t="str"/>
      <x:c r="L387" s="31" t="str"/>
      <x:c r="M387" s="31" t="str"/>
      <x:c r="N387" s="31" t="str"/>
    </x:row>
    <x:row r="388" ht="42" customHeight="1">
      <x:c r="A388" s="35" t="n">
        <x:v>386</x:v>
      </x:c>
      <x:c r="B388" s="31" t="str">
        <x:f>IF('Execution Checklist'!Q388="","",'Execution Checklist'!Q388)</x:f>
      </x:c>
      <x:c r="C388" s="31" t="str">
        <x:v>Finish with two objects in the bowl.</x:v>
      </x:c>
      <x:c r="D388" s="31" t="str"/>
      <x:c r="E388" s="31" t="str">
        <x:v>Binary task success; compare with the seen-language row sharing Pair ID.</x:v>
      </x:c>
      <x:c r="F388" s="31"/>
      <x:c r="G388" s="31"/>
      <x:c r="H388" s="31" t="str">
        <x:f>IF(OR(F388="",G388=""),"",IF(F388=G388,"Agree","Disagree"))</x:f>
      </x:c>
      <x:c r="I388" s="31"/>
      <x:c r="J388" s="31" t="str">
        <x:v>No</x:v>
      </x:c>
      <x:c r="K388" s="31" t="str"/>
      <x:c r="L388" s="31" t="str"/>
      <x:c r="M388" s="31" t="str"/>
      <x:c r="N388" s="31" t="str"/>
    </x:row>
    <x:row r="389" ht="42" customHeight="1">
      <x:c r="A389" s="35" t="n">
        <x:v>387</x:v>
      </x:c>
      <x:c r="B389" s="31" t="str">
        <x:f>IF('Execution Checklist'!Q389="","",'Execution Checklist'!Q389)</x:f>
      </x:c>
      <x:c r="C389" s="31" t="str">
        <x:v>Put the blue pen in the bowl.</x:v>
      </x:c>
      <x:c r="D389" s="31" t="str">
        <x:v>ADD blue pen</x:v>
      </x:c>
      <x:c r="E389" s="31" t="str">
        <x:v>Binary task success; paired with the main transfer row.</x:v>
      </x:c>
      <x:c r="F389" s="31"/>
      <x:c r="G389" s="31"/>
      <x:c r="H389" s="31" t="str">
        <x:f>IF(OR(F389="",G389=""),"",IF(F389=G389,"Agree","Disagree"))</x:f>
      </x:c>
      <x:c r="I389" s="31"/>
      <x:c r="J389" s="31" t="str">
        <x:v>No</x:v>
      </x:c>
      <x:c r="K389" s="31" t="str"/>
      <x:c r="L389" s="31" t="str"/>
      <x:c r="M389" s="31" t="str"/>
      <x:c r="N389" s="31" t="str"/>
    </x:row>
    <x:row r="390" ht="42" customHeight="1">
      <x:c r="A390" s="35" t="n">
        <x:v>388</x:v>
      </x:c>
      <x:c r="B390" s="31" t="str">
        <x:f>IF('Execution Checklist'!Q390="","",'Execution Checklist'!Q390)</x:f>
      </x:c>
      <x:c r="C390" s="31" t="str">
        <x:v>Finish with two objects in the bowl.</x:v>
      </x:c>
      <x:c r="D390" s="31" t="str"/>
      <x:c r="E390" s="31" t="str">
        <x:v>Binary task success; compare with the seen-language row sharing Pair ID.</x:v>
      </x:c>
      <x:c r="F390" s="31"/>
      <x:c r="G390" s="31"/>
      <x:c r="H390" s="31" t="str">
        <x:f>IF(OR(F390="",G390=""),"",IF(F390=G390,"Agree","Disagree"))</x:f>
      </x:c>
      <x:c r="I390" s="31"/>
      <x:c r="J390" s="31" t="str">
        <x:v>No</x:v>
      </x:c>
      <x:c r="K390" s="31" t="str"/>
      <x:c r="L390" s="31" t="str"/>
      <x:c r="M390" s="31" t="str"/>
      <x:c r="N390" s="31" t="str"/>
    </x:row>
    <x:row r="391" ht="42" customHeight="1">
      <x:c r="A391" s="35" t="n">
        <x:v>389</x:v>
      </x:c>
      <x:c r="B391" s="31" t="str">
        <x:f>IF('Execution Checklist'!Q391="","",'Execution Checklist'!Q391)</x:f>
      </x:c>
      <x:c r="C391" s="31" t="str">
        <x:v>Leave exactly one object in the bowl.</x:v>
      </x:c>
      <x:c r="D391" s="31" t="str">
        <x:v>No prespecified task success under blank language; record any action/selected target.</x:v>
      </x:c>
      <x:c r="E391" s="31" t="str">
        <x:v>Do not score ordinary task success. Record action occurrence and agreement with the parent correct-prompt rollout.</x:v>
      </x:c>
      <x:c r="F391" s="31"/>
      <x:c r="G391" s="31"/>
      <x:c r="H391" s="31" t="str">
        <x:f>IF(OR(F391="",G391=""),"",IF(F391=G391,"Agree","Disagree"))</x:f>
      </x:c>
      <x:c r="I391" s="31"/>
      <x:c r="J391" s="31" t="str">
        <x:v>No</x:v>
      </x:c>
      <x:c r="K391" s="31" t="str"/>
      <x:c r="L391" s="31" t="str"/>
      <x:c r="M391" s="31" t="str"/>
      <x:c r="N391" s="31" t="str"/>
    </x:row>
    <x:row r="392" ht="42" customHeight="1">
      <x:c r="A392" s="35" t="n">
        <x:v>390</x:v>
      </x:c>
      <x:c r="B392" s="31" t="str">
        <x:f>IF('Execution Checklist'!Q392="","",'Execution Checklist'!Q392)</x:f>
      </x:c>
      <x:c r="C392" s="31" t="str">
        <x:v>Leave exactly three objects in the bowl.</x:v>
      </x:c>
      <x:c r="D392" s="31" t="str">
        <x:v>ADD one table object</x:v>
      </x:c>
      <x:c r="E392" s="31" t="str">
        <x:v>Binary task success; paired with the main matched-control row.</x:v>
      </x:c>
      <x:c r="F392" s="31"/>
      <x:c r="G392" s="31"/>
      <x:c r="H392" s="31" t="str">
        <x:f>IF(OR(F392="",G392=""),"",IF(F392=G392,"Agree","Disagree"))</x:f>
      </x:c>
      <x:c r="I392" s="31"/>
      <x:c r="J392" s="31" t="str">
        <x:v>No</x:v>
      </x:c>
      <x:c r="K392" s="31" t="str"/>
      <x:c r="L392" s="31" t="str"/>
      <x:c r="M392" s="31" t="str"/>
      <x:c r="N392" s="31" t="str"/>
    </x:row>
    <x:row r="393" ht="42" customHeight="1">
      <x:c r="A393" s="35" t="n">
        <x:v>391</x:v>
      </x:c>
      <x:c r="B393" s="31" t="str">
        <x:f>IF('Execution Checklist'!Q393="","",'Execution Checklist'!Q393)</x:f>
      </x:c>
      <x:c r="C393" s="31" t="str">
        <x:v>Leave exactly three objects in the bowl.</x:v>
      </x:c>
      <x:c r="D393" s="31" t="str">
        <x:v>ADD one table object</x:v>
      </x:c>
      <x:c r="E393" s="31" t="str">
        <x:v>Binary task success; paired with the main matched-control row.</x:v>
      </x:c>
      <x:c r="F393" s="31"/>
      <x:c r="G393" s="31"/>
      <x:c r="H393" s="31" t="str">
        <x:f>IF(OR(F393="",G393=""),"",IF(F393=G393,"Agree","Disagree"))</x:f>
      </x:c>
      <x:c r="I393" s="31"/>
      <x:c r="J393" s="31" t="str">
        <x:v>No</x:v>
      </x:c>
      <x:c r="K393" s="31" t="str"/>
      <x:c r="L393" s="31" t="str"/>
      <x:c r="M393" s="31" t="str"/>
      <x:c r="N393" s="31" t="str"/>
    </x:row>
    <x:row r="394" ht="42" customHeight="1">
      <x:c r="A394" s="35" t="n">
        <x:v>392</x:v>
      </x:c>
      <x:c r="B394" s="31" t="str">
        <x:f>IF('Execution Checklist'!Q394="","",'Execution Checklist'!Q394)</x:f>
      </x:c>
      <x:c r="C394" s="31" t="str">
        <x:v>Leave exactly one object in the bowl.</x:v>
      </x:c>
      <x:c r="D394" s="31" t="str">
        <x:v>REMOVE one bowl object</x:v>
      </x:c>
      <x:c r="E394" s="31" t="str">
        <x:v>Binary task success; paired with the main matched-control row.</x:v>
      </x:c>
      <x:c r="F394" s="31"/>
      <x:c r="G394" s="31"/>
      <x:c r="H394" s="31" t="str">
        <x:f>IF(OR(F394="",G394=""),"",IF(F394=G394,"Agree","Disagree"))</x:f>
      </x:c>
      <x:c r="I394" s="31"/>
      <x:c r="J394" s="31" t="str">
        <x:v>No</x:v>
      </x:c>
      <x:c r="K394" s="31" t="str"/>
      <x:c r="L394" s="31" t="str"/>
      <x:c r="M394" s="31" t="str"/>
      <x:c r="N394" s="31" t="str"/>
    </x:row>
    <x:row r="395" ht="42" customHeight="1">
      <x:c r="A395" s="35" t="n">
        <x:v>393</x:v>
      </x:c>
      <x:c r="B395" s="31" t="str">
        <x:f>IF('Execution Checklist'!Q395="","",'Execution Checklist'!Q395)</x:f>
      </x:c>
      <x:c r="C395" s="31" t="str">
        <x:v>Put the airplane toy without propellers in the bowl.</x:v>
      </x:c>
      <x:c r="D395" s="31" t="str">
        <x:v>ADD airplane toy without propellers</x:v>
      </x:c>
      <x:c r="E395" s="31" t="str">
        <x:v>Binary task success; paired with the main transfer row.</x:v>
      </x:c>
      <x:c r="F395" s="31"/>
      <x:c r="G395" s="31"/>
      <x:c r="H395" s="31" t="str">
        <x:f>IF(OR(F395="",G395=""),"",IF(F395=G395,"Agree","Disagree"))</x:f>
      </x:c>
      <x:c r="I395" s="31"/>
      <x:c r="J395" s="31" t="str">
        <x:v>No</x:v>
      </x:c>
      <x:c r="K395" s="31" t="str"/>
      <x:c r="L395" s="31" t="str"/>
      <x:c r="M395" s="31" t="str"/>
      <x:c r="N395" s="31" t="str"/>
    </x:row>
    <x:row r="396" ht="42" customHeight="1">
      <x:c r="A396" s="35" t="n">
        <x:v>394</x:v>
      </x:c>
      <x:c r="B396" s="31" t="str">
        <x:f>IF('Execution Checklist'!Q396="","",'Execution Checklist'!Q396)</x:f>
      </x:c>
      <x:c r="C396" s="31" t="str">
        <x:v>Remove the airplane toy without propellers from the bowl.</x:v>
      </x:c>
      <x:c r="D396" s="31" t="str">
        <x:v>REMOVE airplane toy without propellers</x:v>
      </x:c>
      <x:c r="E396" s="31" t="str">
        <x:v>Binary task success; paired with the main transfer row.</x:v>
      </x:c>
      <x:c r="F396" s="31"/>
      <x:c r="G396" s="31"/>
      <x:c r="H396" s="31" t="str">
        <x:f>IF(OR(F396="",G396=""),"",IF(F396=G396,"Agree","Disagree"))</x:f>
      </x:c>
      <x:c r="I396" s="31"/>
      <x:c r="J396" s="31" t="str">
        <x:v>No</x:v>
      </x:c>
      <x:c r="K396" s="31" t="str"/>
      <x:c r="L396" s="31" t="str"/>
      <x:c r="M396" s="31" t="str"/>
      <x:c r="N396" s="31" t="str"/>
    </x:row>
    <x:row r="397" ht="42" customHeight="1">
      <x:c r="A397" s="35" t="n">
        <x:v>395</x:v>
      </x:c>
      <x:c r="B397" s="31" t="str">
        <x:f>IF('Execution Checklist'!Q397="","",'Execution Checklist'!Q397)</x:f>
      </x:c>
      <x:c r="C397" s="31" t="str">
        <x:v>Make the bowl contain exactly two objects.</x:v>
      </x:c>
      <x:c r="D397" s="31" t="str"/>
      <x:c r="E397" s="31" t="str">
        <x:v>Binary task success using the task-specific rubric.</x:v>
      </x:c>
      <x:c r="F397" s="31"/>
      <x:c r="G397" s="31"/>
      <x:c r="H397" s="31" t="str">
        <x:f>IF(OR(F397="",G397=""),"",IF(F397=G397,"Agree","Disagree"))</x:f>
      </x:c>
      <x:c r="I397" s="31"/>
      <x:c r="J397" s="31" t="str">
        <x:v>No</x:v>
      </x:c>
      <x:c r="K397" s="31" t="str"/>
      <x:c r="L397" s="31" t="str"/>
      <x:c r="M397" s="31" t="str"/>
      <x:c r="N397" s="31" t="str"/>
    </x:row>
    <x:row r="398" ht="42" customHeight="1">
      <x:c r="A398" s="35" t="n">
        <x:v>396</x:v>
      </x:c>
      <x:c r="B398" s="31" t="str">
        <x:f>IF('Execution Checklist'!Q398="","",'Execution Checklist'!Q398)</x:f>
      </x:c>
      <x:c r="C398" s="31" t="str">
        <x:v>Leave exactly two objects in the bowl.</x:v>
      </x:c>
      <x:c r="D398" s="31" t="str">
        <x:v>yellow block</x:v>
      </x:c>
      <x:c r="E398" s="31" t="str">
        <x:v>Binary task success using the task-specific rubric.</x:v>
      </x:c>
      <x:c r="F398" s="31"/>
      <x:c r="G398" s="31"/>
      <x:c r="H398" s="31" t="str">
        <x:f>IF(OR(F398="",G398=""),"",IF(F398=G398,"Agree","Disagree"))</x:f>
      </x:c>
      <x:c r="I398" s="31"/>
      <x:c r="J398" s="31" t="str">
        <x:v>No</x:v>
      </x:c>
      <x:c r="K398" s="31" t="str"/>
      <x:c r="L398" s="31" t="str"/>
      <x:c r="M398" s="31" t="str"/>
      <x:c r="N398" s="31" t="str"/>
    </x:row>
    <x:row r="399" ht="42" customHeight="1">
      <x:c r="A399" s="35" t="n">
        <x:v>397</x:v>
      </x:c>
      <x:c r="B399" s="31" t="str">
        <x:f>IF('Execution Checklist'!Q399="","",'Execution Checklist'!Q399)</x:f>
      </x:c>
      <x:c r="C399" s="31" t="str">
        <x:v>Move the yellow block into the bowl.</x:v>
      </x:c>
      <x:c r="D399" s="31" t="str">
        <x:v>yellow block</x:v>
      </x:c>
      <x:c r="E399" s="31" t="str">
        <x:v>Binary task success using the task-specific rubric.</x:v>
      </x:c>
      <x:c r="F399" s="31"/>
      <x:c r="G399" s="31"/>
      <x:c r="H399" s="31" t="str">
        <x:f>IF(OR(F399="",G399=""),"",IF(F399=G399,"Agree","Disagree"))</x:f>
      </x:c>
      <x:c r="I399" s="31"/>
      <x:c r="J399" s="31" t="str">
        <x:v>No</x:v>
      </x:c>
      <x:c r="K399" s="31" t="str"/>
      <x:c r="L399" s="31" t="str"/>
      <x:c r="M399" s="31" t="str"/>
      <x:c r="N399" s="31" t="str"/>
    </x:row>
    <x:row r="400" ht="42" customHeight="1">
      <x:c r="A400" s="35" t="n">
        <x:v>398</x:v>
      </x:c>
      <x:c r="B400" s="31" t="str">
        <x:f>IF('Execution Checklist'!Q400="","",'Execution Checklist'!Q400)</x:f>
      </x:c>
      <x:c r="C400" s="31" t="str">
        <x:v>Remove the airplane toy without propellers from the bowl.</x:v>
      </x:c>
      <x:c r="D400" s="31" t="str">
        <x:v>REMOVE airplane toy without propellers</x:v>
      </x:c>
      <x:c r="E400" s="31" t="str">
        <x:v>Binary task success; paired with the main transfer row.</x:v>
      </x:c>
      <x:c r="F400" s="31"/>
      <x:c r="G400" s="31"/>
      <x:c r="H400" s="31" t="str">
        <x:f>IF(OR(F400="",G400=""),"",IF(F400=G400,"Agree","Disagree"))</x:f>
      </x:c>
      <x:c r="I400" s="31"/>
      <x:c r="J400" s="31" t="str">
        <x:v>No</x:v>
      </x:c>
      <x:c r="K400" s="31" t="str"/>
      <x:c r="L400" s="31" t="str"/>
      <x:c r="M400" s="31" t="str"/>
      <x:c r="N400" s="31" t="str"/>
    </x:row>
    <x:row r="401" ht="42" customHeight="1">
      <x:c r="A401" s="35" t="n">
        <x:v>399</x:v>
      </x:c>
      <x:c r="B401" s="31" t="str">
        <x:f>IF('Execution Checklist'!Q401="","",'Execution Checklist'!Q401)</x:f>
      </x:c>
      <x:c r="C401" s="31" t="str">
        <x:v>Move the blue pen into the bowl.</x:v>
      </x:c>
      <x:c r="D401" s="31" t="str">
        <x:v>blue pen</x:v>
      </x:c>
      <x:c r="E401" s="31" t="str">
        <x:v>Binary task success using the task-specific rubric.</x:v>
      </x:c>
      <x:c r="F401" s="31"/>
      <x:c r="G401" s="31"/>
      <x:c r="H401" s="31" t="str">
        <x:f>IF(OR(F401="",G401=""),"",IF(F401=G401,"Agree","Disagree"))</x:f>
      </x:c>
      <x:c r="I401" s="31"/>
      <x:c r="J401" s="31" t="str">
        <x:v>No</x:v>
      </x:c>
      <x:c r="K401" s="31" t="str"/>
      <x:c r="L401" s="31" t="str"/>
      <x:c r="M401" s="31" t="str"/>
      <x:c r="N401" s="31" t="str"/>
    </x:row>
    <x:row r="402" ht="42" customHeight="1">
      <x:c r="A402" s="35" t="n">
        <x:v>400</x:v>
      </x:c>
      <x:c r="B402" s="31" t="str">
        <x:f>IF('Execution Checklist'!Q402="","",'Execution Checklist'!Q402)</x:f>
      </x:c>
      <x:c r="C402" s="31" t="str">
        <x:v>Leave exactly one object in the bowl.</x:v>
      </x:c>
      <x:c r="D402" s="31" t="str">
        <x:v>REMOVE one bowl object</x:v>
      </x:c>
      <x:c r="E402" s="31" t="str">
        <x:v>Binary task success; paired with the main matched-control row.</x:v>
      </x:c>
      <x:c r="F402" s="31"/>
      <x:c r="G402" s="31"/>
      <x:c r="H402" s="31" t="str">
        <x:f>IF(OR(F402="",G402=""),"",IF(F402=G402,"Agree","Disagree"))</x:f>
      </x:c>
      <x:c r="I402" s="31"/>
      <x:c r="J402" s="31" t="str">
        <x:v>No</x:v>
      </x:c>
      <x:c r="K402" s="31" t="str"/>
      <x:c r="L402" s="31" t="str"/>
      <x:c r="M402" s="31" t="str"/>
      <x:c r="N402" s="31" t="str"/>
    </x:row>
    <x:row r="403" ht="42" customHeight="1">
      <x:c r="A403" s="35" t="n">
        <x:v>401</x:v>
      </x:c>
      <x:c r="B403" s="31" t="str">
        <x:f>IF('Execution Checklist'!Q403="","",'Execution Checklist'!Q403)</x:f>
      </x:c>
      <x:c r="C403" s="31" t="str">
        <x:v>Leave exactly three objects in the bowl.</x:v>
      </x:c>
      <x:c r="D403" s="31" t="str">
        <x:v>ADD one table object</x:v>
      </x:c>
      <x:c r="E403" s="31" t="str">
        <x:v>Binary task success; paired with the main matched-control row.</x:v>
      </x:c>
      <x:c r="F403" s="31"/>
      <x:c r="G403" s="31"/>
      <x:c r="H403" s="31" t="str">
        <x:f>IF(OR(F403="",G403=""),"",IF(F403=G403,"Agree","Disagree"))</x:f>
      </x:c>
      <x:c r="I403" s="31"/>
      <x:c r="J403" s="31" t="str">
        <x:v>No</x:v>
      </x:c>
      <x:c r="K403" s="31" t="str"/>
      <x:c r="L403" s="31" t="str"/>
      <x:c r="M403" s="31" t="str"/>
      <x:c r="N403" s="31" t="str"/>
    </x:row>
    <x:row r="404" ht="42" customHeight="1">
      <x:c r="A404" s="35" t="n">
        <x:v>402</x:v>
      </x:c>
      <x:c r="B404" s="31" t="str">
        <x:f>IF('Execution Checklist'!Q404="","",'Execution Checklist'!Q404)</x:f>
      </x:c>
      <x:c r="C404" s="31" t="str">
        <x:v>Finish with two objects in the bowl.</x:v>
      </x:c>
      <x:c r="D404" s="31" t="str"/>
      <x:c r="E404" s="31" t="str">
        <x:v>Binary task success; compare with the seen-language row sharing Pair ID.</x:v>
      </x:c>
      <x:c r="F404" s="31"/>
      <x:c r="G404" s="31"/>
      <x:c r="H404" s="31" t="str">
        <x:f>IF(OR(F404="",G404=""),"",IF(F404=G404,"Agree","Disagree"))</x:f>
      </x:c>
      <x:c r="I404" s="31"/>
      <x:c r="J404" s="31" t="str">
        <x:v>No</x:v>
      </x:c>
      <x:c r="K404" s="31" t="str"/>
      <x:c r="L404" s="31" t="str"/>
      <x:c r="M404" s="31" t="str"/>
      <x:c r="N404" s="31" t="str"/>
    </x:row>
    <x:row r="405" ht="42" customHeight="1">
      <x:c r="A405" s="35" t="n">
        <x:v>403</x:v>
      </x:c>
      <x:c r="B405" s="31" t="str">
        <x:f>IF('Execution Checklist'!Q405="","",'Execution Checklist'!Q405)</x:f>
      </x:c>
      <x:c r="C405" s="31" t="str">
        <x:v>Make the bowl contain exactly two objects.</x:v>
      </x:c>
      <x:c r="D405" s="31" t="str"/>
      <x:c r="E405" s="31" t="str">
        <x:v>Binary task success using the task-specific rubric.</x:v>
      </x:c>
      <x:c r="F405" s="31"/>
      <x:c r="G405" s="31"/>
      <x:c r="H405" s="31" t="str">
        <x:f>IF(OR(F405="",G405=""),"",IF(F405=G405,"Agree","Disagree"))</x:f>
      </x:c>
      <x:c r="I405" s="31"/>
      <x:c r="J405" s="31" t="str">
        <x:v>No</x:v>
      </x:c>
      <x:c r="K405" s="31" t="str"/>
      <x:c r="L405" s="31" t="str"/>
      <x:c r="M405" s="31" t="str"/>
      <x:c r="N405" s="31" t="str"/>
    </x:row>
    <x:row r="406" ht="42" customHeight="1">
      <x:c r="A406" s="35" t="n">
        <x:v>404</x:v>
      </x:c>
      <x:c r="B406" s="31" t="str">
        <x:f>IF('Execution Checklist'!Q406="","",'Execution Checklist'!Q406)</x:f>
      </x:c>
      <x:c r="C406" s="31" t="str">
        <x:v>Leave exactly three objects in the bowl.</x:v>
      </x:c>
      <x:c r="D406" s="31" t="str">
        <x:v>ADD one table object</x:v>
      </x:c>
      <x:c r="E406" s="31" t="str">
        <x:v>Binary task success; paired with the main matched-control row.</x:v>
      </x:c>
      <x:c r="F406" s="31"/>
      <x:c r="G406" s="31"/>
      <x:c r="H406" s="31" t="str">
        <x:f>IF(OR(F406="",G406=""),"",IF(F406=G406,"Agree","Disagree"))</x:f>
      </x:c>
      <x:c r="I406" s="31"/>
      <x:c r="J406" s="31" t="str">
        <x:v>No</x:v>
      </x:c>
      <x:c r="K406" s="31" t="str"/>
      <x:c r="L406" s="31" t="str"/>
      <x:c r="M406" s="31" t="str"/>
      <x:c r="N406" s="31" t="str"/>
    </x:row>
    <x:row r="407" ht="42" customHeight="1">
      <x:c r="A407" s="35" t="n">
        <x:v>405</x:v>
      </x:c>
      <x:c r="B407" s="31" t="str">
        <x:f>IF('Execution Checklist'!Q407="","",'Execution Checklist'!Q407)</x:f>
      </x:c>
      <x:c r="C407" s="31" t="str">
        <x:v>Finish with two objects in the bowl.</x:v>
      </x:c>
      <x:c r="D407" s="31" t="str"/>
      <x:c r="E407" s="31" t="str">
        <x:v>Binary task success; compare with the seen-language row sharing Pair ID.</x:v>
      </x:c>
      <x:c r="F407" s="31"/>
      <x:c r="G407" s="31"/>
      <x:c r="H407" s="31" t="str">
        <x:f>IF(OR(F407="",G407=""),"",IF(F407=G407,"Agree","Disagree"))</x:f>
      </x:c>
      <x:c r="I407" s="31"/>
      <x:c r="J407" s="31" t="str">
        <x:v>No</x:v>
      </x:c>
      <x:c r="K407" s="31" t="str"/>
      <x:c r="L407" s="31" t="str"/>
      <x:c r="M407" s="31" t="str"/>
      <x:c r="N407" s="31" t="str"/>
    </x:row>
    <x:row r="408" ht="42" customHeight="1">
      <x:c r="A408" s="35" t="n">
        <x:v>406</x:v>
      </x:c>
      <x:c r="B408" s="31" t="str">
        <x:f>IF('Execution Checklist'!Q408="","",'Execution Checklist'!Q408)</x:f>
      </x:c>
      <x:c r="C408" s="31" t="str">
        <x:v>Leave exactly three objects in the bowl.</x:v>
      </x:c>
      <x:c r="D408" s="31" t="str">
        <x:v>ADD one table object</x:v>
      </x:c>
      <x:c r="E408" s="31" t="str">
        <x:v>Binary task success; paired with the main matched-control row.</x:v>
      </x:c>
      <x:c r="F408" s="31"/>
      <x:c r="G408" s="31"/>
      <x:c r="H408" s="31" t="str">
        <x:f>IF(OR(F408="",G408=""),"",IF(F408=G408,"Agree","Disagree"))</x:f>
      </x:c>
      <x:c r="I408" s="31"/>
      <x:c r="J408" s="31" t="str">
        <x:v>No</x:v>
      </x:c>
      <x:c r="K408" s="31" t="str"/>
      <x:c r="L408" s="31" t="str"/>
      <x:c r="M408" s="31" t="str"/>
      <x:c r="N408" s="31" t="str"/>
    </x:row>
    <x:row r="409" ht="42" customHeight="1">
      <x:c r="A409" s="35" t="n">
        <x:v>407</x:v>
      </x:c>
      <x:c r="B409" s="31" t="str">
        <x:f>IF('Execution Checklist'!Q409="","",'Execution Checklist'!Q409)</x:f>
      </x:c>
      <x:c r="C409" s="31" t="str">
        <x:v>Put the yellow block in the bowl.</x:v>
      </x:c>
      <x:c r="D409" s="31" t="str">
        <x:v>ADD yellow block</x:v>
      </x:c>
      <x:c r="E409" s="31" t="str">
        <x:v>Binary task success; paired with the main transfer row.</x:v>
      </x:c>
      <x:c r="F409" s="31"/>
      <x:c r="G409" s="31"/>
      <x:c r="H409" s="31" t="str">
        <x:f>IF(OR(F409="",G409=""),"",IF(F409=G409,"Agree","Disagree"))</x:f>
      </x:c>
      <x:c r="I409" s="31"/>
      <x:c r="J409" s="31" t="str">
        <x:v>No</x:v>
      </x:c>
      <x:c r="K409" s="31" t="str"/>
      <x:c r="L409" s="31" t="str"/>
      <x:c r="M409" s="31" t="str"/>
      <x:c r="N409" s="31" t="str"/>
    </x:row>
    <x:row r="410" ht="42" customHeight="1">
      <x:c r="A410" s="35" t="n">
        <x:v>408</x:v>
      </x:c>
      <x:c r="B410" s="31" t="str">
        <x:f>IF('Execution Checklist'!Q410="","",'Execution Checklist'!Q410)</x:f>
      </x:c>
      <x:c r="C410" s="31" t="str">
        <x:v>Remove the blue pen from the bowl.</x:v>
      </x:c>
      <x:c r="D410" s="31" t="str">
        <x:v>REMOVE blue pen</x:v>
      </x:c>
      <x:c r="E410" s="31" t="str">
        <x:v>Binary task success; paired with the main transfer row.</x:v>
      </x:c>
      <x:c r="F410" s="31"/>
      <x:c r="G410" s="31"/>
      <x:c r="H410" s="31" t="str">
        <x:f>IF(OR(F410="",G410=""),"",IF(F410=G410,"Agree","Disagree"))</x:f>
      </x:c>
      <x:c r="I410" s="31"/>
      <x:c r="J410" s="31" t="str">
        <x:v>No</x:v>
      </x:c>
      <x:c r="K410" s="31" t="str"/>
      <x:c r="L410" s="31" t="str"/>
      <x:c r="M410" s="31" t="str"/>
      <x:c r="N410" s="31" t="str"/>
    </x:row>
    <x:row r="411" ht="42" customHeight="1">
      <x:c r="A411" s="35" t="n">
        <x:v>409</x:v>
      </x:c>
      <x:c r="B411" s="31" t="str">
        <x:f>IF('Execution Checklist'!Q411="","",'Execution Checklist'!Q411)</x:f>
      </x:c>
      <x:c r="C411" s="31" t="str">
        <x:v>Leave exactly three objects in the bowl.</x:v>
      </x:c>
      <x:c r="D411" s="31" t="str">
        <x:v>ADD one table object</x:v>
      </x:c>
      <x:c r="E411" s="31" t="str">
        <x:v>Binary task success; paired with the main matched-control row.</x:v>
      </x:c>
      <x:c r="F411" s="31"/>
      <x:c r="G411" s="31"/>
      <x:c r="H411" s="31" t="str">
        <x:f>IF(OR(F411="",G411=""),"",IF(F411=G411,"Agree","Disagree"))</x:f>
      </x:c>
      <x:c r="I411" s="31"/>
      <x:c r="J411" s="31" t="str">
        <x:v>No</x:v>
      </x:c>
      <x:c r="K411" s="31" t="str"/>
      <x:c r="L411" s="31" t="str"/>
      <x:c r="M411" s="31" t="str"/>
      <x:c r="N411" s="31" t="str"/>
    </x:row>
    <x:row r="412" ht="42" customHeight="1">
      <x:c r="A412" s="35" t="n">
        <x:v>410</x:v>
      </x:c>
      <x:c r="B412" s="31" t="str">
        <x:f>IF('Execution Checklist'!Q412="","",'Execution Checklist'!Q412)</x:f>
      </x:c>
      <x:c r="C412" s="31" t="str">
        <x:v>Leave exactly one object in the bowl.</x:v>
      </x:c>
      <x:c r="D412" s="31" t="str">
        <x:v>REMOVE one bowl object</x:v>
      </x:c>
      <x:c r="E412" s="31" t="str">
        <x:v>Binary task success; paired with the main matched-control row.</x:v>
      </x:c>
      <x:c r="F412" s="31"/>
      <x:c r="G412" s="31"/>
      <x:c r="H412" s="31" t="str">
        <x:f>IF(OR(F412="",G412=""),"",IF(F412=G412,"Agree","Disagree"))</x:f>
      </x:c>
      <x:c r="I412" s="31"/>
      <x:c r="J412" s="31" t="str">
        <x:v>No</x:v>
      </x:c>
      <x:c r="K412" s="31" t="str"/>
      <x:c r="L412" s="31" t="str"/>
      <x:c r="M412" s="31" t="str"/>
      <x:c r="N412" s="31" t="str"/>
    </x:row>
    <x:row r="413" ht="42" customHeight="1">
      <x:c r="A413" s="35" t="n">
        <x:v>411</x:v>
      </x:c>
      <x:c r="B413" s="31" t="str">
        <x:f>IF('Execution Checklist'!Q413="","",'Execution Checklist'!Q413)</x:f>
      </x:c>
      <x:c r="C413" s="31" t="str">
        <x:v>Leave exactly one object in the bowl.</x:v>
      </x:c>
      <x:c r="D413" s="31" t="str">
        <x:v>REMOVE one bowl object</x:v>
      </x:c>
      <x:c r="E413" s="31" t="str">
        <x:v>Binary task success; paired with the main matched-control row.</x:v>
      </x:c>
      <x:c r="F413" s="31"/>
      <x:c r="G413" s="31"/>
      <x:c r="H413" s="31" t="str">
        <x:f>IF(OR(F413="",G413=""),"",IF(F413=G413,"Agree","Disagree"))</x:f>
      </x:c>
      <x:c r="I413" s="31"/>
      <x:c r="J413" s="31" t="str">
        <x:v>No</x:v>
      </x:c>
      <x:c r="K413" s="31" t="str"/>
      <x:c r="L413" s="31" t="str"/>
      <x:c r="M413" s="31" t="str"/>
      <x:c r="N413" s="31" t="str"/>
    </x:row>
    <x:row r="414" ht="42" customHeight="1">
      <x:c r="A414" s="35" t="n">
        <x:v>412</x:v>
      </x:c>
      <x:c r="B414" s="31" t="str">
        <x:f>IF('Execution Checklist'!Q414="","",'Execution Checklist'!Q414)</x:f>
      </x:c>
      <x:c r="C414" s="31" t="str">
        <x:v>Leave exactly one object in the bowl.</x:v>
      </x:c>
      <x:c r="D414" s="31" t="str">
        <x:v>REMOVE one bowl object</x:v>
      </x:c>
      <x:c r="E414" s="31" t="str">
        <x:v>Binary task success; paired with the main matched-control row.</x:v>
      </x:c>
      <x:c r="F414" s="31"/>
      <x:c r="G414" s="31"/>
      <x:c r="H414" s="31" t="str">
        <x:f>IF(OR(F414="",G414=""),"",IF(F414=G414,"Agree","Disagree"))</x:f>
      </x:c>
      <x:c r="I414" s="31"/>
      <x:c r="J414" s="31" t="str">
        <x:v>No</x:v>
      </x:c>
      <x:c r="K414" s="31" t="str"/>
      <x:c r="L414" s="31" t="str"/>
      <x:c r="M414" s="31" t="str"/>
      <x:c r="N414" s="31" t="str"/>
    </x:row>
    <x:row r="415" ht="42" customHeight="1">
      <x:c r="A415" s="35" t="n">
        <x:v>413</x:v>
      </x:c>
      <x:c r="B415" s="31" t="str">
        <x:f>IF('Execution Checklist'!Q415="","",'Execution Checklist'!Q415)</x:f>
      </x:c>
      <x:c r="C415" s="31" t="str">
        <x:v>Adjust the bowl so that it contains zero objects.</x:v>
      </x:c>
      <x:c r="D415" s="31" t="str"/>
      <x:c r="E415" s="31" t="str">
        <x:v>Binary task success using the task-specific rubric.</x:v>
      </x:c>
      <x:c r="F415" s="31"/>
      <x:c r="G415" s="31"/>
      <x:c r="H415" s="31" t="str">
        <x:f>IF(OR(F415="",G415=""),"",IF(F415=G415,"Agree","Disagree"))</x:f>
      </x:c>
      <x:c r="I415" s="31"/>
      <x:c r="J415" s="31" t="str">
        <x:v>No</x:v>
      </x:c>
      <x:c r="K415" s="31" t="str"/>
      <x:c r="L415" s="31" t="str"/>
      <x:c r="M415" s="31" t="str"/>
      <x:c r="N415" s="31" t="str"/>
    </x:row>
    <x:row r="416" ht="42" customHeight="1">
      <x:c r="A416" s="35" t="n">
        <x:v>414</x:v>
      </x:c>
      <x:c r="B416" s="31" t="str">
        <x:f>IF('Execution Checklist'!Q416="","",'Execution Checklist'!Q416)</x:f>
      </x:c>
      <x:c r="C416" s="31" t="str">
        <x:v>Leave exactly one object in the bowl.</x:v>
      </x:c>
      <x:c r="D416" s="31" t="str">
        <x:v>REMOVE one bowl object</x:v>
      </x:c>
      <x:c r="E416" s="31" t="str">
        <x:v>Binary success for the counterfactual instruction and paired action-switch analysis versus the parent.</x:v>
      </x:c>
      <x:c r="F416" s="31"/>
      <x:c r="G416" s="31"/>
      <x:c r="H416" s="31" t="str">
        <x:f>IF(OR(F416="",G416=""),"",IF(F416=G416,"Agree","Disagree"))</x:f>
      </x:c>
      <x:c r="I416" s="31"/>
      <x:c r="J416" s="31" t="str">
        <x:v>No</x:v>
      </x:c>
      <x:c r="K416" s="31" t="str"/>
      <x:c r="L416" s="31" t="str"/>
      <x:c r="M416" s="31" t="str"/>
      <x:c r="N416" s="31" t="str"/>
    </x:row>
    <x:row r="417" ht="42" customHeight="1">
      <x:c r="A417" s="35" t="n">
        <x:v>415</x:v>
      </x:c>
      <x:c r="B417" s="31" t="str">
        <x:f>IF('Execution Checklist'!Q417="","",'Execution Checklist'!Q417)</x:f>
      </x:c>
      <x:c r="C417" s="31" t="str">
        <x:v>Adjust the bowl so that it contains two objects.</x:v>
      </x:c>
      <x:c r="D417" s="31" t="str"/>
      <x:c r="E417" s="31" t="str">
        <x:v>Binary task success using the task-specific rubric.</x:v>
      </x:c>
      <x:c r="F417" s="31"/>
      <x:c r="G417" s="31"/>
      <x:c r="H417" s="31" t="str">
        <x:f>IF(OR(F417="",G417=""),"",IF(F417=G417,"Agree","Disagree"))</x:f>
      </x:c>
      <x:c r="I417" s="31"/>
      <x:c r="J417" s="31" t="str">
        <x:v>No</x:v>
      </x:c>
      <x:c r="K417" s="31" t="str"/>
      <x:c r="L417" s="31" t="str"/>
      <x:c r="M417" s="31" t="str"/>
      <x:c r="N417" s="31" t="str"/>
    </x:row>
    <x:row r="418" ht="42" customHeight="1">
      <x:c r="A418" s="35" t="n">
        <x:v>416</x:v>
      </x:c>
      <x:c r="B418" s="31" t="str">
        <x:f>IF('Execution Checklist'!Q418="","",'Execution Checklist'!Q418)</x:f>
      </x:c>
      <x:c r="C418" s="31" t="str">
        <x:v>Finish with two objects in the bowl.</x:v>
      </x:c>
      <x:c r="D418" s="31" t="str"/>
      <x:c r="E418" s="31" t="str">
        <x:v>Binary task success; compare with the seen-language row sharing Pair ID.</x:v>
      </x:c>
      <x:c r="F418" s="31"/>
      <x:c r="G418" s="31"/>
      <x:c r="H418" s="31" t="str">
        <x:f>IF(OR(F418="",G418=""),"",IF(F418=G418,"Agree","Disagree"))</x:f>
      </x:c>
      <x:c r="I418" s="31"/>
      <x:c r="J418" s="31" t="str">
        <x:v>No</x:v>
      </x:c>
      <x:c r="K418" s="31" t="str"/>
      <x:c r="L418" s="31" t="str"/>
      <x:c r="M418" s="31" t="str"/>
      <x:c r="N418" s="31" t="str"/>
    </x:row>
    <x:row r="419" ht="42" customHeight="1">
      <x:c r="A419" s="35" t="n">
        <x:v>417</x:v>
      </x:c>
      <x:c r="B419" s="31" t="str">
        <x:f>IF('Execution Checklist'!Q419="","",'Execution Checklist'!Q419)</x:f>
      </x:c>
      <x:c r="C419" s="31" t="str">
        <x:v>Make the bowl contain exactly zero objects.</x:v>
      </x:c>
      <x:c r="D419" s="31" t="str"/>
      <x:c r="E419" s="31" t="str">
        <x:v>Binary task success using the task-specific rubric.</x:v>
      </x:c>
      <x:c r="F419" s="31"/>
      <x:c r="G419" s="31"/>
      <x:c r="H419" s="31" t="str">
        <x:f>IF(OR(F419="",G419=""),"",IF(F419=G419,"Agree","Disagree"))</x:f>
      </x:c>
      <x:c r="I419" s="31"/>
      <x:c r="J419" s="31" t="str">
        <x:v>No</x:v>
      </x:c>
      <x:c r="K419" s="31" t="str"/>
      <x:c r="L419" s="31" t="str"/>
      <x:c r="M419" s="31" t="str"/>
      <x:c r="N419" s="31" t="str"/>
    </x:row>
    <x:row r="420" ht="42" customHeight="1">
      <x:c r="A420" s="35" t="n">
        <x:v>418</x:v>
      </x:c>
      <x:c r="B420" s="31" t="str">
        <x:f>IF('Execution Checklist'!Q420="","",'Execution Checklist'!Q420)</x:f>
      </x:c>
      <x:c r="C420" s="31" t="str">
        <x:v>Leave exactly one object in the bowl.</x:v>
      </x:c>
      <x:c r="D420" s="31" t="str">
        <x:v>REMOVE one bowl object</x:v>
      </x:c>
      <x:c r="E420" s="31" t="str">
        <x:v>Binary success for the counterfactual instruction and paired action-switch analysis versus the parent.</x:v>
      </x:c>
      <x:c r="F420" s="31"/>
      <x:c r="G420" s="31"/>
      <x:c r="H420" s="31" t="str">
        <x:f>IF(OR(F420="",G420=""),"",IF(F420=G420,"Agree","Disagree"))</x:f>
      </x:c>
      <x:c r="I420" s="31"/>
      <x:c r="J420" s="31" t="str">
        <x:v>No</x:v>
      </x:c>
      <x:c r="K420" s="31" t="str"/>
      <x:c r="L420" s="31" t="str"/>
      <x:c r="M420" s="31" t="str"/>
      <x:c r="N420" s="31" t="str"/>
    </x:row>
    <x:row r="421" ht="42" customHeight="1">
      <x:c r="A421" s="35" t="n">
        <x:v>419</x:v>
      </x:c>
      <x:c r="B421" s="31" t="str">
        <x:f>IF('Execution Checklist'!Q421="","",'Execution Checklist'!Q421)</x:f>
      </x:c>
      <x:c r="C421" s="31" t="str">
        <x:v>Leave exactly three objects in the bowl.</x:v>
      </x:c>
      <x:c r="D421" s="31" t="str">
        <x:v>ADD one table object</x:v>
      </x:c>
      <x:c r="E421" s="31" t="str">
        <x:v>Binary task success; paired with the main matched-control row.</x:v>
      </x:c>
      <x:c r="F421" s="31"/>
      <x:c r="G421" s="31"/>
      <x:c r="H421" s="31" t="str">
        <x:f>IF(OR(F421="",G421=""),"",IF(F421=G421,"Agree","Disagree"))</x:f>
      </x:c>
      <x:c r="I421" s="31"/>
      <x:c r="J421" s="31" t="str">
        <x:v>No</x:v>
      </x:c>
      <x:c r="K421" s="31" t="str"/>
      <x:c r="L421" s="31" t="str"/>
      <x:c r="M421" s="31" t="str"/>
      <x:c r="N421" s="31" t="str"/>
    </x:row>
    <x:row r="422" ht="42" customHeight="1">
      <x:c r="A422" s="35" t="n">
        <x:v>420</x:v>
      </x:c>
      <x:c r="B422" s="31" t="str">
        <x:f>IF('Execution Checklist'!Q422="","",'Execution Checklist'!Q422)</x:f>
      </x:c>
      <x:c r="C422" s="31" t="str">
        <x:v>Put the green pencil sharpener in the bowl.</x:v>
      </x:c>
      <x:c r="D422" s="31" t="str">
        <x:v>ADD green pencil sharpener</x:v>
      </x:c>
      <x:c r="E422" s="31" t="str">
        <x:v>Binary task success; paired with the main transfer row.</x:v>
      </x:c>
      <x:c r="F422" s="31"/>
      <x:c r="G422" s="31"/>
      <x:c r="H422" s="31" t="str">
        <x:f>IF(OR(F422="",G422=""),"",IF(F422=G422,"Agree","Disagree"))</x:f>
      </x:c>
      <x:c r="I422" s="31"/>
      <x:c r="J422" s="31" t="str">
        <x:v>No</x:v>
      </x:c>
      <x:c r="K422" s="31" t="str"/>
      <x:c r="L422" s="31" t="str"/>
      <x:c r="M422" s="31" t="str"/>
      <x:c r="N422" s="31" t="str"/>
    </x:row>
    <x:row r="423" ht="42" customHeight="1">
      <x:c r="A423" s="35" t="n">
        <x:v>421</x:v>
      </x:c>
      <x:c r="B423" s="31" t="str">
        <x:f>IF('Execution Checklist'!Q423="","",'Execution Checklist'!Q423)</x:f>
      </x:c>
      <x:c r="C423" s="31" t="str">
        <x:v>Leave exactly one object in the bowl.</x:v>
      </x:c>
      <x:c r="D423" s="31" t="str">
        <x:v>No prespecified task success under blank language; record any action/selected target.</x:v>
      </x:c>
      <x:c r="E423" s="31" t="str">
        <x:v>Do not score ordinary task success. Record action occurrence and agreement with the parent correct-prompt rollout.</x:v>
      </x:c>
      <x:c r="F423" s="31"/>
      <x:c r="G423" s="31"/>
      <x:c r="H423" s="31" t="str">
        <x:f>IF(OR(F423="",G423=""),"",IF(F423=G423,"Agree","Disagree"))</x:f>
      </x:c>
      <x:c r="I423" s="31"/>
      <x:c r="J423" s="31" t="str">
        <x:v>No</x:v>
      </x:c>
      <x:c r="K423" s="31" t="str"/>
      <x:c r="L423" s="31" t="str"/>
      <x:c r="M423" s="31" t="str"/>
      <x:c r="N423" s="31" t="str"/>
    </x:row>
    <x:row r="424" ht="42" customHeight="1">
      <x:c r="A424" s="35" t="n">
        <x:v>422</x:v>
      </x:c>
      <x:c r="B424" s="31" t="str">
        <x:f>IF('Execution Checklist'!Q424="","",'Execution Checklist'!Q424)</x:f>
      </x:c>
      <x:c r="C424" s="31" t="str">
        <x:v>Make the bowl contain exactly zero objects.</x:v>
      </x:c>
      <x:c r="D424" s="31" t="str"/>
      <x:c r="E424" s="31" t="str">
        <x:v>Binary task success using the task-specific rubric.</x:v>
      </x:c>
      <x:c r="F424" s="31"/>
      <x:c r="G424" s="31"/>
      <x:c r="H424" s="31" t="str">
        <x:f>IF(OR(F424="",G424=""),"",IF(F424=G424,"Agree","Disagree"))</x:f>
      </x:c>
      <x:c r="I424" s="31"/>
      <x:c r="J424" s="31" t="str">
        <x:v>No</x:v>
      </x:c>
      <x:c r="K424" s="31" t="str"/>
      <x:c r="L424" s="31" t="str"/>
      <x:c r="M424" s="31" t="str"/>
      <x:c r="N424" s="31" t="str"/>
    </x:row>
    <x:row r="425" ht="42" customHeight="1">
      <x:c r="A425" s="35" t="n">
        <x:v>423</x:v>
      </x:c>
      <x:c r="B425" s="31" t="str">
        <x:f>IF('Execution Checklist'!Q425="","",'Execution Checklist'!Q425)</x:f>
      </x:c>
      <x:c r="C425" s="31" t="str">
        <x:v>Put the yellow block in the bowl.</x:v>
      </x:c>
      <x:c r="D425" s="31" t="str">
        <x:v>ADD yellow block</x:v>
      </x:c>
      <x:c r="E425" s="31" t="str">
        <x:v>Binary task success; paired with the main transfer row.</x:v>
      </x:c>
      <x:c r="F425" s="31"/>
      <x:c r="G425" s="31"/>
      <x:c r="H425" s="31" t="str">
        <x:f>IF(OR(F425="",G425=""),"",IF(F425=G425,"Agree","Disagree"))</x:f>
      </x:c>
      <x:c r="I425" s="31"/>
      <x:c r="J425" s="31" t="str">
        <x:v>No</x:v>
      </x:c>
      <x:c r="K425" s="31" t="str"/>
      <x:c r="L425" s="31" t="str"/>
      <x:c r="M425" s="31" t="str"/>
      <x:c r="N425" s="31" t="str"/>
    </x:row>
    <x:row r="426" ht="42" customHeight="1">
      <x:c r="A426" s="35" t="n">
        <x:v>424</x:v>
      </x:c>
      <x:c r="B426" s="31" t="str">
        <x:f>IF('Execution Checklist'!Q426="","",'Execution Checklist'!Q426)</x:f>
      </x:c>
      <x:c r="C426" s="31" t="str">
        <x:v>Leave exactly three objects in the bowl.</x:v>
      </x:c>
      <x:c r="D426" s="31" t="str">
        <x:v>ADD one table object</x:v>
      </x:c>
      <x:c r="E426" s="31" t="str">
        <x:v>Binary success for the counterfactual instruction and paired action-switch analysis versus the parent.</x:v>
      </x:c>
      <x:c r="F426" s="31"/>
      <x:c r="G426" s="31"/>
      <x:c r="H426" s="31" t="str">
        <x:f>IF(OR(F426="",G426=""),"",IF(F426=G426,"Agree","Disagree"))</x:f>
      </x:c>
      <x:c r="I426" s="31"/>
      <x:c r="J426" s="31" t="str">
        <x:v>No</x:v>
      </x:c>
      <x:c r="K426" s="31" t="str"/>
      <x:c r="L426" s="31" t="str"/>
      <x:c r="M426" s="31" t="str"/>
      <x:c r="N426" s="31" t="str"/>
    </x:row>
    <x:row r="427" ht="42" customHeight="1">
      <x:c r="A427" s="35" t="n">
        <x:v>425</x:v>
      </x:c>
      <x:c r="B427" s="31" t="str">
        <x:f>IF('Execution Checklist'!Q427="","",'Execution Checklist'!Q427)</x:f>
      </x:c>
      <x:c r="C427" s="31" t="str">
        <x:v>Adjust the bowl so that it contains zero objects.</x:v>
      </x:c>
      <x:c r="D427" s="31" t="str"/>
      <x:c r="E427" s="31" t="str">
        <x:v>Binary task success using the task-specific rubric.</x:v>
      </x:c>
      <x:c r="F427" s="31"/>
      <x:c r="G427" s="31"/>
      <x:c r="H427" s="31" t="str">
        <x:f>IF(OR(F427="",G427=""),"",IF(F427=G427,"Agree","Disagree"))</x:f>
      </x:c>
      <x:c r="I427" s="31"/>
      <x:c r="J427" s="31" t="str">
        <x:v>No</x:v>
      </x:c>
      <x:c r="K427" s="31" t="str"/>
      <x:c r="L427" s="31" t="str"/>
      <x:c r="M427" s="31" t="str"/>
      <x:c r="N427" s="31" t="str"/>
    </x:row>
    <x:row r="428" ht="42" customHeight="1">
      <x:c r="A428" s="35" t="n">
        <x:v>426</x:v>
      </x:c>
      <x:c r="B428" s="31" t="str">
        <x:f>IF('Execution Checklist'!Q428="","",'Execution Checklist'!Q428)</x:f>
      </x:c>
      <x:c r="C428" s="31" t="str">
        <x:v>Finish with two objects in the bowl.</x:v>
      </x:c>
      <x:c r="D428" s="31" t="str"/>
      <x:c r="E428" s="31" t="str">
        <x:v>Binary task success; compare with the seen-language row sharing Pair ID.</x:v>
      </x:c>
      <x:c r="F428" s="31"/>
      <x:c r="G428" s="31"/>
      <x:c r="H428" s="31" t="str">
        <x:f>IF(OR(F428="",G428=""),"",IF(F428=G428,"Agree","Disagree"))</x:f>
      </x:c>
      <x:c r="I428" s="31"/>
      <x:c r="J428" s="31" t="str">
        <x:v>No</x:v>
      </x:c>
      <x:c r="K428" s="31" t="str"/>
      <x:c r="L428" s="31" t="str"/>
      <x:c r="M428" s="31" t="str"/>
      <x:c r="N428" s="31" t="str"/>
    </x:row>
    <x:row r="429" ht="42" customHeight="1">
      <x:c r="A429" s="35" t="n">
        <x:v>427</x:v>
      </x:c>
      <x:c r="B429" s="31" t="str">
        <x:f>IF('Execution Checklist'!Q429="","",'Execution Checklist'!Q429)</x:f>
      </x:c>
      <x:c r="C429" s="31" t="str">
        <x:v>Leave exactly three objects in the bowl.</x:v>
      </x:c>
      <x:c r="D429" s="31" t="str">
        <x:v>ADD one table object</x:v>
      </x:c>
      <x:c r="E429" s="31" t="str">
        <x:v>Binary success for the counterfactual instruction and paired action-switch analysis versus the parent.</x:v>
      </x:c>
      <x:c r="F429" s="31"/>
      <x:c r="G429" s="31"/>
      <x:c r="H429" s="31" t="str">
        <x:f>IF(OR(F429="",G429=""),"",IF(F429=G429,"Agree","Disagree"))</x:f>
      </x:c>
      <x:c r="I429" s="31"/>
      <x:c r="J429" s="31" t="str">
        <x:v>No</x:v>
      </x:c>
      <x:c r="K429" s="31" t="str"/>
      <x:c r="L429" s="31" t="str"/>
      <x:c r="M429" s="31" t="str"/>
      <x:c r="N429" s="31" t="str"/>
    </x:row>
    <x:row r="430" ht="42" customHeight="1">
      <x:c r="A430" s="35" t="n">
        <x:v>428</x:v>
      </x:c>
      <x:c r="B430" s="31" t="str">
        <x:f>IF('Execution Checklist'!Q430="","",'Execution Checklist'!Q430)</x:f>
      </x:c>
      <x:c r="C430" s="31" t="str">
        <x:v>Put the airplane toy without propellers in the bowl.</x:v>
      </x:c>
      <x:c r="D430" s="31" t="str">
        <x:v>ADD airplane toy without propellers</x:v>
      </x:c>
      <x:c r="E430" s="31" t="str">
        <x:v>Binary task success; paired with the main transfer row.</x:v>
      </x:c>
      <x:c r="F430" s="31"/>
      <x:c r="G430" s="31"/>
      <x:c r="H430" s="31" t="str">
        <x:f>IF(OR(F430="",G430=""),"",IF(F430=G430,"Agree","Disagree"))</x:f>
      </x:c>
      <x:c r="I430" s="31"/>
      <x:c r="J430" s="31" t="str">
        <x:v>No</x:v>
      </x:c>
      <x:c r="K430" s="31" t="str"/>
      <x:c r="L430" s="31" t="str"/>
      <x:c r="M430" s="31" t="str"/>
      <x:c r="N430" s="31" t="str"/>
    </x:row>
    <x:row r="431" ht="42" customHeight="1">
      <x:c r="A431" s="35" t="n">
        <x:v>429</x:v>
      </x:c>
      <x:c r="B431" s="31" t="str">
        <x:f>IF('Execution Checklist'!Q431="","",'Execution Checklist'!Q431)</x:f>
      </x:c>
      <x:c r="C431" s="31" t="str">
        <x:v>Remove the yellow block from the bowl.</x:v>
      </x:c>
      <x:c r="D431" s="31" t="str">
        <x:v>REMOVE yellow block</x:v>
      </x:c>
      <x:c r="E431" s="31" t="str">
        <x:v>Binary task success; paired with the main transfer row.</x:v>
      </x:c>
      <x:c r="F431" s="31"/>
      <x:c r="G431" s="31"/>
      <x:c r="H431" s="31" t="str">
        <x:f>IF(OR(F431="",G431=""),"",IF(F431=G431,"Agree","Disagree"))</x:f>
      </x:c>
      <x:c r="I431" s="31"/>
      <x:c r="J431" s="31" t="str">
        <x:v>No</x:v>
      </x:c>
      <x:c r="K431" s="31" t="str"/>
      <x:c r="L431" s="31" t="str"/>
      <x:c r="M431" s="31" t="str"/>
      <x:c r="N431" s="31" t="str"/>
    </x:row>
    <x:row r="432" ht="42" customHeight="1">
      <x:c r="A432" s="35" t="n">
        <x:v>430</x:v>
      </x:c>
      <x:c r="B432" s="31" t="str">
        <x:f>IF('Execution Checklist'!Q432="","",'Execution Checklist'!Q432)</x:f>
      </x:c>
      <x:c r="C432" s="31" t="str">
        <x:v>Remove the green pencil sharpener from the bowl.</x:v>
      </x:c>
      <x:c r="D432" s="31" t="str">
        <x:v>REMOVE green pencil sharpener</x:v>
      </x:c>
      <x:c r="E432" s="31" t="str">
        <x:v>Binary task success; paired with the main transfer row.</x:v>
      </x:c>
      <x:c r="F432" s="31"/>
      <x:c r="G432" s="31"/>
      <x:c r="H432" s="31" t="str">
        <x:f>IF(OR(F432="",G432=""),"",IF(F432=G432,"Agree","Disagree"))</x:f>
      </x:c>
      <x:c r="I432" s="31"/>
      <x:c r="J432" s="31" t="str">
        <x:v>No</x:v>
      </x:c>
      <x:c r="K432" s="31" t="str"/>
      <x:c r="L432" s="31" t="str"/>
      <x:c r="M432" s="31" t="str"/>
      <x:c r="N432" s="31" t="str"/>
    </x:row>
    <x:row r="433" ht="42" customHeight="1">
      <x:c r="A433" s="35" t="n">
        <x:v>431</x:v>
      </x:c>
      <x:c r="B433" s="31" t="str">
        <x:f>IF('Execution Checklist'!Q433="","",'Execution Checklist'!Q433)</x:f>
      </x:c>
      <x:c r="C433" s="31" t="str">
        <x:v>Leave no objects in the bowl.</x:v>
      </x:c>
      <x:c r="D433" s="31" t="str">
        <x:v>blue pen</x:v>
      </x:c>
      <x:c r="E433" s="31" t="str">
        <x:v>Binary task success using the task-specific rubric.</x:v>
      </x:c>
      <x:c r="F433" s="31"/>
      <x:c r="G433" s="31"/>
      <x:c r="H433" s="31" t="str">
        <x:f>IF(OR(F433="",G433=""),"",IF(F433=G433,"Agree","Disagree"))</x:f>
      </x:c>
      <x:c r="I433" s="31"/>
      <x:c r="J433" s="31" t="str">
        <x:v>No</x:v>
      </x:c>
      <x:c r="K433" s="31" t="str"/>
      <x:c r="L433" s="31" t="str"/>
      <x:c r="M433" s="31" t="str"/>
      <x:c r="N433" s="31" t="str"/>
    </x:row>
    <x:row r="434" ht="42" customHeight="1">
      <x:c r="A434" s="35" t="n">
        <x:v>432</x:v>
      </x:c>
      <x:c r="B434" s="31" t="str">
        <x:f>IF('Execution Checklist'!Q434="","",'Execution Checklist'!Q434)</x:f>
      </x:c>
      <x:c r="C434" s="31" t="str">
        <x:v>Remove the yellow block from the bowl.</x:v>
      </x:c>
      <x:c r="D434" s="31" t="str">
        <x:v>yellow block</x:v>
      </x:c>
      <x:c r="E434" s="31" t="str">
        <x:v>Binary task success using the task-specific rubric.</x:v>
      </x:c>
      <x:c r="F434" s="31"/>
      <x:c r="G434" s="31"/>
      <x:c r="H434" s="31" t="str">
        <x:f>IF(OR(F434="",G434=""),"",IF(F434=G434,"Agree","Disagree"))</x:f>
      </x:c>
      <x:c r="I434" s="31"/>
      <x:c r="J434" s="31" t="str">
        <x:v>No</x:v>
      </x:c>
      <x:c r="K434" s="31" t="str"/>
      <x:c r="L434" s="31" t="str"/>
      <x:c r="M434" s="31" t="str"/>
      <x:c r="N434" s="31" t="str"/>
    </x:row>
    <x:row r="435" ht="42" customHeight="1">
      <x:c r="A435" s="35" t="n">
        <x:v>433</x:v>
      </x:c>
      <x:c r="B435" s="31" t="str">
        <x:f>IF('Execution Checklist'!Q435="","",'Execution Checklist'!Q435)</x:f>
      </x:c>
      <x:c r="C435" s="31" t="str">
        <x:v>Leave exactly one object in the bowl.</x:v>
      </x:c>
      <x:c r="D435" s="31" t="str">
        <x:v>REMOVE one bowl object</x:v>
      </x:c>
      <x:c r="E435" s="31" t="str">
        <x:v>Binary task success; paired with the main matched-control row.</x:v>
      </x:c>
      <x:c r="F435" s="31"/>
      <x:c r="G435" s="31"/>
      <x:c r="H435" s="31" t="str">
        <x:f>IF(OR(F435="",G435=""),"",IF(F435=G435,"Agree","Disagree"))</x:f>
      </x:c>
      <x:c r="I435" s="31"/>
      <x:c r="J435" s="31" t="str">
        <x:v>No</x:v>
      </x:c>
      <x:c r="K435" s="31" t="str"/>
      <x:c r="L435" s="31" t="str"/>
      <x:c r="M435" s="31" t="str"/>
      <x:c r="N435" s="31" t="str"/>
    </x:row>
    <x:row r="436" ht="42" customHeight="1">
      <x:c r="A436" s="35" t="n">
        <x:v>434</x:v>
      </x:c>
      <x:c r="B436" s="31" t="str">
        <x:f>IF('Execution Checklist'!Q436="","",'Execution Checklist'!Q436)</x:f>
      </x:c>
      <x:c r="C436" s="31" t="str">
        <x:v>Move the yellow-white striped cup that is open into the bowl.</x:v>
      </x:c>
      <x:c r="D436" s="31" t="str">
        <x:v>yellow-white striped cup B</x:v>
      </x:c>
      <x:c r="E436" s="31" t="str">
        <x:v>Binary task success; compare with the seen-language row sharing Pair ID.</x:v>
      </x:c>
      <x:c r="F436" s="31"/>
      <x:c r="G436" s="31"/>
      <x:c r="H436" s="31" t="str">
        <x:f>IF(OR(F436="",G436=""),"",IF(F436=G436,"Agree","Disagree"))</x:f>
      </x:c>
      <x:c r="I436" s="31"/>
      <x:c r="J436" s="31" t="str">
        <x:v>No</x:v>
      </x:c>
      <x:c r="K436" s="31" t="str"/>
      <x:c r="L436" s="31" t="str"/>
      <x:c r="M436" s="31" t="str"/>
      <x:c r="N436" s="31" t="str"/>
    </x:row>
    <x:row r="437" ht="42" customHeight="1">
      <x:c r="A437" s="35" t="n">
        <x:v>435</x:v>
      </x:c>
      <x:c r="B437" s="31" t="str">
        <x:f>IF('Execution Checklist'!Q437="","",'Execution Checklist'!Q437)</x:f>
      </x:c>
      <x:c r="C437" s="31" t="str">
        <x:v>Find the white cup that is turned upside down and move it into the bowl.</x:v>
      </x:c>
      <x:c r="D437" s="31" t="str">
        <x:v>white cup A</x:v>
      </x:c>
      <x:c r="E437" s="31" t="str">
        <x:v>Binary task success; compare with the seen-language row sharing Pair ID.</x:v>
      </x:c>
      <x:c r="F437" s="31"/>
      <x:c r="G437" s="31"/>
      <x:c r="H437" s="31" t="str">
        <x:f>IF(OR(F437="",G437=""),"",IF(F437=G437,"Agree","Disagree"))</x:f>
      </x:c>
      <x:c r="I437" s="31"/>
      <x:c r="J437" s="31" t="str">
        <x:v>No</x:v>
      </x:c>
      <x:c r="K437" s="31" t="str"/>
      <x:c r="L437" s="31" t="str"/>
      <x:c r="M437" s="31" t="str"/>
      <x:c r="N437" s="31" t="str"/>
    </x:row>
    <x:row r="438" ht="42" customHeight="1">
      <x:c r="A438" s="35" t="n">
        <x:v>436</x:v>
      </x:c>
      <x:c r="B438" s="31" t="str">
        <x:f>IF('Execution Checklist'!Q438="","",'Execution Checklist'!Q438)</x:f>
      </x:c>
      <x:c r="C438" s="31" t="str">
        <x:v>Place the open yellow-white striped cup in the bowl.</x:v>
      </x:c>
      <x:c r="D438" s="31" t="str">
        <x:v>yellow-white striped cup B</x:v>
      </x:c>
      <x:c r="E438" s="31" t="str">
        <x:v>Binary success for the counterfactual instruction and paired action-switch analysis versus the parent.</x:v>
      </x:c>
      <x:c r="F438" s="31"/>
      <x:c r="G438" s="31"/>
      <x:c r="H438" s="31" t="str">
        <x:f>IF(OR(F438="",G438=""),"",IF(F438=G438,"Agree","Disagree"))</x:f>
      </x:c>
      <x:c r="I438" s="31"/>
      <x:c r="J438" s="31" t="str">
        <x:v>No</x:v>
      </x:c>
      <x:c r="K438" s="31" t="str"/>
      <x:c r="L438" s="31" t="str"/>
      <x:c r="M438" s="31" t="str"/>
      <x:c r="N438" s="31" t="str"/>
    </x:row>
    <x:row r="439" ht="42" customHeight="1">
      <x:c r="A439" s="35" t="n">
        <x:v>437</x:v>
      </x:c>
      <x:c r="B439" s="31" t="str">
        <x:f>IF('Execution Checklist'!Q439="","",'Execution Checklist'!Q439)</x:f>
      </x:c>
      <x:c r="C439" s="31" t="str">
        <x:v>Place a brown cup in the bowl.</x:v>
      </x:c>
      <x:c r="D439" s="31" t="str">
        <x:v>brown cup B</x:v>
      </x:c>
      <x:c r="E439" s="31" t="str">
        <x:v>Binary task success; paired with the main transfer row.</x:v>
      </x:c>
      <x:c r="F439" s="31"/>
      <x:c r="G439" s="31"/>
      <x:c r="H439" s="31" t="str">
        <x:f>IF(OR(F439="",G439=""),"",IF(F439=G439,"Agree","Disagree"))</x:f>
      </x:c>
      <x:c r="I439" s="31"/>
      <x:c r="J439" s="31" t="str">
        <x:v>No</x:v>
      </x:c>
      <x:c r="K439" s="31" t="str"/>
      <x:c r="L439" s="31" t="str"/>
      <x:c r="M439" s="31" t="str"/>
      <x:c r="N439" s="31" t="str"/>
    </x:row>
    <x:row r="440" ht="42" customHeight="1">
      <x:c r="A440" s="35" t="n">
        <x:v>438</x:v>
      </x:c>
      <x:c r="B440" s="31" t="str">
        <x:f>IF('Execution Checklist'!Q440="","",'Execution Checklist'!Q440)</x:f>
      </x:c>
      <x:c r="C440" s="31" t="str">
        <x:v>Move the overturned white cup into the bowl.</x:v>
      </x:c>
      <x:c r="D440" s="31" t="str">
        <x:v>white cup A</x:v>
      </x:c>
      <x:c r="E440" s="31" t="str">
        <x:v>Binary task success; compare with the seen-language row sharing Pair ID.</x:v>
      </x:c>
      <x:c r="F440" s="31"/>
      <x:c r="G440" s="31"/>
      <x:c r="H440" s="31" t="str">
        <x:f>IF(OR(F440="",G440=""),"",IF(F440=G440,"Agree","Disagree"))</x:f>
      </x:c>
      <x:c r="I440" s="31"/>
      <x:c r="J440" s="31" t="str">
        <x:v>No</x:v>
      </x:c>
      <x:c r="K440" s="31" t="str"/>
      <x:c r="L440" s="31" t="str"/>
      <x:c r="M440" s="31" t="str"/>
      <x:c r="N440" s="31" t="str"/>
    </x:row>
    <x:row r="441" ht="42" customHeight="1">
      <x:c r="A441" s="35" t="n">
        <x:v>439</x:v>
      </x:c>
      <x:c r="B441" s="31" t="str">
        <x:f>IF('Execution Checklist'!Q441="","",'Execution Checklist'!Q441)</x:f>
      </x:c>
      <x:c r="C441" s="31" t="str">
        <x:v>Move a glass spice container into the bowl.</x:v>
      </x:c>
      <x:c r="D441" s="31" t="str">
        <x:v>glass spice container A</x:v>
      </x:c>
      <x:c r="E441" s="31" t="str">
        <x:v>Binary task success using the task-specific rubric.</x:v>
      </x:c>
      <x:c r="F441" s="31"/>
      <x:c r="G441" s="31"/>
      <x:c r="H441" s="31" t="str">
        <x:f>IF(OR(F441="",G441=""),"",IF(F441=G441,"Agree","Disagree"))</x:f>
      </x:c>
      <x:c r="I441" s="31"/>
      <x:c r="J441" s="31" t="str">
        <x:v>No</x:v>
      </x:c>
      <x:c r="K441" s="31" t="str"/>
      <x:c r="L441" s="31" t="str"/>
      <x:c r="M441" s="31" t="str"/>
      <x:c r="N441" s="31" t="str"/>
    </x:row>
    <x:row r="442" ht="42" customHeight="1">
      <x:c r="A442" s="35" t="n">
        <x:v>440</x:v>
      </x:c>
      <x:c r="B442" s="31" t="str">
        <x:f>IF('Execution Checklist'!Q442="","",'Execution Checklist'!Q442)</x:f>
      </x:c>
      <x:c r="C442" s="31" t="str">
        <x:v>Place the open white cup in the bowl.</x:v>
      </x:c>
      <x:c r="D442" s="31" t="str">
        <x:v>white cup B</x:v>
      </x:c>
      <x:c r="E442" s="31" t="str">
        <x:v>Binary success for the counterfactual instruction and paired action-switch analysis versus the parent.</x:v>
      </x:c>
      <x:c r="F442" s="31"/>
      <x:c r="G442" s="31"/>
      <x:c r="H442" s="31" t="str">
        <x:f>IF(OR(F442="",G442=""),"",IF(F442=G442,"Agree","Disagree"))</x:f>
      </x:c>
      <x:c r="I442" s="31"/>
      <x:c r="J442" s="31" t="str">
        <x:v>No</x:v>
      </x:c>
      <x:c r="K442" s="31" t="str"/>
      <x:c r="L442" s="31" t="str"/>
      <x:c r="M442" s="31" t="str"/>
      <x:c r="N442" s="31" t="str"/>
    </x:row>
    <x:row r="443" ht="42" customHeight="1">
      <x:c r="A443" s="35" t="n">
        <x:v>441</x:v>
      </x:c>
      <x:c r="B443" s="31" t="str">
        <x:f>IF('Execution Checklist'!Q443="","",'Execution Checklist'!Q443)</x:f>
      </x:c>
      <x:c r="C443" s="31" t="str">
        <x:v>Place the upright brown cup in the bowl.</x:v>
      </x:c>
      <x:c r="D443" s="31" t="str">
        <x:v>brown cup B</x:v>
      </x:c>
      <x:c r="E443" s="31" t="str">
        <x:v>Binary task success; paired with the main matched-control row.</x:v>
      </x:c>
      <x:c r="F443" s="31"/>
      <x:c r="G443" s="31"/>
      <x:c r="H443" s="31" t="str">
        <x:f>IF(OR(F443="",G443=""),"",IF(F443=G443,"Agree","Disagree"))</x:f>
      </x:c>
      <x:c r="I443" s="31"/>
      <x:c r="J443" s="31" t="str">
        <x:v>No</x:v>
      </x:c>
      <x:c r="K443" s="31" t="str"/>
      <x:c r="L443" s="31" t="str"/>
      <x:c r="M443" s="31" t="str"/>
      <x:c r="N443" s="31" t="str"/>
    </x:row>
    <x:row r="444" ht="42" customHeight="1">
      <x:c r="A444" s="35" t="n">
        <x:v>442</x:v>
      </x:c>
      <x:c r="B444" s="31" t="str">
        <x:f>IF('Execution Checklist'!Q444="","",'Execution Checklist'!Q444)</x:f>
      </x:c>
      <x:c r="C444" s="31" t="str">
        <x:v>Place the open white cup in the bowl.</x:v>
      </x:c>
      <x:c r="D444" s="31" t="str">
        <x:v>white cup B</x:v>
      </x:c>
      <x:c r="E444" s="31" t="str">
        <x:v>Binary task success using the task-specific rubric.</x:v>
      </x:c>
      <x:c r="F444" s="31"/>
      <x:c r="G444" s="31"/>
      <x:c r="H444" s="31" t="str">
        <x:f>IF(OR(F444="",G444=""),"",IF(F444=G444,"Agree","Disagree"))</x:f>
      </x:c>
      <x:c r="I444" s="31"/>
      <x:c r="J444" s="31" t="str">
        <x:v>No</x:v>
      </x:c>
      <x:c r="K444" s="31" t="str"/>
      <x:c r="L444" s="31" t="str"/>
      <x:c r="M444" s="31" t="str"/>
      <x:c r="N444" s="31" t="str"/>
    </x:row>
    <x:row r="445" ht="42" customHeight="1">
      <x:c r="A445" s="35" t="n">
        <x:v>443</x:v>
      </x:c>
      <x:c r="B445" s="31" t="str">
        <x:f>IF('Execution Checklist'!Q445="","",'Execution Checklist'!Q445)</x:f>
      </x:c>
      <x:c r="C445" s="31" t="str">
        <x:v>Place the closed white cup in the bowl.</x:v>
      </x:c>
      <x:c r="D445" s="31" t="str">
        <x:v>No prespecified task success under blank language; record any action/selected target.</x:v>
      </x:c>
      <x:c r="E445" s="31" t="str">
        <x:v>Do not score ordinary task success. Record action occurrence and agreement with the parent correct-prompt rollout.</x:v>
      </x:c>
      <x:c r="F445" s="31"/>
      <x:c r="G445" s="31"/>
      <x:c r="H445" s="31" t="str">
        <x:f>IF(OR(F445="",G445=""),"",IF(F445=G445,"Agree","Disagree"))</x:f>
      </x:c>
      <x:c r="I445" s="31"/>
      <x:c r="J445" s="31" t="str">
        <x:v>No</x:v>
      </x:c>
      <x:c r="K445" s="31" t="str"/>
      <x:c r="L445" s="31" t="str"/>
      <x:c r="M445" s="31" t="str"/>
      <x:c r="N445" s="31" t="str"/>
    </x:row>
    <x:row r="446" ht="42" customHeight="1">
      <x:c r="A446" s="35" t="n">
        <x:v>444</x:v>
      </x:c>
      <x:c r="B446" s="31" t="str">
        <x:f>IF('Execution Checklist'!Q446="","",'Execution Checklist'!Q446)</x:f>
      </x:c>
      <x:c r="C446" s="31" t="str">
        <x:v>Place the closed brown cup in the bowl.</x:v>
      </x:c>
      <x:c r="D446" s="31" t="str">
        <x:v>No prespecified task success under blank language; record any action/selected target.</x:v>
      </x:c>
      <x:c r="E446" s="31" t="str">
        <x:v>Do not score ordinary task success. Record action occurrence and agreement with the parent correct-prompt rollout.</x:v>
      </x:c>
      <x:c r="F446" s="31"/>
      <x:c r="G446" s="31"/>
      <x:c r="H446" s="31" t="str">
        <x:f>IF(OR(F446="",G446=""),"",IF(F446=G446,"Agree","Disagree"))</x:f>
      </x:c>
      <x:c r="I446" s="31"/>
      <x:c r="J446" s="31" t="str">
        <x:v>No</x:v>
      </x:c>
      <x:c r="K446" s="31" t="str"/>
      <x:c r="L446" s="31" t="str"/>
      <x:c r="M446" s="31" t="str"/>
      <x:c r="N446" s="31" t="str"/>
    </x:row>
    <x:row r="447" ht="42" customHeight="1">
      <x:c r="A447" s="35" t="n">
        <x:v>445</x:v>
      </x:c>
      <x:c r="B447" s="31" t="str">
        <x:f>IF('Execution Checklist'!Q447="","",'Execution Checklist'!Q447)</x:f>
      </x:c>
      <x:c r="C447" s="31" t="str">
        <x:v>Place the closed yellow-white striped cup in the bowl.</x:v>
      </x:c>
      <x:c r="D447" s="31" t="str">
        <x:v>yellow-white striped cup A</x:v>
      </x:c>
      <x:c r="E447" s="31" t="str">
        <x:v>Binary task success; paired with the main matched-control row.</x:v>
      </x:c>
      <x:c r="F447" s="31"/>
      <x:c r="G447" s="31"/>
      <x:c r="H447" s="31" t="str">
        <x:f>IF(OR(F447="",G447=""),"",IF(F447=G447,"Agree","Disagree"))</x:f>
      </x:c>
      <x:c r="I447" s="31"/>
      <x:c r="J447" s="31" t="str">
        <x:v>No</x:v>
      </x:c>
      <x:c r="K447" s="31" t="str"/>
      <x:c r="L447" s="31" t="str"/>
      <x:c r="M447" s="31" t="str"/>
      <x:c r="N447" s="31" t="str"/>
    </x:row>
    <x:row r="448" ht="42" customHeight="1">
      <x:c r="A448" s="35" t="n">
        <x:v>446</x:v>
      </x:c>
      <x:c r="B448" s="31" t="str">
        <x:f>IF('Execution Checklist'!Q448="","",'Execution Checklist'!Q448)</x:f>
      </x:c>
      <x:c r="C448" s="31" t="str">
        <x:v>Move the open brown cup into the bowl.</x:v>
      </x:c>
      <x:c r="D448" s="31" t="str">
        <x:v>brown cup B</x:v>
      </x:c>
      <x:c r="E448" s="31" t="str">
        <x:v>Binary task success using the task-specific rubric.</x:v>
      </x:c>
      <x:c r="F448" s="31"/>
      <x:c r="G448" s="31"/>
      <x:c r="H448" s="31" t="str">
        <x:f>IF(OR(F448="",G448=""),"",IF(F448=G448,"Agree","Disagree"))</x:f>
      </x:c>
      <x:c r="I448" s="31"/>
      <x:c r="J448" s="31" t="str">
        <x:v>No</x:v>
      </x:c>
      <x:c r="K448" s="31" t="str"/>
      <x:c r="L448" s="31" t="str"/>
      <x:c r="M448" s="31" t="str"/>
      <x:c r="N448" s="31" t="str"/>
    </x:row>
    <x:row r="449" ht="42" customHeight="1">
      <x:c r="A449" s="35" t="n">
        <x:v>447</x:v>
      </x:c>
      <x:c r="B449" s="31" t="str">
        <x:f>IF('Execution Checklist'!Q449="","",'Execution Checklist'!Q449)</x:f>
      </x:c>
      <x:c r="C449" s="31" t="str">
        <x:v>Place the closed glass spice container in the bowl.</x:v>
      </x:c>
      <x:c r="D449" s="31" t="str">
        <x:v>No prespecified task success under blank language; record any action/selected target.</x:v>
      </x:c>
      <x:c r="E449" s="31" t="str">
        <x:v>Do not score ordinary task success. Record action occurrence and agreement with the parent correct-prompt rollout.</x:v>
      </x:c>
      <x:c r="F449" s="31"/>
      <x:c r="G449" s="31"/>
      <x:c r="H449" s="31" t="str">
        <x:f>IF(OR(F449="",G449=""),"",IF(F449=G449,"Agree","Disagree"))</x:f>
      </x:c>
      <x:c r="I449" s="31"/>
      <x:c r="J449" s="31" t="str">
        <x:v>No</x:v>
      </x:c>
      <x:c r="K449" s="31" t="str"/>
      <x:c r="L449" s="31" t="str"/>
      <x:c r="M449" s="31" t="str"/>
      <x:c r="N449" s="31" t="str"/>
    </x:row>
    <x:row r="450" ht="42" customHeight="1">
      <x:c r="A450" s="35" t="n">
        <x:v>448</x:v>
      </x:c>
      <x:c r="B450" s="31" t="str">
        <x:f>IF('Execution Checklist'!Q450="","",'Execution Checklist'!Q450)</x:f>
      </x:c>
      <x:c r="C450" s="31" t="str">
        <x:v>Place the upside-down white cup in the bowl.</x:v>
      </x:c>
      <x:c r="D450" s="31" t="str">
        <x:v>white cup A</x:v>
      </x:c>
      <x:c r="E450" s="31" t="str">
        <x:v>Binary task success using the task-specific rubric.</x:v>
      </x:c>
      <x:c r="F450" s="31"/>
      <x:c r="G450" s="31"/>
      <x:c r="H450" s="31" t="str">
        <x:f>IF(OR(F450="",G450=""),"",IF(F450=G450,"Agree","Disagree"))</x:f>
      </x:c>
      <x:c r="I450" s="31"/>
      <x:c r="J450" s="31" t="str">
        <x:v>No</x:v>
      </x:c>
      <x:c r="K450" s="31" t="str"/>
      <x:c r="L450" s="31" t="str"/>
      <x:c r="M450" s="31" t="str"/>
      <x:c r="N450" s="31" t="str"/>
    </x:row>
    <x:row r="451" ht="42" customHeight="1">
      <x:c r="A451" s="35" t="n">
        <x:v>449</x:v>
      </x:c>
      <x:c r="B451" s="31" t="str">
        <x:f>IF('Execution Checklist'!Q451="","",'Execution Checklist'!Q451)</x:f>
      </x:c>
      <x:c r="C451" s="31" t="str">
        <x:v>Place a brown cup in the bowl.</x:v>
      </x:c>
      <x:c r="D451" s="31" t="str">
        <x:v>brown cup A</x:v>
      </x:c>
      <x:c r="E451" s="31" t="str">
        <x:v>Binary task success; paired with the main transfer row.</x:v>
      </x:c>
      <x:c r="F451" s="31"/>
      <x:c r="G451" s="31"/>
      <x:c r="H451" s="31" t="str">
        <x:f>IF(OR(F451="",G451=""),"",IF(F451=G451,"Agree","Disagree"))</x:f>
      </x:c>
      <x:c r="I451" s="31"/>
      <x:c r="J451" s="31" t="str">
        <x:v>No</x:v>
      </x:c>
      <x:c r="K451" s="31" t="str"/>
      <x:c r="L451" s="31" t="str"/>
      <x:c r="M451" s="31" t="str"/>
      <x:c r="N451" s="31" t="str"/>
    </x:row>
    <x:row r="452" ht="42" customHeight="1">
      <x:c r="A452" s="35" t="n">
        <x:v>450</x:v>
      </x:c>
      <x:c r="B452" s="31" t="str">
        <x:f>IF('Execution Checklist'!Q452="","",'Execution Checklist'!Q452)</x:f>
      </x:c>
      <x:c r="C452" s="31" t="str">
        <x:v>Place a white cup in the bowl.</x:v>
      </x:c>
      <x:c r="D452" s="31" t="str">
        <x:v>white cup A</x:v>
      </x:c>
      <x:c r="E452" s="31" t="str">
        <x:v>Binary task success; paired with the main transfer row.</x:v>
      </x:c>
      <x:c r="F452" s="31"/>
      <x:c r="G452" s="31"/>
      <x:c r="H452" s="31" t="str">
        <x:f>IF(OR(F452="",G452=""),"",IF(F452=G452,"Agree","Disagree"))</x:f>
      </x:c>
      <x:c r="I452" s="31"/>
      <x:c r="J452" s="31" t="str">
        <x:v>No</x:v>
      </x:c>
      <x:c r="K452" s="31" t="str"/>
      <x:c r="L452" s="31" t="str"/>
      <x:c r="M452" s="31" t="str"/>
      <x:c r="N452" s="31" t="str"/>
    </x:row>
    <x:row r="453" ht="42" customHeight="1">
      <x:c r="A453" s="35" t="n">
        <x:v>451</x:v>
      </x:c>
      <x:c r="B453" s="31" t="str">
        <x:f>IF('Execution Checklist'!Q453="","",'Execution Checklist'!Q453)</x:f>
      </x:c>
      <x:c r="C453" s="31" t="str">
        <x:v>Place the upright white cup in the bowl.</x:v>
      </x:c>
      <x:c r="D453" s="31" t="str">
        <x:v>white cup B</x:v>
      </x:c>
      <x:c r="E453" s="31" t="str">
        <x:v>Binary task success; paired with the main matched-control row.</x:v>
      </x:c>
      <x:c r="F453" s="31"/>
      <x:c r="G453" s="31"/>
      <x:c r="H453" s="31" t="str">
        <x:f>IF(OR(F453="",G453=""),"",IF(F453=G453,"Agree","Disagree"))</x:f>
      </x:c>
      <x:c r="I453" s="31"/>
      <x:c r="J453" s="31" t="str">
        <x:v>No</x:v>
      </x:c>
      <x:c r="K453" s="31" t="str"/>
      <x:c r="L453" s="31" t="str"/>
      <x:c r="M453" s="31" t="str"/>
      <x:c r="N453" s="31" t="str"/>
    </x:row>
    <x:row r="454" ht="42" customHeight="1">
      <x:c r="A454" s="35" t="n">
        <x:v>452</x:v>
      </x:c>
      <x:c r="B454" s="31" t="str">
        <x:f>IF('Execution Checklist'!Q454="","",'Execution Checklist'!Q454)</x:f>
      </x:c>
      <x:c r="C454" s="31" t="str">
        <x:v>Place the open glass spice container in the bowl.</x:v>
      </x:c>
      <x:c r="D454" s="31" t="str">
        <x:v>glass spice container A</x:v>
      </x:c>
      <x:c r="E454" s="31" t="str">
        <x:v>Binary success for the counterfactual instruction and paired action-switch analysis versus the parent.</x:v>
      </x:c>
      <x:c r="F454" s="31"/>
      <x:c r="G454" s="31"/>
      <x:c r="H454" s="31" t="str">
        <x:f>IF(OR(F454="",G454=""),"",IF(F454=G454,"Agree","Disagree"))</x:f>
      </x:c>
      <x:c r="I454" s="31"/>
      <x:c r="J454" s="31" t="str">
        <x:v>No</x:v>
      </x:c>
      <x:c r="K454" s="31" t="str"/>
      <x:c r="L454" s="31" t="str"/>
      <x:c r="M454" s="31" t="str"/>
      <x:c r="N454" s="31" t="str"/>
    </x:row>
    <x:row r="455" ht="42" customHeight="1">
      <x:c r="A455" s="35" t="n">
        <x:v>453</x:v>
      </x:c>
      <x:c r="B455" s="31" t="str">
        <x:f>IF('Execution Checklist'!Q455="","",'Execution Checklist'!Q455)</x:f>
      </x:c>
      <x:c r="C455" s="31" t="str">
        <x:v>Place the upright yellow-white striped cup in the bowl.</x:v>
      </x:c>
      <x:c r="D455" s="31" t="str">
        <x:v>yellow-white striped cup B</x:v>
      </x:c>
      <x:c r="E455" s="31" t="str">
        <x:v>Binary task success; paired with the main matched-control row.</x:v>
      </x:c>
      <x:c r="F455" s="31"/>
      <x:c r="G455" s="31"/>
      <x:c r="H455" s="31" t="str">
        <x:f>IF(OR(F455="",G455=""),"",IF(F455=G455,"Agree","Disagree"))</x:f>
      </x:c>
      <x:c r="I455" s="31"/>
      <x:c r="J455" s="31" t="str">
        <x:v>No</x:v>
      </x:c>
      <x:c r="K455" s="31" t="str"/>
      <x:c r="L455" s="31" t="str"/>
      <x:c r="M455" s="31" t="str"/>
      <x:c r="N455" s="31" t="str"/>
    </x:row>
    <x:row r="456" ht="42" customHeight="1">
      <x:c r="A456" s="35" t="n">
        <x:v>454</x:v>
      </x:c>
      <x:c r="B456" s="31" t="str">
        <x:f>IF('Execution Checklist'!Q456="","",'Execution Checklist'!Q456)</x:f>
      </x:c>
      <x:c r="C456" s="31" t="str">
        <x:v>Place the upright glass spice container in the bowl.</x:v>
      </x:c>
      <x:c r="D456" s="31" t="str">
        <x:v>glass spice container A</x:v>
      </x:c>
      <x:c r="E456" s="31" t="str">
        <x:v>Binary task success; paired with the main matched-control row.</x:v>
      </x:c>
      <x:c r="F456" s="31"/>
      <x:c r="G456" s="31"/>
      <x:c r="H456" s="31" t="str">
        <x:f>IF(OR(F456="",G456=""),"",IF(F456=G456,"Agree","Disagree"))</x:f>
      </x:c>
      <x:c r="I456" s="31"/>
      <x:c r="J456" s="31" t="str">
        <x:v>No</x:v>
      </x:c>
      <x:c r="K456" s="31" t="str"/>
      <x:c r="L456" s="31" t="str"/>
      <x:c r="M456" s="31" t="str"/>
      <x:c r="N456" s="31" t="str"/>
    </x:row>
    <x:row r="457" ht="42" customHeight="1">
      <x:c r="A457" s="35" t="n">
        <x:v>455</x:v>
      </x:c>
      <x:c r="B457" s="31" t="str">
        <x:f>IF('Execution Checklist'!Q457="","",'Execution Checklist'!Q457)</x:f>
      </x:c>
      <x:c r="C457" s="31" t="str">
        <x:v>Find the white cup with its opening uncovered and move it into the bowl.</x:v>
      </x:c>
      <x:c r="D457" s="31" t="str">
        <x:v>white cup B</x:v>
      </x:c>
      <x:c r="E457" s="31" t="str">
        <x:v>Binary task success; compare with the seen-language row sharing Pair ID.</x:v>
      </x:c>
      <x:c r="F457" s="31"/>
      <x:c r="G457" s="31"/>
      <x:c r="H457" s="31" t="str">
        <x:f>IF(OR(F457="",G457=""),"",IF(F457=G457,"Agree","Disagree"))</x:f>
      </x:c>
      <x:c r="I457" s="31"/>
      <x:c r="J457" s="31" t="str">
        <x:v>No</x:v>
      </x:c>
      <x:c r="K457" s="31" t="str"/>
      <x:c r="L457" s="31" t="str"/>
      <x:c r="M457" s="31" t="str"/>
      <x:c r="N457" s="31" t="str"/>
    </x:row>
    <x:row r="458" ht="42" customHeight="1">
      <x:c r="A458" s="35" t="n">
        <x:v>456</x:v>
      </x:c>
      <x:c r="B458" s="31" t="str">
        <x:f>IF('Execution Checklist'!Q458="","",'Execution Checklist'!Q458)</x:f>
      </x:c>
      <x:c r="C458" s="31" t="str">
        <x:v>Place the upright glass spice container in the bowl.</x:v>
      </x:c>
      <x:c r="D458" s="31" t="str">
        <x:v>glass spice container A</x:v>
      </x:c>
      <x:c r="E458" s="31" t="str">
        <x:v>Binary task success; paired with the main matched-control row.</x:v>
      </x:c>
      <x:c r="F458" s="31"/>
      <x:c r="G458" s="31"/>
      <x:c r="H458" s="31" t="str">
        <x:f>IF(OR(F458="",G458=""),"",IF(F458=G458,"Agree","Disagree"))</x:f>
      </x:c>
      <x:c r="I458" s="31"/>
      <x:c r="J458" s="31" t="str">
        <x:v>No</x:v>
      </x:c>
      <x:c r="K458" s="31" t="str"/>
      <x:c r="L458" s="31" t="str"/>
      <x:c r="M458" s="31" t="str"/>
      <x:c r="N458" s="31" t="str"/>
    </x:row>
    <x:row r="459" ht="42" customHeight="1">
      <x:c r="A459" s="35" t="n">
        <x:v>457</x:v>
      </x:c>
      <x:c r="B459" s="31" t="str">
        <x:f>IF('Execution Checklist'!Q459="","",'Execution Checklist'!Q459)</x:f>
      </x:c>
      <x:c r="C459" s="31" t="str">
        <x:v>Place a yellow-white striped cup in the bowl.</x:v>
      </x:c>
      <x:c r="D459" s="31" t="str">
        <x:v>yellow-white striped cup B</x:v>
      </x:c>
      <x:c r="E459" s="31" t="str">
        <x:v>Binary task success; paired with the main transfer row.</x:v>
      </x:c>
      <x:c r="F459" s="31"/>
      <x:c r="G459" s="31"/>
      <x:c r="H459" s="31" t="str">
        <x:f>IF(OR(F459="",G459=""),"",IF(F459=G459,"Agree","Disagree"))</x:f>
      </x:c>
      <x:c r="I459" s="31"/>
      <x:c r="J459" s="31" t="str">
        <x:v>No</x:v>
      </x:c>
      <x:c r="K459" s="31" t="str"/>
      <x:c r="L459" s="31" t="str"/>
      <x:c r="M459" s="31" t="str"/>
      <x:c r="N459" s="31" t="str"/>
    </x:row>
    <x:row r="460" ht="42" customHeight="1">
      <x:c r="A460" s="35" t="n">
        <x:v>458</x:v>
      </x:c>
      <x:c r="B460" s="31" t="str">
        <x:f>IF('Execution Checklist'!Q460="","",'Execution Checklist'!Q460)</x:f>
      </x:c>
      <x:c r="C460" s="31" t="str">
        <x:v>Place a yellow-white striped cup in the bowl.</x:v>
      </x:c>
      <x:c r="D460" s="31" t="str">
        <x:v>yellow-white striped cup A</x:v>
      </x:c>
      <x:c r="E460" s="31" t="str">
        <x:v>Binary task success; paired with the main transfer row.</x:v>
      </x:c>
      <x:c r="F460" s="31"/>
      <x:c r="G460" s="31"/>
      <x:c r="H460" s="31" t="str">
        <x:f>IF(OR(F460="",G460=""),"",IF(F460=G460,"Agree","Disagree"))</x:f>
      </x:c>
      <x:c r="I460" s="31"/>
      <x:c r="J460" s="31" t="str">
        <x:v>No</x:v>
      </x:c>
      <x:c r="K460" s="31" t="str"/>
      <x:c r="L460" s="31" t="str"/>
      <x:c r="M460" s="31" t="str"/>
      <x:c r="N460" s="31" t="str"/>
    </x:row>
    <x:row r="461" ht="42" customHeight="1">
      <x:c r="A461" s="35" t="n">
        <x:v>459</x:v>
      </x:c>
      <x:c r="B461" s="31" t="str">
        <x:f>IF('Execution Checklist'!Q461="","",'Execution Checklist'!Q461)</x:f>
      </x:c>
      <x:c r="C461" s="31" t="str">
        <x:v>Place a glass spice container in the bowl.</x:v>
      </x:c>
      <x:c r="D461" s="31" t="str">
        <x:v>glass spice container B</x:v>
      </x:c>
      <x:c r="E461" s="31" t="str">
        <x:v>Binary task success; paired with the main transfer row.</x:v>
      </x:c>
      <x:c r="F461" s="31"/>
      <x:c r="G461" s="31"/>
      <x:c r="H461" s="31" t="str">
        <x:f>IF(OR(F461="",G461=""),"",IF(F461=G461,"Agree","Disagree"))</x:f>
      </x:c>
      <x:c r="I461" s="31"/>
      <x:c r="J461" s="31" t="str">
        <x:v>No</x:v>
      </x:c>
      <x:c r="K461" s="31" t="str"/>
      <x:c r="L461" s="31" t="str"/>
      <x:c r="M461" s="31" t="str"/>
      <x:c r="N461" s="31" t="str"/>
    </x:row>
    <x:row r="462" ht="42" customHeight="1">
      <x:c r="A462" s="35" t="n">
        <x:v>460</x:v>
      </x:c>
      <x:c r="B462" s="31" t="str">
        <x:f>IF('Execution Checklist'!Q462="","",'Execution Checklist'!Q462)</x:f>
      </x:c>
      <x:c r="C462" s="31" t="str">
        <x:v>Put the open glass spice container in the bowl.</x:v>
      </x:c>
      <x:c r="D462" s="31" t="str">
        <x:v>glass spice container B</x:v>
      </x:c>
      <x:c r="E462" s="31" t="str">
        <x:v>Binary task success using the task-specific rubric.</x:v>
      </x:c>
      <x:c r="F462" s="31"/>
      <x:c r="G462" s="31"/>
      <x:c r="H462" s="31" t="str">
        <x:f>IF(OR(F462="",G462=""),"",IF(F462=G462,"Agree","Disagree"))</x:f>
      </x:c>
      <x:c r="I462" s="31"/>
      <x:c r="J462" s="31" t="str">
        <x:v>No</x:v>
      </x:c>
      <x:c r="K462" s="31" t="str"/>
      <x:c r="L462" s="31" t="str"/>
      <x:c r="M462" s="31" t="str"/>
      <x:c r="N462" s="31" t="str"/>
    </x:row>
    <x:row r="463" ht="42" customHeight="1">
      <x:c r="A463" s="35" t="n">
        <x:v>461</x:v>
      </x:c>
      <x:c r="B463" s="31" t="str">
        <x:f>IF('Execution Checklist'!Q463="","",'Execution Checklist'!Q463)</x:f>
      </x:c>
      <x:c r="C463" s="31" t="str">
        <x:v>Place the closed yellow-white striped cup in the bowl.</x:v>
      </x:c>
      <x:c r="D463" s="31" t="str">
        <x:v>No prespecified task success under blank language; record any action/selected target.</x:v>
      </x:c>
      <x:c r="E463" s="31" t="str">
        <x:v>Do not score ordinary task success. Record action occurrence and agreement with the parent correct-prompt rollout.</x:v>
      </x:c>
      <x:c r="F463" s="31"/>
      <x:c r="G463" s="31"/>
      <x:c r="H463" s="31" t="str">
        <x:f>IF(OR(F463="",G463=""),"",IF(F463=G463,"Agree","Disagree"))</x:f>
      </x:c>
      <x:c r="I463" s="31"/>
      <x:c r="J463" s="31" t="str">
        <x:v>No</x:v>
      </x:c>
      <x:c r="K463" s="31" t="str"/>
      <x:c r="L463" s="31" t="str"/>
      <x:c r="M463" s="31" t="str"/>
      <x:c r="N463" s="31" t="str"/>
    </x:row>
    <x:row r="464" ht="42" customHeight="1">
      <x:c r="A464" s="35" t="n">
        <x:v>462</x:v>
      </x:c>
      <x:c r="B464" s="31" t="str">
        <x:f>IF('Execution Checklist'!Q464="","",'Execution Checklist'!Q464)</x:f>
      </x:c>
      <x:c r="C464" s="31" t="str">
        <x:v>Place the open yellow-white striped cup in the bowl.</x:v>
      </x:c>
      <x:c r="D464" s="31" t="str">
        <x:v>yellow-white striped cup B</x:v>
      </x:c>
      <x:c r="E464" s="31" t="str">
        <x:v>Binary task success using the task-specific rubric.</x:v>
      </x:c>
      <x:c r="F464" s="31"/>
      <x:c r="G464" s="31"/>
      <x:c r="H464" s="31" t="str">
        <x:f>IF(OR(F464="",G464=""),"",IF(F464=G464,"Agree","Disagree"))</x:f>
      </x:c>
      <x:c r="I464" s="31"/>
      <x:c r="J464" s="31" t="str">
        <x:v>No</x:v>
      </x:c>
      <x:c r="K464" s="31" t="str"/>
      <x:c r="L464" s="31" t="str"/>
      <x:c r="M464" s="31" t="str"/>
      <x:c r="N464" s="31" t="str"/>
    </x:row>
    <x:row r="465" ht="42" customHeight="1">
      <x:c r="A465" s="35" t="n">
        <x:v>463</x:v>
      </x:c>
      <x:c r="B465" s="31" t="str">
        <x:f>IF('Execution Checklist'!Q465="","",'Execution Checklist'!Q465)</x:f>
      </x:c>
      <x:c r="C465" s="31" t="str">
        <x:v>Put a yellow-white striped cup in the bowl.</x:v>
      </x:c>
      <x:c r="D465" s="31" t="str">
        <x:v>yellow-white striped cup A</x:v>
      </x:c>
      <x:c r="E465" s="31" t="str">
        <x:v>Binary task success using the task-specific rubric.</x:v>
      </x:c>
      <x:c r="F465" s="31"/>
      <x:c r="G465" s="31"/>
      <x:c r="H465" s="31" t="str">
        <x:f>IF(OR(F465="",G465=""),"",IF(F465=G465,"Agree","Disagree"))</x:f>
      </x:c>
      <x:c r="I465" s="31"/>
      <x:c r="J465" s="31" t="str">
        <x:v>No</x:v>
      </x:c>
      <x:c r="K465" s="31" t="str"/>
      <x:c r="L465" s="31" t="str"/>
      <x:c r="M465" s="31" t="str"/>
      <x:c r="N465" s="31" t="str"/>
    </x:row>
    <x:row r="466" ht="42" customHeight="1">
      <x:c r="A466" s="35" t="n">
        <x:v>464</x:v>
      </x:c>
      <x:c r="B466" s="31" t="str">
        <x:f>IF('Execution Checklist'!Q466="","",'Execution Checklist'!Q466)</x:f>
      </x:c>
      <x:c r="C466" s="31" t="str">
        <x:v>Place a brown cup in the bowl.</x:v>
      </x:c>
      <x:c r="D466" s="31" t="str">
        <x:v>brown cup A</x:v>
      </x:c>
      <x:c r="E466" s="31" t="str">
        <x:v>Binary task success; paired with the main transfer row.</x:v>
      </x:c>
      <x:c r="F466" s="31"/>
      <x:c r="G466" s="31"/>
      <x:c r="H466" s="31" t="str">
        <x:f>IF(OR(F466="",G466=""),"",IF(F466=G466,"Agree","Disagree"))</x:f>
      </x:c>
      <x:c r="I466" s="31"/>
      <x:c r="J466" s="31" t="str">
        <x:v>No</x:v>
      </x:c>
      <x:c r="K466" s="31" t="str"/>
      <x:c r="L466" s="31" t="str"/>
      <x:c r="M466" s="31" t="str"/>
      <x:c r="N466" s="31" t="str"/>
    </x:row>
    <x:row r="467" ht="42" customHeight="1">
      <x:c r="A467" s="35" t="n">
        <x:v>465</x:v>
      </x:c>
      <x:c r="B467" s="31" t="str">
        <x:f>IF('Execution Checklist'!Q467="","",'Execution Checklist'!Q467)</x:f>
      </x:c>
      <x:c r="C467" s="31" t="str">
        <x:v>Put the open white cup in the bowl.</x:v>
      </x:c>
      <x:c r="D467" s="31" t="str">
        <x:v>white cup B</x:v>
      </x:c>
      <x:c r="E467" s="31" t="str">
        <x:v>Binary task success; compare with the seen-language row sharing Pair ID.</x:v>
      </x:c>
      <x:c r="F467" s="31"/>
      <x:c r="G467" s="31"/>
      <x:c r="H467" s="31" t="str">
        <x:f>IF(OR(F467="",G467=""),"",IF(F467=G467,"Agree","Disagree"))</x:f>
      </x:c>
      <x:c r="I467" s="31"/>
      <x:c r="J467" s="31" t="str">
        <x:v>No</x:v>
      </x:c>
      <x:c r="K467" s="31" t="str"/>
      <x:c r="L467" s="31" t="str"/>
      <x:c r="M467" s="31" t="str"/>
      <x:c r="N467" s="31" t="str"/>
    </x:row>
    <x:row r="468" ht="42" customHeight="1">
      <x:c r="A468" s="35" t="n">
        <x:v>466</x:v>
      </x:c>
      <x:c r="B468" s="31" t="str">
        <x:f>IF('Execution Checklist'!Q468="","",'Execution Checklist'!Q468)</x:f>
      </x:c>
      <x:c r="C468" s="31" t="str">
        <x:v>Move the white cup that is open into the bowl.</x:v>
      </x:c>
      <x:c r="D468" s="31" t="str">
        <x:v>white cup B</x:v>
      </x:c>
      <x:c r="E468" s="31" t="str">
        <x:v>Binary task success; compare with the seen-language row sharing Pair ID.</x:v>
      </x:c>
      <x:c r="F468" s="31"/>
      <x:c r="G468" s="31"/>
      <x:c r="H468" s="31" t="str">
        <x:f>IF(OR(F468="",G468=""),"",IF(F468=G468,"Agree","Disagree"))</x:f>
      </x:c>
      <x:c r="I468" s="31"/>
      <x:c r="J468" s="31" t="str">
        <x:v>No</x:v>
      </x:c>
      <x:c r="K468" s="31" t="str"/>
      <x:c r="L468" s="31" t="str"/>
      <x:c r="M468" s="31" t="str"/>
      <x:c r="N468" s="31" t="str"/>
    </x:row>
    <x:row r="469" ht="42" customHeight="1">
      <x:c r="A469" s="35" t="n">
        <x:v>467</x:v>
      </x:c>
      <x:c r="B469" s="31" t="str">
        <x:f>IF('Execution Checklist'!Q469="","",'Execution Checklist'!Q469)</x:f>
      </x:c>
      <x:c r="C469" s="31" t="str">
        <x:v>Place a glass spice container in the bowl.</x:v>
      </x:c>
      <x:c r="D469" s="31" t="str">
        <x:v>glass spice container A</x:v>
      </x:c>
      <x:c r="E469" s="31" t="str">
        <x:v>Binary task success; paired with the main transfer row.</x:v>
      </x:c>
      <x:c r="F469" s="31"/>
      <x:c r="G469" s="31"/>
      <x:c r="H469" s="31" t="str">
        <x:f>IF(OR(F469="",G469=""),"",IF(F469=G469,"Agree","Disagree"))</x:f>
      </x:c>
      <x:c r="I469" s="31"/>
      <x:c r="J469" s="31" t="str">
        <x:v>No</x:v>
      </x:c>
      <x:c r="K469" s="31" t="str"/>
      <x:c r="L469" s="31" t="str"/>
      <x:c r="M469" s="31" t="str"/>
      <x:c r="N469" s="31" t="str"/>
    </x:row>
    <x:row r="470" ht="42" customHeight="1">
      <x:c r="A470" s="35" t="n">
        <x:v>468</x:v>
      </x:c>
      <x:c r="B470" s="31" t="str">
        <x:f>IF('Execution Checklist'!Q470="","",'Execution Checklist'!Q470)</x:f>
      </x:c>
      <x:c r="C470" s="31" t="str">
        <x:v>Place a glass spice container in the bowl.</x:v>
      </x:c>
      <x:c r="D470" s="31" t="str">
        <x:v>glass spice container A</x:v>
      </x:c>
      <x:c r="E470" s="31" t="str">
        <x:v>Binary task success; paired with the main transfer row.</x:v>
      </x:c>
      <x:c r="F470" s="31"/>
      <x:c r="G470" s="31"/>
      <x:c r="H470" s="31" t="str">
        <x:f>IF(OR(F470="",G470=""),"",IF(F470=G470,"Agree","Disagree"))</x:f>
      </x:c>
      <x:c r="I470" s="31"/>
      <x:c r="J470" s="31" t="str">
        <x:v>No</x:v>
      </x:c>
      <x:c r="K470" s="31" t="str"/>
      <x:c r="L470" s="31" t="str"/>
      <x:c r="M470" s="31" t="str"/>
      <x:c r="N470" s="31" t="str"/>
    </x:row>
    <x:row r="471" ht="42" customHeight="1">
      <x:c r="A471" s="35" t="n">
        <x:v>469</x:v>
      </x:c>
      <x:c r="B471" s="31" t="str">
        <x:f>IF('Execution Checklist'!Q471="","",'Execution Checklist'!Q471)</x:f>
      </x:c>
      <x:c r="C471" s="31" t="str">
        <x:v>Place the open white cup in the bowl.</x:v>
      </x:c>
      <x:c r="D471" s="31" t="str">
        <x:v>white cup B</x:v>
      </x:c>
      <x:c r="E471" s="31" t="str">
        <x:v>Binary task success using the task-specific rubric.</x:v>
      </x:c>
      <x:c r="F471" s="31"/>
      <x:c r="G471" s="31"/>
      <x:c r="H471" s="31" t="str">
        <x:f>IF(OR(F471="",G471=""),"",IF(F471=G471,"Agree","Disagree"))</x:f>
      </x:c>
      <x:c r="I471" s="31"/>
      <x:c r="J471" s="31" t="str">
        <x:v>No</x:v>
      </x:c>
      <x:c r="K471" s="31" t="str"/>
      <x:c r="L471" s="31" t="str"/>
      <x:c r="M471" s="31" t="str"/>
      <x:c r="N471" s="31" t="str"/>
    </x:row>
    <x:row r="472" ht="42" customHeight="1">
      <x:c r="A472" s="35" t="n">
        <x:v>470</x:v>
      </x:c>
      <x:c r="B472" s="31" t="str">
        <x:f>IF('Execution Checklist'!Q472="","",'Execution Checklist'!Q472)</x:f>
      </x:c>
      <x:c r="C472" s="31" t="str">
        <x:v>Place a brown cup in the bowl.</x:v>
      </x:c>
      <x:c r="D472" s="31" t="str">
        <x:v>brown cup B</x:v>
      </x:c>
      <x:c r="E472" s="31" t="str">
        <x:v>Binary task success; paired with the main transfer row.</x:v>
      </x:c>
      <x:c r="F472" s="31"/>
      <x:c r="G472" s="31"/>
      <x:c r="H472" s="31" t="str">
        <x:f>IF(OR(F472="",G472=""),"",IF(F472=G472,"Agree","Disagree"))</x:f>
      </x:c>
      <x:c r="I472" s="31"/>
      <x:c r="J472" s="31" t="str">
        <x:v>No</x:v>
      </x:c>
      <x:c r="K472" s="31" t="str"/>
      <x:c r="L472" s="31" t="str"/>
      <x:c r="M472" s="31" t="str"/>
      <x:c r="N472" s="31" t="str"/>
    </x:row>
    <x:row r="473" ht="42" customHeight="1">
      <x:c r="A473" s="35" t="n">
        <x:v>471</x:v>
      </x:c>
      <x:c r="B473" s="31" t="str">
        <x:f>IF('Execution Checklist'!Q473="","",'Execution Checklist'!Q473)</x:f>
      </x:c>
      <x:c r="C473" s="31" t="str">
        <x:v>Place the upright yellow-white striped cup in the bowl.</x:v>
      </x:c>
      <x:c r="D473" s="31" t="str">
        <x:v>yellow-white striped cup B</x:v>
      </x:c>
      <x:c r="E473" s="31" t="str">
        <x:v>Binary task success; paired with the main matched-control row.</x:v>
      </x:c>
      <x:c r="F473" s="31"/>
      <x:c r="G473" s="31"/>
      <x:c r="H473" s="31" t="str">
        <x:f>IF(OR(F473="",G473=""),"",IF(F473=G473,"Agree","Disagree"))</x:f>
      </x:c>
      <x:c r="I473" s="31"/>
      <x:c r="J473" s="31" t="str">
        <x:v>No</x:v>
      </x:c>
      <x:c r="K473" s="31" t="str"/>
      <x:c r="L473" s="31" t="str"/>
      <x:c r="M473" s="31" t="str"/>
      <x:c r="N473" s="31" t="str"/>
    </x:row>
    <x:row r="474" ht="42" customHeight="1">
      <x:c r="A474" s="35" t="n">
        <x:v>472</x:v>
      </x:c>
      <x:c r="B474" s="31" t="str">
        <x:f>IF('Execution Checklist'!Q474="","",'Execution Checklist'!Q474)</x:f>
      </x:c>
      <x:c r="C474" s="31" t="str">
        <x:v>Place the upside-down glass spice container in the bowl.</x:v>
      </x:c>
      <x:c r="D474" s="31" t="str">
        <x:v>glass spice container B</x:v>
      </x:c>
      <x:c r="E474" s="31" t="str">
        <x:v>Binary task success using the task-specific rubric.</x:v>
      </x:c>
      <x:c r="F474" s="31"/>
      <x:c r="G474" s="31"/>
      <x:c r="H474" s="31" t="str">
        <x:f>IF(OR(F474="",G474=""),"",IF(F474=G474,"Agree","Disagree"))</x:f>
      </x:c>
      <x:c r="I474" s="31"/>
      <x:c r="J474" s="31" t="str">
        <x:v>No</x:v>
      </x:c>
      <x:c r="K474" s="31" t="str"/>
      <x:c r="L474" s="31" t="str"/>
      <x:c r="M474" s="31" t="str"/>
      <x:c r="N474" s="31" t="str"/>
    </x:row>
    <x:row r="475" ht="42" customHeight="1">
      <x:c r="A475" s="35" t="n">
        <x:v>473</x:v>
      </x:c>
      <x:c r="B475" s="31" t="str">
        <x:f>IF('Execution Checklist'!Q475="","",'Execution Checklist'!Q475)</x:f>
      </x:c>
      <x:c r="C475" s="31" t="str">
        <x:v>Place a glass spice container in the bowl.</x:v>
      </x:c>
      <x:c r="D475" s="31" t="str">
        <x:v>glass spice container B</x:v>
      </x:c>
      <x:c r="E475" s="31" t="str">
        <x:v>Binary task success; paired with the main transfer row.</x:v>
      </x:c>
      <x:c r="F475" s="31"/>
      <x:c r="G475" s="31"/>
      <x:c r="H475" s="31" t="str">
        <x:f>IF(OR(F475="",G475=""),"",IF(F475=G475,"Agree","Disagree"))</x:f>
      </x:c>
      <x:c r="I475" s="31"/>
      <x:c r="J475" s="31" t="str">
        <x:v>No</x:v>
      </x:c>
      <x:c r="K475" s="31" t="str"/>
      <x:c r="L475" s="31" t="str"/>
      <x:c r="M475" s="31" t="str"/>
      <x:c r="N475" s="31" t="str"/>
    </x:row>
    <x:row r="476" ht="42" customHeight="1">
      <x:c r="A476" s="35" t="n">
        <x:v>474</x:v>
      </x:c>
      <x:c r="B476" s="31" t="str">
        <x:f>IF('Execution Checklist'!Q476="","",'Execution Checklist'!Q476)</x:f>
      </x:c>
      <x:c r="C476" s="31" t="str">
        <x:v>Move the open white cup into the bowl.</x:v>
      </x:c>
      <x:c r="D476" s="31" t="str">
        <x:v>white cup A</x:v>
      </x:c>
      <x:c r="E476" s="31" t="str">
        <x:v>Binary task success using the task-specific rubric.</x:v>
      </x:c>
      <x:c r="F476" s="31"/>
      <x:c r="G476" s="31"/>
      <x:c r="H476" s="31" t="str">
        <x:f>IF(OR(F476="",G476=""),"",IF(F476=G476,"Agree","Disagree"))</x:f>
      </x:c>
      <x:c r="I476" s="31"/>
      <x:c r="J476" s="31" t="str">
        <x:v>No</x:v>
      </x:c>
      <x:c r="K476" s="31" t="str"/>
      <x:c r="L476" s="31" t="str"/>
      <x:c r="M476" s="31" t="str"/>
      <x:c r="N476" s="31" t="str"/>
    </x:row>
    <x:row r="477" ht="42" customHeight="1">
      <x:c r="A477" s="35" t="n">
        <x:v>475</x:v>
      </x:c>
      <x:c r="B477" s="31" t="str">
        <x:f>IF('Execution Checklist'!Q477="","",'Execution Checklist'!Q477)</x:f>
      </x:c>
      <x:c r="C477" s="31" t="str">
        <x:v>Place the closed brown cup in the bowl.</x:v>
      </x:c>
      <x:c r="D477" s="31" t="str">
        <x:v>brown cup A</x:v>
      </x:c>
      <x:c r="E477" s="31" t="str">
        <x:v>Binary task success; paired with the main matched-control row.</x:v>
      </x:c>
      <x:c r="F477" s="31"/>
      <x:c r="G477" s="31"/>
      <x:c r="H477" s="31" t="str">
        <x:f>IF(OR(F477="",G477=""),"",IF(F477=G477,"Agree","Disagree"))</x:f>
      </x:c>
      <x:c r="I477" s="31"/>
      <x:c r="J477" s="31" t="str">
        <x:v>No</x:v>
      </x:c>
      <x:c r="K477" s="31" t="str"/>
      <x:c r="L477" s="31" t="str"/>
      <x:c r="M477" s="31" t="str"/>
      <x:c r="N477" s="31" t="str"/>
    </x:row>
    <x:row r="478" ht="42" customHeight="1">
      <x:c r="A478" s="35" t="n">
        <x:v>476</x:v>
      </x:c>
      <x:c r="B478" s="31" t="str">
        <x:f>IF('Execution Checklist'!Q478="","",'Execution Checklist'!Q478)</x:f>
      </x:c>
      <x:c r="C478" s="31" t="str">
        <x:v>Place the upside-down white cup in the bowl.</x:v>
      </x:c>
      <x:c r="D478" s="31" t="str">
        <x:v>white cup A</x:v>
      </x:c>
      <x:c r="E478" s="31" t="str">
        <x:v>Binary task success using the task-specific rubric.</x:v>
      </x:c>
      <x:c r="F478" s="31"/>
      <x:c r="G478" s="31"/>
      <x:c r="H478" s="31" t="str">
        <x:f>IF(OR(F478="",G478=""),"",IF(F478=G478,"Agree","Disagree"))</x:f>
      </x:c>
      <x:c r="I478" s="31"/>
      <x:c r="J478" s="31" t="str">
        <x:v>No</x:v>
      </x:c>
      <x:c r="K478" s="31" t="str"/>
      <x:c r="L478" s="31" t="str"/>
      <x:c r="M478" s="31" t="str"/>
      <x:c r="N478" s="31" t="str"/>
    </x:row>
    <x:row r="479" ht="42" customHeight="1">
      <x:c r="A479" s="35" t="n">
        <x:v>477</x:v>
      </x:c>
      <x:c r="B479" s="31" t="str">
        <x:f>IF('Execution Checklist'!Q479="","",'Execution Checklist'!Q479)</x:f>
      </x:c>
      <x:c r="C479" s="31" t="str">
        <x:v>Place a white cup in the bowl.</x:v>
      </x:c>
      <x:c r="D479" s="31" t="str">
        <x:v>white cup B</x:v>
      </x:c>
      <x:c r="E479" s="31" t="str">
        <x:v>Binary task success; paired with the main transfer row.</x:v>
      </x:c>
      <x:c r="F479" s="31"/>
      <x:c r="G479" s="31"/>
      <x:c r="H479" s="31" t="str">
        <x:f>IF(OR(F479="",G479=""),"",IF(F479=G479,"Agree","Disagree"))</x:f>
      </x:c>
      <x:c r="I479" s="31"/>
      <x:c r="J479" s="31" t="str">
        <x:v>No</x:v>
      </x:c>
      <x:c r="K479" s="31" t="str"/>
      <x:c r="L479" s="31" t="str"/>
      <x:c r="M479" s="31" t="str"/>
      <x:c r="N479" s="31" t="str"/>
    </x:row>
    <x:row r="480" ht="42" customHeight="1">
      <x:c r="A480" s="35" t="n">
        <x:v>478</x:v>
      </x:c>
      <x:c r="B480" s="31" t="str">
        <x:f>IF('Execution Checklist'!Q480="","",'Execution Checklist'!Q480)</x:f>
      </x:c>
      <x:c r="C480" s="31" t="str">
        <x:v>Place a white cup in the bowl.</x:v>
      </x:c>
      <x:c r="D480" s="31" t="str">
        <x:v>white cup A</x:v>
      </x:c>
      <x:c r="E480" s="31" t="str">
        <x:v>Binary task success; paired with the main transfer row.</x:v>
      </x:c>
      <x:c r="F480" s="31"/>
      <x:c r="G480" s="31"/>
      <x:c r="H480" s="31" t="str">
        <x:f>IF(OR(F480="",G480=""),"",IF(F480=G480,"Agree","Disagree"))</x:f>
      </x:c>
      <x:c r="I480" s="31"/>
      <x:c r="J480" s="31" t="str">
        <x:v>No</x:v>
      </x:c>
      <x:c r="K480" s="31" t="str"/>
      <x:c r="L480" s="31" t="str"/>
      <x:c r="M480" s="31" t="str"/>
      <x:c r="N480" s="31" t="str"/>
    </x:row>
    <x:row r="481" ht="42" customHeight="1">
      <x:c r="A481" s="35" t="n">
        <x:v>479</x:v>
      </x:c>
      <x:c r="B481" s="31" t="str">
        <x:f>IF('Execution Checklist'!Q481="","",'Execution Checklist'!Q481)</x:f>
      </x:c>
      <x:c r="C481" s="31" t="str">
        <x:v>Place the open brown cup in the bowl.</x:v>
      </x:c>
      <x:c r="D481" s="31" t="str">
        <x:v>brown cup B</x:v>
      </x:c>
      <x:c r="E481" s="31" t="str">
        <x:v>Binary success for the counterfactual instruction and paired action-switch analysis versus the parent.</x:v>
      </x:c>
      <x:c r="F481" s="31"/>
      <x:c r="G481" s="31"/>
      <x:c r="H481" s="31" t="str">
        <x:f>IF(OR(F481="",G481=""),"",IF(F481=G481,"Agree","Disagree"))</x:f>
      </x:c>
      <x:c r="I481" s="31"/>
      <x:c r="J481" s="31" t="str">
        <x:v>No</x:v>
      </x:c>
      <x:c r="K481" s="31" t="str"/>
      <x:c r="L481" s="31" t="str"/>
      <x:c r="M481" s="31" t="str"/>
      <x:c r="N481" s="31" t="str"/>
    </x:row>
    <x:row r="482" ht="42" customHeight="1">
      <x:c r="A482" s="35" t="n">
        <x:v>480</x:v>
      </x:c>
      <x:c r="B482" s="31" t="str">
        <x:f>IF('Execution Checklist'!Q482="","",'Execution Checklist'!Q482)</x:f>
      </x:c>
      <x:c r="C482" s="31" t="str">
        <x:v>Place a yellow-white striped cup in the bowl.</x:v>
      </x:c>
      <x:c r="D482" s="31" t="str">
        <x:v>yellow-white striped cup B</x:v>
      </x:c>
      <x:c r="E482" s="31" t="str">
        <x:v>Binary task success; paired with the main transfer row.</x:v>
      </x:c>
      <x:c r="F482" s="31"/>
      <x:c r="G482" s="31"/>
      <x:c r="H482" s="31" t="str">
        <x:f>IF(OR(F482="",G482=""),"",IF(F482=G482,"Agree","Disagree"))</x:f>
      </x:c>
      <x:c r="I482" s="31"/>
      <x:c r="J482" s="31" t="str">
        <x:v>No</x:v>
      </x:c>
      <x:c r="K482" s="31" t="str"/>
      <x:c r="L482" s="31" t="str"/>
      <x:c r="M482" s="31" t="str"/>
      <x:c r="N482" s="31" t="str"/>
    </x:row>
    <x:row r="483" ht="42" customHeight="1">
      <x:c r="A483" s="35" t="n">
        <x:v>481</x:v>
      </x:c>
      <x:c r="B483" s="31" t="str">
        <x:f>IF('Execution Checklist'!Q483="","",'Execution Checklist'!Q483)</x:f>
      </x:c>
      <x:c r="C483" s="31" t="str">
        <x:v>Place the upside-down white cup in the bowl.</x:v>
      </x:c>
      <x:c r="D483" s="31" t="str">
        <x:v>white cup A</x:v>
      </x:c>
      <x:c r="E483" s="31" t="str">
        <x:v>Binary task success using the task-specific rubric.</x:v>
      </x:c>
      <x:c r="F483" s="31"/>
      <x:c r="G483" s="31"/>
      <x:c r="H483" s="31" t="str">
        <x:f>IF(OR(F483="",G483=""),"",IF(F483=G483,"Agree","Disagree"))</x:f>
      </x:c>
      <x:c r="I483" s="31"/>
      <x:c r="J483" s="31" t="str">
        <x:v>No</x:v>
      </x:c>
      <x:c r="K483" s="31" t="str"/>
      <x:c r="L483" s="31" t="str"/>
      <x:c r="M483" s="31" t="str"/>
      <x:c r="N483" s="31" t="str"/>
    </x:row>
    <x:row r="484" ht="42" customHeight="1">
      <x:c r="A484" s="35" t="n">
        <x:v>482</x:v>
      </x:c>
      <x:c r="B484" s="31" t="str">
        <x:f>IF('Execution Checklist'!Q484="","",'Execution Checklist'!Q484)</x:f>
      </x:c>
      <x:c r="C484" s="31" t="str">
        <x:v>Put the inverted white cup into the bowl.</x:v>
      </x:c>
      <x:c r="D484" s="31" t="str">
        <x:v>white cup A</x:v>
      </x:c>
      <x:c r="E484" s="31" t="str">
        <x:v>Binary task success; compare with the seen-language row sharing Pair ID.</x:v>
      </x:c>
      <x:c r="F484" s="31"/>
      <x:c r="G484" s="31"/>
      <x:c r="H484" s="31" t="str">
        <x:f>IF(OR(F484="",G484=""),"",IF(F484=G484,"Agree","Disagree"))</x:f>
      </x:c>
      <x:c r="I484" s="31"/>
      <x:c r="J484" s="31" t="str">
        <x:v>No</x:v>
      </x:c>
      <x:c r="K484" s="31" t="str"/>
      <x:c r="L484" s="31" t="str"/>
      <x:c r="M484" s="31" t="str"/>
      <x:c r="N484" s="31" t="str"/>
    </x:row>
    <x:row r="485" ht="42" customHeight="1">
      <x:c r="A485" s="35" t="n">
        <x:v>483</x:v>
      </x:c>
      <x:c r="B485" s="31" t="str">
        <x:f>IF('Execution Checklist'!Q485="","",'Execution Checklist'!Q485)</x:f>
      </x:c>
      <x:c r="C485" s="31" t="str">
        <x:v>Place the closed white cup in the bowl.</x:v>
      </x:c>
      <x:c r="D485" s="31" t="str">
        <x:v>white cup A</x:v>
      </x:c>
      <x:c r="E485" s="31" t="str">
        <x:v>Binary task success; paired with the main matched-control row.</x:v>
      </x:c>
      <x:c r="F485" s="31"/>
      <x:c r="G485" s="31"/>
      <x:c r="H485" s="31" t="str">
        <x:f>IF(OR(F485="",G485=""),"",IF(F485=G485,"Agree","Disagree"))</x:f>
      </x:c>
      <x:c r="I485" s="31"/>
      <x:c r="J485" s="31" t="str">
        <x:v>No</x:v>
      </x:c>
      <x:c r="K485" s="31" t="str"/>
      <x:c r="L485" s="31" t="str"/>
      <x:c r="M485" s="31" t="str"/>
      <x:c r="N485" s="31" t="str"/>
    </x:row>
    <x:row r="486" ht="42" customHeight="1">
      <x:c r="A486" s="35" t="n">
        <x:v>484</x:v>
      </x:c>
      <x:c r="B486" s="31" t="str">
        <x:f>IF('Execution Checklist'!Q486="","",'Execution Checklist'!Q486)</x:f>
      </x:c>
      <x:c r="C486" s="31" t="str">
        <x:v>Place the closed white cup in the bowl.</x:v>
      </x:c>
      <x:c r="D486" s="31" t="str">
        <x:v>white cup A</x:v>
      </x:c>
      <x:c r="E486" s="31" t="str">
        <x:v>Binary task success; paired with the main matched-control row.</x:v>
      </x:c>
      <x:c r="F486" s="31"/>
      <x:c r="G486" s="31"/>
      <x:c r="H486" s="31" t="str">
        <x:f>IF(OR(F486="",G486=""),"",IF(F486=G486,"Agree","Disagree"))</x:f>
      </x:c>
      <x:c r="I486" s="31"/>
      <x:c r="J486" s="31" t="str">
        <x:v>No</x:v>
      </x:c>
      <x:c r="K486" s="31" t="str"/>
      <x:c r="L486" s="31" t="str"/>
      <x:c r="M486" s="31" t="str"/>
      <x:c r="N486" s="31" t="str"/>
    </x:row>
    <x:row r="487" ht="42" customHeight="1">
      <x:c r="A487" s="35" t="n">
        <x:v>485</x:v>
      </x:c>
      <x:c r="B487" s="31" t="str">
        <x:f>IF('Execution Checklist'!Q487="","",'Execution Checklist'!Q487)</x:f>
      </x:c>
      <x:c r="C487" s="31" t="str">
        <x:v>Place the upright brown cup in the bowl.</x:v>
      </x:c>
      <x:c r="D487" s="31" t="str">
        <x:v>brown cup B</x:v>
      </x:c>
      <x:c r="E487" s="31" t="str">
        <x:v>Binary task success; paired with the main matched-control row.</x:v>
      </x:c>
      <x:c r="F487" s="31"/>
      <x:c r="G487" s="31"/>
      <x:c r="H487" s="31" t="str">
        <x:f>IF(OR(F487="",G487=""),"",IF(F487=G487,"Agree","Disagree"))</x:f>
      </x:c>
      <x:c r="I487" s="31"/>
      <x:c r="J487" s="31" t="str">
        <x:v>No</x:v>
      </x:c>
      <x:c r="K487" s="31" t="str"/>
      <x:c r="L487" s="31" t="str"/>
      <x:c r="M487" s="31" t="str"/>
      <x:c r="N487" s="31" t="str"/>
    </x:row>
    <x:row r="488" ht="42" customHeight="1">
      <x:c r="A488" s="35" t="n">
        <x:v>486</x:v>
      </x:c>
      <x:c r="B488" s="31" t="str">
        <x:f>IF('Execution Checklist'!Q488="","",'Execution Checklist'!Q488)</x:f>
      </x:c>
      <x:c r="C488" s="31" t="str">
        <x:v>Put a brown cup in the bowl.</x:v>
      </x:c>
      <x:c r="D488" s="31" t="str">
        <x:v>brown cup B</x:v>
      </x:c>
      <x:c r="E488" s="31" t="str">
        <x:v>Binary task success using the task-specific rubric.</x:v>
      </x:c>
      <x:c r="F488" s="31"/>
      <x:c r="G488" s="31"/>
      <x:c r="H488" s="31" t="str">
        <x:f>IF(OR(F488="",G488=""),"",IF(F488=G488,"Agree","Disagree"))</x:f>
      </x:c>
      <x:c r="I488" s="31"/>
      <x:c r="J488" s="31" t="str">
        <x:v>No</x:v>
      </x:c>
      <x:c r="K488" s="31" t="str"/>
      <x:c r="L488" s="31" t="str"/>
      <x:c r="M488" s="31" t="str"/>
      <x:c r="N488" s="31" t="str"/>
    </x:row>
    <x:row r="489" ht="42" customHeight="1">
      <x:c r="A489" s="35" t="n">
        <x:v>487</x:v>
      </x:c>
      <x:c r="B489" s="31" t="str">
        <x:f>IF('Execution Checklist'!Q489="","",'Execution Checklist'!Q489)</x:f>
      </x:c>
      <x:c r="C489" s="31" t="str">
        <x:v>Place the closed brown cup in the bowl.</x:v>
      </x:c>
      <x:c r="D489" s="31" t="str">
        <x:v>brown cup A</x:v>
      </x:c>
      <x:c r="E489" s="31" t="str">
        <x:v>Binary task success; paired with the main matched-control row.</x:v>
      </x:c>
      <x:c r="F489" s="31"/>
      <x:c r="G489" s="31"/>
      <x:c r="H489" s="31" t="str">
        <x:f>IF(OR(F489="",G489=""),"",IF(F489=G489,"Agree","Disagree"))</x:f>
      </x:c>
      <x:c r="I489" s="31"/>
      <x:c r="J489" s="31" t="str">
        <x:v>No</x:v>
      </x:c>
      <x:c r="K489" s="31" t="str"/>
      <x:c r="L489" s="31" t="str"/>
      <x:c r="M489" s="31" t="str"/>
      <x:c r="N489" s="31" t="str"/>
    </x:row>
    <x:row r="490" ht="42" customHeight="1">
      <x:c r="A490" s="35" t="n">
        <x:v>488</x:v>
      </x:c>
      <x:c r="B490" s="31" t="str">
        <x:f>IF('Execution Checklist'!Q490="","",'Execution Checklist'!Q490)</x:f>
      </x:c>
      <x:c r="C490" s="31" t="str">
        <x:v>Move the overturned glass spice container into the bowl.</x:v>
      </x:c>
      <x:c r="D490" s="31" t="str">
        <x:v>glass spice container B</x:v>
      </x:c>
      <x:c r="E490" s="31" t="str">
        <x:v>Binary task success; compare with the seen-language row sharing Pair ID.</x:v>
      </x:c>
      <x:c r="F490" s="31"/>
      <x:c r="G490" s="31"/>
      <x:c r="H490" s="31" t="str">
        <x:f>IF(OR(F490="",G490=""),"",IF(F490=G490,"Agree","Disagree"))</x:f>
      </x:c>
      <x:c r="I490" s="31"/>
      <x:c r="J490" s="31" t="str">
        <x:v>No</x:v>
      </x:c>
      <x:c r="K490" s="31" t="str"/>
      <x:c r="L490" s="31" t="str"/>
      <x:c r="M490" s="31" t="str"/>
      <x:c r="N490" s="31" t="str"/>
    </x:row>
    <x:row r="491" ht="42" customHeight="1">
      <x:c r="A491" s="35" t="n">
        <x:v>489</x:v>
      </x:c>
      <x:c r="B491" s="31" t="str">
        <x:f>IF('Execution Checklist'!Q491="","",'Execution Checklist'!Q491)</x:f>
      </x:c>
      <x:c r="C491" s="31" t="str">
        <x:v>Place the closed glass spice container in the bowl.</x:v>
      </x:c>
      <x:c r="D491" s="31" t="str">
        <x:v>glass spice container B</x:v>
      </x:c>
      <x:c r="E491" s="31" t="str">
        <x:v>Binary task success; paired with the main matched-control row.</x:v>
      </x:c>
      <x:c r="F491" s="31"/>
      <x:c r="G491" s="31"/>
      <x:c r="H491" s="31" t="str">
        <x:f>IF(OR(F491="",G491=""),"",IF(F491=G491,"Agree","Disagree"))</x:f>
      </x:c>
      <x:c r="I491" s="31"/>
      <x:c r="J491" s="31" t="str">
        <x:v>No</x:v>
      </x:c>
      <x:c r="K491" s="31" t="str"/>
      <x:c r="L491" s="31" t="str"/>
      <x:c r="M491" s="31" t="str"/>
      <x:c r="N491" s="31" t="str"/>
    </x:row>
    <x:row r="492" ht="42" customHeight="1">
      <x:c r="A492" s="35" t="n">
        <x:v>490</x:v>
      </x:c>
      <x:c r="B492" s="31" t="str">
        <x:f>IF('Execution Checklist'!Q492="","",'Execution Checklist'!Q492)</x:f>
      </x:c>
      <x:c r="C492" s="31" t="str">
        <x:v>Place a white cup in the bowl.</x:v>
      </x:c>
      <x:c r="D492" s="31" t="str">
        <x:v>white cup B</x:v>
      </x:c>
      <x:c r="E492" s="31" t="str">
        <x:v>Binary task success; paired with the main transfer row.</x:v>
      </x:c>
      <x:c r="F492" s="31"/>
      <x:c r="G492" s="31"/>
      <x:c r="H492" s="31" t="str">
        <x:f>IF(OR(F492="",G492=""),"",IF(F492=G492,"Agree","Disagree"))</x:f>
      </x:c>
      <x:c r="I492" s="31"/>
      <x:c r="J492" s="31" t="str">
        <x:v>No</x:v>
      </x:c>
      <x:c r="K492" s="31" t="str"/>
      <x:c r="L492" s="31" t="str"/>
      <x:c r="M492" s="31" t="str"/>
      <x:c r="N492" s="31" t="str"/>
    </x:row>
    <x:row r="493" ht="42" customHeight="1">
      <x:c r="A493" s="35" t="n">
        <x:v>491</x:v>
      </x:c>
      <x:c r="B493" s="31" t="str">
        <x:f>IF('Execution Checklist'!Q493="","",'Execution Checklist'!Q493)</x:f>
      </x:c>
      <x:c r="C493" s="31" t="str">
        <x:v>Place the open white cup in the bowl.</x:v>
      </x:c>
      <x:c r="D493" s="31" t="str">
        <x:v>white cup B</x:v>
      </x:c>
      <x:c r="E493" s="31" t="str">
        <x:v>Binary task success using the task-specific rubric.</x:v>
      </x:c>
      <x:c r="F493" s="31"/>
      <x:c r="G493" s="31"/>
      <x:c r="H493" s="31" t="str">
        <x:f>IF(OR(F493="",G493=""),"",IF(F493=G493,"Agree","Disagree"))</x:f>
      </x:c>
      <x:c r="I493" s="31"/>
      <x:c r="J493" s="31" t="str">
        <x:v>No</x:v>
      </x:c>
      <x:c r="K493" s="31" t="str"/>
      <x:c r="L493" s="31" t="str"/>
      <x:c r="M493" s="31" t="str"/>
      <x:c r="N493" s="31" t="str"/>
    </x:row>
    <x:row r="494" ht="42" customHeight="1">
      <x:c r="A494" s="35" t="n">
        <x:v>492</x:v>
      </x:c>
      <x:c r="B494" s="31" t="str">
        <x:f>IF('Execution Checklist'!Q494="","",'Execution Checklist'!Q494)</x:f>
      </x:c>
      <x:c r="C494" s="31" t="str">
        <x:v>Place the closed yellow-white striped cup in the bowl.</x:v>
      </x:c>
      <x:c r="D494" s="31" t="str">
        <x:v>yellow-white striped cup A</x:v>
      </x:c>
      <x:c r="E494" s="31" t="str">
        <x:v>Binary task success; paired with the main matched-control row.</x:v>
      </x:c>
      <x:c r="F494" s="31"/>
      <x:c r="G494" s="31"/>
      <x:c r="H494" s="31" t="str">
        <x:f>IF(OR(F494="",G494=""),"",IF(F494=G494,"Agree","Disagree"))</x:f>
      </x:c>
      <x:c r="I494" s="31"/>
      <x:c r="J494" s="31" t="str">
        <x:v>No</x:v>
      </x:c>
      <x:c r="K494" s="31" t="str"/>
      <x:c r="L494" s="31" t="str"/>
      <x:c r="M494" s="31" t="str"/>
      <x:c r="N494" s="31" t="str"/>
    </x:row>
    <x:row r="495" ht="42" customHeight="1">
      <x:c r="A495" s="35" t="n">
        <x:v>493</x:v>
      </x:c>
      <x:c r="B495" s="31" t="str">
        <x:f>IF('Execution Checklist'!Q495="","",'Execution Checklist'!Q495)</x:f>
      </x:c>
      <x:c r="C495" s="31" t="str">
        <x:v>Place a yellow-white striped cup in the bowl.</x:v>
      </x:c>
      <x:c r="D495" s="31" t="str">
        <x:v>yellow-white striped cup A</x:v>
      </x:c>
      <x:c r="E495" s="31" t="str">
        <x:v>Binary task success; paired with the main transfer row.</x:v>
      </x:c>
      <x:c r="F495" s="31"/>
      <x:c r="G495" s="31"/>
      <x:c r="H495" s="31" t="str">
        <x:f>IF(OR(F495="",G495=""),"",IF(F495=G495,"Agree","Disagree"))</x:f>
      </x:c>
      <x:c r="I495" s="31"/>
      <x:c r="J495" s="31" t="str">
        <x:v>No</x:v>
      </x:c>
      <x:c r="K495" s="31" t="str"/>
      <x:c r="L495" s="31" t="str"/>
      <x:c r="M495" s="31" t="str"/>
      <x:c r="N495" s="31" t="str"/>
    </x:row>
    <x:row r="496" ht="42" customHeight="1">
      <x:c r="A496" s="35" t="n">
        <x:v>494</x:v>
      </x:c>
      <x:c r="B496" s="31" t="str">
        <x:f>IF('Execution Checklist'!Q496="","",'Execution Checklist'!Q496)</x:f>
      </x:c>
      <x:c r="C496" s="31" t="str">
        <x:v>Place the upright white cup in the bowl.</x:v>
      </x:c>
      <x:c r="D496" s="31" t="str">
        <x:v>white cup B</x:v>
      </x:c>
      <x:c r="E496" s="31" t="str">
        <x:v>Binary task success; paired with the main matched-control row.</x:v>
      </x:c>
      <x:c r="F496" s="31"/>
      <x:c r="G496" s="31"/>
      <x:c r="H496" s="31" t="str">
        <x:f>IF(OR(F496="",G496=""),"",IF(F496=G496,"Agree","Disagree"))</x:f>
      </x:c>
      <x:c r="I496" s="31"/>
      <x:c r="J496" s="31" t="str">
        <x:v>No</x:v>
      </x:c>
      <x:c r="K496" s="31" t="str"/>
      <x:c r="L496" s="31" t="str"/>
      <x:c r="M496" s="31" t="str"/>
      <x:c r="N496" s="31" t="str"/>
    </x:row>
    <x:row r="497" ht="42" customHeight="1">
      <x:c r="A497" s="35" t="n">
        <x:v>495</x:v>
      </x:c>
      <x:c r="B497" s="31" t="str">
        <x:f>IF('Execution Checklist'!Q497="","",'Execution Checklist'!Q497)</x:f>
      </x:c>
      <x:c r="C497" s="31" t="str">
        <x:v>Place the closed glass spice container in the bowl.</x:v>
      </x:c>
      <x:c r="D497" s="31" t="str">
        <x:v>glass spice container B</x:v>
      </x:c>
      <x:c r="E497" s="31" t="str">
        <x:v>Binary task success; paired with the main matched-control row.</x:v>
      </x:c>
      <x:c r="F497" s="31"/>
      <x:c r="G497" s="31"/>
      <x:c r="H497" s="31" t="str">
        <x:f>IF(OR(F497="",G497=""),"",IF(F497=G497,"Agree","Disagree"))</x:f>
      </x:c>
      <x:c r="I497" s="31"/>
      <x:c r="J497" s="31" t="str">
        <x:v>No</x:v>
      </x:c>
      <x:c r="K497" s="31" t="str"/>
      <x:c r="L497" s="31" t="str"/>
      <x:c r="M497" s="31" t="str"/>
      <x:c r="N497" s="31" t="str"/>
    </x:row>
    <x:row r="498" ht="42" customHeight="1">
      <x:c r="A498" s="35" t="n">
        <x:v>496</x:v>
      </x:c>
      <x:c r="B498" s="31" t="str">
        <x:f>IF('Execution Checklist'!Q498="","",'Execution Checklist'!Q498)</x:f>
      </x:c>
      <x:c r="C498" s="31" t="str">
        <x:v>Move the red block to the side of the pink marker facing the robot.</x:v>
      </x:c>
      <x:c r="D498" s="31" t="str">
        <x:v>red block</x:v>
      </x:c>
      <x:c r="E498" s="31" t="str">
        <x:v>Binary task success; compare with the seen-language row sharing Pair ID.</x:v>
      </x:c>
      <x:c r="F498" s="31"/>
      <x:c r="G498" s="31"/>
      <x:c r="H498" s="31" t="str">
        <x:f>IF(OR(F498="",G498=""),"",IF(F498=G498,"Agree","Disagree"))</x:f>
      </x:c>
      <x:c r="I498" s="31"/>
      <x:c r="J498" s="31" t="str">
        <x:v>No</x:v>
      </x:c>
      <x:c r="K498" s="31" t="str"/>
      <x:c r="L498" s="31" t="str"/>
      <x:c r="M498" s="31" t="str"/>
      <x:c r="N498" s="31" t="str"/>
    </x:row>
    <x:row r="499" ht="42" customHeight="1">
      <x:c r="A499" s="35" t="n">
        <x:v>497</x:v>
      </x:c>
      <x:c r="B499" s="31" t="str">
        <x:f>IF('Execution Checklist'!Q499="","",'Execution Checklist'!Q499)</x:f>
      </x:c>
      <x:c r="C499" s="31" t="str">
        <x:v>Place the green pen in front of the red block.</x:v>
      </x:c>
      <x:c r="D499" s="31" t="str">
        <x:v>green pen → in front of red block</x:v>
      </x:c>
      <x:c r="E499" s="31" t="str">
        <x:v>Binary task success; paired with the main matched-control row.</x:v>
      </x:c>
      <x:c r="F499" s="31"/>
      <x:c r="G499" s="31"/>
      <x:c r="H499" s="31" t="str">
        <x:f>IF(OR(F499="",G499=""),"",IF(F499=G499,"Agree","Disagree"))</x:f>
      </x:c>
      <x:c r="I499" s="31"/>
      <x:c r="J499" s="31" t="str">
        <x:v>No</x:v>
      </x:c>
      <x:c r="K499" s="31" t="str"/>
      <x:c r="L499" s="31" t="str"/>
      <x:c r="M499" s="31" t="str"/>
      <x:c r="N499" s="31" t="str"/>
    </x:row>
    <x:row r="500" ht="42" customHeight="1">
      <x:c r="A500" s="35" t="n">
        <x:v>498</x:v>
      </x:c>
      <x:c r="B500" s="31" t="str">
        <x:f>IF('Execution Checklist'!Q500="","",'Execution Checklist'!Q500)</x:f>
      </x:c>
      <x:c r="C500" s="31" t="str">
        <x:v>Place the green pen to the left of the red block.</x:v>
      </x:c>
      <x:c r="D500" s="31" t="str">
        <x:v>green pen → to the left of red block</x:v>
      </x:c>
      <x:c r="E500" s="31" t="str">
        <x:v>Binary task success; paired with the main matched-control row.</x:v>
      </x:c>
      <x:c r="F500" s="31"/>
      <x:c r="G500" s="31"/>
      <x:c r="H500" s="31" t="str">
        <x:f>IF(OR(F500="",G500=""),"",IF(F500=G500,"Agree","Disagree"))</x:f>
      </x:c>
      <x:c r="I500" s="31"/>
      <x:c r="J500" s="31" t="str">
        <x:v>No</x:v>
      </x:c>
      <x:c r="K500" s="31" t="str"/>
      <x:c r="L500" s="31" t="str"/>
      <x:c r="M500" s="31" t="str"/>
      <x:c r="N500" s="31" t="str"/>
    </x:row>
    <x:row r="501" ht="42" customHeight="1">
      <x:c r="A501" s="35" t="n">
        <x:v>499</x:v>
      </x:c>
      <x:c r="B501" s="31" t="str">
        <x:f>IF('Execution Checklist'!Q501="","",'Execution Checklist'!Q501)</x:f>
      </x:c>
      <x:c r="C501" s="31" t="str">
        <x:v>Move the red block to the side of the pink marker facing the robot.</x:v>
      </x:c>
      <x:c r="D501" s="31" t="str">
        <x:v>red block</x:v>
      </x:c>
      <x:c r="E501" s="31" t="str">
        <x:v>Binary task success; compare with the seen-language row sharing Pair ID.</x:v>
      </x:c>
      <x:c r="F501" s="31"/>
      <x:c r="G501" s="31"/>
      <x:c r="H501" s="31" t="str">
        <x:f>IF(OR(F501="",G501=""),"",IF(F501=G501,"Agree","Disagree"))</x:f>
      </x:c>
      <x:c r="I501" s="31"/>
      <x:c r="J501" s="31" t="str">
        <x:v>No</x:v>
      </x:c>
      <x:c r="K501" s="31" t="str"/>
      <x:c r="L501" s="31" t="str"/>
      <x:c r="M501" s="31" t="str"/>
      <x:c r="N501" s="31" t="str"/>
    </x:row>
    <x:row r="502" ht="42" customHeight="1">
      <x:c r="A502" s="35" t="n">
        <x:v>500</x:v>
      </x:c>
      <x:c r="B502" s="31" t="str">
        <x:f>IF('Execution Checklist'!Q502="","",'Execution Checklist'!Q502)</x:f>
      </x:c>
      <x:c r="C502" s="31" t="str">
        <x:v>Put the green pen on the table in front of the pink marker.</x:v>
      </x:c>
      <x:c r="D502" s="31" t="str">
        <x:v>green pen</x:v>
      </x:c>
      <x:c r="E502" s="31" t="str">
        <x:v>Binary task success using the task-specific rubric.</x:v>
      </x:c>
      <x:c r="F502" s="31"/>
      <x:c r="G502" s="31"/>
      <x:c r="H502" s="31" t="str">
        <x:f>IF(OR(F502="",G502=""),"",IF(F502=G502,"Agree","Disagree"))</x:f>
      </x:c>
      <x:c r="I502" s="31"/>
      <x:c r="J502" s="31" t="str">
        <x:v>No</x:v>
      </x:c>
      <x:c r="K502" s="31" t="str"/>
      <x:c r="L502" s="31" t="str"/>
      <x:c r="M502" s="31" t="str"/>
      <x:c r="N502" s="31" t="str"/>
    </x:row>
    <x:row r="503" ht="42" customHeight="1">
      <x:c r="A503" s="35" t="n">
        <x:v>501</x:v>
      </x:c>
      <x:c r="B503" s="31" t="str">
        <x:f>IF('Execution Checklist'!Q503="","",'Execution Checklist'!Q503)</x:f>
      </x:c>
      <x:c r="C503" s="31" t="str">
        <x:v>Place the red block to the right of the green pen.</x:v>
      </x:c>
      <x:c r="D503" s="31" t="str">
        <x:v>red block → to the right of green pen</x:v>
      </x:c>
      <x:c r="E503" s="31" t="str">
        <x:v>Binary task success; paired with the main matched-control row.</x:v>
      </x:c>
      <x:c r="F503" s="31"/>
      <x:c r="G503" s="31"/>
      <x:c r="H503" s="31" t="str">
        <x:f>IF(OR(F503="",G503=""),"",IF(F503=G503,"Agree","Disagree"))</x:f>
      </x:c>
      <x:c r="I503" s="31"/>
      <x:c r="J503" s="31" t="str">
        <x:v>No</x:v>
      </x:c>
      <x:c r="K503" s="31" t="str"/>
      <x:c r="L503" s="31" t="str"/>
      <x:c r="M503" s="31" t="str"/>
      <x:c r="N503" s="31" t="str"/>
    </x:row>
    <x:row r="504" ht="42" customHeight="1">
      <x:c r="A504" s="35" t="n">
        <x:v>502</x:v>
      </x:c>
      <x:c r="B504" s="31" t="str">
        <x:f>IF('Execution Checklist'!Q504="","",'Execution Checklist'!Q504)</x:f>
      </x:c>
      <x:c r="C504" s="31" t="str">
        <x:v>Place the green pen to the right of the red block.</x:v>
      </x:c>
      <x:c r="D504" s="31" t="str">
        <x:v>No prespecified task success under blank language; record any action/selected target.</x:v>
      </x:c>
      <x:c r="E504" s="31" t="str">
        <x:v>Do not score ordinary task success. Record action occurrence and agreement with the parent correct-prompt rollout.</x:v>
      </x:c>
      <x:c r="F504" s="31"/>
      <x:c r="G504" s="31"/>
      <x:c r="H504" s="31" t="str">
        <x:f>IF(OR(F504="",G504=""),"",IF(F504=G504,"Agree","Disagree"))</x:f>
      </x:c>
      <x:c r="I504" s="31"/>
      <x:c r="J504" s="31" t="str">
        <x:v>No</x:v>
      </x:c>
      <x:c r="K504" s="31" t="str"/>
      <x:c r="L504" s="31" t="str"/>
      <x:c r="M504" s="31" t="str"/>
      <x:c r="N504" s="31" t="str"/>
    </x:row>
    <x:row r="505" ht="42" customHeight="1">
      <x:c r="A505" s="35" t="n">
        <x:v>503</x:v>
      </x:c>
      <x:c r="B505" s="31" t="str">
        <x:f>IF('Execution Checklist'!Q505="","",'Execution Checklist'!Q505)</x:f>
      </x:c>
      <x:c r="C505" s="31" t="str">
        <x:v>Place the red block to the left of the green pen.</x:v>
      </x:c>
      <x:c r="D505" s="31" t="str">
        <x:v>red block → to the left of green pen</x:v>
      </x:c>
      <x:c r="E505" s="31" t="str">
        <x:v>Binary task success; paired with the main matched-control row.</x:v>
      </x:c>
      <x:c r="F505" s="31"/>
      <x:c r="G505" s="31"/>
      <x:c r="H505" s="31" t="str">
        <x:f>IF(OR(F505="",G505=""),"",IF(F505=G505,"Agree","Disagree"))</x:f>
      </x:c>
      <x:c r="I505" s="31"/>
      <x:c r="J505" s="31" t="str">
        <x:v>No</x:v>
      </x:c>
      <x:c r="K505" s="31" t="str"/>
      <x:c r="L505" s="31" t="str"/>
      <x:c r="M505" s="31" t="str"/>
      <x:c r="N505" s="31" t="str"/>
    </x:row>
    <x:row r="506" ht="42" customHeight="1">
      <x:c r="A506" s="35" t="n">
        <x:v>504</x:v>
      </x:c>
      <x:c r="B506" s="31" t="str">
        <x:f>IF('Execution Checklist'!Q506="","",'Execution Checklist'!Q506)</x:f>
      </x:c>
      <x:c r="C506" s="31" t="str">
        <x:v>Place the green pen beside the red block.</x:v>
      </x:c>
      <x:c r="D506" s="31" t="str">
        <x:v>green pen near red block</x:v>
      </x:c>
      <x:c r="E506" s="31" t="str">
        <x:v>Binary task success; paired with the main transfer row.</x:v>
      </x:c>
      <x:c r="F506" s="31"/>
      <x:c r="G506" s="31"/>
      <x:c r="H506" s="31" t="str">
        <x:f>IF(OR(F506="",G506=""),"",IF(F506=G506,"Agree","Disagree"))</x:f>
      </x:c>
      <x:c r="I506" s="31"/>
      <x:c r="J506" s="31" t="str">
        <x:v>No</x:v>
      </x:c>
      <x:c r="K506" s="31" t="str"/>
      <x:c r="L506" s="31" t="str"/>
      <x:c r="M506" s="31" t="str"/>
      <x:c r="N506" s="31" t="str"/>
    </x:row>
    <x:row r="507" ht="42" customHeight="1">
      <x:c r="A507" s="35" t="n">
        <x:v>505</x:v>
      </x:c>
      <x:c r="B507" s="31" t="str">
        <x:f>IF('Execution Checklist'!Q507="","",'Execution Checklist'!Q507)</x:f>
      </x:c>
      <x:c r="C507" s="31" t="str">
        <x:v>Place the red block beside the green pen.</x:v>
      </x:c>
      <x:c r="D507" s="31" t="str">
        <x:v>red block near green pen</x:v>
      </x:c>
      <x:c r="E507" s="31" t="str">
        <x:v>Binary task success; paired with the main transfer row.</x:v>
      </x:c>
      <x:c r="F507" s="31"/>
      <x:c r="G507" s="31"/>
      <x:c r="H507" s="31" t="str">
        <x:f>IF(OR(F507="",G507=""),"",IF(F507=G507,"Agree","Disagree"))</x:f>
      </x:c>
      <x:c r="I507" s="31"/>
      <x:c r="J507" s="31" t="str">
        <x:v>No</x:v>
      </x:c>
      <x:c r="K507" s="31" t="str"/>
      <x:c r="L507" s="31" t="str"/>
      <x:c r="M507" s="31" t="str"/>
      <x:c r="N507" s="31" t="str"/>
    </x:row>
    <x:row r="508" ht="42" customHeight="1">
      <x:c r="A508" s="35" t="n">
        <x:v>506</x:v>
      </x:c>
      <x:c r="B508" s="31" t="str">
        <x:f>IF('Execution Checklist'!Q508="","",'Execution Checklist'!Q508)</x:f>
      </x:c>
      <x:c r="C508" s="31" t="str">
        <x:v>Move the red block to the side of the pink marker facing the robot.</x:v>
      </x:c>
      <x:c r="D508" s="31" t="str">
        <x:v>red block</x:v>
      </x:c>
      <x:c r="E508" s="31" t="str">
        <x:v>Binary task success; compare with the seen-language row sharing Pair ID.</x:v>
      </x:c>
      <x:c r="F508" s="31"/>
      <x:c r="G508" s="31"/>
      <x:c r="H508" s="31" t="str">
        <x:f>IF(OR(F508="",G508=""),"",IF(F508=G508,"Agree","Disagree"))</x:f>
      </x:c>
      <x:c r="I508" s="31"/>
      <x:c r="J508" s="31" t="str">
        <x:v>No</x:v>
      </x:c>
      <x:c r="K508" s="31" t="str"/>
      <x:c r="L508" s="31" t="str"/>
      <x:c r="M508" s="31" t="str"/>
      <x:c r="N508" s="31" t="str"/>
    </x:row>
    <x:row r="509" ht="42" customHeight="1">
      <x:c r="A509" s="35" t="n">
        <x:v>507</x:v>
      </x:c>
      <x:c r="B509" s="31" t="str">
        <x:f>IF('Execution Checklist'!Q509="","",'Execution Checklist'!Q509)</x:f>
      </x:c>
      <x:c r="C509" s="31" t="str">
        <x:v>Place the pink marker in front of the blue block.</x:v>
      </x:c>
      <x:c r="D509" s="31" t="str">
        <x:v>pink marker</x:v>
      </x:c>
      <x:c r="E509" s="31" t="str">
        <x:v>Binary task success using the task-specific rubric.</x:v>
      </x:c>
      <x:c r="F509" s="31"/>
      <x:c r="G509" s="31"/>
      <x:c r="H509" s="31" t="str">
        <x:f>IF(OR(F509="",G509=""),"",IF(F509=G509,"Agree","Disagree"))</x:f>
      </x:c>
      <x:c r="I509" s="31"/>
      <x:c r="J509" s="31" t="str">
        <x:v>No</x:v>
      </x:c>
      <x:c r="K509" s="31" t="str"/>
      <x:c r="L509" s="31" t="str"/>
      <x:c r="M509" s="31" t="str"/>
      <x:c r="N509" s="31" t="str"/>
    </x:row>
    <x:row r="510" ht="42" customHeight="1">
      <x:c r="A510" s="35" t="n">
        <x:v>508</x:v>
      </x:c>
      <x:c r="B510" s="31" t="str">
        <x:f>IF('Execution Checklist'!Q510="","",'Execution Checklist'!Q510)</x:f>
      </x:c>
      <x:c r="C510" s="31" t="str">
        <x:v>Place the green pen behind the pink marker.</x:v>
      </x:c>
      <x:c r="D510" s="31" t="str">
        <x:v>green pen</x:v>
      </x:c>
      <x:c r="E510" s="31" t="str">
        <x:v>Binary task success using the task-specific rubric.</x:v>
      </x:c>
      <x:c r="F510" s="31"/>
      <x:c r="G510" s="31"/>
      <x:c r="H510" s="31" t="str">
        <x:f>IF(OR(F510="",G510=""),"",IF(F510=G510,"Agree","Disagree"))</x:f>
      </x:c>
      <x:c r="I510" s="31"/>
      <x:c r="J510" s="31" t="str">
        <x:v>No</x:v>
      </x:c>
      <x:c r="K510" s="31" t="str"/>
      <x:c r="L510" s="31" t="str"/>
      <x:c r="M510" s="31" t="str"/>
      <x:c r="N510" s="31" t="str"/>
    </x:row>
    <x:row r="511" ht="42" customHeight="1">
      <x:c r="A511" s="35" t="n">
        <x:v>509</x:v>
      </x:c>
      <x:c r="B511" s="31" t="str">
        <x:f>IF('Execution Checklist'!Q511="","",'Execution Checklist'!Q511)</x:f>
      </x:c>
      <x:c r="C511" s="31" t="str">
        <x:v>Place the red block to the right of the green pen.</x:v>
      </x:c>
      <x:c r="D511" s="31" t="str">
        <x:v>red block → to the right of green pen</x:v>
      </x:c>
      <x:c r="E511" s="31" t="str">
        <x:v>Binary task success; paired with the main matched-control row.</x:v>
      </x:c>
      <x:c r="F511" s="31"/>
      <x:c r="G511" s="31"/>
      <x:c r="H511" s="31" t="str">
        <x:f>IF(OR(F511="",G511=""),"",IF(F511=G511,"Agree","Disagree"))</x:f>
      </x:c>
      <x:c r="I511" s="31"/>
      <x:c r="J511" s="31" t="str">
        <x:v>No</x:v>
      </x:c>
      <x:c r="K511" s="31" t="str"/>
      <x:c r="L511" s="31" t="str"/>
      <x:c r="M511" s="31" t="str"/>
      <x:c r="N511" s="31" t="str"/>
    </x:row>
    <x:row r="512" ht="42" customHeight="1">
      <x:c r="A512" s="35" t="n">
        <x:v>510</x:v>
      </x:c>
      <x:c r="B512" s="31" t="str">
        <x:f>IF('Execution Checklist'!Q512="","",'Execution Checklist'!Q512)</x:f>
      </x:c>
      <x:c r="C512" s="31" t="str">
        <x:v>Move the red block to the side of the pink marker facing the robot.</x:v>
      </x:c>
      <x:c r="D512" s="31" t="str">
        <x:v>red block</x:v>
      </x:c>
      <x:c r="E512" s="31" t="str">
        <x:v>Binary task success; compare with the seen-language row sharing Pair ID.</x:v>
      </x:c>
      <x:c r="F512" s="31"/>
      <x:c r="G512" s="31"/>
      <x:c r="H512" s="31" t="str">
        <x:f>IF(OR(F512="",G512=""),"",IF(F512=G512,"Agree","Disagree"))</x:f>
      </x:c>
      <x:c r="I512" s="31"/>
      <x:c r="J512" s="31" t="str">
        <x:v>No</x:v>
      </x:c>
      <x:c r="K512" s="31" t="str"/>
      <x:c r="L512" s="31" t="str"/>
      <x:c r="M512" s="31" t="str"/>
      <x:c r="N512" s="31" t="str"/>
    </x:row>
    <x:row r="513" ht="42" customHeight="1">
      <x:c r="A513" s="35" t="n">
        <x:v>511</x:v>
      </x:c>
      <x:c r="B513" s="31" t="str">
        <x:f>IF('Execution Checklist'!Q513="","",'Execution Checklist'!Q513)</x:f>
      </x:c>
      <x:c r="C513" s="31" t="str">
        <x:v>Place the red block to the left of the green pen.</x:v>
      </x:c>
      <x:c r="D513" s="31" t="str">
        <x:v>red block → to the left of green pen</x:v>
      </x:c>
      <x:c r="E513" s="31" t="str">
        <x:v>Binary task success; paired with the main matched-control row.</x:v>
      </x:c>
      <x:c r="F513" s="31"/>
      <x:c r="G513" s="31"/>
      <x:c r="H513" s="31" t="str">
        <x:f>IF(OR(F513="",G513=""),"",IF(F513=G513,"Agree","Disagree"))</x:f>
      </x:c>
      <x:c r="I513" s="31"/>
      <x:c r="J513" s="31" t="str">
        <x:v>No</x:v>
      </x:c>
      <x:c r="K513" s="31" t="str"/>
      <x:c r="L513" s="31" t="str"/>
      <x:c r="M513" s="31" t="str"/>
      <x:c r="N513" s="31" t="str"/>
    </x:row>
    <x:row r="514" ht="42" customHeight="1">
      <x:c r="A514" s="35" t="n">
        <x:v>512</x:v>
      </x:c>
      <x:c r="B514" s="31" t="str">
        <x:f>IF('Execution Checklist'!Q514="","",'Execution Checklist'!Q514)</x:f>
      </x:c>
      <x:c r="C514" s="31" t="str">
        <x:v>Place the blue block behind the green pen.</x:v>
      </x:c>
      <x:c r="D514" s="31" t="str">
        <x:v>blue block</x:v>
      </x:c>
      <x:c r="E514" s="31" t="str">
        <x:v>Binary task success using the task-specific rubric.</x:v>
      </x:c>
      <x:c r="F514" s="31"/>
      <x:c r="G514" s="31"/>
      <x:c r="H514" s="31" t="str">
        <x:f>IF(OR(F514="",G514=""),"",IF(F514=G514,"Agree","Disagree"))</x:f>
      </x:c>
      <x:c r="I514" s="31"/>
      <x:c r="J514" s="31" t="str">
        <x:v>No</x:v>
      </x:c>
      <x:c r="K514" s="31" t="str"/>
      <x:c r="L514" s="31" t="str"/>
      <x:c r="M514" s="31" t="str"/>
      <x:c r="N514" s="31" t="str"/>
    </x:row>
    <x:row r="515" ht="42" customHeight="1">
      <x:c r="A515" s="35" t="n">
        <x:v>513</x:v>
      </x:c>
      <x:c r="B515" s="31" t="str">
        <x:f>IF('Execution Checklist'!Q515="","",'Execution Checklist'!Q515)</x:f>
      </x:c>
      <x:c r="C515" s="31" t="str">
        <x:v>Place the green pen beside the red block.</x:v>
      </x:c>
      <x:c r="D515" s="31" t="str">
        <x:v>green pen near red block</x:v>
      </x:c>
      <x:c r="E515" s="31" t="str">
        <x:v>Binary task success; paired with the main transfer row.</x:v>
      </x:c>
      <x:c r="F515" s="31"/>
      <x:c r="G515" s="31"/>
      <x:c r="H515" s="31" t="str">
        <x:f>IF(OR(F515="",G515=""),"",IF(F515=G515,"Agree","Disagree"))</x:f>
      </x:c>
      <x:c r="I515" s="31"/>
      <x:c r="J515" s="31" t="str">
        <x:v>No</x:v>
      </x:c>
      <x:c r="K515" s="31" t="str"/>
      <x:c r="L515" s="31" t="str"/>
      <x:c r="M515" s="31" t="str"/>
      <x:c r="N515" s="31" t="str"/>
    </x:row>
    <x:row r="516" ht="42" customHeight="1">
      <x:c r="A516" s="35" t="n">
        <x:v>514</x:v>
      </x:c>
      <x:c r="B516" s="31" t="str">
        <x:f>IF('Execution Checklist'!Q516="","",'Execution Checklist'!Q516)</x:f>
      </x:c>
      <x:c r="C516" s="31" t="str">
        <x:v>Place the red block behind the green pen.</x:v>
      </x:c>
      <x:c r="D516" s="31" t="str">
        <x:v>red block → behind green pen</x:v>
      </x:c>
      <x:c r="E516" s="31" t="str">
        <x:v>Binary task success; paired with the main matched-control row.</x:v>
      </x:c>
      <x:c r="F516" s="31"/>
      <x:c r="G516" s="31"/>
      <x:c r="H516" s="31" t="str">
        <x:f>IF(OR(F516="",G516=""),"",IF(F516=G516,"Agree","Disagree"))</x:f>
      </x:c>
      <x:c r="I516" s="31"/>
      <x:c r="J516" s="31" t="str">
        <x:v>No</x:v>
      </x:c>
      <x:c r="K516" s="31" t="str"/>
      <x:c r="L516" s="31" t="str"/>
      <x:c r="M516" s="31" t="str"/>
      <x:c r="N516" s="31" t="str"/>
    </x:row>
    <x:row r="517" ht="42" customHeight="1">
      <x:c r="A517" s="35" t="n">
        <x:v>515</x:v>
      </x:c>
      <x:c r="B517" s="31" t="str">
        <x:f>IF('Execution Checklist'!Q517="","",'Execution Checklist'!Q517)</x:f>
      </x:c>
      <x:c r="C517" s="31" t="str">
        <x:v>Place the green pen to the right of the pink marker.</x:v>
      </x:c>
      <x:c r="D517" s="31" t="str">
        <x:v>green pen</x:v>
      </x:c>
      <x:c r="E517" s="31" t="str">
        <x:v>Binary task success using the task-specific rubric.</x:v>
      </x:c>
      <x:c r="F517" s="31"/>
      <x:c r="G517" s="31"/>
      <x:c r="H517" s="31" t="str">
        <x:f>IF(OR(F517="",G517=""),"",IF(F517=G517,"Agree","Disagree"))</x:f>
      </x:c>
      <x:c r="I517" s="31"/>
      <x:c r="J517" s="31" t="str">
        <x:v>No</x:v>
      </x:c>
      <x:c r="K517" s="31" t="str"/>
      <x:c r="L517" s="31" t="str"/>
      <x:c r="M517" s="31" t="str"/>
      <x:c r="N517" s="31" t="str"/>
    </x:row>
    <x:row r="518" ht="42" customHeight="1">
      <x:c r="A518" s="35" t="n">
        <x:v>516</x:v>
      </x:c>
      <x:c r="B518" s="31" t="str">
        <x:f>IF('Execution Checklist'!Q518="","",'Execution Checklist'!Q518)</x:f>
      </x:c>
      <x:c r="C518" s="31" t="str">
        <x:v>Place the red block beside the green pen.</x:v>
      </x:c>
      <x:c r="D518" s="31" t="str">
        <x:v>red block near green pen</x:v>
      </x:c>
      <x:c r="E518" s="31" t="str">
        <x:v>Binary task success; paired with the main transfer row.</x:v>
      </x:c>
      <x:c r="F518" s="31"/>
      <x:c r="G518" s="31"/>
      <x:c r="H518" s="31" t="str">
        <x:f>IF(OR(F518="",G518=""),"",IF(F518=G518,"Agree","Disagree"))</x:f>
      </x:c>
      <x:c r="I518" s="31"/>
      <x:c r="J518" s="31" t="str">
        <x:v>No</x:v>
      </x:c>
      <x:c r="K518" s="31" t="str"/>
      <x:c r="L518" s="31" t="str"/>
      <x:c r="M518" s="31" t="str"/>
      <x:c r="N518" s="31" t="str"/>
    </x:row>
    <x:row r="519" ht="42" customHeight="1">
      <x:c r="A519" s="35" t="n">
        <x:v>517</x:v>
      </x:c>
      <x:c r="B519" s="31" t="str">
        <x:f>IF('Execution Checklist'!Q519="","",'Execution Checklist'!Q519)</x:f>
      </x:c>
      <x:c r="C519" s="31" t="str">
        <x:v>Place the red block in front of the green pen.</x:v>
      </x:c>
      <x:c r="D519" s="31" t="str">
        <x:v>red block → in front of green pen</x:v>
      </x:c>
      <x:c r="E519" s="31" t="str">
        <x:v>Binary task success; paired with the main matched-control row.</x:v>
      </x:c>
      <x:c r="F519" s="31"/>
      <x:c r="G519" s="31"/>
      <x:c r="H519" s="31" t="str">
        <x:f>IF(OR(F519="",G519=""),"",IF(F519=G519,"Agree","Disagree"))</x:f>
      </x:c>
      <x:c r="I519" s="31"/>
      <x:c r="J519" s="31" t="str">
        <x:v>No</x:v>
      </x:c>
      <x:c r="K519" s="31" t="str"/>
      <x:c r="L519" s="31" t="str"/>
      <x:c r="M519" s="31" t="str"/>
      <x:c r="N519" s="31" t="str"/>
    </x:row>
    <x:row r="520" ht="42" customHeight="1">
      <x:c r="A520" s="35" t="n">
        <x:v>518</x:v>
      </x:c>
      <x:c r="B520" s="31" t="str">
        <x:f>IF('Execution Checklist'!Q520="","",'Execution Checklist'!Q520)</x:f>
      </x:c>
      <x:c r="C520" s="31" t="str">
        <x:v>Place the green pen to the left of the red block.</x:v>
      </x:c>
      <x:c r="D520" s="31" t="str">
        <x:v>No prespecified task success under blank language; record any action/selected target.</x:v>
      </x:c>
      <x:c r="E520" s="31" t="str">
        <x:v>Do not score ordinary task success. Record action occurrence and agreement with the parent correct-prompt rollout.</x:v>
      </x:c>
      <x:c r="F520" s="31"/>
      <x:c r="G520" s="31"/>
      <x:c r="H520" s="31" t="str">
        <x:f>IF(OR(F520="",G520=""),"",IF(F520=G520,"Agree","Disagree"))</x:f>
      </x:c>
      <x:c r="I520" s="31"/>
      <x:c r="J520" s="31" t="str">
        <x:v>No</x:v>
      </x:c>
      <x:c r="K520" s="31" t="str"/>
      <x:c r="L520" s="31" t="str"/>
      <x:c r="M520" s="31" t="str"/>
      <x:c r="N520" s="31" t="str"/>
    </x:row>
    <x:row r="521" ht="42" customHeight="1">
      <x:c r="A521" s="35" t="n">
        <x:v>519</x:v>
      </x:c>
      <x:c r="B521" s="31" t="str">
        <x:f>IF('Execution Checklist'!Q521="","",'Execution Checklist'!Q521)</x:f>
      </x:c>
      <x:c r="C521" s="31" t="str">
        <x:v>Place the green pen to the right of the red block.</x:v>
      </x:c>
      <x:c r="D521" s="31" t="str">
        <x:v>green pen → to the right of red block</x:v>
      </x:c>
      <x:c r="E521" s="31" t="str">
        <x:v>Binary success for the counterfactual instruction and paired action-switch analysis versus the parent.</x:v>
      </x:c>
      <x:c r="F521" s="31"/>
      <x:c r="G521" s="31"/>
      <x:c r="H521" s="31" t="str">
        <x:f>IF(OR(F521="",G521=""),"",IF(F521=G521,"Agree","Disagree"))</x:f>
      </x:c>
      <x:c r="I521" s="31"/>
      <x:c r="J521" s="31" t="str">
        <x:v>No</x:v>
      </x:c>
      <x:c r="K521" s="31" t="str"/>
      <x:c r="L521" s="31" t="str"/>
      <x:c r="M521" s="31" t="str"/>
      <x:c r="N521" s="31" t="str"/>
    </x:row>
    <x:row r="522" ht="42" customHeight="1">
      <x:c r="A522" s="35" t="n">
        <x:v>520</x:v>
      </x:c>
      <x:c r="B522" s="31" t="str">
        <x:f>IF('Execution Checklist'!Q522="","",'Execution Checklist'!Q522)</x:f>
      </x:c>
      <x:c r="C522" s="31" t="str">
        <x:v>Place the green pen in front of the red block.</x:v>
      </x:c>
      <x:c r="D522" s="31" t="str">
        <x:v>green pen → in front of red block</x:v>
      </x:c>
      <x:c r="E522" s="31" t="str">
        <x:v>Binary task success; paired with the main matched-control row.</x:v>
      </x:c>
      <x:c r="F522" s="31"/>
      <x:c r="G522" s="31"/>
      <x:c r="H522" s="31" t="str">
        <x:f>IF(OR(F522="",G522=""),"",IF(F522=G522,"Agree","Disagree"))</x:f>
      </x:c>
      <x:c r="I522" s="31"/>
      <x:c r="J522" s="31" t="str">
        <x:v>No</x:v>
      </x:c>
      <x:c r="K522" s="31" t="str"/>
      <x:c r="L522" s="31" t="str"/>
      <x:c r="M522" s="31" t="str"/>
      <x:c r="N522" s="31" t="str"/>
    </x:row>
    <x:row r="523" ht="42" customHeight="1">
      <x:c r="A523" s="35" t="n">
        <x:v>521</x:v>
      </x:c>
      <x:c r="B523" s="31" t="str">
        <x:f>IF('Execution Checklist'!Q523="","",'Execution Checklist'!Q523)</x:f>
      </x:c>
      <x:c r="C523" s="31" t="str">
        <x:v>Place the green pen in front of the red block.</x:v>
      </x:c>
      <x:c r="D523" s="31" t="str">
        <x:v>No prespecified task success under blank language; record any action/selected target.</x:v>
      </x:c>
      <x:c r="E523" s="31" t="str">
        <x:v>Do not score ordinary task success. Record action occurrence and agreement with the parent correct-prompt rollout.</x:v>
      </x:c>
      <x:c r="F523" s="31"/>
      <x:c r="G523" s="31"/>
      <x:c r="H523" s="31" t="str">
        <x:f>IF(OR(F523="",G523=""),"",IF(F523=G523,"Agree","Disagree"))</x:f>
      </x:c>
      <x:c r="I523" s="31"/>
      <x:c r="J523" s="31" t="str">
        <x:v>No</x:v>
      </x:c>
      <x:c r="K523" s="31" t="str"/>
      <x:c r="L523" s="31" t="str"/>
      <x:c r="M523" s="31" t="str"/>
      <x:c r="N523" s="31" t="str"/>
    </x:row>
    <x:row r="524" ht="42" customHeight="1">
      <x:c r="A524" s="35" t="n">
        <x:v>522</x:v>
      </x:c>
      <x:c r="B524" s="31" t="str">
        <x:f>IF('Execution Checklist'!Q524="","",'Execution Checklist'!Q524)</x:f>
      </x:c>
      <x:c r="C524" s="31" t="str">
        <x:v>Place the green pen to the left of the red block.</x:v>
      </x:c>
      <x:c r="D524" s="31" t="str">
        <x:v>green pen → to the left of red block</x:v>
      </x:c>
      <x:c r="E524" s="31" t="str">
        <x:v>Binary task success; paired with the main matched-control row.</x:v>
      </x:c>
      <x:c r="F524" s="31"/>
      <x:c r="G524" s="31"/>
      <x:c r="H524" s="31" t="str">
        <x:f>IF(OR(F524="",G524=""),"",IF(F524=G524,"Agree","Disagree"))</x:f>
      </x:c>
      <x:c r="I524" s="31"/>
      <x:c r="J524" s="31" t="str">
        <x:v>No</x:v>
      </x:c>
      <x:c r="K524" s="31" t="str"/>
      <x:c r="L524" s="31" t="str"/>
      <x:c r="M524" s="31" t="str"/>
      <x:c r="N524" s="31" t="str"/>
    </x:row>
    <x:row r="525" ht="42" customHeight="1">
      <x:c r="A525" s="35" t="n">
        <x:v>523</x:v>
      </x:c>
      <x:c r="B525" s="31" t="str">
        <x:f>IF('Execution Checklist'!Q525="","",'Execution Checklist'!Q525)</x:f>
      </x:c>
      <x:c r="C525" s="31" t="str">
        <x:v>Move the red block to the side of the pink marker facing the robot.</x:v>
      </x:c>
      <x:c r="D525" s="31" t="str">
        <x:v>red block</x:v>
      </x:c>
      <x:c r="E525" s="31" t="str">
        <x:v>Binary task success; compare with the seen-language row sharing Pair ID.</x:v>
      </x:c>
      <x:c r="F525" s="31"/>
      <x:c r="G525" s="31"/>
      <x:c r="H525" s="31" t="str">
        <x:f>IF(OR(F525="",G525=""),"",IF(F525=G525,"Agree","Disagree"))</x:f>
      </x:c>
      <x:c r="I525" s="31"/>
      <x:c r="J525" s="31" t="str">
        <x:v>No</x:v>
      </x:c>
      <x:c r="K525" s="31" t="str"/>
      <x:c r="L525" s="31" t="str"/>
      <x:c r="M525" s="31" t="str"/>
      <x:c r="N525" s="31" t="str"/>
    </x:row>
    <x:row r="526" ht="42" customHeight="1">
      <x:c r="A526" s="35" t="n">
        <x:v>524</x:v>
      </x:c>
      <x:c r="B526" s="31" t="str">
        <x:f>IF('Execution Checklist'!Q526="","",'Execution Checklist'!Q526)</x:f>
      </x:c>
      <x:c r="C526" s="31" t="str">
        <x:v>Place the red block near the green pen.</x:v>
      </x:c>
      <x:c r="D526" s="31" t="str">
        <x:v>red block near green pen</x:v>
      </x:c>
      <x:c r="E526" s="31" t="str">
        <x:v>Binary task success; paired with the main transfer row.</x:v>
      </x:c>
      <x:c r="F526" s="31"/>
      <x:c r="G526" s="31"/>
      <x:c r="H526" s="31" t="str">
        <x:f>IF(OR(F526="",G526=""),"",IF(F526=G526,"Agree","Disagree"))</x:f>
      </x:c>
      <x:c r="I526" s="31"/>
      <x:c r="J526" s="31" t="str">
        <x:v>No</x:v>
      </x:c>
      <x:c r="K526" s="31" t="str"/>
      <x:c r="L526" s="31" t="str"/>
      <x:c r="M526" s="31" t="str"/>
      <x:c r="N526" s="31" t="str"/>
    </x:row>
    <x:row r="527" ht="42" customHeight="1">
      <x:c r="A527" s="35" t="n">
        <x:v>525</x:v>
      </x:c>
      <x:c r="B527" s="31" t="str">
        <x:f>IF('Execution Checklist'!Q527="","",'Execution Checklist'!Q527)</x:f>
      </x:c>
      <x:c r="C527" s="31" t="str">
        <x:v>Move the red block to the side of the pink marker facing the robot.</x:v>
      </x:c>
      <x:c r="D527" s="31" t="str">
        <x:v>red block</x:v>
      </x:c>
      <x:c r="E527" s="31" t="str">
        <x:v>Binary task success; compare with the seen-language row sharing Pair ID.</x:v>
      </x:c>
      <x:c r="F527" s="31"/>
      <x:c r="G527" s="31"/>
      <x:c r="H527" s="31" t="str">
        <x:f>IF(OR(F527="",G527=""),"",IF(F527=G527,"Agree","Disagree"))</x:f>
      </x:c>
      <x:c r="I527" s="31"/>
      <x:c r="J527" s="31" t="str">
        <x:v>No</x:v>
      </x:c>
      <x:c r="K527" s="31" t="str"/>
      <x:c r="L527" s="31" t="str"/>
      <x:c r="M527" s="31" t="str"/>
      <x:c r="N527" s="31" t="str"/>
    </x:row>
    <x:row r="528" ht="42" customHeight="1">
      <x:c r="A528" s="35" t="n">
        <x:v>526</x:v>
      </x:c>
      <x:c r="B528" s="31" t="str">
        <x:f>IF('Execution Checklist'!Q528="","",'Execution Checklist'!Q528)</x:f>
      </x:c>
      <x:c r="C528" s="31" t="str">
        <x:v>Place the red block next to the green pen.</x:v>
      </x:c>
      <x:c r="D528" s="31" t="str">
        <x:v>red block near green pen</x:v>
      </x:c>
      <x:c r="E528" s="31" t="str">
        <x:v>Binary task success; paired with the main transfer row.</x:v>
      </x:c>
      <x:c r="F528" s="31"/>
      <x:c r="G528" s="31"/>
      <x:c r="H528" s="31" t="str">
        <x:f>IF(OR(F528="",G528=""),"",IF(F528=G528,"Agree","Disagree"))</x:f>
      </x:c>
      <x:c r="I528" s="31"/>
      <x:c r="J528" s="31" t="str">
        <x:v>No</x:v>
      </x:c>
      <x:c r="K528" s="31" t="str"/>
      <x:c r="L528" s="31" t="str"/>
      <x:c r="M528" s="31" t="str"/>
      <x:c r="N528" s="31" t="str"/>
    </x:row>
    <x:row r="529" ht="42" customHeight="1">
      <x:c r="A529" s="35" t="n">
        <x:v>527</x:v>
      </x:c>
      <x:c r="B529" s="31" t="str">
        <x:f>IF('Execution Checklist'!Q529="","",'Execution Checklist'!Q529)</x:f>
      </x:c>
      <x:c r="C529" s="31" t="str">
        <x:v>Move the green pen to the front of the pink marker.</x:v>
      </x:c>
      <x:c r="D529" s="31" t="str">
        <x:v>green pen</x:v>
      </x:c>
      <x:c r="E529" s="31" t="str">
        <x:v>Binary task success using the task-specific rubric.</x:v>
      </x:c>
      <x:c r="F529" s="31"/>
      <x:c r="G529" s="31"/>
      <x:c r="H529" s="31" t="str">
        <x:f>IF(OR(F529="",G529=""),"",IF(F529=G529,"Agree","Disagree"))</x:f>
      </x:c>
      <x:c r="I529" s="31"/>
      <x:c r="J529" s="31" t="str">
        <x:v>No</x:v>
      </x:c>
      <x:c r="K529" s="31" t="str"/>
      <x:c r="L529" s="31" t="str"/>
      <x:c r="M529" s="31" t="str"/>
      <x:c r="N529" s="31" t="str"/>
    </x:row>
    <x:row r="530" ht="42" customHeight="1">
      <x:c r="A530" s="35" t="n">
        <x:v>528</x:v>
      </x:c>
      <x:c r="B530" s="31" t="str">
        <x:f>IF('Execution Checklist'!Q530="","",'Execution Checklist'!Q530)</x:f>
      </x:c>
      <x:c r="C530" s="31" t="str">
        <x:v>Place the red block near the green pen.</x:v>
      </x:c>
      <x:c r="D530" s="31" t="str">
        <x:v>red block near green pen</x:v>
      </x:c>
      <x:c r="E530" s="31" t="str">
        <x:v>Binary task success; paired with the main transfer row.</x:v>
      </x:c>
      <x:c r="F530" s="31"/>
      <x:c r="G530" s="31"/>
      <x:c r="H530" s="31" t="str">
        <x:f>IF(OR(F530="",G530=""),"",IF(F530=G530,"Agree","Disagree"))</x:f>
      </x:c>
      <x:c r="I530" s="31"/>
      <x:c r="J530" s="31" t="str">
        <x:v>No</x:v>
      </x:c>
      <x:c r="K530" s="31" t="str"/>
      <x:c r="L530" s="31" t="str"/>
      <x:c r="M530" s="31" t="str"/>
      <x:c r="N530" s="31" t="str"/>
    </x:row>
    <x:row r="531" ht="42" customHeight="1">
      <x:c r="A531" s="35" t="n">
        <x:v>529</x:v>
      </x:c>
      <x:c r="B531" s="31" t="str">
        <x:f>IF('Execution Checklist'!Q531="","",'Execution Checklist'!Q531)</x:f>
      </x:c>
      <x:c r="C531" s="31" t="str">
        <x:v>Place the green pen to the left of the red block.</x:v>
      </x:c>
      <x:c r="D531" s="31" t="str">
        <x:v>green pen → to the left of red block</x:v>
      </x:c>
      <x:c r="E531" s="31" t="str">
        <x:v>Binary success for the counterfactual instruction and paired action-switch analysis versus the parent.</x:v>
      </x:c>
      <x:c r="F531" s="31"/>
      <x:c r="G531" s="31"/>
      <x:c r="H531" s="31" t="str">
        <x:f>IF(OR(F531="",G531=""),"",IF(F531=G531,"Agree","Disagree"))</x:f>
      </x:c>
      <x:c r="I531" s="31"/>
      <x:c r="J531" s="31" t="str">
        <x:v>No</x:v>
      </x:c>
      <x:c r="K531" s="31" t="str"/>
      <x:c r="L531" s="31" t="str"/>
      <x:c r="M531" s="31" t="str"/>
      <x:c r="N531" s="31" t="str"/>
    </x:row>
    <x:row r="532" ht="42" customHeight="1">
      <x:c r="A532" s="35" t="n">
        <x:v>530</x:v>
      </x:c>
      <x:c r="B532" s="31" t="str">
        <x:f>IF('Execution Checklist'!Q532="","",'Execution Checklist'!Q532)</x:f>
      </x:c>
      <x:c r="C532" s="31" t="str">
        <x:v>Place the green pen to the right of the red block.</x:v>
      </x:c>
      <x:c r="D532" s="31" t="str">
        <x:v>green pen → to the right of red block</x:v>
      </x:c>
      <x:c r="E532" s="31" t="str">
        <x:v>Binary task success; paired with the main matched-control row.</x:v>
      </x:c>
      <x:c r="F532" s="31"/>
      <x:c r="G532" s="31"/>
      <x:c r="H532" s="31" t="str">
        <x:f>IF(OR(F532="",G532=""),"",IF(F532=G532,"Agree","Disagree"))</x:f>
      </x:c>
      <x:c r="I532" s="31"/>
      <x:c r="J532" s="31" t="str">
        <x:v>No</x:v>
      </x:c>
      <x:c r="K532" s="31" t="str"/>
      <x:c r="L532" s="31" t="str"/>
      <x:c r="M532" s="31" t="str"/>
      <x:c r="N532" s="31" t="str"/>
    </x:row>
    <x:row r="533" ht="42" customHeight="1">
      <x:c r="A533" s="35" t="n">
        <x:v>531</x:v>
      </x:c>
      <x:c r="B533" s="31" t="str">
        <x:f>IF('Execution Checklist'!Q533="","",'Execution Checklist'!Q533)</x:f>
      </x:c>
      <x:c r="C533" s="31" t="str">
        <x:v>Place the red block next to the green pen.</x:v>
      </x:c>
      <x:c r="D533" s="31" t="str">
        <x:v>red block near green pen</x:v>
      </x:c>
      <x:c r="E533" s="31" t="str">
        <x:v>Binary task success; paired with the main transfer row.</x:v>
      </x:c>
      <x:c r="F533" s="31"/>
      <x:c r="G533" s="31"/>
      <x:c r="H533" s="31" t="str">
        <x:f>IF(OR(F533="",G533=""),"",IF(F533=G533,"Agree","Disagree"))</x:f>
      </x:c>
      <x:c r="I533" s="31"/>
      <x:c r="J533" s="31" t="str">
        <x:v>No</x:v>
      </x:c>
      <x:c r="K533" s="31" t="str"/>
      <x:c r="L533" s="31" t="str"/>
      <x:c r="M533" s="31" t="str"/>
      <x:c r="N533" s="31" t="str"/>
    </x:row>
    <x:row r="534" ht="42" customHeight="1">
      <x:c r="A534" s="35" t="n">
        <x:v>532</x:v>
      </x:c>
      <x:c r="B534" s="31" t="str">
        <x:f>IF('Execution Checklist'!Q534="","",'Execution Checklist'!Q534)</x:f>
      </x:c>
      <x:c r="C534" s="31" t="str">
        <x:v>Place the green pen in front of the red block.</x:v>
      </x:c>
      <x:c r="D534" s="31" t="str">
        <x:v>green pen → in front of red block</x:v>
      </x:c>
      <x:c r="E534" s="31" t="str">
        <x:v>Binary success for the counterfactual instruction and paired action-switch analysis versus the parent.</x:v>
      </x:c>
      <x:c r="F534" s="31"/>
      <x:c r="G534" s="31"/>
      <x:c r="H534" s="31" t="str">
        <x:f>IF(OR(F534="",G534=""),"",IF(F534=G534,"Agree","Disagree"))</x:f>
      </x:c>
      <x:c r="I534" s="31"/>
      <x:c r="J534" s="31" t="str">
        <x:v>No</x:v>
      </x:c>
      <x:c r="K534" s="31" t="str"/>
      <x:c r="L534" s="31" t="str"/>
      <x:c r="M534" s="31" t="str"/>
      <x:c r="N534" s="31" t="str"/>
    </x:row>
    <x:row r="535" ht="42" customHeight="1">
      <x:c r="A535" s="35" t="n">
        <x:v>533</x:v>
      </x:c>
      <x:c r="B535" s="31" t="str">
        <x:f>IF('Execution Checklist'!Q535="","",'Execution Checklist'!Q535)</x:f>
      </x:c>
      <x:c r="C535" s="31" t="str">
        <x:v>Place the red block behind the green pen.</x:v>
      </x:c>
      <x:c r="D535" s="31" t="str">
        <x:v>red block → behind green pen</x:v>
      </x:c>
      <x:c r="E535" s="31" t="str">
        <x:v>Binary task success; paired with the main matched-control row.</x:v>
      </x:c>
      <x:c r="F535" s="31"/>
      <x:c r="G535" s="31"/>
      <x:c r="H535" s="31" t="str">
        <x:f>IF(OR(F535="",G535=""),"",IF(F535=G535,"Agree","Disagree"))</x:f>
      </x:c>
      <x:c r="I535" s="31"/>
      <x:c r="J535" s="31" t="str">
        <x:v>No</x:v>
      </x:c>
      <x:c r="K535" s="31" t="str"/>
      <x:c r="L535" s="31" t="str"/>
      <x:c r="M535" s="31" t="str"/>
      <x:c r="N535" s="31" t="str"/>
    </x:row>
    <x:row r="536" ht="42" customHeight="1">
      <x:c r="A536" s="35" t="n">
        <x:v>534</x:v>
      </x:c>
      <x:c r="B536" s="31" t="str">
        <x:f>IF('Execution Checklist'!Q536="","",'Execution Checklist'!Q536)</x:f>
      </x:c>
      <x:c r="C536" s="31" t="str">
        <x:v>Place the green pen behind the red block.</x:v>
      </x:c>
      <x:c r="D536" s="31" t="str">
        <x:v>green pen → behind red block</x:v>
      </x:c>
      <x:c r="E536" s="31" t="str">
        <x:v>Binary task success; paired with the main matched-control row.</x:v>
      </x:c>
      <x:c r="F536" s="31"/>
      <x:c r="G536" s="31"/>
      <x:c r="H536" s="31" t="str">
        <x:f>IF(OR(F536="",G536=""),"",IF(F536=G536,"Agree","Disagree"))</x:f>
      </x:c>
      <x:c r="I536" s="31"/>
      <x:c r="J536" s="31" t="str">
        <x:v>No</x:v>
      </x:c>
      <x:c r="K536" s="31" t="str"/>
      <x:c r="L536" s="31" t="str"/>
      <x:c r="M536" s="31" t="str"/>
      <x:c r="N536" s="31" t="str"/>
    </x:row>
    <x:row r="537" ht="42" customHeight="1">
      <x:c r="A537" s="35" t="n">
        <x:v>535</x:v>
      </x:c>
      <x:c r="B537" s="31" t="str">
        <x:f>IF('Execution Checklist'!Q537="","",'Execution Checklist'!Q537)</x:f>
      </x:c>
      <x:c r="C537" s="31" t="str">
        <x:v>Place the green pen behind the red block.</x:v>
      </x:c>
      <x:c r="D537" s="31" t="str">
        <x:v>green pen → behind red block</x:v>
      </x:c>
      <x:c r="E537" s="31" t="str">
        <x:v>Binary task success; paired with the main matched-control row.</x:v>
      </x:c>
      <x:c r="F537" s="31"/>
      <x:c r="G537" s="31"/>
      <x:c r="H537" s="31" t="str">
        <x:f>IF(OR(F537="",G537=""),"",IF(F537=G537,"Agree","Disagree"))</x:f>
      </x:c>
      <x:c r="I537" s="31"/>
      <x:c r="J537" s="31" t="str">
        <x:v>No</x:v>
      </x:c>
      <x:c r="K537" s="31" t="str"/>
      <x:c r="L537" s="31" t="str"/>
      <x:c r="M537" s="31" t="str"/>
      <x:c r="N537" s="31" t="str"/>
    </x:row>
    <x:row r="538" ht="42" customHeight="1">
      <x:c r="A538" s="35" t="n">
        <x:v>536</x:v>
      </x:c>
      <x:c r="B538" s="31" t="str">
        <x:f>IF('Execution Checklist'!Q538="","",'Execution Checklist'!Q538)</x:f>
      </x:c>
      <x:c r="C538" s="31" t="str">
        <x:v>Place the blue block in front of the green pen.</x:v>
      </x:c>
      <x:c r="D538" s="31" t="str">
        <x:v>blue block</x:v>
      </x:c>
      <x:c r="E538" s="31" t="str">
        <x:v>Binary task success using the task-specific rubric.</x:v>
      </x:c>
      <x:c r="F538" s="31"/>
      <x:c r="G538" s="31"/>
      <x:c r="H538" s="31" t="str">
        <x:f>IF(OR(F538="",G538=""),"",IF(F538=G538,"Agree","Disagree"))</x:f>
      </x:c>
      <x:c r="I538" s="31"/>
      <x:c r="J538" s="31" t="str">
        <x:v>No</x:v>
      </x:c>
      <x:c r="K538" s="31" t="str"/>
      <x:c r="L538" s="31" t="str"/>
      <x:c r="M538" s="31" t="str"/>
      <x:c r="N538" s="31" t="str"/>
    </x:row>
    <x:row r="539" ht="42" customHeight="1">
      <x:c r="A539" s="35" t="n">
        <x:v>537</x:v>
      </x:c>
      <x:c r="B539" s="31" t="str">
        <x:f>IF('Execution Checklist'!Q539="","",'Execution Checklist'!Q539)</x:f>
      </x:c>
      <x:c r="C539" s="31" t="str">
        <x:v>Place the green pen to the right of the pink marker.</x:v>
      </x:c>
      <x:c r="D539" s="31" t="str">
        <x:v>green pen</x:v>
      </x:c>
      <x:c r="E539" s="31" t="str">
        <x:v>Binary task success using the task-specific rubric.</x:v>
      </x:c>
      <x:c r="F539" s="31"/>
      <x:c r="G539" s="31"/>
      <x:c r="H539" s="31" t="str">
        <x:f>IF(OR(F539="",G539=""),"",IF(F539=G539,"Agree","Disagree"))</x:f>
      </x:c>
      <x:c r="I539" s="31"/>
      <x:c r="J539" s="31" t="str">
        <x:v>No</x:v>
      </x:c>
      <x:c r="K539" s="31" t="str"/>
      <x:c r="L539" s="31" t="str"/>
      <x:c r="M539" s="31" t="str"/>
      <x:c r="N539" s="31" t="str"/>
    </x:row>
    <x:row r="540" ht="42" customHeight="1">
      <x:c r="A540" s="35" t="n">
        <x:v>538</x:v>
      </x:c>
      <x:c r="B540" s="31" t="str">
        <x:f>IF('Execution Checklist'!Q540="","",'Execution Checklist'!Q540)</x:f>
      </x:c>
      <x:c r="C540" s="31" t="str">
        <x:v>Place the pink marker to the right of the blue block.</x:v>
      </x:c>
      <x:c r="D540" s="31" t="str">
        <x:v>pink marker</x:v>
      </x:c>
      <x:c r="E540" s="31" t="str">
        <x:v>Binary task success using the task-specific rubric.</x:v>
      </x:c>
      <x:c r="F540" s="31"/>
      <x:c r="G540" s="31"/>
      <x:c r="H540" s="31" t="str">
        <x:f>IF(OR(F540="",G540=""),"",IF(F540=G540,"Agree","Disagree"))</x:f>
      </x:c>
      <x:c r="I540" s="31"/>
      <x:c r="J540" s="31" t="str">
        <x:v>No</x:v>
      </x:c>
      <x:c r="K540" s="31" t="str"/>
      <x:c r="L540" s="31" t="str"/>
      <x:c r="M540" s="31" t="str"/>
      <x:c r="N540" s="31" t="str"/>
    </x:row>
    <x:row r="541" ht="42" customHeight="1">
      <x:c r="A541" s="35" t="n">
        <x:v>539</x:v>
      </x:c>
      <x:c r="B541" s="31" t="str">
        <x:f>IF('Execution Checklist'!Q541="","",'Execution Checklist'!Q541)</x:f>
      </x:c>
      <x:c r="C541" s="31" t="str">
        <x:v>Place the green pen beside the red block.</x:v>
      </x:c>
      <x:c r="D541" s="31" t="str">
        <x:v>green pen near red block</x:v>
      </x:c>
      <x:c r="E541" s="31" t="str">
        <x:v>Binary task success; paired with the main transfer row.</x:v>
      </x:c>
      <x:c r="F541" s="31"/>
      <x:c r="G541" s="31"/>
      <x:c r="H541" s="31" t="str">
        <x:f>IF(OR(F541="",G541=""),"",IF(F541=G541,"Agree","Disagree"))</x:f>
      </x:c>
      <x:c r="I541" s="31"/>
      <x:c r="J541" s="31" t="str">
        <x:v>No</x:v>
      </x:c>
      <x:c r="K541" s="31" t="str"/>
      <x:c r="L541" s="31" t="str"/>
      <x:c r="M541" s="31" t="str"/>
      <x:c r="N541" s="31" t="str"/>
    </x:row>
    <x:row r="542" ht="42" customHeight="1">
      <x:c r="A542" s="35" t="n">
        <x:v>540</x:v>
      </x:c>
      <x:c r="B542" s="31" t="str">
        <x:f>IF('Execution Checklist'!Q542="","",'Execution Checklist'!Q542)</x:f>
      </x:c>
      <x:c r="C542" s="31" t="str">
        <x:v>Place the green pen to the right of the red block.</x:v>
      </x:c>
      <x:c r="D542" s="31" t="str">
        <x:v>green pen → to the right of red block</x:v>
      </x:c>
      <x:c r="E542" s="31" t="str">
        <x:v>Binary task success; paired with the main matched-control row.</x:v>
      </x:c>
      <x:c r="F542" s="31"/>
      <x:c r="G542" s="31"/>
      <x:c r="H542" s="31" t="str">
        <x:f>IF(OR(F542="",G542=""),"",IF(F542=G542,"Agree","Disagree"))</x:f>
      </x:c>
      <x:c r="I542" s="31"/>
      <x:c r="J542" s="31" t="str">
        <x:v>No</x:v>
      </x:c>
      <x:c r="K542" s="31" t="str"/>
      <x:c r="L542" s="31" t="str"/>
      <x:c r="M542" s="31" t="str"/>
      <x:c r="N542" s="31" t="str"/>
    </x:row>
    <x:row r="543" ht="42" customHeight="1">
      <x:c r="A543" s="35" t="n">
        <x:v>541</x:v>
      </x:c>
      <x:c r="B543" s="31" t="str">
        <x:f>IF('Execution Checklist'!Q543="","",'Execution Checklist'!Q543)</x:f>
      </x:c>
      <x:c r="C543" s="31" t="str">
        <x:v>Place the green pen near the red block.</x:v>
      </x:c>
      <x:c r="D543" s="31" t="str">
        <x:v>green pen near red block</x:v>
      </x:c>
      <x:c r="E543" s="31" t="str">
        <x:v>Binary task success; paired with the main transfer row.</x:v>
      </x:c>
      <x:c r="F543" s="31"/>
      <x:c r="G543" s="31"/>
      <x:c r="H543" s="31" t="str">
        <x:f>IF(OR(F543="",G543=""),"",IF(F543=G543,"Agree","Disagree"))</x:f>
      </x:c>
      <x:c r="I543" s="31"/>
      <x:c r="J543" s="31" t="str">
        <x:v>No</x:v>
      </x:c>
      <x:c r="K543" s="31" t="str"/>
      <x:c r="L543" s="31" t="str"/>
      <x:c r="M543" s="31" t="str"/>
      <x:c r="N543" s="31" t="str"/>
    </x:row>
    <x:row r="544" ht="42" customHeight="1">
      <x:c r="A544" s="35" t="n">
        <x:v>542</x:v>
      </x:c>
      <x:c r="B544" s="31" t="str">
        <x:f>IF('Execution Checklist'!Q544="","",'Execution Checklist'!Q544)</x:f>
      </x:c>
      <x:c r="C544" s="31" t="str">
        <x:v>Place the red block near the green pen.</x:v>
      </x:c>
      <x:c r="D544" s="31" t="str">
        <x:v>red block near green pen</x:v>
      </x:c>
      <x:c r="E544" s="31" t="str">
        <x:v>Binary task success; paired with the main transfer row.</x:v>
      </x:c>
      <x:c r="F544" s="31"/>
      <x:c r="G544" s="31"/>
      <x:c r="H544" s="31" t="str">
        <x:f>IF(OR(F544="",G544=""),"",IF(F544=G544,"Agree","Disagree"))</x:f>
      </x:c>
      <x:c r="I544" s="31"/>
      <x:c r="J544" s="31" t="str">
        <x:v>No</x:v>
      </x:c>
      <x:c r="K544" s="31" t="str"/>
      <x:c r="L544" s="31" t="str"/>
      <x:c r="M544" s="31" t="str"/>
      <x:c r="N544" s="31" t="str"/>
    </x:row>
    <x:row r="545" ht="42" customHeight="1">
      <x:c r="A545" s="35" t="n">
        <x:v>543</x:v>
      </x:c>
      <x:c r="B545" s="31" t="str">
        <x:f>IF('Execution Checklist'!Q545="","",'Execution Checklist'!Q545)</x:f>
      </x:c>
      <x:c r="C545" s="31" t="str">
        <x:v>Place the red block in front of the green pen.</x:v>
      </x:c>
      <x:c r="D545" s="31" t="str">
        <x:v>red block → in front of green pen</x:v>
      </x:c>
      <x:c r="E545" s="31" t="str">
        <x:v>Binary task success; paired with the main matched-control row.</x:v>
      </x:c>
      <x:c r="F545" s="31"/>
      <x:c r="G545" s="31"/>
      <x:c r="H545" s="31" t="str">
        <x:f>IF(OR(F545="",G545=""),"",IF(F545=G545,"Agree","Disagree"))</x:f>
      </x:c>
      <x:c r="I545" s="31"/>
      <x:c r="J545" s="31" t="str">
        <x:v>No</x:v>
      </x:c>
      <x:c r="K545" s="31" t="str"/>
      <x:c r="L545" s="31" t="str"/>
      <x:c r="M545" s="31" t="str"/>
      <x:c r="N545" s="31" t="str"/>
    </x:row>
    <x:row r="546" ht="42" customHeight="1">
      <x:c r="A546" s="35" t="n">
        <x:v>544</x:v>
      </x:c>
      <x:c r="B546" s="31" t="str">
        <x:f>IF('Execution Checklist'!Q546="","",'Execution Checklist'!Q546)</x:f>
      </x:c>
      <x:c r="C546" s="31" t="str">
        <x:v>Place the green pen near the red block.</x:v>
      </x:c>
      <x:c r="D546" s="31" t="str">
        <x:v>green pen near red block</x:v>
      </x:c>
      <x:c r="E546" s="31" t="str">
        <x:v>Binary task success; paired with the main transfer row.</x:v>
      </x:c>
      <x:c r="F546" s="31"/>
      <x:c r="G546" s="31"/>
      <x:c r="H546" s="31" t="str">
        <x:f>IF(OR(F546="",G546=""),"",IF(F546=G546,"Agree","Disagree"))</x:f>
      </x:c>
      <x:c r="I546" s="31"/>
      <x:c r="J546" s="31" t="str">
        <x:v>No</x:v>
      </x:c>
      <x:c r="K546" s="31" t="str"/>
      <x:c r="L546" s="31" t="str"/>
      <x:c r="M546" s="31" t="str"/>
      <x:c r="N546" s="31" t="str"/>
    </x:row>
    <x:row r="547" ht="42" customHeight="1">
      <x:c r="A547" s="35" t="n">
        <x:v>545</x:v>
      </x:c>
      <x:c r="B547" s="31" t="str">
        <x:f>IF('Execution Checklist'!Q547="","",'Execution Checklist'!Q547)</x:f>
      </x:c>
      <x:c r="C547" s="31" t="str">
        <x:v>Place the green pen behind the red block.</x:v>
      </x:c>
      <x:c r="D547" s="31" t="str">
        <x:v>No prespecified task success under blank language; record any action/selected target.</x:v>
      </x:c>
      <x:c r="E547" s="31" t="str">
        <x:v>Do not score ordinary task success. Record action occurrence and agreement with the parent correct-prompt rollout.</x:v>
      </x:c>
      <x:c r="F547" s="31"/>
      <x:c r="G547" s="31"/>
      <x:c r="H547" s="31" t="str">
        <x:f>IF(OR(F547="",G547=""),"",IF(F547=G547,"Agree","Disagree"))</x:f>
      </x:c>
      <x:c r="I547" s="31"/>
      <x:c r="J547" s="31" t="str">
        <x:v>No</x:v>
      </x:c>
      <x:c r="K547" s="31" t="str"/>
      <x:c r="L547" s="31" t="str"/>
      <x:c r="M547" s="31" t="str"/>
      <x:c r="N547" s="31" t="str"/>
    </x:row>
    <x:row r="548" ht="42" customHeight="1">
      <x:c r="A548" s="35" t="n">
        <x:v>546</x:v>
      </x:c>
      <x:c r="B548" s="31" t="str">
        <x:f>IF('Execution Checklist'!Q548="","",'Execution Checklist'!Q548)</x:f>
      </x:c>
      <x:c r="C548" s="31" t="str">
        <x:v>Place the red block beside the green pen.</x:v>
      </x:c>
      <x:c r="D548" s="31" t="str">
        <x:v>red block near green pen</x:v>
      </x:c>
      <x:c r="E548" s="31" t="str">
        <x:v>Binary task success; paired with the main transfer row.</x:v>
      </x:c>
      <x:c r="F548" s="31"/>
      <x:c r="G548" s="31"/>
      <x:c r="H548" s="31" t="str">
        <x:f>IF(OR(F548="",G548=""),"",IF(F548=G548,"Agree","Disagree"))</x:f>
      </x:c>
      <x:c r="I548" s="31"/>
      <x:c r="J548" s="31" t="str">
        <x:v>No</x:v>
      </x:c>
      <x:c r="K548" s="31" t="str"/>
      <x:c r="L548" s="31" t="str"/>
      <x:c r="M548" s="31" t="str"/>
      <x:c r="N548" s="31" t="str"/>
    </x:row>
    <x:row r="549" ht="42" customHeight="1">
      <x:c r="A549" s="35" t="n">
        <x:v>547</x:v>
      </x:c>
      <x:c r="B549" s="31" t="str">
        <x:f>IF('Execution Checklist'!Q549="","",'Execution Checklist'!Q549)</x:f>
      </x:c>
      <x:c r="C549" s="31" t="str">
        <x:v>Place the green pen next to the red block.</x:v>
      </x:c>
      <x:c r="D549" s="31" t="str">
        <x:v>green pen near red block</x:v>
      </x:c>
      <x:c r="E549" s="31" t="str">
        <x:v>Binary task success; paired with the main transfer row.</x:v>
      </x:c>
      <x:c r="F549" s="31"/>
      <x:c r="G549" s="31"/>
      <x:c r="H549" s="31" t="str">
        <x:f>IF(OR(F549="",G549=""),"",IF(F549=G549,"Agree","Disagree"))</x:f>
      </x:c>
      <x:c r="I549" s="31"/>
      <x:c r="J549" s="31" t="str">
        <x:v>No</x:v>
      </x:c>
      <x:c r="K549" s="31" t="str"/>
      <x:c r="L549" s="31" t="str"/>
      <x:c r="M549" s="31" t="str"/>
      <x:c r="N549" s="31" t="str"/>
    </x:row>
    <x:row r="550" ht="42" customHeight="1">
      <x:c r="A550" s="35" t="n">
        <x:v>548</x:v>
      </x:c>
      <x:c r="B550" s="31" t="str">
        <x:f>IF('Execution Checklist'!Q550="","",'Execution Checklist'!Q550)</x:f>
      </x:c>
      <x:c r="C550" s="31" t="str">
        <x:v>Place the green pen next to the red block.</x:v>
      </x:c>
      <x:c r="D550" s="31" t="str">
        <x:v>green pen near red block</x:v>
      </x:c>
      <x:c r="E550" s="31" t="str">
        <x:v>Binary task success; paired with the main transfer row.</x:v>
      </x:c>
      <x:c r="F550" s="31"/>
      <x:c r="G550" s="31"/>
      <x:c r="H550" s="31" t="str">
        <x:f>IF(OR(F550="",G550=""),"",IF(F550=G550,"Agree","Disagree"))</x:f>
      </x:c>
      <x:c r="I550" s="31"/>
      <x:c r="J550" s="31" t="str">
        <x:v>No</x:v>
      </x:c>
      <x:c r="K550" s="31" t="str"/>
      <x:c r="L550" s="31" t="str"/>
      <x:c r="M550" s="31" t="str"/>
      <x:c r="N550" s="31" t="str"/>
    </x:row>
    <x:row r="551" ht="42" customHeight="1">
      <x:c r="A551" s="35" t="n">
        <x:v>549</x:v>
      </x:c>
      <x:c r="B551" s="31" t="str">
        <x:f>IF('Execution Checklist'!Q551="","",'Execution Checklist'!Q551)</x:f>
      </x:c>
      <x:c r="C551" s="31" t="str">
        <x:v>Place the green pen behind the pink marker.</x:v>
      </x:c>
      <x:c r="D551" s="31" t="str">
        <x:v>green pen</x:v>
      </x:c>
      <x:c r="E551" s="31" t="str">
        <x:v>Binary task success using the task-specific rubric.</x:v>
      </x:c>
      <x:c r="F551" s="31"/>
      <x:c r="G551" s="31"/>
      <x:c r="H551" s="31" t="str">
        <x:f>IF(OR(F551="",G551=""),"",IF(F551=G551,"Agree","Disagree"))</x:f>
      </x:c>
      <x:c r="I551" s="31"/>
      <x:c r="J551" s="31" t="str">
        <x:v>No</x:v>
      </x:c>
      <x:c r="K551" s="31" t="str"/>
      <x:c r="L551" s="31" t="str"/>
      <x:c r="M551" s="31" t="str"/>
      <x:c r="N551" s="31" t="str"/>
    </x:row>
    <x:row r="552" ht="42" customHeight="1">
      <x:c r="A552" s="35" t="n">
        <x:v>550</x:v>
      </x:c>
      <x:c r="B552" s="31" t="str">
        <x:f>IF('Execution Checklist'!Q552="","",'Execution Checklist'!Q552)</x:f>
      </x:c>
      <x:c r="C552" s="31" t="str">
        <x:v>Place the red block to the left of the blue block.</x:v>
      </x:c>
      <x:c r="D552" s="31" t="str">
        <x:v>red block</x:v>
      </x:c>
      <x:c r="E552" s="31" t="str">
        <x:v>Binary task success using the task-specific rubric.</x:v>
      </x:c>
      <x:c r="F552" s="31"/>
      <x:c r="G552" s="31"/>
      <x:c r="H552" s="31" t="str">
        <x:f>IF(OR(F552="",G552=""),"",IF(F552=G552,"Agree","Disagree"))</x:f>
      </x:c>
      <x:c r="I552" s="31"/>
      <x:c r="J552" s="31" t="str">
        <x:v>No</x:v>
      </x:c>
      <x:c r="K552" s="31" t="str"/>
      <x:c r="L552" s="31" t="str"/>
      <x:c r="M552" s="31" t="str"/>
      <x:c r="N552" s="31" t="str"/>
    </x:row>
    <x:row r="553" ht="42" customHeight="1">
      <x:c r="A553" s="35" t="n">
        <x:v>551</x:v>
      </x:c>
      <x:c r="B553" s="31" t="str">
        <x:f>IF('Execution Checklist'!Q553="","",'Execution Checklist'!Q553)</x:f>
      </x:c>
      <x:c r="C553" s="31" t="str">
        <x:v>Place the green pen behind the red block.</x:v>
      </x:c>
      <x:c r="D553" s="31" t="str">
        <x:v>green pen → behind red block</x:v>
      </x:c>
      <x:c r="E553" s="31" t="str">
        <x:v>Binary success for the counterfactual instruction and paired action-switch analysis versus the parent.</x:v>
      </x:c>
      <x:c r="F553" s="31"/>
      <x:c r="G553" s="31"/>
      <x:c r="H553" s="31" t="str">
        <x:f>IF(OR(F553="",G553=""),"",IF(F553=G553,"Agree","Disagree"))</x:f>
      </x:c>
      <x:c r="I553" s="31"/>
      <x:c r="J553" s="31" t="str">
        <x:v>No</x:v>
      </x:c>
      <x:c r="K553" s="31" t="str"/>
      <x:c r="L553" s="31" t="str"/>
      <x:c r="M553" s="31" t="str"/>
      <x:c r="N553" s="31" t="str"/>
    </x:row>
    <x:row r="554" ht="42" customHeight="1">
      <x:c r="A554" s="35" t="n">
        <x:v>552</x:v>
      </x:c>
      <x:c r="B554" s="31" t="str">
        <x:f>IF('Execution Checklist'!Q554="","",'Execution Checklist'!Q554)</x:f>
      </x:c>
      <x:c r="C554" s="31" t="str">
        <x:v>Place the green pen near the red block.</x:v>
      </x:c>
      <x:c r="D554" s="31" t="str">
        <x:v>green pen near red block</x:v>
      </x:c>
      <x:c r="E554" s="31" t="str">
        <x:v>Binary task success; paired with the main transfer row.</x:v>
      </x:c>
      <x:c r="F554" s="31"/>
      <x:c r="G554" s="31"/>
      <x:c r="H554" s="31" t="str">
        <x:f>IF(OR(F554="",G554=""),"",IF(F554=G554,"Agree","Disagree"))</x:f>
      </x:c>
      <x:c r="I554" s="31"/>
      <x:c r="J554" s="31" t="str">
        <x:v>No</x:v>
      </x:c>
      <x:c r="K554" s="31" t="str"/>
      <x:c r="L554" s="31" t="str"/>
      <x:c r="M554" s="31" t="str"/>
      <x:c r="N554" s="31" t="str"/>
    </x:row>
    <x:row r="555" ht="42" customHeight="1">
      <x:c r="A555" s="35" t="n">
        <x:v>553</x:v>
      </x:c>
      <x:c r="B555" s="31" t="str">
        <x:f>IF('Execution Checklist'!Q555="","",'Execution Checklist'!Q555)</x:f>
      </x:c>
      <x:c r="C555" s="31" t="str">
        <x:v>Move the red block to the side of the pink marker facing the robot.</x:v>
      </x:c>
      <x:c r="D555" s="31" t="str">
        <x:v>red block</x:v>
      </x:c>
      <x:c r="E555" s="31" t="str">
        <x:v>Binary task success; compare with the seen-language row sharing Pair ID.</x:v>
      </x:c>
      <x:c r="F555" s="31"/>
      <x:c r="G555" s="31"/>
      <x:c r="H555" s="31" t="str">
        <x:f>IF(OR(F555="",G555=""),"",IF(F555=G555,"Agree","Disagree"))</x:f>
      </x:c>
      <x:c r="I555" s="31"/>
      <x:c r="J555" s="31" t="str">
        <x:v>No</x:v>
      </x:c>
      <x:c r="K555" s="31" t="str"/>
      <x:c r="L555" s="31" t="str"/>
      <x:c r="M555" s="31" t="str"/>
      <x:c r="N555" s="31" t="str"/>
    </x:row>
    <x:row r="556" ht="42" customHeight="1">
      <x:c r="A556" s="35" t="n">
        <x:v>554</x:v>
      </x:c>
      <x:c r="B556" s="31" t="str">
        <x:f>IF('Execution Checklist'!Q556="","",'Execution Checklist'!Q556)</x:f>
      </x:c>
      <x:c r="C556" s="31" t="str">
        <x:v>Place the red block to the right of the blue block.</x:v>
      </x:c>
      <x:c r="D556" s="31" t="str">
        <x:v>red block</x:v>
      </x:c>
      <x:c r="E556" s="31" t="str">
        <x:v>Binary task success using the task-specific rubric.</x:v>
      </x:c>
      <x:c r="F556" s="31"/>
      <x:c r="G556" s="31"/>
      <x:c r="H556" s="31" t="str">
        <x:f>IF(OR(F556="",G556=""),"",IF(F556=G556,"Agree","Disagree"))</x:f>
      </x:c>
      <x:c r="I556" s="31"/>
      <x:c r="J556" s="31" t="str">
        <x:v>No</x:v>
      </x:c>
      <x:c r="K556" s="31" t="str"/>
      <x:c r="L556" s="31" t="str"/>
      <x:c r="M556" s="31" t="str"/>
      <x:c r="N556" s="31" t="str"/>
    </x:row>
    <x:row r="557" ht="42" customHeight="1">
      <x:c r="A557" s="35" t="n">
        <x:v>555</x:v>
      </x:c>
      <x:c r="B557" s="31" t="str">
        <x:f>IF('Execution Checklist'!Q557="","",'Execution Checklist'!Q557)</x:f>
      </x:c>
      <x:c r="C557" s="31" t="str">
        <x:v>Move the red block to the side of the pink marker facing the robot.</x:v>
      </x:c>
      <x:c r="D557" s="31" t="str">
        <x:v>red block</x:v>
      </x:c>
      <x:c r="E557" s="31" t="str">
        <x:v>Binary task success; compare with the seen-language row sharing Pair ID.</x:v>
      </x:c>
      <x:c r="F557" s="31"/>
      <x:c r="G557" s="31"/>
      <x:c r="H557" s="31" t="str">
        <x:f>IF(OR(F557="",G557=""),"",IF(F557=G557,"Agree","Disagree"))</x:f>
      </x:c>
      <x:c r="I557" s="31"/>
      <x:c r="J557" s="31" t="str">
        <x:v>No</x:v>
      </x:c>
      <x:c r="K557" s="31" t="str"/>
      <x:c r="L557" s="31" t="str"/>
      <x:c r="M557" s="31" t="str"/>
      <x:c r="N557" s="31" t="str"/>
    </x:row>
    <x:row r="558" ht="42" customHeight="1">
      <x:c r="A558" s="35" t="n">
        <x:v>556</x:v>
      </x:c>
      <x:c r="B558" s="31" t="str">
        <x:f>IF('Execution Checklist'!Q558="","",'Execution Checklist'!Q558)</x:f>
      </x:c>
      <x:c r="C558" s="31" t="str">
        <x:v>Place the green pen to the left of the pink marker.</x:v>
      </x:c>
      <x:c r="D558" s="31" t="str">
        <x:v>green pen</x:v>
      </x:c>
      <x:c r="E558" s="31" t="str">
        <x:v>Binary task success using the task-specific rubric.</x:v>
      </x:c>
      <x:c r="F558" s="31"/>
      <x:c r="G558" s="31"/>
      <x:c r="H558" s="31" t="str">
        <x:f>IF(OR(F558="",G558=""),"",IF(F558=G558,"Agree","Disagree"))</x:f>
      </x:c>
      <x:c r="I558" s="31"/>
      <x:c r="J558" s="31" t="str">
        <x:v>No</x:v>
      </x:c>
      <x:c r="K558" s="31" t="str"/>
      <x:c r="L558" s="31" t="str"/>
      <x:c r="M558" s="31" t="str"/>
      <x:c r="N558" s="31" t="str"/>
    </x:row>
    <x:row r="559" ht="42" customHeight="1">
      <x:c r="A559" s="35" t="n">
        <x:v>557</x:v>
      </x:c>
      <x:c r="B559" s="31" t="str">
        <x:f>IF('Execution Checklist'!Q559="","",'Execution Checklist'!Q559)</x:f>
      </x:c>
      <x:c r="C559" s="31" t="str">
        <x:v>Place the green pen in front of the pink marker.</x:v>
      </x:c>
      <x:c r="D559" s="31" t="str">
        <x:v>green pen</x:v>
      </x:c>
      <x:c r="E559" s="31" t="str">
        <x:v>Binary task success using the task-specific rubric.</x:v>
      </x:c>
      <x:c r="F559" s="31"/>
      <x:c r="G559" s="31"/>
      <x:c r="H559" s="31" t="str">
        <x:f>IF(OR(F559="",G559=""),"",IF(F559=G559,"Agree","Disagree"))</x:f>
      </x:c>
      <x:c r="I559" s="31"/>
      <x:c r="J559" s="31" t="str">
        <x:v>No</x:v>
      </x:c>
      <x:c r="K559" s="31" t="str"/>
      <x:c r="L559" s="31" t="str"/>
      <x:c r="M559" s="31" t="str"/>
      <x:c r="N559" s="31" t="str"/>
    </x:row>
    <x:row r="560" ht="42" customHeight="1">
      <x:c r="A560" s="35" t="n">
        <x:v>558</x:v>
      </x:c>
      <x:c r="B560" s="31" t="str">
        <x:f>IF('Execution Checklist'!Q560="","",'Execution Checklist'!Q560)</x:f>
      </x:c>
      <x:c r="C560" s="31" t="str">
        <x:v>Finish with two objects in the bowl.</x:v>
      </x:c>
      <x:c r="D560" s="31" t="str"/>
      <x:c r="E560" s="31" t="str">
        <x:v>Binary task success; compare with the seen-language row sharing Pair ID.</x:v>
      </x:c>
      <x:c r="F560" s="31"/>
      <x:c r="G560" s="31"/>
      <x:c r="H560" s="31" t="str">
        <x:f>IF(OR(F560="",G560=""),"",IF(F560=G560,"Agree","Disagree"))</x:f>
      </x:c>
      <x:c r="I560" s="31"/>
      <x:c r="J560" s="31" t="str">
        <x:v>No</x:v>
      </x:c>
      <x:c r="K560" s="31" t="str"/>
      <x:c r="L560" s="31" t="str"/>
      <x:c r="M560" s="31" t="str"/>
      <x:c r="N560" s="31" t="str"/>
    </x:row>
    <x:row r="561" ht="42" customHeight="1">
      <x:c r="A561" s="35" t="n">
        <x:v>559</x:v>
      </x:c>
      <x:c r="B561" s="31" t="str">
        <x:f>IF('Execution Checklist'!Q561="","",'Execution Checklist'!Q561)</x:f>
      </x:c>
      <x:c r="C561" s="31" t="str">
        <x:v>Adjust the bowl so that it contains two objects.</x:v>
      </x:c>
      <x:c r="D561" s="31" t="str"/>
      <x:c r="E561" s="31" t="str">
        <x:v>Binary task success using the task-specific rubric.</x:v>
      </x:c>
      <x:c r="F561" s="31"/>
      <x:c r="G561" s="31"/>
      <x:c r="H561" s="31" t="str">
        <x:f>IF(OR(F561="",G561=""),"",IF(F561=G561,"Agree","Disagree"))</x:f>
      </x:c>
      <x:c r="I561" s="31"/>
      <x:c r="J561" s="31" t="str">
        <x:v>No</x:v>
      </x:c>
      <x:c r="K561" s="31" t="str"/>
      <x:c r="L561" s="31" t="str"/>
      <x:c r="M561" s="31" t="str"/>
      <x:c r="N561" s="31" t="str"/>
    </x:row>
    <x:row r="562" ht="42" customHeight="1">
      <x:c r="A562" s="35" t="n">
        <x:v>560</x:v>
      </x:c>
      <x:c r="B562" s="31" t="str">
        <x:f>IF('Execution Checklist'!Q562="","",'Execution Checklist'!Q562)</x:f>
      </x:c>
      <x:c r="C562" s="31" t="str">
        <x:v>Put the yellow block in the bowl.</x:v>
      </x:c>
      <x:c r="D562" s="31" t="str">
        <x:v>ADD yellow block</x:v>
      </x:c>
      <x:c r="E562" s="31" t="str">
        <x:v>Binary task success; paired with the main transfer row.</x:v>
      </x:c>
      <x:c r="F562" s="31"/>
      <x:c r="G562" s="31"/>
      <x:c r="H562" s="31" t="str">
        <x:f>IF(OR(F562="",G562=""),"",IF(F562=G562,"Agree","Disagree"))</x:f>
      </x:c>
      <x:c r="I562" s="31"/>
      <x:c r="J562" s="31" t="str">
        <x:v>No</x:v>
      </x:c>
      <x:c r="K562" s="31" t="str"/>
      <x:c r="L562" s="31" t="str"/>
      <x:c r="M562" s="31" t="str"/>
      <x:c r="N562" s="31" t="str"/>
    </x:row>
    <x:row r="563" ht="42" customHeight="1">
      <x:c r="A563" s="35" t="n">
        <x:v>561</x:v>
      </x:c>
      <x:c r="B563" s="31" t="str">
        <x:f>IF('Execution Checklist'!Q563="","",'Execution Checklist'!Q563)</x:f>
      </x:c>
      <x:c r="C563" s="31" t="str">
        <x:v>Adjust the bowl so that it contains two objects.</x:v>
      </x:c>
      <x:c r="D563" s="31" t="str"/>
      <x:c r="E563" s="31" t="str">
        <x:v>Binary task success using the task-specific rubric.</x:v>
      </x:c>
      <x:c r="F563" s="31"/>
      <x:c r="G563" s="31"/>
      <x:c r="H563" s="31" t="str">
        <x:f>IF(OR(F563="",G563=""),"",IF(F563=G563,"Agree","Disagree"))</x:f>
      </x:c>
      <x:c r="I563" s="31"/>
      <x:c r="J563" s="31" t="str">
        <x:v>No</x:v>
      </x:c>
      <x:c r="K563" s="31" t="str"/>
      <x:c r="L563" s="31" t="str"/>
      <x:c r="M563" s="31" t="str"/>
      <x:c r="N563" s="31" t="str"/>
    </x:row>
    <x:row r="564" ht="42" customHeight="1">
      <x:c r="A564" s="35" t="n">
        <x:v>562</x:v>
      </x:c>
      <x:c r="B564" s="31" t="str">
        <x:f>IF('Execution Checklist'!Q564="","",'Execution Checklist'!Q564)</x:f>
      </x:c>
      <x:c r="C564" s="31" t="str">
        <x:v>Leave exactly one object in the bowl.</x:v>
      </x:c>
      <x:c r="D564" s="31" t="str">
        <x:v>REMOVE one bowl object</x:v>
      </x:c>
      <x:c r="E564" s="31" t="str">
        <x:v>Binary task success; paired with the main matched-control row.</x:v>
      </x:c>
      <x:c r="F564" s="31"/>
      <x:c r="G564" s="31"/>
      <x:c r="H564" s="31" t="str">
        <x:f>IF(OR(F564="",G564=""),"",IF(F564=G564,"Agree","Disagree"))</x:f>
      </x:c>
      <x:c r="I564" s="31"/>
      <x:c r="J564" s="31" t="str">
        <x:v>No</x:v>
      </x:c>
      <x:c r="K564" s="31" t="str"/>
      <x:c r="L564" s="31" t="str"/>
      <x:c r="M564" s="31" t="str"/>
      <x:c r="N564" s="31" t="str"/>
    </x:row>
    <x:row r="565" ht="42" customHeight="1">
      <x:c r="A565" s="35" t="n">
        <x:v>563</x:v>
      </x:c>
      <x:c r="B565" s="31" t="str">
        <x:f>IF('Execution Checklist'!Q565="","",'Execution Checklist'!Q565)</x:f>
      </x:c>
      <x:c r="C565" s="31" t="str">
        <x:v>Put the airplane toy without propellers in the bowl.</x:v>
      </x:c>
      <x:c r="D565" s="31" t="str">
        <x:v>ADD airplane toy without propellers</x:v>
      </x:c>
      <x:c r="E565" s="31" t="str">
        <x:v>Binary task success; paired with the main transfer row.</x:v>
      </x:c>
      <x:c r="F565" s="31"/>
      <x:c r="G565" s="31"/>
      <x:c r="H565" s="31" t="str">
        <x:f>IF(OR(F565="",G565=""),"",IF(F565=G565,"Agree","Disagree"))</x:f>
      </x:c>
      <x:c r="I565" s="31"/>
      <x:c r="J565" s="31" t="str">
        <x:v>No</x:v>
      </x:c>
      <x:c r="K565" s="31" t="str"/>
      <x:c r="L565" s="31" t="str"/>
      <x:c r="M565" s="31" t="str"/>
      <x:c r="N565" s="31" t="str"/>
    </x:row>
    <x:row r="566" ht="42" customHeight="1">
      <x:c r="A566" s="35" t="n">
        <x:v>564</x:v>
      </x:c>
      <x:c r="B566" s="31" t="str">
        <x:f>IF('Execution Checklist'!Q566="","",'Execution Checklist'!Q566)</x:f>
      </x:c>
      <x:c r="C566" s="31" t="str">
        <x:v>Remove the yellow block from the bowl.</x:v>
      </x:c>
      <x:c r="D566" s="31" t="str">
        <x:v>REMOVE yellow block</x:v>
      </x:c>
      <x:c r="E566" s="31" t="str">
        <x:v>Binary task success; paired with the main transfer row.</x:v>
      </x:c>
      <x:c r="F566" s="31"/>
      <x:c r="G566" s="31"/>
      <x:c r="H566" s="31" t="str">
        <x:f>IF(OR(F566="",G566=""),"",IF(F566=G566,"Agree","Disagree"))</x:f>
      </x:c>
      <x:c r="I566" s="31"/>
      <x:c r="J566" s="31" t="str">
        <x:v>No</x:v>
      </x:c>
      <x:c r="K566" s="31" t="str"/>
      <x:c r="L566" s="31" t="str"/>
      <x:c r="M566" s="31" t="str"/>
      <x:c r="N566" s="31" t="str"/>
    </x:row>
    <x:row r="567" ht="42" customHeight="1">
      <x:c r="A567" s="35" t="n">
        <x:v>565</x:v>
      </x:c>
      <x:c r="B567" s="31" t="str">
        <x:f>IF('Execution Checklist'!Q567="","",'Execution Checklist'!Q567)</x:f>
      </x:c>
      <x:c r="C567" s="31" t="str">
        <x:v>Put the yellow block in the bowl.</x:v>
      </x:c>
      <x:c r="D567" s="31" t="str">
        <x:v>ADD yellow block</x:v>
      </x:c>
      <x:c r="E567" s="31" t="str">
        <x:v>Binary task success; paired with the main transfer row.</x:v>
      </x:c>
      <x:c r="F567" s="31"/>
      <x:c r="G567" s="31"/>
      <x:c r="H567" s="31" t="str">
        <x:f>IF(OR(F567="",G567=""),"",IF(F567=G567,"Agree","Disagree"))</x:f>
      </x:c>
      <x:c r="I567" s="31"/>
      <x:c r="J567" s="31" t="str">
        <x:v>No</x:v>
      </x:c>
      <x:c r="K567" s="31" t="str"/>
      <x:c r="L567" s="31" t="str"/>
      <x:c r="M567" s="31" t="str"/>
      <x:c r="N567" s="31" t="str"/>
    </x:row>
    <x:row r="568" ht="42" customHeight="1">
      <x:c r="A568" s="35" t="n">
        <x:v>566</x:v>
      </x:c>
      <x:c r="B568" s="31" t="str">
        <x:f>IF('Execution Checklist'!Q568="","",'Execution Checklist'!Q568)</x:f>
      </x:c>
      <x:c r="C568" s="31" t="str">
        <x:v>Adjust the bowl so that it contains zero objects.</x:v>
      </x:c>
      <x:c r="D568" s="31" t="str"/>
      <x:c r="E568" s="31" t="str">
        <x:v>Binary task success using the task-specific rubric.</x:v>
      </x:c>
      <x:c r="F568" s="31"/>
      <x:c r="G568" s="31"/>
      <x:c r="H568" s="31" t="str">
        <x:f>IF(OR(F568="",G568=""),"",IF(F568=G568,"Agree","Disagree"))</x:f>
      </x:c>
      <x:c r="I568" s="31"/>
      <x:c r="J568" s="31" t="str">
        <x:v>No</x:v>
      </x:c>
      <x:c r="K568" s="31" t="str"/>
      <x:c r="L568" s="31" t="str"/>
      <x:c r="M568" s="31" t="str"/>
      <x:c r="N568" s="31" t="str"/>
    </x:row>
    <x:row r="569" ht="42" customHeight="1">
      <x:c r="A569" s="35" t="n">
        <x:v>567</x:v>
      </x:c>
      <x:c r="B569" s="31" t="str">
        <x:f>IF('Execution Checklist'!Q569="","",'Execution Checklist'!Q569)</x:f>
      </x:c>
      <x:c r="C569" s="31" t="str">
        <x:v>Put the green pencil sharpener in the bowl.</x:v>
      </x:c>
      <x:c r="D569" s="31" t="str">
        <x:v>ADD green pencil sharpener</x:v>
      </x:c>
      <x:c r="E569" s="31" t="str">
        <x:v>Binary task success; paired with the main transfer row.</x:v>
      </x:c>
      <x:c r="F569" s="31"/>
      <x:c r="G569" s="31"/>
      <x:c r="H569" s="31" t="str">
        <x:f>IF(OR(F569="",G569=""),"",IF(F569=G569,"Agree","Disagree"))</x:f>
      </x:c>
      <x:c r="I569" s="31"/>
      <x:c r="J569" s="31" t="str">
        <x:v>No</x:v>
      </x:c>
      <x:c r="K569" s="31" t="str"/>
      <x:c r="L569" s="31" t="str"/>
      <x:c r="M569" s="31" t="str"/>
      <x:c r="N569" s="31" t="str"/>
    </x:row>
    <x:row r="570" ht="42" customHeight="1">
      <x:c r="A570" s="35" t="n">
        <x:v>568</x:v>
      </x:c>
      <x:c r="B570" s="31" t="str">
        <x:f>IF('Execution Checklist'!Q570="","",'Execution Checklist'!Q570)</x:f>
      </x:c>
      <x:c r="C570" s="31" t="str">
        <x:v>Make the bowl contain exactly two objects.</x:v>
      </x:c>
      <x:c r="D570" s="31" t="str"/>
      <x:c r="E570" s="31" t="str">
        <x:v>Binary task success using the task-specific rubric.</x:v>
      </x:c>
      <x:c r="F570" s="31"/>
      <x:c r="G570" s="31"/>
      <x:c r="H570" s="31" t="str">
        <x:f>IF(OR(F570="",G570=""),"",IF(F570=G570,"Agree","Disagree"))</x:f>
      </x:c>
      <x:c r="I570" s="31"/>
      <x:c r="J570" s="31" t="str">
        <x:v>No</x:v>
      </x:c>
      <x:c r="K570" s="31" t="str"/>
      <x:c r="L570" s="31" t="str"/>
      <x:c r="M570" s="31" t="str"/>
      <x:c r="N570" s="31" t="str"/>
    </x:row>
    <x:row r="571" ht="42" customHeight="1">
      <x:c r="A571" s="35" t="n">
        <x:v>569</x:v>
      </x:c>
      <x:c r="B571" s="31" t="str">
        <x:f>IF('Execution Checklist'!Q571="","",'Execution Checklist'!Q571)</x:f>
      </x:c>
      <x:c r="C571" s="31" t="str">
        <x:v>Remove the airplane toy without propellers from the bowl.</x:v>
      </x:c>
      <x:c r="D571" s="31" t="str">
        <x:v>REMOVE airplane toy without propellers</x:v>
      </x:c>
      <x:c r="E571" s="31" t="str">
        <x:v>Binary task success; paired with the main transfer row.</x:v>
      </x:c>
      <x:c r="F571" s="31"/>
      <x:c r="G571" s="31"/>
      <x:c r="H571" s="31" t="str">
        <x:f>IF(OR(F571="",G571=""),"",IF(F571=G571,"Agree","Disagree"))</x:f>
      </x:c>
      <x:c r="I571" s="31"/>
      <x:c r="J571" s="31" t="str">
        <x:v>No</x:v>
      </x:c>
      <x:c r="K571" s="31" t="str"/>
      <x:c r="L571" s="31" t="str"/>
      <x:c r="M571" s="31" t="str"/>
      <x:c r="N571" s="31" t="str"/>
    </x:row>
    <x:row r="572" ht="42" customHeight="1">
      <x:c r="A572" s="35" t="n">
        <x:v>570</x:v>
      </x:c>
      <x:c r="B572" s="31" t="str">
        <x:f>IF('Execution Checklist'!Q572="","",'Execution Checklist'!Q572)</x:f>
      </x:c>
      <x:c r="C572" s="31" t="str">
        <x:v>Leave exactly three objects in the bowl.</x:v>
      </x:c>
      <x:c r="D572" s="31" t="str">
        <x:v>ADD one table object</x:v>
      </x:c>
      <x:c r="E572" s="31" t="str">
        <x:v>Binary task success; paired with the main matched-control row.</x:v>
      </x:c>
      <x:c r="F572" s="31"/>
      <x:c r="G572" s="31"/>
      <x:c r="H572" s="31" t="str">
        <x:f>IF(OR(F572="",G572=""),"",IF(F572=G572,"Agree","Disagree"))</x:f>
      </x:c>
      <x:c r="I572" s="31"/>
      <x:c r="J572" s="31" t="str">
        <x:v>No</x:v>
      </x:c>
      <x:c r="K572" s="31" t="str"/>
      <x:c r="L572" s="31" t="str"/>
      <x:c r="M572" s="31" t="str"/>
      <x:c r="N572" s="31" t="str"/>
    </x:row>
    <x:row r="573" ht="42" customHeight="1">
      <x:c r="A573" s="35" t="n">
        <x:v>571</x:v>
      </x:c>
      <x:c r="B573" s="31" t="str">
        <x:f>IF('Execution Checklist'!Q573="","",'Execution Checklist'!Q573)</x:f>
      </x:c>
      <x:c r="C573" s="31" t="str">
        <x:v>Remove the yellow block from the bowl.</x:v>
      </x:c>
      <x:c r="D573" s="31" t="str">
        <x:v>REMOVE yellow block</x:v>
      </x:c>
      <x:c r="E573" s="31" t="str">
        <x:v>Binary task success; paired with the main transfer row.</x:v>
      </x:c>
      <x:c r="F573" s="31"/>
      <x:c r="G573" s="31"/>
      <x:c r="H573" s="31" t="str">
        <x:f>IF(OR(F573="",G573=""),"",IF(F573=G573,"Agree","Disagree"))</x:f>
      </x:c>
      <x:c r="I573" s="31"/>
      <x:c r="J573" s="31" t="str">
        <x:v>No</x:v>
      </x:c>
      <x:c r="K573" s="31" t="str"/>
      <x:c r="L573" s="31" t="str"/>
      <x:c r="M573" s="31" t="str"/>
      <x:c r="N573" s="31" t="str"/>
    </x:row>
    <x:row r="574" ht="42" customHeight="1">
      <x:c r="A574" s="35" t="n">
        <x:v>572</x:v>
      </x:c>
      <x:c r="B574" s="31" t="str">
        <x:f>IF('Execution Checklist'!Q574="","",'Execution Checklist'!Q574)</x:f>
      </x:c>
      <x:c r="C574" s="31" t="str">
        <x:v>Move the airplane toy without propellers into the bowl.</x:v>
      </x:c>
      <x:c r="D574" s="31" t="str">
        <x:v>airplane toy without propellers</x:v>
      </x:c>
      <x:c r="E574" s="31" t="str">
        <x:v>Binary task success using the task-specific rubric.</x:v>
      </x:c>
      <x:c r="F574" s="31"/>
      <x:c r="G574" s="31"/>
      <x:c r="H574" s="31" t="str">
        <x:f>IF(OR(F574="",G574=""),"",IF(F574=G574,"Agree","Disagree"))</x:f>
      </x:c>
      <x:c r="I574" s="31"/>
      <x:c r="J574" s="31" t="str">
        <x:v>No</x:v>
      </x:c>
      <x:c r="K574" s="31" t="str"/>
      <x:c r="L574" s="31" t="str"/>
      <x:c r="M574" s="31" t="str"/>
      <x:c r="N574" s="31" t="str"/>
    </x:row>
    <x:row r="575" ht="42" customHeight="1">
      <x:c r="A575" s="35" t="n">
        <x:v>573</x:v>
      </x:c>
      <x:c r="B575" s="31" t="str">
        <x:f>IF('Execution Checklist'!Q575="","",'Execution Checklist'!Q575)</x:f>
      </x:c>
      <x:c r="C575" s="31" t="str">
        <x:v>Remove the green pencil sharpener from the bowl.</x:v>
      </x:c>
      <x:c r="D575" s="31" t="str">
        <x:v>REMOVE green pencil sharpener</x:v>
      </x:c>
      <x:c r="E575" s="31" t="str">
        <x:v>Binary task success; paired with the main transfer row.</x:v>
      </x:c>
      <x:c r="F575" s="31"/>
      <x:c r="G575" s="31"/>
      <x:c r="H575" s="31" t="str">
        <x:f>IF(OR(F575="",G575=""),"",IF(F575=G575,"Agree","Disagree"))</x:f>
      </x:c>
      <x:c r="I575" s="31"/>
      <x:c r="J575" s="31" t="str">
        <x:v>No</x:v>
      </x:c>
      <x:c r="K575" s="31" t="str"/>
      <x:c r="L575" s="31" t="str"/>
      <x:c r="M575" s="31" t="str"/>
      <x:c r="N575" s="31" t="str"/>
    </x:row>
    <x:row r="576" ht="42" customHeight="1">
      <x:c r="A576" s="35" t="n">
        <x:v>574</x:v>
      </x:c>
      <x:c r="B576" s="31" t="str">
        <x:f>IF('Execution Checklist'!Q576="","",'Execution Checklist'!Q576)</x:f>
      </x:c>
      <x:c r="C576" s="31" t="str">
        <x:v>Leave exactly one object in the bowl.</x:v>
      </x:c>
      <x:c r="D576" s="31" t="str">
        <x:v>REMOVE one bowl object</x:v>
      </x:c>
      <x:c r="E576" s="31" t="str">
        <x:v>Binary task success; paired with the main matched-control row.</x:v>
      </x:c>
      <x:c r="F576" s="31"/>
      <x:c r="G576" s="31"/>
      <x:c r="H576" s="31" t="str">
        <x:f>IF(OR(F576="",G576=""),"",IF(F576=G576,"Agree","Disagree"))</x:f>
      </x:c>
      <x:c r="I576" s="31"/>
      <x:c r="J576" s="31" t="str">
        <x:v>No</x:v>
      </x:c>
      <x:c r="K576" s="31" t="str"/>
      <x:c r="L576" s="31" t="str"/>
      <x:c r="M576" s="31" t="str"/>
      <x:c r="N576" s="31" t="str"/>
    </x:row>
    <x:row r="577" ht="42" customHeight="1">
      <x:c r="A577" s="35" t="n">
        <x:v>575</x:v>
      </x:c>
      <x:c r="B577" s="31" t="str">
        <x:f>IF('Execution Checklist'!Q577="","",'Execution Checklist'!Q577)</x:f>
      </x:c>
      <x:c r="C577" s="31" t="str">
        <x:v>Leave exactly three objects in the bowl.</x:v>
      </x:c>
      <x:c r="D577" s="31" t="str">
        <x:v>No prespecified task success under blank language; record any action/selected target.</x:v>
      </x:c>
      <x:c r="E577" s="31" t="str">
        <x:v>Do not score ordinary task success. Record action occurrence and agreement with the parent correct-prompt rollout.</x:v>
      </x:c>
      <x:c r="F577" s="31"/>
      <x:c r="G577" s="31"/>
      <x:c r="H577" s="31" t="str">
        <x:f>IF(OR(F577="",G577=""),"",IF(F577=G577,"Agree","Disagree"))</x:f>
      </x:c>
      <x:c r="I577" s="31"/>
      <x:c r="J577" s="31" t="str">
        <x:v>No</x:v>
      </x:c>
      <x:c r="K577" s="31" t="str"/>
      <x:c r="L577" s="31" t="str"/>
      <x:c r="M577" s="31" t="str"/>
      <x:c r="N577" s="31" t="str"/>
    </x:row>
    <x:row r="578" ht="42" customHeight="1">
      <x:c r="A578" s="35" t="n">
        <x:v>576</x:v>
      </x:c>
      <x:c r="B578" s="31" t="str">
        <x:f>IF('Execution Checklist'!Q578="","",'Execution Checklist'!Q578)</x:f>
      </x:c>
      <x:c r="C578" s="31" t="str">
        <x:v>Put the blue pen in the bowl.</x:v>
      </x:c>
      <x:c r="D578" s="31" t="str">
        <x:v>ADD blue pen</x:v>
      </x:c>
      <x:c r="E578" s="31" t="str">
        <x:v>Binary task success; paired with the main transfer row.</x:v>
      </x:c>
      <x:c r="F578" s="31"/>
      <x:c r="G578" s="31"/>
      <x:c r="H578" s="31" t="str">
        <x:f>IF(OR(F578="",G578=""),"",IF(F578=G578,"Agree","Disagree"))</x:f>
      </x:c>
      <x:c r="I578" s="31"/>
      <x:c r="J578" s="31" t="str">
        <x:v>No</x:v>
      </x:c>
      <x:c r="K578" s="31" t="str"/>
      <x:c r="L578" s="31" t="str"/>
      <x:c r="M578" s="31" t="str"/>
      <x:c r="N578" s="31" t="str"/>
    </x:row>
    <x:row r="579" ht="42" customHeight="1">
      <x:c r="A579" s="35" t="n">
        <x:v>577</x:v>
      </x:c>
      <x:c r="B579" s="31" t="str">
        <x:f>IF('Execution Checklist'!Q579="","",'Execution Checklist'!Q579)</x:f>
      </x:c>
      <x:c r="C579" s="31" t="str">
        <x:v>Finish with two objects in the bowl.</x:v>
      </x:c>
      <x:c r="D579" s="31" t="str"/>
      <x:c r="E579" s="31" t="str">
        <x:v>Binary task success; compare with the seen-language row sharing Pair ID.</x:v>
      </x:c>
      <x:c r="F579" s="31"/>
      <x:c r="G579" s="31"/>
      <x:c r="H579" s="31" t="str">
        <x:f>IF(OR(F579="",G579=""),"",IF(F579=G579,"Agree","Disagree"))</x:f>
      </x:c>
      <x:c r="I579" s="31"/>
      <x:c r="J579" s="31" t="str">
        <x:v>No</x:v>
      </x:c>
      <x:c r="K579" s="31" t="str"/>
      <x:c r="L579" s="31" t="str"/>
      <x:c r="M579" s="31" t="str"/>
      <x:c r="N579" s="31" t="str"/>
    </x:row>
    <x:row r="580" ht="42" customHeight="1">
      <x:c r="A580" s="35" t="n">
        <x:v>578</x:v>
      </x:c>
      <x:c r="B580" s="31" t="str">
        <x:f>IF('Execution Checklist'!Q580="","",'Execution Checklist'!Q580)</x:f>
      </x:c>
      <x:c r="C580" s="31" t="str">
        <x:v>Remove the blue pen from the bowl.</x:v>
      </x:c>
      <x:c r="D580" s="31" t="str">
        <x:v>REMOVE blue pen</x:v>
      </x:c>
      <x:c r="E580" s="31" t="str">
        <x:v>Binary task success; paired with the main transfer row.</x:v>
      </x:c>
      <x:c r="F580" s="31"/>
      <x:c r="G580" s="31"/>
      <x:c r="H580" s="31" t="str">
        <x:f>IF(OR(F580="",G580=""),"",IF(F580=G580,"Agree","Disagree"))</x:f>
      </x:c>
      <x:c r="I580" s="31"/>
      <x:c r="J580" s="31" t="str">
        <x:v>No</x:v>
      </x:c>
      <x:c r="K580" s="31" t="str"/>
      <x:c r="L580" s="31" t="str"/>
      <x:c r="M580" s="31" t="str"/>
      <x:c r="N580" s="31" t="str"/>
    </x:row>
    <x:row r="581" ht="42" customHeight="1">
      <x:c r="A581" s="35" t="n">
        <x:v>579</x:v>
      </x:c>
      <x:c r="B581" s="31" t="str">
        <x:f>IF('Execution Checklist'!Q581="","",'Execution Checklist'!Q581)</x:f>
      </x:c>
      <x:c r="C581" s="31" t="str">
        <x:v>Leave exactly three objects in the bowl.</x:v>
      </x:c>
      <x:c r="D581" s="31" t="str">
        <x:v>ADD one table object</x:v>
      </x:c>
      <x:c r="E581" s="31" t="str">
        <x:v>Binary task success; paired with the main matched-control row.</x:v>
      </x:c>
      <x:c r="F581" s="31"/>
      <x:c r="G581" s="31"/>
      <x:c r="H581" s="31" t="str">
        <x:f>IF(OR(F581="",G581=""),"",IF(F581=G581,"Agree","Disagree"))</x:f>
      </x:c>
      <x:c r="I581" s="31"/>
      <x:c r="J581" s="31" t="str">
        <x:v>No</x:v>
      </x:c>
      <x:c r="K581" s="31" t="str"/>
      <x:c r="L581" s="31" t="str"/>
      <x:c r="M581" s="31" t="str"/>
      <x:c r="N581" s="31" t="str"/>
    </x:row>
    <x:row r="582" ht="42" customHeight="1">
      <x:c r="A582" s="35" t="n">
        <x:v>580</x:v>
      </x:c>
      <x:c r="B582" s="31" t="str">
        <x:f>IF('Execution Checklist'!Q582="","",'Execution Checklist'!Q582)</x:f>
      </x:c>
      <x:c r="C582" s="31" t="str">
        <x:v>Leave exactly one object in the bowl.</x:v>
      </x:c>
      <x:c r="D582" s="31" t="str">
        <x:v>REMOVE one bowl object</x:v>
      </x:c>
      <x:c r="E582" s="31" t="str">
        <x:v>Binary task success; paired with the main matched-control row.</x:v>
      </x:c>
      <x:c r="F582" s="31"/>
      <x:c r="G582" s="31"/>
      <x:c r="H582" s="31" t="str">
        <x:f>IF(OR(F582="",G582=""),"",IF(F582=G582,"Agree","Disagree"))</x:f>
      </x:c>
      <x:c r="I582" s="31"/>
      <x:c r="J582" s="31" t="str">
        <x:v>No</x:v>
      </x:c>
      <x:c r="K582" s="31" t="str"/>
      <x:c r="L582" s="31" t="str"/>
      <x:c r="M582" s="31" t="str"/>
      <x:c r="N582" s="31" t="str"/>
    </x:row>
    <x:row r="583" ht="42" customHeight="1">
      <x:c r="A583" s="35" t="n">
        <x:v>581</x:v>
      </x:c>
      <x:c r="B583" s="31" t="str">
        <x:f>IF('Execution Checklist'!Q583="","",'Execution Checklist'!Q583)</x:f>
      </x:c>
      <x:c r="C583" s="31" t="str">
        <x:v>Leave exactly one object in the bowl.</x:v>
      </x:c>
      <x:c r="D583" s="31" t="str">
        <x:v>REMOVE one bowl object</x:v>
      </x:c>
      <x:c r="E583" s="31" t="str">
        <x:v>Binary task success; paired with the main matched-control row.</x:v>
      </x:c>
      <x:c r="F583" s="31"/>
      <x:c r="G583" s="31"/>
      <x:c r="H583" s="31" t="str">
        <x:f>IF(OR(F583="",G583=""),"",IF(F583=G583,"Agree","Disagree"))</x:f>
      </x:c>
      <x:c r="I583" s="31"/>
      <x:c r="J583" s="31" t="str">
        <x:v>No</x:v>
      </x:c>
      <x:c r="K583" s="31" t="str"/>
      <x:c r="L583" s="31" t="str"/>
      <x:c r="M583" s="31" t="str"/>
      <x:c r="N583" s="31" t="str"/>
    </x:row>
    <x:row r="584" ht="42" customHeight="1">
      <x:c r="A584" s="35" t="n">
        <x:v>582</x:v>
      </x:c>
      <x:c r="B584" s="31" t="str">
        <x:f>IF('Execution Checklist'!Q584="","",'Execution Checklist'!Q584)</x:f>
      </x:c>
      <x:c r="C584" s="31" t="str">
        <x:v>Remove the blue pen from the bowl.</x:v>
      </x:c>
      <x:c r="D584" s="31" t="str">
        <x:v>REMOVE blue pen</x:v>
      </x:c>
      <x:c r="E584" s="31" t="str">
        <x:v>Binary task success; paired with the main transfer row.</x:v>
      </x:c>
      <x:c r="F584" s="31"/>
      <x:c r="G584" s="31"/>
      <x:c r="H584" s="31" t="str">
        <x:f>IF(OR(F584="",G584=""),"",IF(F584=G584,"Agree","Disagree"))</x:f>
      </x:c>
      <x:c r="I584" s="31"/>
      <x:c r="J584" s="31" t="str">
        <x:v>No</x:v>
      </x:c>
      <x:c r="K584" s="31" t="str"/>
      <x:c r="L584" s="31" t="str"/>
      <x:c r="M584" s="31" t="str"/>
      <x:c r="N584" s="31" t="str"/>
    </x:row>
    <x:row r="585" ht="42" customHeight="1">
      <x:c r="A585" s="35" t="n">
        <x:v>583</x:v>
      </x:c>
      <x:c r="B585" s="31" t="str">
        <x:f>IF('Execution Checklist'!Q585="","",'Execution Checklist'!Q585)</x:f>
      </x:c>
      <x:c r="C585" s="31" t="str">
        <x:v>Finish with two objects in the bowl.</x:v>
      </x:c>
      <x:c r="D585" s="31" t="str"/>
      <x:c r="E585" s="31" t="str">
        <x:v>Binary task success; compare with the seen-language row sharing Pair ID.</x:v>
      </x:c>
      <x:c r="F585" s="31"/>
      <x:c r="G585" s="31"/>
      <x:c r="H585" s="31" t="str">
        <x:f>IF(OR(F585="",G585=""),"",IF(F585=G585,"Agree","Disagree"))</x:f>
      </x:c>
      <x:c r="I585" s="31"/>
      <x:c r="J585" s="31" t="str">
        <x:v>No</x:v>
      </x:c>
      <x:c r="K585" s="31" t="str"/>
      <x:c r="L585" s="31" t="str"/>
      <x:c r="M585" s="31" t="str"/>
      <x:c r="N585" s="31" t="str"/>
    </x:row>
    <x:row r="586" ht="42" customHeight="1">
      <x:c r="A586" s="35" t="n">
        <x:v>584</x:v>
      </x:c>
      <x:c r="B586" s="31" t="str">
        <x:f>IF('Execution Checklist'!Q586="","",'Execution Checklist'!Q586)</x:f>
      </x:c>
      <x:c r="C586" s="31" t="str">
        <x:v>Leave exactly three objects in the bowl.</x:v>
      </x:c>
      <x:c r="D586" s="31" t="str">
        <x:v>ADD one table object</x:v>
      </x:c>
      <x:c r="E586" s="31" t="str">
        <x:v>Binary task success; paired with the main matched-control row.</x:v>
      </x:c>
      <x:c r="F586" s="31"/>
      <x:c r="G586" s="31"/>
      <x:c r="H586" s="31" t="str">
        <x:f>IF(OR(F586="",G586=""),"",IF(F586=G586,"Agree","Disagree"))</x:f>
      </x:c>
      <x:c r="I586" s="31"/>
      <x:c r="J586" s="31" t="str">
        <x:v>No</x:v>
      </x:c>
      <x:c r="K586" s="31" t="str"/>
      <x:c r="L586" s="31" t="str"/>
      <x:c r="M586" s="31" t="str"/>
      <x:c r="N586" s="31" t="str"/>
    </x:row>
    <x:row r="587" ht="42" customHeight="1">
      <x:c r="A587" s="35" t="n">
        <x:v>585</x:v>
      </x:c>
      <x:c r="B587" s="31" t="str">
        <x:f>IF('Execution Checklist'!Q587="","",'Execution Checklist'!Q587)</x:f>
      </x:c>
      <x:c r="C587" s="31" t="str">
        <x:v>Leave no objects in the bowl.</x:v>
      </x:c>
      <x:c r="D587" s="31" t="str">
        <x:v>blue pen</x:v>
      </x:c>
      <x:c r="E587" s="31" t="str">
        <x:v>Binary task success using the task-specific rubric.</x:v>
      </x:c>
      <x:c r="F587" s="31"/>
      <x:c r="G587" s="31"/>
      <x:c r="H587" s="31" t="str">
        <x:f>IF(OR(F587="",G587=""),"",IF(F587=G587,"Agree","Disagree"))</x:f>
      </x:c>
      <x:c r="I587" s="31"/>
      <x:c r="J587" s="31" t="str">
        <x:v>No</x:v>
      </x:c>
      <x:c r="K587" s="31" t="str"/>
      <x:c r="L587" s="31" t="str"/>
      <x:c r="M587" s="31" t="str"/>
      <x:c r="N587" s="31" t="str"/>
    </x:row>
    <x:row r="588" ht="42" customHeight="1">
      <x:c r="A588" s="35" t="n">
        <x:v>586</x:v>
      </x:c>
      <x:c r="B588" s="31" t="str">
        <x:f>IF('Execution Checklist'!Q588="","",'Execution Checklist'!Q588)</x:f>
      </x:c>
      <x:c r="C588" s="31" t="str">
        <x:v>Remove the green pencil sharpener from the bowl.</x:v>
      </x:c>
      <x:c r="D588" s="31" t="str">
        <x:v>REMOVE green pencil sharpener</x:v>
      </x:c>
      <x:c r="E588" s="31" t="str">
        <x:v>Binary task success; paired with the main transfer row.</x:v>
      </x:c>
      <x:c r="F588" s="31"/>
      <x:c r="G588" s="31"/>
      <x:c r="H588" s="31" t="str">
        <x:f>IF(OR(F588="",G588=""),"",IF(F588=G588,"Agree","Disagree"))</x:f>
      </x:c>
      <x:c r="I588" s="31"/>
      <x:c r="J588" s="31" t="str">
        <x:v>No</x:v>
      </x:c>
      <x:c r="K588" s="31" t="str"/>
      <x:c r="L588" s="31" t="str"/>
      <x:c r="M588" s="31" t="str"/>
      <x:c r="N588" s="31" t="str"/>
    </x:row>
    <x:row r="589" ht="42" customHeight="1">
      <x:c r="A589" s="35" t="n">
        <x:v>587</x:v>
      </x:c>
      <x:c r="B589" s="31" t="str">
        <x:f>IF('Execution Checklist'!Q589="","",'Execution Checklist'!Q589)</x:f>
      </x:c>
      <x:c r="C589" s="31" t="str">
        <x:v>Make the bowl contain exactly zero objects.</x:v>
      </x:c>
      <x:c r="D589" s="31" t="str"/>
      <x:c r="E589" s="31" t="str">
        <x:v>Binary task success using the task-specific rubric.</x:v>
      </x:c>
      <x:c r="F589" s="31"/>
      <x:c r="G589" s="31"/>
      <x:c r="H589" s="31" t="str">
        <x:f>IF(OR(F589="",G589=""),"",IF(F589=G589,"Agree","Disagree"))</x:f>
      </x:c>
      <x:c r="I589" s="31"/>
      <x:c r="J589" s="31" t="str">
        <x:v>No</x:v>
      </x:c>
      <x:c r="K589" s="31" t="str"/>
      <x:c r="L589" s="31" t="str"/>
      <x:c r="M589" s="31" t="str"/>
      <x:c r="N589" s="31" t="str"/>
    </x:row>
    <x:row r="590" ht="42" customHeight="1">
      <x:c r="A590" s="35" t="n">
        <x:v>588</x:v>
      </x:c>
      <x:c r="B590" s="31" t="str">
        <x:f>IF('Execution Checklist'!Q590="","",'Execution Checklist'!Q590)</x:f>
      </x:c>
      <x:c r="C590" s="31" t="str">
        <x:v>Leave exactly three objects in the bowl.</x:v>
      </x:c>
      <x:c r="D590" s="31" t="str">
        <x:v>ADD one table object</x:v>
      </x:c>
      <x:c r="E590" s="31" t="str">
        <x:v>Binary task success; paired with the main matched-control row.</x:v>
      </x:c>
      <x:c r="F590" s="31"/>
      <x:c r="G590" s="31"/>
      <x:c r="H590" s="31" t="str">
        <x:f>IF(OR(F590="",G590=""),"",IF(F590=G590,"Agree","Disagree"))</x:f>
      </x:c>
      <x:c r="I590" s="31"/>
      <x:c r="J590" s="31" t="str">
        <x:v>No</x:v>
      </x:c>
      <x:c r="K590" s="31" t="str"/>
      <x:c r="L590" s="31" t="str"/>
      <x:c r="M590" s="31" t="str"/>
      <x:c r="N590" s="31" t="str"/>
    </x:row>
    <x:row r="591" ht="42" customHeight="1">
      <x:c r="A591" s="35" t="n">
        <x:v>589</x:v>
      </x:c>
      <x:c r="B591" s="31" t="str">
        <x:f>IF('Execution Checklist'!Q591="","",'Execution Checklist'!Q591)</x:f>
      </x:c>
      <x:c r="C591" s="31" t="str">
        <x:v>Leave exactly one object in the bowl.</x:v>
      </x:c>
      <x:c r="D591" s="31" t="str">
        <x:v>REMOVE one bowl object</x:v>
      </x:c>
      <x:c r="E591" s="31" t="str">
        <x:v>Binary success for the counterfactual instruction and paired action-switch analysis versus the parent.</x:v>
      </x:c>
      <x:c r="F591" s="31"/>
      <x:c r="G591" s="31"/>
      <x:c r="H591" s="31" t="str">
        <x:f>IF(OR(F591="",G591=""),"",IF(F591=G591,"Agree","Disagree"))</x:f>
      </x:c>
      <x:c r="I591" s="31"/>
      <x:c r="J591" s="31" t="str">
        <x:v>No</x:v>
      </x:c>
      <x:c r="K591" s="31" t="str"/>
      <x:c r="L591" s="31" t="str"/>
      <x:c r="M591" s="31" t="str"/>
      <x:c r="N591" s="31" t="str"/>
    </x:row>
    <x:row r="592" ht="42" customHeight="1">
      <x:c r="A592" s="35" t="n">
        <x:v>590</x:v>
      </x:c>
      <x:c r="B592" s="31" t="str">
        <x:f>IF('Execution Checklist'!Q592="","",'Execution Checklist'!Q592)</x:f>
      </x:c>
      <x:c r="C592" s="31" t="str">
        <x:v>Finish with two objects in the bowl.</x:v>
      </x:c>
      <x:c r="D592" s="31" t="str"/>
      <x:c r="E592" s="31" t="str">
        <x:v>Binary task success; compare with the seen-language row sharing Pair ID.</x:v>
      </x:c>
      <x:c r="F592" s="31"/>
      <x:c r="G592" s="31"/>
      <x:c r="H592" s="31" t="str">
        <x:f>IF(OR(F592="",G592=""),"",IF(F592=G592,"Agree","Disagree"))</x:f>
      </x:c>
      <x:c r="I592" s="31"/>
      <x:c r="J592" s="31" t="str">
        <x:v>No</x:v>
      </x:c>
      <x:c r="K592" s="31" t="str"/>
      <x:c r="L592" s="31" t="str"/>
      <x:c r="M592" s="31" t="str"/>
      <x:c r="N592" s="31" t="str"/>
    </x:row>
    <x:row r="593" ht="42" customHeight="1">
      <x:c r="A593" s="35" t="n">
        <x:v>591</x:v>
      </x:c>
      <x:c r="B593" s="31" t="str">
        <x:f>IF('Execution Checklist'!Q593="","",'Execution Checklist'!Q593)</x:f>
      </x:c>
      <x:c r="C593" s="31" t="str">
        <x:v>Make the bowl contain exactly two objects.</x:v>
      </x:c>
      <x:c r="D593" s="31" t="str"/>
      <x:c r="E593" s="31" t="str">
        <x:v>Binary task success using the task-specific rubric.</x:v>
      </x:c>
      <x:c r="F593" s="31"/>
      <x:c r="G593" s="31"/>
      <x:c r="H593" s="31" t="str">
        <x:f>IF(OR(F593="",G593=""),"",IF(F593=G593,"Agree","Disagree"))</x:f>
      </x:c>
      <x:c r="I593" s="31"/>
      <x:c r="J593" s="31" t="str">
        <x:v>No</x:v>
      </x:c>
      <x:c r="K593" s="31" t="str"/>
      <x:c r="L593" s="31" t="str"/>
      <x:c r="M593" s="31" t="str"/>
      <x:c r="N593" s="31" t="str"/>
    </x:row>
    <x:row r="594" ht="42" customHeight="1">
      <x:c r="A594" s="35" t="n">
        <x:v>592</x:v>
      </x:c>
      <x:c r="B594" s="31" t="str">
        <x:f>IF('Execution Checklist'!Q594="","",'Execution Checklist'!Q594)</x:f>
      </x:c>
      <x:c r="C594" s="31" t="str">
        <x:v>Put the green pencil sharpener in the bowl.</x:v>
      </x:c>
      <x:c r="D594" s="31" t="str">
        <x:v>ADD green pencil sharpener</x:v>
      </x:c>
      <x:c r="E594" s="31" t="str">
        <x:v>Binary task success; paired with the main transfer row.</x:v>
      </x:c>
      <x:c r="F594" s="31"/>
      <x:c r="G594" s="31"/>
      <x:c r="H594" s="31" t="str">
        <x:f>IF(OR(F594="",G594=""),"",IF(F594=G594,"Agree","Disagree"))</x:f>
      </x:c>
      <x:c r="I594" s="31"/>
      <x:c r="J594" s="31" t="str">
        <x:v>No</x:v>
      </x:c>
      <x:c r="K594" s="31" t="str"/>
      <x:c r="L594" s="31" t="str"/>
      <x:c r="M594" s="31" t="str"/>
      <x:c r="N594" s="31" t="str"/>
    </x:row>
    <x:row r="595" ht="42" customHeight="1">
      <x:c r="A595" s="35" t="n">
        <x:v>593</x:v>
      </x:c>
      <x:c r="B595" s="31" t="str">
        <x:f>IF('Execution Checklist'!Q595="","",'Execution Checklist'!Q595)</x:f>
      </x:c>
      <x:c r="C595" s="31" t="str">
        <x:v>Leave exactly three objects in the bowl.</x:v>
      </x:c>
      <x:c r="D595" s="31" t="str">
        <x:v>No prespecified task success under blank language; record any action/selected target.</x:v>
      </x:c>
      <x:c r="E595" s="31" t="str">
        <x:v>Do not score ordinary task success. Record action occurrence and agreement with the parent correct-prompt rollout.</x:v>
      </x:c>
      <x:c r="F595" s="31"/>
      <x:c r="G595" s="31"/>
      <x:c r="H595" s="31" t="str">
        <x:f>IF(OR(F595="",G595=""),"",IF(F595=G595,"Agree","Disagree"))</x:f>
      </x:c>
      <x:c r="I595" s="31"/>
      <x:c r="J595" s="31" t="str">
        <x:v>No</x:v>
      </x:c>
      <x:c r="K595" s="31" t="str"/>
      <x:c r="L595" s="31" t="str"/>
      <x:c r="M595" s="31" t="str"/>
      <x:c r="N595" s="31" t="str"/>
    </x:row>
    <x:row r="596" ht="42" customHeight="1">
      <x:c r="A596" s="35" t="n">
        <x:v>594</x:v>
      </x:c>
      <x:c r="B596" s="31" t="str">
        <x:f>IF('Execution Checklist'!Q596="","",'Execution Checklist'!Q596)</x:f>
      </x:c>
      <x:c r="C596" s="31" t="str">
        <x:v>Finish with two objects in the bowl.</x:v>
      </x:c>
      <x:c r="D596" s="31" t="str"/>
      <x:c r="E596" s="31" t="str">
        <x:v>Binary task success; compare with the seen-language row sharing Pair ID.</x:v>
      </x:c>
      <x:c r="F596" s="31"/>
      <x:c r="G596" s="31"/>
      <x:c r="H596" s="31" t="str">
        <x:f>IF(OR(F596="",G596=""),"",IF(F596=G596,"Agree","Disagree"))</x:f>
      </x:c>
      <x:c r="I596" s="31"/>
      <x:c r="J596" s="31" t="str">
        <x:v>No</x:v>
      </x:c>
      <x:c r="K596" s="31" t="str"/>
      <x:c r="L596" s="31" t="str"/>
      <x:c r="M596" s="31" t="str"/>
      <x:c r="N596" s="31" t="str"/>
    </x:row>
    <x:row r="597" ht="42" customHeight="1">
      <x:c r="A597" s="35" t="n">
        <x:v>595</x:v>
      </x:c>
      <x:c r="B597" s="31" t="str">
        <x:f>IF('Execution Checklist'!Q597="","",'Execution Checklist'!Q597)</x:f>
      </x:c>
      <x:c r="C597" s="31" t="str">
        <x:v>Leave exactly three objects in the bowl.</x:v>
      </x:c>
      <x:c r="D597" s="31" t="str">
        <x:v>ADD one table object</x:v>
      </x:c>
      <x:c r="E597" s="31" t="str">
        <x:v>Binary task success; paired with the main matched-control row.</x:v>
      </x:c>
      <x:c r="F597" s="31"/>
      <x:c r="G597" s="31"/>
      <x:c r="H597" s="31" t="str">
        <x:f>IF(OR(F597="",G597=""),"",IF(F597=G597,"Agree","Disagree"))</x:f>
      </x:c>
      <x:c r="I597" s="31"/>
      <x:c r="J597" s="31" t="str">
        <x:v>No</x:v>
      </x:c>
      <x:c r="K597" s="31" t="str"/>
      <x:c r="L597" s="31" t="str"/>
      <x:c r="M597" s="31" t="str"/>
      <x:c r="N597" s="31" t="str"/>
    </x:row>
    <x:row r="598" ht="42" customHeight="1">
      <x:c r="A598" s="35" t="n">
        <x:v>596</x:v>
      </x:c>
      <x:c r="B598" s="31" t="str">
        <x:f>IF('Execution Checklist'!Q598="","",'Execution Checklist'!Q598)</x:f>
      </x:c>
      <x:c r="C598" s="31" t="str">
        <x:v>Leave exactly one object in the bowl.</x:v>
      </x:c>
      <x:c r="D598" s="31" t="str">
        <x:v>No prespecified task success under blank language; record any action/selected target.</x:v>
      </x:c>
      <x:c r="E598" s="31" t="str">
        <x:v>Do not score ordinary task success. Record action occurrence and agreement with the parent correct-prompt rollout.</x:v>
      </x:c>
      <x:c r="F598" s="31"/>
      <x:c r="G598" s="31"/>
      <x:c r="H598" s="31" t="str">
        <x:f>IF(OR(F598="",G598=""),"",IF(F598=G598,"Agree","Disagree"))</x:f>
      </x:c>
      <x:c r="I598" s="31"/>
      <x:c r="J598" s="31" t="str">
        <x:v>No</x:v>
      </x:c>
      <x:c r="K598" s="31" t="str"/>
      <x:c r="L598" s="31" t="str"/>
      <x:c r="M598" s="31" t="str"/>
      <x:c r="N598" s="31" t="str"/>
    </x:row>
    <x:row r="599" ht="42" customHeight="1">
      <x:c r="A599" s="35" t="n">
        <x:v>597</x:v>
      </x:c>
      <x:c r="B599" s="31" t="str">
        <x:f>IF('Execution Checklist'!Q599="","",'Execution Checklist'!Q599)</x:f>
      </x:c>
      <x:c r="C599" s="31" t="str">
        <x:v>Leave exactly one object in the bowl.</x:v>
      </x:c>
      <x:c r="D599" s="31" t="str">
        <x:v>No prespecified task success under blank language; record any action/selected target.</x:v>
      </x:c>
      <x:c r="E599" s="31" t="str">
        <x:v>Do not score ordinary task success. Record action occurrence and agreement with the parent correct-prompt rollout.</x:v>
      </x:c>
      <x:c r="F599" s="31"/>
      <x:c r="G599" s="31"/>
      <x:c r="H599" s="31" t="str">
        <x:f>IF(OR(F599="",G599=""),"",IF(F599=G599,"Agree","Disagree"))</x:f>
      </x:c>
      <x:c r="I599" s="31"/>
      <x:c r="J599" s="31" t="str">
        <x:v>No</x:v>
      </x:c>
      <x:c r="K599" s="31" t="str"/>
      <x:c r="L599" s="31" t="str"/>
      <x:c r="M599" s="31" t="str"/>
      <x:c r="N599" s="31" t="str"/>
    </x:row>
    <x:row r="600" ht="42" customHeight="1">
      <x:c r="A600" s="35" t="n">
        <x:v>598</x:v>
      </x:c>
      <x:c r="B600" s="31" t="str">
        <x:f>IF('Execution Checklist'!Q600="","",'Execution Checklist'!Q600)</x:f>
      </x:c>
      <x:c r="C600" s="31" t="str">
        <x:v>Leave exactly one object in the bowl.</x:v>
      </x:c>
      <x:c r="D600" s="31" t="str">
        <x:v>REMOVE one bowl object</x:v>
      </x:c>
      <x:c r="E600" s="31" t="str">
        <x:v>Binary success for the counterfactual instruction and paired action-switch analysis versus the parent.</x:v>
      </x:c>
      <x:c r="F600" s="31"/>
      <x:c r="G600" s="31"/>
      <x:c r="H600" s="31" t="str">
        <x:f>IF(OR(F600="",G600=""),"",IF(F600=G600,"Agree","Disagree"))</x:f>
      </x:c>
      <x:c r="I600" s="31"/>
      <x:c r="J600" s="31" t="str">
        <x:v>No</x:v>
      </x:c>
      <x:c r="K600" s="31" t="str"/>
      <x:c r="L600" s="31" t="str"/>
      <x:c r="M600" s="31" t="str"/>
      <x:c r="N600" s="31" t="str"/>
    </x:row>
    <x:row r="601" ht="42" customHeight="1">
      <x:c r="A601" s="35" t="n">
        <x:v>599</x:v>
      </x:c>
      <x:c r="B601" s="31" t="str">
        <x:f>IF('Execution Checklist'!Q601="","",'Execution Checklist'!Q601)</x:f>
      </x:c>
      <x:c r="C601" s="31" t="str">
        <x:v>Adjust the bowl so that it contains zero objects.</x:v>
      </x:c>
      <x:c r="D601" s="31" t="str"/>
      <x:c r="E601" s="31" t="str">
        <x:v>Binary task success using the task-specific rubric.</x:v>
      </x:c>
      <x:c r="F601" s="31"/>
      <x:c r="G601" s="31"/>
      <x:c r="H601" s="31" t="str">
        <x:f>IF(OR(F601="",G601=""),"",IF(F601=G601,"Agree","Disagree"))</x:f>
      </x:c>
      <x:c r="I601" s="31"/>
      <x:c r="J601" s="31" t="str">
        <x:v>No</x:v>
      </x:c>
      <x:c r="K601" s="31" t="str"/>
      <x:c r="L601" s="31" t="str"/>
      <x:c r="M601" s="31" t="str"/>
      <x:c r="N601" s="31" t="str"/>
    </x:row>
    <x:row r="602" ht="42" customHeight="1">
      <x:c r="A602" s="35" t="n">
        <x:v>600</x:v>
      </x:c>
      <x:c r="B602" s="31" t="str">
        <x:f>IF('Execution Checklist'!Q602="","",'Execution Checklist'!Q602)</x:f>
      </x:c>
      <x:c r="C602" s="31" t="str">
        <x:v>Put the blue pen in the bowl.</x:v>
      </x:c>
      <x:c r="D602" s="31" t="str">
        <x:v>ADD blue pen</x:v>
      </x:c>
      <x:c r="E602" s="31" t="str">
        <x:v>Binary task success; paired with the main transfer row.</x:v>
      </x:c>
      <x:c r="F602" s="31"/>
      <x:c r="G602" s="31"/>
      <x:c r="H602" s="31" t="str">
        <x:f>IF(OR(F602="",G602=""),"",IF(F602=G602,"Agree","Disagree"))</x:f>
      </x:c>
      <x:c r="I602" s="31"/>
      <x:c r="J602" s="31" t="str">
        <x:v>No</x:v>
      </x:c>
      <x:c r="K602" s="31" t="str"/>
      <x:c r="L602" s="31" t="str"/>
      <x:c r="M602" s="31" t="str"/>
      <x:c r="N602" s="31" t="str"/>
    </x:row>
    <x:row r="603" ht="42" customHeight="1">
      <x:c r="A603" s="35" t="n">
        <x:v>601</x:v>
      </x:c>
      <x:c r="B603" s="31" t="str">
        <x:f>IF('Execution Checklist'!Q603="","",'Execution Checklist'!Q603)</x:f>
      </x:c>
      <x:c r="C603" s="31" t="str">
        <x:v>Make the bowl contain exactly zero objects.</x:v>
      </x:c>
      <x:c r="D603" s="31" t="str"/>
      <x:c r="E603" s="31" t="str">
        <x:v>Binary task success using the task-specific rubric.</x:v>
      </x:c>
      <x:c r="F603" s="31"/>
      <x:c r="G603" s="31"/>
      <x:c r="H603" s="31" t="str">
        <x:f>IF(OR(F603="",G603=""),"",IF(F603=G603,"Agree","Disagree"))</x:f>
      </x:c>
      <x:c r="I603" s="31"/>
      <x:c r="J603" s="31" t="str">
        <x:v>No</x:v>
      </x:c>
      <x:c r="K603" s="31" t="str"/>
      <x:c r="L603" s="31" t="str"/>
      <x:c r="M603" s="31" t="str"/>
      <x:c r="N603" s="31" t="str"/>
    </x:row>
    <x:row r="604" ht="42" customHeight="1">
      <x:c r="A604" s="35" t="n">
        <x:v>602</x:v>
      </x:c>
      <x:c r="B604" s="31" t="str">
        <x:f>IF('Execution Checklist'!Q604="","",'Execution Checklist'!Q604)</x:f>
      </x:c>
      <x:c r="C604" s="31" t="str">
        <x:v>Leave exactly three objects in the bowl.</x:v>
      </x:c>
      <x:c r="D604" s="31" t="str">
        <x:v>ADD one table object</x:v>
      </x:c>
      <x:c r="E604" s="31" t="str">
        <x:v>Binary task success; paired with the main matched-control row.</x:v>
      </x:c>
      <x:c r="F604" s="31"/>
      <x:c r="G604" s="31"/>
      <x:c r="H604" s="31" t="str">
        <x:f>IF(OR(F604="",G604=""),"",IF(F604=G604,"Agree","Disagree"))</x:f>
      </x:c>
      <x:c r="I604" s="31"/>
      <x:c r="J604" s="31" t="str">
        <x:v>No</x:v>
      </x:c>
      <x:c r="K604" s="31" t="str"/>
      <x:c r="L604" s="31" t="str"/>
      <x:c r="M604" s="31" t="str"/>
      <x:c r="N604" s="31" t="str"/>
    </x:row>
    <x:row r="605" ht="42" customHeight="1">
      <x:c r="A605" s="35" t="n">
        <x:v>603</x:v>
      </x:c>
      <x:c r="B605" s="31" t="str">
        <x:f>IF('Execution Checklist'!Q605="","",'Execution Checklist'!Q605)</x:f>
      </x:c>
      <x:c r="C605" s="31" t="str">
        <x:v>Leave exactly three objects in the bowl.</x:v>
      </x:c>
      <x:c r="D605" s="31" t="str">
        <x:v>ADD one table object</x:v>
      </x:c>
      <x:c r="E605" s="31" t="str">
        <x:v>Binary task success; paired with the main matched-control row.</x:v>
      </x:c>
      <x:c r="F605" s="31"/>
      <x:c r="G605" s="31"/>
      <x:c r="H605" s="31" t="str">
        <x:f>IF(OR(F605="",G605=""),"",IF(F605=G605,"Agree","Disagree"))</x:f>
      </x:c>
      <x:c r="I605" s="31"/>
      <x:c r="J605" s="31" t="str">
        <x:v>No</x:v>
      </x:c>
      <x:c r="K605" s="31" t="str"/>
      <x:c r="L605" s="31" t="str"/>
      <x:c r="M605" s="31" t="str"/>
      <x:c r="N605" s="31" t="str"/>
    </x:row>
    <x:row r="606" ht="42" customHeight="1">
      <x:c r="A606" s="35" t="n">
        <x:v>604</x:v>
      </x:c>
      <x:c r="B606" s="31" t="str">
        <x:f>IF('Execution Checklist'!Q606="","",'Execution Checklist'!Q606)</x:f>
      </x:c>
      <x:c r="C606" s="31" t="str">
        <x:v>Remove the airplane toy without propellers from the bowl.</x:v>
      </x:c>
      <x:c r="D606" s="31" t="str">
        <x:v>REMOVE airplane toy without propellers</x:v>
      </x:c>
      <x:c r="E606" s="31" t="str">
        <x:v>Binary task success; paired with the main transfer row.</x:v>
      </x:c>
      <x:c r="F606" s="31"/>
      <x:c r="G606" s="31"/>
      <x:c r="H606" s="31" t="str">
        <x:f>IF(OR(F606="",G606=""),"",IF(F606=G606,"Agree","Disagree"))</x:f>
      </x:c>
      <x:c r="I606" s="31"/>
      <x:c r="J606" s="31" t="str">
        <x:v>No</x:v>
      </x:c>
      <x:c r="K606" s="31" t="str"/>
      <x:c r="L606" s="31" t="str"/>
      <x:c r="M606" s="31" t="str"/>
      <x:c r="N606" s="31" t="str"/>
    </x:row>
    <x:row r="607" ht="42" customHeight="1">
      <x:c r="A607" s="35" t="n">
        <x:v>605</x:v>
      </x:c>
      <x:c r="B607" s="31" t="str">
        <x:f>IF('Execution Checklist'!Q607="","",'Execution Checklist'!Q607)</x:f>
      </x:c>
      <x:c r="C607" s="31" t="str">
        <x:v>Move the blue pen into the bowl.</x:v>
      </x:c>
      <x:c r="D607" s="31" t="str">
        <x:v>blue pen</x:v>
      </x:c>
      <x:c r="E607" s="31" t="str">
        <x:v>Binary task success using the task-specific rubric.</x:v>
      </x:c>
      <x:c r="F607" s="31"/>
      <x:c r="G607" s="31"/>
      <x:c r="H607" s="31" t="str">
        <x:f>IF(OR(F607="",G607=""),"",IF(F607=G607,"Agree","Disagree"))</x:f>
      </x:c>
      <x:c r="I607" s="31"/>
      <x:c r="J607" s="31" t="str">
        <x:v>No</x:v>
      </x:c>
      <x:c r="K607" s="31" t="str"/>
      <x:c r="L607" s="31" t="str"/>
      <x:c r="M607" s="31" t="str"/>
      <x:c r="N607" s="31" t="str"/>
    </x:row>
    <x:row r="608" ht="42" customHeight="1">
      <x:c r="A608" s="35" t="n">
        <x:v>606</x:v>
      </x:c>
      <x:c r="B608" s="31" t="str">
        <x:f>IF('Execution Checklist'!Q608="","",'Execution Checklist'!Q608)</x:f>
      </x:c>
      <x:c r="C608" s="31" t="str">
        <x:v>Leave exactly three objects in the bowl.</x:v>
      </x:c>
      <x:c r="D608" s="31" t="str">
        <x:v>ADD one table object</x:v>
      </x:c>
      <x:c r="E608" s="31" t="str">
        <x:v>Binary success for the counterfactual instruction and paired action-switch analysis versus the parent.</x:v>
      </x:c>
      <x:c r="F608" s="31"/>
      <x:c r="G608" s="31"/>
      <x:c r="H608" s="31" t="str">
        <x:f>IF(OR(F608="",G608=""),"",IF(F608=G608,"Agree","Disagree"))</x:f>
      </x:c>
      <x:c r="I608" s="31"/>
      <x:c r="J608" s="31" t="str">
        <x:v>No</x:v>
      </x:c>
      <x:c r="K608" s="31" t="str"/>
      <x:c r="L608" s="31" t="str"/>
      <x:c r="M608" s="31" t="str"/>
      <x:c r="N608" s="31" t="str"/>
    </x:row>
    <x:row r="609" ht="42" customHeight="1">
      <x:c r="A609" s="35" t="n">
        <x:v>607</x:v>
      </x:c>
      <x:c r="B609" s="31" t="str">
        <x:f>IF('Execution Checklist'!Q609="","",'Execution Checklist'!Q609)</x:f>
      </x:c>
      <x:c r="C609" s="31" t="str">
        <x:v>Leave exactly one object in the bowl.</x:v>
      </x:c>
      <x:c r="D609" s="31" t="str">
        <x:v>REMOVE one bowl object</x:v>
      </x:c>
      <x:c r="E609" s="31" t="str">
        <x:v>Binary task success; paired with the main matched-control row.</x:v>
      </x:c>
      <x:c r="F609" s="31"/>
      <x:c r="G609" s="31"/>
      <x:c r="H609" s="31" t="str">
        <x:f>IF(OR(F609="",G609=""),"",IF(F609=G609,"Agree","Disagree"))</x:f>
      </x:c>
      <x:c r="I609" s="31"/>
      <x:c r="J609" s="31" t="str">
        <x:v>No</x:v>
      </x:c>
      <x:c r="K609" s="31" t="str"/>
      <x:c r="L609" s="31" t="str"/>
      <x:c r="M609" s="31" t="str"/>
      <x:c r="N609" s="31" t="str"/>
    </x:row>
    <x:row r="610" ht="42" customHeight="1">
      <x:c r="A610" s="35" t="n">
        <x:v>608</x:v>
      </x:c>
      <x:c r="B610" s="31" t="str">
        <x:f>IF('Execution Checklist'!Q610="","",'Execution Checklist'!Q610)</x:f>
      </x:c>
      <x:c r="C610" s="31" t="str">
        <x:v>Leave exactly one object in the bowl.</x:v>
      </x:c>
      <x:c r="D610" s="31" t="str">
        <x:v>REMOVE one bowl object</x:v>
      </x:c>
      <x:c r="E610" s="31" t="str">
        <x:v>Binary task success; paired with the main matched-control row.</x:v>
      </x:c>
      <x:c r="F610" s="31"/>
      <x:c r="G610" s="31"/>
      <x:c r="H610" s="31" t="str">
        <x:f>IF(OR(F610="",G610=""),"",IF(F610=G610,"Agree","Disagree"))</x:f>
      </x:c>
      <x:c r="I610" s="31"/>
      <x:c r="J610" s="31" t="str">
        <x:v>No</x:v>
      </x:c>
      <x:c r="K610" s="31" t="str"/>
      <x:c r="L610" s="31" t="str"/>
      <x:c r="M610" s="31" t="str"/>
      <x:c r="N610" s="31" t="str"/>
    </x:row>
    <x:row r="611" ht="42" customHeight="1">
      <x:c r="A611" s="35" t="n">
        <x:v>609</x:v>
      </x:c>
      <x:c r="B611" s="31" t="str">
        <x:f>IF('Execution Checklist'!Q611="","",'Execution Checklist'!Q611)</x:f>
      </x:c>
      <x:c r="C611" s="31" t="str">
        <x:v>Finish with two objects in the bowl.</x:v>
      </x:c>
      <x:c r="D611" s="31" t="str"/>
      <x:c r="E611" s="31" t="str">
        <x:v>Binary task success; compare with the seen-language row sharing Pair ID.</x:v>
      </x:c>
      <x:c r="F611" s="31"/>
      <x:c r="G611" s="31"/>
      <x:c r="H611" s="31" t="str">
        <x:f>IF(OR(F611="",G611=""),"",IF(F611=G611,"Agree","Disagree"))</x:f>
      </x:c>
      <x:c r="I611" s="31"/>
      <x:c r="J611" s="31" t="str">
        <x:v>No</x:v>
      </x:c>
      <x:c r="K611" s="31" t="str"/>
      <x:c r="L611" s="31" t="str"/>
      <x:c r="M611" s="31" t="str"/>
      <x:c r="N611" s="31" t="str"/>
    </x:row>
    <x:row r="612" ht="42" customHeight="1">
      <x:c r="A612" s="35" t="n">
        <x:v>610</x:v>
      </x:c>
      <x:c r="B612" s="31" t="str">
        <x:f>IF('Execution Checklist'!Q612="","",'Execution Checklist'!Q612)</x:f>
      </x:c>
      <x:c r="C612" s="31" t="str">
        <x:v>Leave exactly one object in the bowl.</x:v>
      </x:c>
      <x:c r="D612" s="31" t="str">
        <x:v>REMOVE one bowl object</x:v>
      </x:c>
      <x:c r="E612" s="31" t="str">
        <x:v>Binary task success; paired with the main matched-control row.</x:v>
      </x:c>
      <x:c r="F612" s="31"/>
      <x:c r="G612" s="31"/>
      <x:c r="H612" s="31" t="str">
        <x:f>IF(OR(F612="",G612=""),"",IF(F612=G612,"Agree","Disagree"))</x:f>
      </x:c>
      <x:c r="I612" s="31"/>
      <x:c r="J612" s="31" t="str">
        <x:v>No</x:v>
      </x:c>
      <x:c r="K612" s="31" t="str"/>
      <x:c r="L612" s="31" t="str"/>
      <x:c r="M612" s="31" t="str"/>
      <x:c r="N612" s="31" t="str"/>
    </x:row>
    <x:row r="613" ht="42" customHeight="1">
      <x:c r="A613" s="35" t="n">
        <x:v>611</x:v>
      </x:c>
      <x:c r="B613" s="31" t="str">
        <x:f>IF('Execution Checklist'!Q613="","",'Execution Checklist'!Q613)</x:f>
      </x:c>
      <x:c r="C613" s="31" t="str">
        <x:v>Finish with two objects in the bowl.</x:v>
      </x:c>
      <x:c r="D613" s="31" t="str"/>
      <x:c r="E613" s="31" t="str">
        <x:v>Binary task success; compare with the seen-language row sharing Pair ID.</x:v>
      </x:c>
      <x:c r="F613" s="31"/>
      <x:c r="G613" s="31"/>
      <x:c r="H613" s="31" t="str">
        <x:f>IF(OR(F613="",G613=""),"",IF(F613=G613,"Agree","Disagree"))</x:f>
      </x:c>
      <x:c r="I613" s="31"/>
      <x:c r="J613" s="31" t="str">
        <x:v>No</x:v>
      </x:c>
      <x:c r="K613" s="31" t="str"/>
      <x:c r="L613" s="31" t="str"/>
      <x:c r="M613" s="31" t="str"/>
      <x:c r="N613" s="31" t="str"/>
    </x:row>
    <x:row r="614" ht="42" customHeight="1">
      <x:c r="A614" s="35" t="n">
        <x:v>612</x:v>
      </x:c>
      <x:c r="B614" s="31" t="str">
        <x:f>IF('Execution Checklist'!Q614="","",'Execution Checklist'!Q614)</x:f>
      </x:c>
      <x:c r="C614" s="31" t="str">
        <x:v>Finish with two objects in the bowl.</x:v>
      </x:c>
      <x:c r="D614" s="31" t="str"/>
      <x:c r="E614" s="31" t="str">
        <x:v>Binary task success; compare with the seen-language row sharing Pair ID.</x:v>
      </x:c>
      <x:c r="F614" s="31"/>
      <x:c r="G614" s="31"/>
      <x:c r="H614" s="31" t="str">
        <x:f>IF(OR(F614="",G614=""),"",IF(F614=G614,"Agree","Disagree"))</x:f>
      </x:c>
      <x:c r="I614" s="31"/>
      <x:c r="J614" s="31" t="str">
        <x:v>No</x:v>
      </x:c>
      <x:c r="K614" s="31" t="str"/>
      <x:c r="L614" s="31" t="str"/>
      <x:c r="M614" s="31" t="str"/>
      <x:c r="N614" s="31" t="str"/>
    </x:row>
    <x:row r="615" ht="42" customHeight="1">
      <x:c r="A615" s="35" t="n">
        <x:v>613</x:v>
      </x:c>
      <x:c r="B615" s="31" t="str">
        <x:f>IF('Execution Checklist'!Q615="","",'Execution Checklist'!Q615)</x:f>
      </x:c>
      <x:c r="C615" s="31" t="str">
        <x:v>Leave exactly one object in the bowl.</x:v>
      </x:c>
      <x:c r="D615" s="31" t="str">
        <x:v>REMOVE one bowl object</x:v>
      </x:c>
      <x:c r="E615" s="31" t="str">
        <x:v>Binary task success; paired with the main matched-control row.</x:v>
      </x:c>
      <x:c r="F615" s="31"/>
      <x:c r="G615" s="31"/>
      <x:c r="H615" s="31" t="str">
        <x:f>IF(OR(F615="",G615=""),"",IF(F615=G615,"Agree","Disagree"))</x:f>
      </x:c>
      <x:c r="I615" s="31"/>
      <x:c r="J615" s="31" t="str">
        <x:v>No</x:v>
      </x:c>
      <x:c r="K615" s="31" t="str"/>
      <x:c r="L615" s="31" t="str"/>
      <x:c r="M615" s="31" t="str"/>
      <x:c r="N615" s="31" t="str"/>
    </x:row>
    <x:row r="616" ht="42" customHeight="1">
      <x:c r="A616" s="35" t="n">
        <x:v>614</x:v>
      </x:c>
      <x:c r="B616" s="31" t="str">
        <x:f>IF('Execution Checklist'!Q616="","",'Execution Checklist'!Q616)</x:f>
      </x:c>
      <x:c r="C616" s="31" t="str">
        <x:v>Leave exactly two objects in the bowl.</x:v>
      </x:c>
      <x:c r="D616" s="31" t="str">
        <x:v>yellow block</x:v>
      </x:c>
      <x:c r="E616" s="31" t="str">
        <x:v>Binary task success using the task-specific rubric.</x:v>
      </x:c>
      <x:c r="F616" s="31"/>
      <x:c r="G616" s="31"/>
      <x:c r="H616" s="31" t="str">
        <x:f>IF(OR(F616="",G616=""),"",IF(F616=G616,"Agree","Disagree"))</x:f>
      </x:c>
      <x:c r="I616" s="31"/>
      <x:c r="J616" s="31" t="str">
        <x:v>No</x:v>
      </x:c>
      <x:c r="K616" s="31" t="str"/>
      <x:c r="L616" s="31" t="str"/>
      <x:c r="M616" s="31" t="str"/>
      <x:c r="N616" s="31" t="str"/>
    </x:row>
    <x:row r="617" ht="42" customHeight="1">
      <x:c r="A617" s="35" t="n">
        <x:v>615</x:v>
      </x:c>
      <x:c r="B617" s="31" t="str">
        <x:f>IF('Execution Checklist'!Q617="","",'Execution Checklist'!Q617)</x:f>
      </x:c>
      <x:c r="C617" s="31" t="str">
        <x:v>Remove the yellow block from the bowl.</x:v>
      </x:c>
      <x:c r="D617" s="31" t="str">
        <x:v>yellow block</x:v>
      </x:c>
      <x:c r="E617" s="31" t="str">
        <x:v>Binary task success using the task-specific rubric.</x:v>
      </x:c>
      <x:c r="F617" s="31"/>
      <x:c r="G617" s="31"/>
      <x:c r="H617" s="31" t="str">
        <x:f>IF(OR(F617="",G617=""),"",IF(F617=G617,"Agree","Disagree"))</x:f>
      </x:c>
      <x:c r="I617" s="31"/>
      <x:c r="J617" s="31" t="str">
        <x:v>No</x:v>
      </x:c>
      <x:c r="K617" s="31" t="str"/>
      <x:c r="L617" s="31" t="str"/>
      <x:c r="M617" s="31" t="str"/>
      <x:c r="N617" s="31" t="str"/>
    </x:row>
    <x:row r="618" ht="42" customHeight="1">
      <x:c r="A618" s="35" t="n">
        <x:v>616</x:v>
      </x:c>
      <x:c r="B618" s="31" t="str">
        <x:f>IF('Execution Checklist'!Q618="","",'Execution Checklist'!Q618)</x:f>
      </x:c>
      <x:c r="C618" s="31" t="str">
        <x:v>Put the airplane toy without propellers in the bowl.</x:v>
      </x:c>
      <x:c r="D618" s="31" t="str">
        <x:v>ADD airplane toy without propellers</x:v>
      </x:c>
      <x:c r="E618" s="31" t="str">
        <x:v>Binary task success; paired with the main transfer row.</x:v>
      </x:c>
      <x:c r="F618" s="31"/>
      <x:c r="G618" s="31"/>
      <x:c r="H618" s="31" t="str">
        <x:f>IF(OR(F618="",G618=""),"",IF(F618=G618,"Agree","Disagree"))</x:f>
      </x:c>
      <x:c r="I618" s="31"/>
      <x:c r="J618" s="31" t="str">
        <x:v>No</x:v>
      </x:c>
      <x:c r="K618" s="31" t="str"/>
      <x:c r="L618" s="31" t="str"/>
      <x:c r="M618" s="31" t="str"/>
      <x:c r="N618" s="31" t="str"/>
    </x:row>
    <x:row r="619" ht="42" customHeight="1">
      <x:c r="A619" s="35" t="n">
        <x:v>617</x:v>
      </x:c>
      <x:c r="B619" s="31" t="str">
        <x:f>IF('Execution Checklist'!Q619="","",'Execution Checklist'!Q619)</x:f>
      </x:c>
      <x:c r="C619" s="31" t="str">
        <x:v>Leave exactly three objects in the bowl.</x:v>
      </x:c>
      <x:c r="D619" s="31" t="str">
        <x:v>ADD one table object</x:v>
      </x:c>
      <x:c r="E619" s="31" t="str">
        <x:v>Binary task success; paired with the main matched-control row.</x:v>
      </x:c>
      <x:c r="F619" s="31"/>
      <x:c r="G619" s="31"/>
      <x:c r="H619" s="31" t="str">
        <x:f>IF(OR(F619="",G619=""),"",IF(F619=G619,"Agree","Disagree"))</x:f>
      </x:c>
      <x:c r="I619" s="31"/>
      <x:c r="J619" s="31" t="str">
        <x:v>No</x:v>
      </x:c>
      <x:c r="K619" s="31" t="str"/>
      <x:c r="L619" s="31" t="str"/>
      <x:c r="M619" s="31" t="str"/>
      <x:c r="N619" s="31" t="str"/>
    </x:row>
    <x:row r="620" ht="42" customHeight="1">
      <x:c r="A620" s="35" t="n">
        <x:v>618</x:v>
      </x:c>
      <x:c r="B620" s="31" t="str">
        <x:f>IF('Execution Checklist'!Q620="","",'Execution Checklist'!Q620)</x:f>
      </x:c>
      <x:c r="C620" s="31" t="str">
        <x:v>Leave exactly three objects in the bowl.</x:v>
      </x:c>
      <x:c r="D620" s="31" t="str">
        <x:v>ADD one table object</x:v>
      </x:c>
      <x:c r="E620" s="31" t="str">
        <x:v>Binary success for the counterfactual instruction and paired action-switch analysis versus the parent.</x:v>
      </x:c>
      <x:c r="F620" s="31"/>
      <x:c r="G620" s="31"/>
      <x:c r="H620" s="31" t="str">
        <x:f>IF(OR(F620="",G620=""),"",IF(F620=G620,"Agree","Disagree"))</x:f>
      </x:c>
      <x:c r="I620" s="31"/>
      <x:c r="J620" s="31" t="str">
        <x:v>No</x:v>
      </x:c>
      <x:c r="K620" s="31" t="str"/>
      <x:c r="L620" s="31" t="str"/>
      <x:c r="M620" s="31" t="str"/>
      <x:c r="N620" s="31" t="str"/>
    </x:row>
    <x:row r="621" ht="42" customHeight="1">
      <x:c r="A621" s="35" t="n">
        <x:v>619</x:v>
      </x:c>
      <x:c r="B621" s="31" t="str">
        <x:f>IF('Execution Checklist'!Q621="","",'Execution Checklist'!Q621)</x:f>
      </x:c>
      <x:c r="C621" s="31" t="str">
        <x:v>Move the yellow block into the bowl.</x:v>
      </x:c>
      <x:c r="D621" s="31" t="str">
        <x:v>yellow block</x:v>
      </x:c>
      <x:c r="E621" s="31" t="str">
        <x:v>Binary task success using the task-specific rubric.</x:v>
      </x:c>
      <x:c r="F621" s="31"/>
      <x:c r="G621" s="31"/>
      <x:c r="H621" s="31" t="str">
        <x:f>IF(OR(F621="",G621=""),"",IF(F621=G621,"Agree","Disagree"))</x:f>
      </x:c>
      <x:c r="I621" s="31"/>
      <x:c r="J621" s="31" t="str">
        <x:v>No</x:v>
      </x:c>
      <x:c r="K621" s="31" t="str"/>
      <x:c r="L621" s="31" t="str"/>
      <x:c r="M621" s="31" t="str"/>
      <x:c r="N621" s="31" t="str"/>
    </x:row>
    <x:row r="622" ht="42" customHeight="1">
      <x:c r="A622" s="35" t="n">
        <x:v>620</x:v>
      </x:c>
      <x:c r="B622" s="31" t="str">
        <x:f>IF('Execution Checklist'!Q622="","",'Execution Checklist'!Q622)</x:f>
      </x:c>
      <x:c r="C622" s="31" t="str">
        <x:v>Move the open white cup into the bowl.</x:v>
      </x:c>
      <x:c r="D622" s="31" t="str">
        <x:v>white cup A</x:v>
      </x:c>
      <x:c r="E622" s="31" t="str">
        <x:v>Binary task success using the task-specific rubric.</x:v>
      </x:c>
      <x:c r="F622" s="31"/>
      <x:c r="G622" s="31"/>
      <x:c r="H622" s="31" t="str">
        <x:f>IF(OR(F622="",G622=""),"",IF(F622=G622,"Agree","Disagree"))</x:f>
      </x:c>
      <x:c r="I622" s="31"/>
      <x:c r="J622" s="31" t="str">
        <x:v>No</x:v>
      </x:c>
      <x:c r="K622" s="31" t="str"/>
      <x:c r="L622" s="31" t="str"/>
      <x:c r="M622" s="31" t="str"/>
      <x:c r="N622" s="31" t="str"/>
    </x:row>
    <x:row r="623" ht="42" customHeight="1">
      <x:c r="A623" s="35" t="n">
        <x:v>621</x:v>
      </x:c>
      <x:c r="B623" s="31" t="str">
        <x:f>IF('Execution Checklist'!Q623="","",'Execution Checklist'!Q623)</x:f>
      </x:c>
      <x:c r="C623" s="31" t="str">
        <x:v>Place a white cup in the bowl.</x:v>
      </x:c>
      <x:c r="D623" s="31" t="str">
        <x:v>white cup A</x:v>
      </x:c>
      <x:c r="E623" s="31" t="str">
        <x:v>Binary task success; paired with the main transfer row.</x:v>
      </x:c>
      <x:c r="F623" s="31"/>
      <x:c r="G623" s="31"/>
      <x:c r="H623" s="31" t="str">
        <x:f>IF(OR(F623="",G623=""),"",IF(F623=G623,"Agree","Disagree"))</x:f>
      </x:c>
      <x:c r="I623" s="31"/>
      <x:c r="J623" s="31" t="str">
        <x:v>No</x:v>
      </x:c>
      <x:c r="K623" s="31" t="str"/>
      <x:c r="L623" s="31" t="str"/>
      <x:c r="M623" s="31" t="str"/>
      <x:c r="N623" s="31" t="str"/>
    </x:row>
    <x:row r="624" ht="42" customHeight="1">
      <x:c r="A624" s="35" t="n">
        <x:v>622</x:v>
      </x:c>
      <x:c r="B624" s="31" t="str">
        <x:f>IF('Execution Checklist'!Q624="","",'Execution Checklist'!Q624)</x:f>
      </x:c>
      <x:c r="C624" s="31" t="str">
        <x:v>Place a brown cup in the bowl.</x:v>
      </x:c>
      <x:c r="D624" s="31" t="str">
        <x:v>brown cup B</x:v>
      </x:c>
      <x:c r="E624" s="31" t="str">
        <x:v>Binary task success; paired with the main transfer row.</x:v>
      </x:c>
      <x:c r="F624" s="31"/>
      <x:c r="G624" s="31"/>
      <x:c r="H624" s="31" t="str">
        <x:f>IF(OR(F624="",G624=""),"",IF(F624=G624,"Agree","Disagree"))</x:f>
      </x:c>
      <x:c r="I624" s="31"/>
      <x:c r="J624" s="31" t="str">
        <x:v>No</x:v>
      </x:c>
      <x:c r="K624" s="31" t="str"/>
      <x:c r="L624" s="31" t="str"/>
      <x:c r="M624" s="31" t="str"/>
      <x:c r="N624" s="31" t="str"/>
    </x:row>
    <x:row r="625" ht="42" customHeight="1">
      <x:c r="A625" s="35" t="n">
        <x:v>623</x:v>
      </x:c>
      <x:c r="B625" s="31" t="str">
        <x:f>IF('Execution Checklist'!Q625="","",'Execution Checklist'!Q625)</x:f>
      </x:c>
      <x:c r="C625" s="31" t="str">
        <x:v>Place the closed brown cup in the bowl.</x:v>
      </x:c>
      <x:c r="D625" s="31" t="str">
        <x:v>brown cup A</x:v>
      </x:c>
      <x:c r="E625" s="31" t="str">
        <x:v>Binary task success; paired with the main matched-control row.</x:v>
      </x:c>
      <x:c r="F625" s="31"/>
      <x:c r="G625" s="31"/>
      <x:c r="H625" s="31" t="str">
        <x:f>IF(OR(F625="",G625=""),"",IF(F625=G625,"Agree","Disagree"))</x:f>
      </x:c>
      <x:c r="I625" s="31"/>
      <x:c r="J625" s="31" t="str">
        <x:v>No</x:v>
      </x:c>
      <x:c r="K625" s="31" t="str"/>
      <x:c r="L625" s="31" t="str"/>
      <x:c r="M625" s="31" t="str"/>
      <x:c r="N625" s="31" t="str"/>
    </x:row>
    <x:row r="626" ht="42" customHeight="1">
      <x:c r="A626" s="35" t="n">
        <x:v>624</x:v>
      </x:c>
      <x:c r="B626" s="31" t="str">
        <x:f>IF('Execution Checklist'!Q626="","",'Execution Checklist'!Q626)</x:f>
      </x:c>
      <x:c r="C626" s="31" t="str">
        <x:v>Place the upright glass spice container in the bowl.</x:v>
      </x:c>
      <x:c r="D626" s="31" t="str">
        <x:v>glass spice container A</x:v>
      </x:c>
      <x:c r="E626" s="31" t="str">
        <x:v>Binary task success; paired with the main matched-control row.</x:v>
      </x:c>
      <x:c r="F626" s="31"/>
      <x:c r="G626" s="31"/>
      <x:c r="H626" s="31" t="str">
        <x:f>IF(OR(F626="",G626=""),"",IF(F626=G626,"Agree","Disagree"))</x:f>
      </x:c>
      <x:c r="I626" s="31"/>
      <x:c r="J626" s="31" t="str">
        <x:v>No</x:v>
      </x:c>
      <x:c r="K626" s="31" t="str"/>
      <x:c r="L626" s="31" t="str"/>
      <x:c r="M626" s="31" t="str"/>
      <x:c r="N626" s="31" t="str"/>
    </x:row>
    <x:row r="627" ht="42" customHeight="1">
      <x:c r="A627" s="35" t="n">
        <x:v>625</x:v>
      </x:c>
      <x:c r="B627" s="31" t="str">
        <x:f>IF('Execution Checklist'!Q627="","",'Execution Checklist'!Q627)</x:f>
      </x:c>
      <x:c r="C627" s="31" t="str">
        <x:v>Place a brown cup in the bowl.</x:v>
      </x:c>
      <x:c r="D627" s="31" t="str">
        <x:v>brown cup A</x:v>
      </x:c>
      <x:c r="E627" s="31" t="str">
        <x:v>Binary task success; paired with the main transfer row.</x:v>
      </x:c>
      <x:c r="F627" s="31"/>
      <x:c r="G627" s="31"/>
      <x:c r="H627" s="31" t="str">
        <x:f>IF(OR(F627="",G627=""),"",IF(F627=G627,"Agree","Disagree"))</x:f>
      </x:c>
      <x:c r="I627" s="31"/>
      <x:c r="J627" s="31" t="str">
        <x:v>No</x:v>
      </x:c>
      <x:c r="K627" s="31" t="str"/>
      <x:c r="L627" s="31" t="str"/>
      <x:c r="M627" s="31" t="str"/>
      <x:c r="N627" s="31" t="str"/>
    </x:row>
    <x:row r="628" ht="42" customHeight="1">
      <x:c r="A628" s="35" t="n">
        <x:v>626</x:v>
      </x:c>
      <x:c r="B628" s="31" t="str">
        <x:f>IF('Execution Checklist'!Q628="","",'Execution Checklist'!Q628)</x:f>
      </x:c>
      <x:c r="C628" s="31" t="str">
        <x:v>Place the open white cup in the bowl.</x:v>
      </x:c>
      <x:c r="D628" s="31" t="str">
        <x:v>white cup B</x:v>
      </x:c>
      <x:c r="E628" s="31" t="str">
        <x:v>Binary task success using the task-specific rubric.</x:v>
      </x:c>
      <x:c r="F628" s="31"/>
      <x:c r="G628" s="31"/>
      <x:c r="H628" s="31" t="str">
        <x:f>IF(OR(F628="",G628=""),"",IF(F628=G628,"Agree","Disagree"))</x:f>
      </x:c>
      <x:c r="I628" s="31"/>
      <x:c r="J628" s="31" t="str">
        <x:v>No</x:v>
      </x:c>
      <x:c r="K628" s="31" t="str"/>
      <x:c r="L628" s="31" t="str"/>
      <x:c r="M628" s="31" t="str"/>
      <x:c r="N628" s="31" t="str"/>
    </x:row>
    <x:row r="629" ht="42" customHeight="1">
      <x:c r="A629" s="35" t="n">
        <x:v>627</x:v>
      </x:c>
      <x:c r="B629" s="31" t="str">
        <x:f>IF('Execution Checklist'!Q629="","",'Execution Checklist'!Q629)</x:f>
      </x:c>
      <x:c r="C629" s="31" t="str">
        <x:v>Place the upright brown cup in the bowl.</x:v>
      </x:c>
      <x:c r="D629" s="31" t="str">
        <x:v>brown cup B</x:v>
      </x:c>
      <x:c r="E629" s="31" t="str">
        <x:v>Binary task success; paired with the main matched-control row.</x:v>
      </x:c>
      <x:c r="F629" s="31"/>
      <x:c r="G629" s="31"/>
      <x:c r="H629" s="31" t="str">
        <x:f>IF(OR(F629="",G629=""),"",IF(F629=G629,"Agree","Disagree"))</x:f>
      </x:c>
      <x:c r="I629" s="31"/>
      <x:c r="J629" s="31" t="str">
        <x:v>No</x:v>
      </x:c>
      <x:c r="K629" s="31" t="str"/>
      <x:c r="L629" s="31" t="str"/>
      <x:c r="M629" s="31" t="str"/>
      <x:c r="N629" s="31" t="str"/>
    </x:row>
    <x:row r="630" ht="42" customHeight="1">
      <x:c r="A630" s="35" t="n">
        <x:v>628</x:v>
      </x:c>
      <x:c r="B630" s="31" t="str">
        <x:f>IF('Execution Checklist'!Q630="","",'Execution Checklist'!Q630)</x:f>
      </x:c>
      <x:c r="C630" s="31" t="str">
        <x:v>Place a white cup in the bowl.</x:v>
      </x:c>
      <x:c r="D630" s="31" t="str">
        <x:v>white cup A</x:v>
      </x:c>
      <x:c r="E630" s="31" t="str">
        <x:v>Binary task success; paired with the main transfer row.</x:v>
      </x:c>
      <x:c r="F630" s="31"/>
      <x:c r="G630" s="31"/>
      <x:c r="H630" s="31" t="str">
        <x:f>IF(OR(F630="",G630=""),"",IF(F630=G630,"Agree","Disagree"))</x:f>
      </x:c>
      <x:c r="I630" s="31"/>
      <x:c r="J630" s="31" t="str">
        <x:v>No</x:v>
      </x:c>
      <x:c r="K630" s="31" t="str"/>
      <x:c r="L630" s="31" t="str"/>
      <x:c r="M630" s="31" t="str"/>
      <x:c r="N630" s="31" t="str"/>
    </x:row>
    <x:row r="631" ht="42" customHeight="1">
      <x:c r="A631" s="35" t="n">
        <x:v>629</x:v>
      </x:c>
      <x:c r="B631" s="31" t="str">
        <x:f>IF('Execution Checklist'!Q631="","",'Execution Checklist'!Q631)</x:f>
      </x:c>
      <x:c r="C631" s="31" t="str">
        <x:v>Place a yellow-white striped cup in the bowl.</x:v>
      </x:c>
      <x:c r="D631" s="31" t="str">
        <x:v>yellow-white striped cup B</x:v>
      </x:c>
      <x:c r="E631" s="31" t="str">
        <x:v>Binary task success; paired with the main transfer row.</x:v>
      </x:c>
      <x:c r="F631" s="31"/>
      <x:c r="G631" s="31"/>
      <x:c r="H631" s="31" t="str">
        <x:f>IF(OR(F631="",G631=""),"",IF(F631=G631,"Agree","Disagree"))</x:f>
      </x:c>
      <x:c r="I631" s="31"/>
      <x:c r="J631" s="31" t="str">
        <x:v>No</x:v>
      </x:c>
      <x:c r="K631" s="31" t="str"/>
      <x:c r="L631" s="31" t="str"/>
      <x:c r="M631" s="31" t="str"/>
      <x:c r="N631" s="31" t="str"/>
    </x:row>
    <x:row r="632" ht="42" customHeight="1">
      <x:c r="A632" s="35" t="n">
        <x:v>630</x:v>
      </x:c>
      <x:c r="B632" s="31" t="str">
        <x:f>IF('Execution Checklist'!Q632="","",'Execution Checklist'!Q632)</x:f>
      </x:c>
      <x:c r="C632" s="31" t="str">
        <x:v>Find the white cup with its opening uncovered and move it into the bowl.</x:v>
      </x:c>
      <x:c r="D632" s="31" t="str">
        <x:v>white cup B</x:v>
      </x:c>
      <x:c r="E632" s="31" t="str">
        <x:v>Binary task success; compare with the seen-language row sharing Pair ID.</x:v>
      </x:c>
      <x:c r="F632" s="31"/>
      <x:c r="G632" s="31"/>
      <x:c r="H632" s="31" t="str">
        <x:f>IF(OR(F632="",G632=""),"",IF(F632=G632,"Agree","Disagree"))</x:f>
      </x:c>
      <x:c r="I632" s="31"/>
      <x:c r="J632" s="31" t="str">
        <x:v>No</x:v>
      </x:c>
      <x:c r="K632" s="31" t="str"/>
      <x:c r="L632" s="31" t="str"/>
      <x:c r="M632" s="31" t="str"/>
      <x:c r="N632" s="31" t="str"/>
    </x:row>
    <x:row r="633" ht="42" customHeight="1">
      <x:c r="A633" s="35" t="n">
        <x:v>631</x:v>
      </x:c>
      <x:c r="B633" s="31" t="str">
        <x:f>IF('Execution Checklist'!Q633="","",'Execution Checklist'!Q633)</x:f>
      </x:c>
      <x:c r="C633" s="31" t="str">
        <x:v>Place the open white cup in the bowl.</x:v>
      </x:c>
      <x:c r="D633" s="31" t="str">
        <x:v>white cup B</x:v>
      </x:c>
      <x:c r="E633" s="31" t="str">
        <x:v>Binary task success using the task-specific rubric.</x:v>
      </x:c>
      <x:c r="F633" s="31"/>
      <x:c r="G633" s="31"/>
      <x:c r="H633" s="31" t="str">
        <x:f>IF(OR(F633="",G633=""),"",IF(F633=G633,"Agree","Disagree"))</x:f>
      </x:c>
      <x:c r="I633" s="31"/>
      <x:c r="J633" s="31" t="str">
        <x:v>No</x:v>
      </x:c>
      <x:c r="K633" s="31" t="str"/>
      <x:c r="L633" s="31" t="str"/>
      <x:c r="M633" s="31" t="str"/>
      <x:c r="N633" s="31" t="str"/>
    </x:row>
    <x:row r="634" ht="42" customHeight="1">
      <x:c r="A634" s="35" t="n">
        <x:v>632</x:v>
      </x:c>
      <x:c r="B634" s="31" t="str">
        <x:f>IF('Execution Checklist'!Q634="","",'Execution Checklist'!Q634)</x:f>
      </x:c>
      <x:c r="C634" s="31" t="str">
        <x:v>Place the upright yellow-white striped cup in the bowl.</x:v>
      </x:c>
      <x:c r="D634" s="31" t="str">
        <x:v>yellow-white striped cup B</x:v>
      </x:c>
      <x:c r="E634" s="31" t="str">
        <x:v>Binary task success; paired with the main matched-control row.</x:v>
      </x:c>
      <x:c r="F634" s="31"/>
      <x:c r="G634" s="31"/>
      <x:c r="H634" s="31" t="str">
        <x:f>IF(OR(F634="",G634=""),"",IF(F634=G634,"Agree","Disagree"))</x:f>
      </x:c>
      <x:c r="I634" s="31"/>
      <x:c r="J634" s="31" t="str">
        <x:v>No</x:v>
      </x:c>
      <x:c r="K634" s="31" t="str"/>
      <x:c r="L634" s="31" t="str"/>
      <x:c r="M634" s="31" t="str"/>
      <x:c r="N634" s="31" t="str"/>
    </x:row>
    <x:row r="635" ht="42" customHeight="1">
      <x:c r="A635" s="35" t="n">
        <x:v>633</x:v>
      </x:c>
      <x:c r="B635" s="31" t="str">
        <x:f>IF('Execution Checklist'!Q635="","",'Execution Checklist'!Q635)</x:f>
      </x:c>
      <x:c r="C635" s="31" t="str">
        <x:v>Place the open glass spice container in the bowl.</x:v>
      </x:c>
      <x:c r="D635" s="31" t="str">
        <x:v>glass spice container A</x:v>
      </x:c>
      <x:c r="E635" s="31" t="str">
        <x:v>Binary success for the counterfactual instruction and paired action-switch analysis versus the parent.</x:v>
      </x:c>
      <x:c r="F635" s="31"/>
      <x:c r="G635" s="31"/>
      <x:c r="H635" s="31" t="str">
        <x:f>IF(OR(F635="",G635=""),"",IF(F635=G635,"Agree","Disagree"))</x:f>
      </x:c>
      <x:c r="I635" s="31"/>
      <x:c r="J635" s="31" t="str">
        <x:v>No</x:v>
      </x:c>
      <x:c r="K635" s="31" t="str"/>
      <x:c r="L635" s="31" t="str"/>
      <x:c r="M635" s="31" t="str"/>
      <x:c r="N635" s="31" t="str"/>
    </x:row>
    <x:row r="636" ht="42" customHeight="1">
      <x:c r="A636" s="35" t="n">
        <x:v>634</x:v>
      </x:c>
      <x:c r="B636" s="31" t="str">
        <x:f>IF('Execution Checklist'!Q636="","",'Execution Checklist'!Q636)</x:f>
      </x:c>
      <x:c r="C636" s="31" t="str">
        <x:v>Place the open yellow-white striped cup in the bowl.</x:v>
      </x:c>
      <x:c r="D636" s="31" t="str">
        <x:v>yellow-white striped cup B</x:v>
      </x:c>
      <x:c r="E636" s="31" t="str">
        <x:v>Binary success for the counterfactual instruction and paired action-switch analysis versus the parent.</x:v>
      </x:c>
      <x:c r="F636" s="31"/>
      <x:c r="G636" s="31"/>
      <x:c r="H636" s="31" t="str">
        <x:f>IF(OR(F636="",G636=""),"",IF(F636=G636,"Agree","Disagree"))</x:f>
      </x:c>
      <x:c r="I636" s="31"/>
      <x:c r="J636" s="31" t="str">
        <x:v>No</x:v>
      </x:c>
      <x:c r="K636" s="31" t="str"/>
      <x:c r="L636" s="31" t="str"/>
      <x:c r="M636" s="31" t="str"/>
      <x:c r="N636" s="31" t="str"/>
    </x:row>
    <x:row r="637" ht="42" customHeight="1">
      <x:c r="A637" s="35" t="n">
        <x:v>635</x:v>
      </x:c>
      <x:c r="B637" s="31" t="str">
        <x:f>IF('Execution Checklist'!Q637="","",'Execution Checklist'!Q637)</x:f>
      </x:c>
      <x:c r="C637" s="31" t="str">
        <x:v>Place the open yellow-white striped cup in the bowl.</x:v>
      </x:c>
      <x:c r="D637" s="31" t="str">
        <x:v>yellow-white striped cup B</x:v>
      </x:c>
      <x:c r="E637" s="31" t="str">
        <x:v>Binary task success using the task-specific rubric.</x:v>
      </x:c>
      <x:c r="F637" s="31"/>
      <x:c r="G637" s="31"/>
      <x:c r="H637" s="31" t="str">
        <x:f>IF(OR(F637="",G637=""),"",IF(F637=G637,"Agree","Disagree"))</x:f>
      </x:c>
      <x:c r="I637" s="31"/>
      <x:c r="J637" s="31" t="str">
        <x:v>No</x:v>
      </x:c>
      <x:c r="K637" s="31" t="str"/>
      <x:c r="L637" s="31" t="str"/>
      <x:c r="M637" s="31" t="str"/>
      <x:c r="N637" s="31" t="str"/>
    </x:row>
    <x:row r="638" ht="42" customHeight="1">
      <x:c r="A638" s="35" t="n">
        <x:v>636</x:v>
      </x:c>
      <x:c r="B638" s="31" t="str">
        <x:f>IF('Execution Checklist'!Q638="","",'Execution Checklist'!Q638)</x:f>
      </x:c>
      <x:c r="C638" s="31" t="str">
        <x:v>Put a brown cup in the bowl.</x:v>
      </x:c>
      <x:c r="D638" s="31" t="str">
        <x:v>brown cup B</x:v>
      </x:c>
      <x:c r="E638" s="31" t="str">
        <x:v>Binary task success using the task-specific rubric.</x:v>
      </x:c>
      <x:c r="F638" s="31"/>
      <x:c r="G638" s="31"/>
      <x:c r="H638" s="31" t="str">
        <x:f>IF(OR(F638="",G638=""),"",IF(F638=G638,"Agree","Disagree"))</x:f>
      </x:c>
      <x:c r="I638" s="31"/>
      <x:c r="J638" s="31" t="str">
        <x:v>No</x:v>
      </x:c>
      <x:c r="K638" s="31" t="str"/>
      <x:c r="L638" s="31" t="str"/>
      <x:c r="M638" s="31" t="str"/>
      <x:c r="N638" s="31" t="str"/>
    </x:row>
    <x:row r="639" ht="42" customHeight="1">
      <x:c r="A639" s="35" t="n">
        <x:v>637</x:v>
      </x:c>
      <x:c r="B639" s="31" t="str">
        <x:f>IF('Execution Checklist'!Q639="","",'Execution Checklist'!Q639)</x:f>
      </x:c>
      <x:c r="C639" s="31" t="str">
        <x:v>Put the inverted white cup into the bowl.</x:v>
      </x:c>
      <x:c r="D639" s="31" t="str">
        <x:v>white cup A</x:v>
      </x:c>
      <x:c r="E639" s="31" t="str">
        <x:v>Binary task success; compare with the seen-language row sharing Pair ID.</x:v>
      </x:c>
      <x:c r="F639" s="31"/>
      <x:c r="G639" s="31"/>
      <x:c r="H639" s="31" t="str">
        <x:f>IF(OR(F639="",G639=""),"",IF(F639=G639,"Agree","Disagree"))</x:f>
      </x:c>
      <x:c r="I639" s="31"/>
      <x:c r="J639" s="31" t="str">
        <x:v>No</x:v>
      </x:c>
      <x:c r="K639" s="31" t="str"/>
      <x:c r="L639" s="31" t="str"/>
      <x:c r="M639" s="31" t="str"/>
      <x:c r="N639" s="31" t="str"/>
    </x:row>
    <x:row r="640" ht="42" customHeight="1">
      <x:c r="A640" s="35" t="n">
        <x:v>638</x:v>
      </x:c>
      <x:c r="B640" s="31" t="str">
        <x:f>IF('Execution Checklist'!Q640="","",'Execution Checklist'!Q640)</x:f>
      </x:c>
      <x:c r="C640" s="31" t="str">
        <x:v>Place a glass spice container in the bowl.</x:v>
      </x:c>
      <x:c r="D640" s="31" t="str">
        <x:v>glass spice container B</x:v>
      </x:c>
      <x:c r="E640" s="31" t="str">
        <x:v>Binary task success; paired with the main transfer row.</x:v>
      </x:c>
      <x:c r="F640" s="31"/>
      <x:c r="G640" s="31"/>
      <x:c r="H640" s="31" t="str">
        <x:f>IF(OR(F640="",G640=""),"",IF(F640=G640,"Agree","Disagree"))</x:f>
      </x:c>
      <x:c r="I640" s="31"/>
      <x:c r="J640" s="31" t="str">
        <x:v>No</x:v>
      </x:c>
      <x:c r="K640" s="31" t="str"/>
      <x:c r="L640" s="31" t="str"/>
      <x:c r="M640" s="31" t="str"/>
      <x:c r="N640" s="31" t="str"/>
    </x:row>
    <x:row r="641" ht="42" customHeight="1">
      <x:c r="A641" s="35" t="n">
        <x:v>639</x:v>
      </x:c>
      <x:c r="B641" s="31" t="str">
        <x:f>IF('Execution Checklist'!Q641="","",'Execution Checklist'!Q641)</x:f>
      </x:c>
      <x:c r="C641" s="31" t="str">
        <x:v>Place the open brown cup in the bowl.</x:v>
      </x:c>
      <x:c r="D641" s="31" t="str">
        <x:v>brown cup B</x:v>
      </x:c>
      <x:c r="E641" s="31" t="str">
        <x:v>Binary success for the counterfactual instruction and paired action-switch analysis versus the parent.</x:v>
      </x:c>
      <x:c r="F641" s="31"/>
      <x:c r="G641" s="31"/>
      <x:c r="H641" s="31" t="str">
        <x:f>IF(OR(F641="",G641=""),"",IF(F641=G641,"Agree","Disagree"))</x:f>
      </x:c>
      <x:c r="I641" s="31"/>
      <x:c r="J641" s="31" t="str">
        <x:v>No</x:v>
      </x:c>
      <x:c r="K641" s="31" t="str"/>
      <x:c r="L641" s="31" t="str"/>
      <x:c r="M641" s="31" t="str"/>
      <x:c r="N641" s="31" t="str"/>
    </x:row>
    <x:row r="642" ht="42" customHeight="1">
      <x:c r="A642" s="35" t="n">
        <x:v>640</x:v>
      </x:c>
      <x:c r="B642" s="31" t="str">
        <x:f>IF('Execution Checklist'!Q642="","",'Execution Checklist'!Q642)</x:f>
      </x:c>
      <x:c r="C642" s="31" t="str">
        <x:v>Move the overturned white cup into the bowl.</x:v>
      </x:c>
      <x:c r="D642" s="31" t="str">
        <x:v>white cup A</x:v>
      </x:c>
      <x:c r="E642" s="31" t="str">
        <x:v>Binary task success; compare with the seen-language row sharing Pair ID.</x:v>
      </x:c>
      <x:c r="F642" s="31"/>
      <x:c r="G642" s="31"/>
      <x:c r="H642" s="31" t="str">
        <x:f>IF(OR(F642="",G642=""),"",IF(F642=G642,"Agree","Disagree"))</x:f>
      </x:c>
      <x:c r="I642" s="31"/>
      <x:c r="J642" s="31" t="str">
        <x:v>No</x:v>
      </x:c>
      <x:c r="K642" s="31" t="str"/>
      <x:c r="L642" s="31" t="str"/>
      <x:c r="M642" s="31" t="str"/>
      <x:c r="N642" s="31" t="str"/>
    </x:row>
    <x:row r="643" ht="42" customHeight="1">
      <x:c r="A643" s="35" t="n">
        <x:v>641</x:v>
      </x:c>
      <x:c r="B643" s="31" t="str">
        <x:f>IF('Execution Checklist'!Q643="","",'Execution Checklist'!Q643)</x:f>
      </x:c>
      <x:c r="C643" s="31" t="str">
        <x:v>Place the open white cup in the bowl.</x:v>
      </x:c>
      <x:c r="D643" s="31" t="str">
        <x:v>white cup B</x:v>
      </x:c>
      <x:c r="E643" s="31" t="str">
        <x:v>Binary success for the counterfactual instruction and paired action-switch analysis versus the parent.</x:v>
      </x:c>
      <x:c r="F643" s="31"/>
      <x:c r="G643" s="31"/>
      <x:c r="H643" s="31" t="str">
        <x:f>IF(OR(F643="",G643=""),"",IF(F643=G643,"Agree","Disagree"))</x:f>
      </x:c>
      <x:c r="I643" s="31"/>
      <x:c r="J643" s="31" t="str">
        <x:v>No</x:v>
      </x:c>
      <x:c r="K643" s="31" t="str"/>
      <x:c r="L643" s="31" t="str"/>
      <x:c r="M643" s="31" t="str"/>
      <x:c r="N643" s="31" t="str"/>
    </x:row>
    <x:row r="644" ht="42" customHeight="1">
      <x:c r="A644" s="35" t="n">
        <x:v>642</x:v>
      </x:c>
      <x:c r="B644" s="31" t="str">
        <x:f>IF('Execution Checklist'!Q644="","",'Execution Checklist'!Q644)</x:f>
      </x:c>
      <x:c r="C644" s="31" t="str">
        <x:v>Place a yellow-white striped cup in the bowl.</x:v>
      </x:c>
      <x:c r="D644" s="31" t="str">
        <x:v>yellow-white striped cup A</x:v>
      </x:c>
      <x:c r="E644" s="31" t="str">
        <x:v>Binary task success; paired with the main transfer row.</x:v>
      </x:c>
      <x:c r="F644" s="31"/>
      <x:c r="G644" s="31"/>
      <x:c r="H644" s="31" t="str">
        <x:f>IF(OR(F644="",G644=""),"",IF(F644=G644,"Agree","Disagree"))</x:f>
      </x:c>
      <x:c r="I644" s="31"/>
      <x:c r="J644" s="31" t="str">
        <x:v>No</x:v>
      </x:c>
      <x:c r="K644" s="31" t="str"/>
      <x:c r="L644" s="31" t="str"/>
      <x:c r="M644" s="31" t="str"/>
      <x:c r="N644" s="31" t="str"/>
    </x:row>
    <x:row r="645" ht="42" customHeight="1">
      <x:c r="A645" s="35" t="n">
        <x:v>643</x:v>
      </x:c>
      <x:c r="B645" s="31" t="str">
        <x:f>IF('Execution Checklist'!Q645="","",'Execution Checklist'!Q645)</x:f>
      </x:c>
      <x:c r="C645" s="31" t="str">
        <x:v>Place the closed glass spice container in the bowl.</x:v>
      </x:c>
      <x:c r="D645" s="31" t="str">
        <x:v>glass spice container B</x:v>
      </x:c>
      <x:c r="E645" s="31" t="str">
        <x:v>Binary task success; paired with the main matched-control row.</x:v>
      </x:c>
      <x:c r="F645" s="31"/>
      <x:c r="G645" s="31"/>
      <x:c r="H645" s="31" t="str">
        <x:f>IF(OR(F645="",G645=""),"",IF(F645=G645,"Agree","Disagree"))</x:f>
      </x:c>
      <x:c r="I645" s="31"/>
      <x:c r="J645" s="31" t="str">
        <x:v>No</x:v>
      </x:c>
      <x:c r="K645" s="31" t="str"/>
      <x:c r="L645" s="31" t="str"/>
      <x:c r="M645" s="31" t="str"/>
      <x:c r="N645" s="31" t="str"/>
    </x:row>
    <x:row r="646" ht="42" customHeight="1">
      <x:c r="A646" s="35" t="n">
        <x:v>644</x:v>
      </x:c>
      <x:c r="B646" s="31" t="str">
        <x:f>IF('Execution Checklist'!Q646="","",'Execution Checklist'!Q646)</x:f>
      </x:c>
      <x:c r="C646" s="31" t="str">
        <x:v>Find the white cup that is turned upside down and move it into the bowl.</x:v>
      </x:c>
      <x:c r="D646" s="31" t="str">
        <x:v>white cup A</x:v>
      </x:c>
      <x:c r="E646" s="31" t="str">
        <x:v>Binary task success; compare with the seen-language row sharing Pair ID.</x:v>
      </x:c>
      <x:c r="F646" s="31"/>
      <x:c r="G646" s="31"/>
      <x:c r="H646" s="31" t="str">
        <x:f>IF(OR(F646="",G646=""),"",IF(F646=G646,"Agree","Disagree"))</x:f>
      </x:c>
      <x:c r="I646" s="31"/>
      <x:c r="J646" s="31" t="str">
        <x:v>No</x:v>
      </x:c>
      <x:c r="K646" s="31" t="str"/>
      <x:c r="L646" s="31" t="str"/>
      <x:c r="M646" s="31" t="str"/>
      <x:c r="N646" s="31" t="str"/>
    </x:row>
    <x:row r="647" ht="42" customHeight="1">
      <x:c r="A647" s="35" t="n">
        <x:v>645</x:v>
      </x:c>
      <x:c r="B647" s="31" t="str">
        <x:f>IF('Execution Checklist'!Q647="","",'Execution Checklist'!Q647)</x:f>
      </x:c>
      <x:c r="C647" s="31" t="str">
        <x:v>Place the closed white cup in the bowl.</x:v>
      </x:c>
      <x:c r="D647" s="31" t="str">
        <x:v>No prespecified task success under blank language; record any action/selected target.</x:v>
      </x:c>
      <x:c r="E647" s="31" t="str">
        <x:v>Do not score ordinary task success. Record action occurrence and agreement with the parent correct-prompt rollout.</x:v>
      </x:c>
      <x:c r="F647" s="31"/>
      <x:c r="G647" s="31"/>
      <x:c r="H647" s="31" t="str">
        <x:f>IF(OR(F647="",G647=""),"",IF(F647=G647,"Agree","Disagree"))</x:f>
      </x:c>
      <x:c r="I647" s="31"/>
      <x:c r="J647" s="31" t="str">
        <x:v>No</x:v>
      </x:c>
      <x:c r="K647" s="31" t="str"/>
      <x:c r="L647" s="31" t="str"/>
      <x:c r="M647" s="31" t="str"/>
      <x:c r="N647" s="31" t="str"/>
    </x:row>
    <x:row r="648" ht="42" customHeight="1">
      <x:c r="A648" s="35" t="n">
        <x:v>646</x:v>
      </x:c>
      <x:c r="B648" s="31" t="str">
        <x:f>IF('Execution Checklist'!Q648="","",'Execution Checklist'!Q648)</x:f>
      </x:c>
      <x:c r="C648" s="31" t="str">
        <x:v>Put the open white cup in the bowl.</x:v>
      </x:c>
      <x:c r="D648" s="31" t="str">
        <x:v>white cup B</x:v>
      </x:c>
      <x:c r="E648" s="31" t="str">
        <x:v>Binary task success; compare with the seen-language row sharing Pair ID.</x:v>
      </x:c>
      <x:c r="F648" s="31"/>
      <x:c r="G648" s="31"/>
      <x:c r="H648" s="31" t="str">
        <x:f>IF(OR(F648="",G648=""),"",IF(F648=G648,"Agree","Disagree"))</x:f>
      </x:c>
      <x:c r="I648" s="31"/>
      <x:c r="J648" s="31" t="str">
        <x:v>No</x:v>
      </x:c>
      <x:c r="K648" s="31" t="str"/>
      <x:c r="L648" s="31" t="str"/>
      <x:c r="M648" s="31" t="str"/>
      <x:c r="N648" s="31" t="str"/>
    </x:row>
    <x:row r="649" ht="42" customHeight="1">
      <x:c r="A649" s="35" t="n">
        <x:v>647</x:v>
      </x:c>
      <x:c r="B649" s="31" t="str">
        <x:f>IF('Execution Checklist'!Q649="","",'Execution Checklist'!Q649)</x:f>
      </x:c>
      <x:c r="C649" s="31" t="str">
        <x:v>Place the upright glass spice container in the bowl.</x:v>
      </x:c>
      <x:c r="D649" s="31" t="str">
        <x:v>glass spice container A</x:v>
      </x:c>
      <x:c r="E649" s="31" t="str">
        <x:v>Binary task success; paired with the main matched-control row.</x:v>
      </x:c>
      <x:c r="F649" s="31"/>
      <x:c r="G649" s="31"/>
      <x:c r="H649" s="31" t="str">
        <x:f>IF(OR(F649="",G649=""),"",IF(F649=G649,"Agree","Disagree"))</x:f>
      </x:c>
      <x:c r="I649" s="31"/>
      <x:c r="J649" s="31" t="str">
        <x:v>No</x:v>
      </x:c>
      <x:c r="K649" s="31" t="str"/>
      <x:c r="L649" s="31" t="str"/>
      <x:c r="M649" s="31" t="str"/>
      <x:c r="N649" s="31" t="str"/>
    </x:row>
    <x:row r="650" ht="42" customHeight="1">
      <x:c r="A650" s="35" t="n">
        <x:v>648</x:v>
      </x:c>
      <x:c r="B650" s="31" t="str">
        <x:f>IF('Execution Checklist'!Q650="","",'Execution Checklist'!Q650)</x:f>
      </x:c>
      <x:c r="C650" s="31" t="str">
        <x:v>Move the yellow-white striped cup that is open into the bowl.</x:v>
      </x:c>
      <x:c r="D650" s="31" t="str">
        <x:v>yellow-white striped cup B</x:v>
      </x:c>
      <x:c r="E650" s="31" t="str">
        <x:v>Binary task success; compare with the seen-language row sharing Pair ID.</x:v>
      </x:c>
      <x:c r="F650" s="31"/>
      <x:c r="G650" s="31"/>
      <x:c r="H650" s="31" t="str">
        <x:f>IF(OR(F650="",G650=""),"",IF(F650=G650,"Agree","Disagree"))</x:f>
      </x:c>
      <x:c r="I650" s="31"/>
      <x:c r="J650" s="31" t="str">
        <x:v>No</x:v>
      </x:c>
      <x:c r="K650" s="31" t="str"/>
      <x:c r="L650" s="31" t="str"/>
      <x:c r="M650" s="31" t="str"/>
      <x:c r="N650" s="31" t="str"/>
    </x:row>
    <x:row r="651" ht="42" customHeight="1">
      <x:c r="A651" s="35" t="n">
        <x:v>649</x:v>
      </x:c>
      <x:c r="B651" s="31" t="str">
        <x:f>IF('Execution Checklist'!Q651="","",'Execution Checklist'!Q651)</x:f>
      </x:c>
      <x:c r="C651" s="31" t="str">
        <x:v>Place the closed brown cup in the bowl.</x:v>
      </x:c>
      <x:c r="D651" s="31" t="str">
        <x:v>brown cup A</x:v>
      </x:c>
      <x:c r="E651" s="31" t="str">
        <x:v>Binary task success; paired with the main matched-control row.</x:v>
      </x:c>
      <x:c r="F651" s="31"/>
      <x:c r="G651" s="31"/>
      <x:c r="H651" s="31" t="str">
        <x:f>IF(OR(F651="",G651=""),"",IF(F651=G651,"Agree","Disagree"))</x:f>
      </x:c>
      <x:c r="I651" s="31"/>
      <x:c r="J651" s="31" t="str">
        <x:v>No</x:v>
      </x:c>
      <x:c r="K651" s="31" t="str"/>
      <x:c r="L651" s="31" t="str"/>
      <x:c r="M651" s="31" t="str"/>
      <x:c r="N651" s="31" t="str"/>
    </x:row>
    <x:row r="652" ht="42" customHeight="1">
      <x:c r="A652" s="35" t="n">
        <x:v>650</x:v>
      </x:c>
      <x:c r="B652" s="31" t="str">
        <x:f>IF('Execution Checklist'!Q652="","",'Execution Checklist'!Q652)</x:f>
      </x:c>
      <x:c r="C652" s="31" t="str">
        <x:v>Place a yellow-white striped cup in the bowl.</x:v>
      </x:c>
      <x:c r="D652" s="31" t="str">
        <x:v>yellow-white striped cup A</x:v>
      </x:c>
      <x:c r="E652" s="31" t="str">
        <x:v>Binary task success; paired with the main transfer row.</x:v>
      </x:c>
      <x:c r="F652" s="31"/>
      <x:c r="G652" s="31"/>
      <x:c r="H652" s="31" t="str">
        <x:f>IF(OR(F652="",G652=""),"",IF(F652=G652,"Agree","Disagree"))</x:f>
      </x:c>
      <x:c r="I652" s="31"/>
      <x:c r="J652" s="31" t="str">
        <x:v>No</x:v>
      </x:c>
      <x:c r="K652" s="31" t="str"/>
      <x:c r="L652" s="31" t="str"/>
      <x:c r="M652" s="31" t="str"/>
      <x:c r="N652" s="31" t="str"/>
    </x:row>
    <x:row r="653" ht="42" customHeight="1">
      <x:c r="A653" s="35" t="n">
        <x:v>651</x:v>
      </x:c>
      <x:c r="B653" s="31" t="str">
        <x:f>IF('Execution Checklist'!Q653="","",'Execution Checklist'!Q653)</x:f>
      </x:c>
      <x:c r="C653" s="31" t="str">
        <x:v>Place the closed white cup in the bowl.</x:v>
      </x:c>
      <x:c r="D653" s="31" t="str">
        <x:v>white cup A</x:v>
      </x:c>
      <x:c r="E653" s="31" t="str">
        <x:v>Binary task success; paired with the main matched-control row.</x:v>
      </x:c>
      <x:c r="F653" s="31"/>
      <x:c r="G653" s="31"/>
      <x:c r="H653" s="31" t="str">
        <x:f>IF(OR(F653="",G653=""),"",IF(F653=G653,"Agree","Disagree"))</x:f>
      </x:c>
      <x:c r="I653" s="31"/>
      <x:c r="J653" s="31" t="str">
        <x:v>No</x:v>
      </x:c>
      <x:c r="K653" s="31" t="str"/>
      <x:c r="L653" s="31" t="str"/>
      <x:c r="M653" s="31" t="str"/>
      <x:c r="N653" s="31" t="str"/>
    </x:row>
    <x:row r="654" ht="42" customHeight="1">
      <x:c r="A654" s="35" t="n">
        <x:v>652</x:v>
      </x:c>
      <x:c r="B654" s="31" t="str">
        <x:f>IF('Execution Checklist'!Q654="","",'Execution Checklist'!Q654)</x:f>
      </x:c>
      <x:c r="C654" s="31" t="str">
        <x:v>Place the upright white cup in the bowl.</x:v>
      </x:c>
      <x:c r="D654" s="31" t="str">
        <x:v>white cup B</x:v>
      </x:c>
      <x:c r="E654" s="31" t="str">
        <x:v>Binary task success; paired with the main matched-control row.</x:v>
      </x:c>
      <x:c r="F654" s="31"/>
      <x:c r="G654" s="31"/>
      <x:c r="H654" s="31" t="str">
        <x:f>IF(OR(F654="",G654=""),"",IF(F654=G654,"Agree","Disagree"))</x:f>
      </x:c>
      <x:c r="I654" s="31"/>
      <x:c r="J654" s="31" t="str">
        <x:v>No</x:v>
      </x:c>
      <x:c r="K654" s="31" t="str"/>
      <x:c r="L654" s="31" t="str"/>
      <x:c r="M654" s="31" t="str"/>
      <x:c r="N654" s="31" t="str"/>
    </x:row>
    <x:row r="655" ht="42" customHeight="1">
      <x:c r="A655" s="35" t="n">
        <x:v>653</x:v>
      </x:c>
      <x:c r="B655" s="31" t="str">
        <x:f>IF('Execution Checklist'!Q655="","",'Execution Checklist'!Q655)</x:f>
      </x:c>
      <x:c r="C655" s="31" t="str">
        <x:v>Place the upright yellow-white striped cup in the bowl.</x:v>
      </x:c>
      <x:c r="D655" s="31" t="str">
        <x:v>yellow-white striped cup B</x:v>
      </x:c>
      <x:c r="E655" s="31" t="str">
        <x:v>Binary task success; paired with the main matched-control row.</x:v>
      </x:c>
      <x:c r="F655" s="31"/>
      <x:c r="G655" s="31"/>
      <x:c r="H655" s="31" t="str">
        <x:f>IF(OR(F655="",G655=""),"",IF(F655=G655,"Agree","Disagree"))</x:f>
      </x:c>
      <x:c r="I655" s="31"/>
      <x:c r="J655" s="31" t="str">
        <x:v>No</x:v>
      </x:c>
      <x:c r="K655" s="31" t="str"/>
      <x:c r="L655" s="31" t="str"/>
      <x:c r="M655" s="31" t="str"/>
      <x:c r="N655" s="31" t="str"/>
    </x:row>
    <x:row r="656" ht="42" customHeight="1">
      <x:c r="A656" s="35" t="n">
        <x:v>654</x:v>
      </x:c>
      <x:c r="B656" s="31" t="str">
        <x:f>IF('Execution Checklist'!Q656="","",'Execution Checklist'!Q656)</x:f>
      </x:c>
      <x:c r="C656" s="31" t="str">
        <x:v>Place a yellow-white striped cup in the bowl.</x:v>
      </x:c>
      <x:c r="D656" s="31" t="str">
        <x:v>yellow-white striped cup B</x:v>
      </x:c>
      <x:c r="E656" s="31" t="str">
        <x:v>Binary task success; paired with the main transfer row.</x:v>
      </x:c>
      <x:c r="F656" s="31"/>
      <x:c r="G656" s="31"/>
      <x:c r="H656" s="31" t="str">
        <x:f>IF(OR(F656="",G656=""),"",IF(F656=G656,"Agree","Disagree"))</x:f>
      </x:c>
      <x:c r="I656" s="31"/>
      <x:c r="J656" s="31" t="str">
        <x:v>No</x:v>
      </x:c>
      <x:c r="K656" s="31" t="str"/>
      <x:c r="L656" s="31" t="str"/>
      <x:c r="M656" s="31" t="str"/>
      <x:c r="N656" s="31" t="str"/>
    </x:row>
    <x:row r="657" ht="42" customHeight="1">
      <x:c r="A657" s="35" t="n">
        <x:v>655</x:v>
      </x:c>
      <x:c r="B657" s="31" t="str">
        <x:f>IF('Execution Checklist'!Q657="","",'Execution Checklist'!Q657)</x:f>
      </x:c>
      <x:c r="C657" s="31" t="str">
        <x:v>Place the closed glass spice container in the bowl.</x:v>
      </x:c>
      <x:c r="D657" s="31" t="str">
        <x:v>glass spice container B</x:v>
      </x:c>
      <x:c r="E657" s="31" t="str">
        <x:v>Binary task success; paired with the main matched-control row.</x:v>
      </x:c>
      <x:c r="F657" s="31"/>
      <x:c r="G657" s="31"/>
      <x:c r="H657" s="31" t="str">
        <x:f>IF(OR(F657="",G657=""),"",IF(F657=G657,"Agree","Disagree"))</x:f>
      </x:c>
      <x:c r="I657" s="31"/>
      <x:c r="J657" s="31" t="str">
        <x:v>No</x:v>
      </x:c>
      <x:c r="K657" s="31" t="str"/>
      <x:c r="L657" s="31" t="str"/>
      <x:c r="M657" s="31" t="str"/>
      <x:c r="N657" s="31" t="str"/>
    </x:row>
    <x:row r="658" ht="42" customHeight="1">
      <x:c r="A658" s="35" t="n">
        <x:v>656</x:v>
      </x:c>
      <x:c r="B658" s="31" t="str">
        <x:f>IF('Execution Checklist'!Q658="","",'Execution Checklist'!Q658)</x:f>
      </x:c>
      <x:c r="C658" s="31" t="str">
        <x:v>Put the open glass spice container in the bowl.</x:v>
      </x:c>
      <x:c r="D658" s="31" t="str">
        <x:v>glass spice container B</x:v>
      </x:c>
      <x:c r="E658" s="31" t="str">
        <x:v>Binary task success using the task-specific rubric.</x:v>
      </x:c>
      <x:c r="F658" s="31"/>
      <x:c r="G658" s="31"/>
      <x:c r="H658" s="31" t="str">
        <x:f>IF(OR(F658="",G658=""),"",IF(F658=G658,"Agree","Disagree"))</x:f>
      </x:c>
      <x:c r="I658" s="31"/>
      <x:c r="J658" s="31" t="str">
        <x:v>No</x:v>
      </x:c>
      <x:c r="K658" s="31" t="str"/>
      <x:c r="L658" s="31" t="str"/>
      <x:c r="M658" s="31" t="str"/>
      <x:c r="N658" s="31" t="str"/>
    </x:row>
    <x:row r="659" ht="42" customHeight="1">
      <x:c r="A659" s="35" t="n">
        <x:v>657</x:v>
      </x:c>
      <x:c r="B659" s="31" t="str">
        <x:f>IF('Execution Checklist'!Q659="","",'Execution Checklist'!Q659)</x:f>
      </x:c>
      <x:c r="C659" s="31" t="str">
        <x:v>Place the upright brown cup in the bowl.</x:v>
      </x:c>
      <x:c r="D659" s="31" t="str">
        <x:v>brown cup B</x:v>
      </x:c>
      <x:c r="E659" s="31" t="str">
        <x:v>Binary task success; paired with the main matched-control row.</x:v>
      </x:c>
      <x:c r="F659" s="31"/>
      <x:c r="G659" s="31"/>
      <x:c r="H659" s="31" t="str">
        <x:f>IF(OR(F659="",G659=""),"",IF(F659=G659,"Agree","Disagree"))</x:f>
      </x:c>
      <x:c r="I659" s="31"/>
      <x:c r="J659" s="31" t="str">
        <x:v>No</x:v>
      </x:c>
      <x:c r="K659" s="31" t="str"/>
      <x:c r="L659" s="31" t="str"/>
      <x:c r="M659" s="31" t="str"/>
      <x:c r="N659" s="31" t="str"/>
    </x:row>
    <x:row r="660" ht="42" customHeight="1">
      <x:c r="A660" s="35" t="n">
        <x:v>658</x:v>
      </x:c>
      <x:c r="B660" s="31" t="str">
        <x:f>IF('Execution Checklist'!Q660="","",'Execution Checklist'!Q660)</x:f>
      </x:c>
      <x:c r="C660" s="31" t="str">
        <x:v>Place the closed brown cup in the bowl.</x:v>
      </x:c>
      <x:c r="D660" s="31" t="str">
        <x:v>No prespecified task success under blank language; record any action/selected target.</x:v>
      </x:c>
      <x:c r="E660" s="31" t="str">
        <x:v>Do not score ordinary task success. Record action occurrence and agreement with the parent correct-prompt rollout.</x:v>
      </x:c>
      <x:c r="F660" s="31"/>
      <x:c r="G660" s="31"/>
      <x:c r="H660" s="31" t="str">
        <x:f>IF(OR(F660="",G660=""),"",IF(F660=G660,"Agree","Disagree"))</x:f>
      </x:c>
      <x:c r="I660" s="31"/>
      <x:c r="J660" s="31" t="str">
        <x:v>No</x:v>
      </x:c>
      <x:c r="K660" s="31" t="str"/>
      <x:c r="L660" s="31" t="str"/>
      <x:c r="M660" s="31" t="str"/>
      <x:c r="N660" s="31" t="str"/>
    </x:row>
    <x:row r="661" ht="42" customHeight="1">
      <x:c r="A661" s="35" t="n">
        <x:v>659</x:v>
      </x:c>
      <x:c r="B661" s="31" t="str">
        <x:f>IF('Execution Checklist'!Q661="","",'Execution Checklist'!Q661)</x:f>
      </x:c>
      <x:c r="C661" s="31" t="str">
        <x:v>Place the upside-down white cup in the bowl.</x:v>
      </x:c>
      <x:c r="D661" s="31" t="str">
        <x:v>white cup A</x:v>
      </x:c>
      <x:c r="E661" s="31" t="str">
        <x:v>Binary task success using the task-specific rubric.</x:v>
      </x:c>
      <x:c r="F661" s="31"/>
      <x:c r="G661" s="31"/>
      <x:c r="H661" s="31" t="str">
        <x:f>IF(OR(F661="",G661=""),"",IF(F661=G661,"Agree","Disagree"))</x:f>
      </x:c>
      <x:c r="I661" s="31"/>
      <x:c r="J661" s="31" t="str">
        <x:v>No</x:v>
      </x:c>
      <x:c r="K661" s="31" t="str"/>
      <x:c r="L661" s="31" t="str"/>
      <x:c r="M661" s="31" t="str"/>
      <x:c r="N661" s="31" t="str"/>
    </x:row>
    <x:row r="662" ht="42" customHeight="1">
      <x:c r="A662" s="35" t="n">
        <x:v>660</x:v>
      </x:c>
      <x:c r="B662" s="31" t="str">
        <x:f>IF('Execution Checklist'!Q662="","",'Execution Checklist'!Q662)</x:f>
      </x:c>
      <x:c r="C662" s="31" t="str">
        <x:v>Place the open white cup in the bowl.</x:v>
      </x:c>
      <x:c r="D662" s="31" t="str">
        <x:v>white cup B</x:v>
      </x:c>
      <x:c r="E662" s="31" t="str">
        <x:v>Binary task success using the task-specific rubric.</x:v>
      </x:c>
      <x:c r="F662" s="31"/>
      <x:c r="G662" s="31"/>
      <x:c r="H662" s="31" t="str">
        <x:f>IF(OR(F662="",G662=""),"",IF(F662=G662,"Agree","Disagree"))</x:f>
      </x:c>
      <x:c r="I662" s="31"/>
      <x:c r="J662" s="31" t="str">
        <x:v>No</x:v>
      </x:c>
      <x:c r="K662" s="31" t="str"/>
      <x:c r="L662" s="31" t="str"/>
      <x:c r="M662" s="31" t="str"/>
      <x:c r="N662" s="31" t="str"/>
    </x:row>
    <x:row r="663" ht="42" customHeight="1">
      <x:c r="A663" s="35" t="n">
        <x:v>661</x:v>
      </x:c>
      <x:c r="B663" s="31" t="str">
        <x:f>IF('Execution Checklist'!Q663="","",'Execution Checklist'!Q663)</x:f>
      </x:c>
      <x:c r="C663" s="31" t="str">
        <x:v>Place the upright white cup in the bowl.</x:v>
      </x:c>
      <x:c r="D663" s="31" t="str">
        <x:v>white cup B</x:v>
      </x:c>
      <x:c r="E663" s="31" t="str">
        <x:v>Binary task success; paired with the main matched-control row.</x:v>
      </x:c>
      <x:c r="F663" s="31"/>
      <x:c r="G663" s="31"/>
      <x:c r="H663" s="31" t="str">
        <x:f>IF(OR(F663="",G663=""),"",IF(F663=G663,"Agree","Disagree"))</x:f>
      </x:c>
      <x:c r="I663" s="31"/>
      <x:c r="J663" s="31" t="str">
        <x:v>No</x:v>
      </x:c>
      <x:c r="K663" s="31" t="str"/>
      <x:c r="L663" s="31" t="str"/>
      <x:c r="M663" s="31" t="str"/>
      <x:c r="N663" s="31" t="str"/>
    </x:row>
    <x:row r="664" ht="42" customHeight="1">
      <x:c r="A664" s="35" t="n">
        <x:v>662</x:v>
      </x:c>
      <x:c r="B664" s="31" t="str">
        <x:f>IF('Execution Checklist'!Q664="","",'Execution Checklist'!Q664)</x:f>
      </x:c>
      <x:c r="C664" s="31" t="str">
        <x:v>Place the upside-down white cup in the bowl.</x:v>
      </x:c>
      <x:c r="D664" s="31" t="str">
        <x:v>white cup A</x:v>
      </x:c>
      <x:c r="E664" s="31" t="str">
        <x:v>Binary task success using the task-specific rubric.</x:v>
      </x:c>
      <x:c r="F664" s="31"/>
      <x:c r="G664" s="31"/>
      <x:c r="H664" s="31" t="str">
        <x:f>IF(OR(F664="",G664=""),"",IF(F664=G664,"Agree","Disagree"))</x:f>
      </x:c>
      <x:c r="I664" s="31"/>
      <x:c r="J664" s="31" t="str">
        <x:v>No</x:v>
      </x:c>
      <x:c r="K664" s="31" t="str"/>
      <x:c r="L664" s="31" t="str"/>
      <x:c r="M664" s="31" t="str"/>
      <x:c r="N664" s="31" t="str"/>
    </x:row>
    <x:row r="665" ht="42" customHeight="1">
      <x:c r="A665" s="35" t="n">
        <x:v>663</x:v>
      </x:c>
      <x:c r="B665" s="31" t="str">
        <x:f>IF('Execution Checklist'!Q665="","",'Execution Checklist'!Q665)</x:f>
      </x:c>
      <x:c r="C665" s="31" t="str">
        <x:v>Place a glass spice container in the bowl.</x:v>
      </x:c>
      <x:c r="D665" s="31" t="str">
        <x:v>glass spice container A</x:v>
      </x:c>
      <x:c r="E665" s="31" t="str">
        <x:v>Binary task success; paired with the main transfer row.</x:v>
      </x:c>
      <x:c r="F665" s="31"/>
      <x:c r="G665" s="31"/>
      <x:c r="H665" s="31" t="str">
        <x:f>IF(OR(F665="",G665=""),"",IF(F665=G665,"Agree","Disagree"))</x:f>
      </x:c>
      <x:c r="I665" s="31"/>
      <x:c r="J665" s="31" t="str">
        <x:v>No</x:v>
      </x:c>
      <x:c r="K665" s="31" t="str"/>
      <x:c r="L665" s="31" t="str"/>
      <x:c r="M665" s="31" t="str"/>
      <x:c r="N665" s="31" t="str"/>
    </x:row>
    <x:row r="666" ht="42" customHeight="1">
      <x:c r="A666" s="35" t="n">
        <x:v>664</x:v>
      </x:c>
      <x:c r="B666" s="31" t="str">
        <x:f>IF('Execution Checklist'!Q666="","",'Execution Checklist'!Q666)</x:f>
      </x:c>
      <x:c r="C666" s="31" t="str">
        <x:v>Place the closed white cup in the bowl.</x:v>
      </x:c>
      <x:c r="D666" s="31" t="str">
        <x:v>white cup A</x:v>
      </x:c>
      <x:c r="E666" s="31" t="str">
        <x:v>Binary task success; paired with the main matched-control row.</x:v>
      </x:c>
      <x:c r="F666" s="31"/>
      <x:c r="G666" s="31"/>
      <x:c r="H666" s="31" t="str">
        <x:f>IF(OR(F666="",G666=""),"",IF(F666=G666,"Agree","Disagree"))</x:f>
      </x:c>
      <x:c r="I666" s="31"/>
      <x:c r="J666" s="31" t="str">
        <x:v>No</x:v>
      </x:c>
      <x:c r="K666" s="31" t="str"/>
      <x:c r="L666" s="31" t="str"/>
      <x:c r="M666" s="31" t="str"/>
      <x:c r="N666" s="31" t="str"/>
    </x:row>
    <x:row r="667" ht="42" customHeight="1">
      <x:c r="A667" s="35" t="n">
        <x:v>665</x:v>
      </x:c>
      <x:c r="B667" s="31" t="str">
        <x:f>IF('Execution Checklist'!Q667="","",'Execution Checklist'!Q667)</x:f>
      </x:c>
      <x:c r="C667" s="31" t="str">
        <x:v>Move the open brown cup into the bowl.</x:v>
      </x:c>
      <x:c r="D667" s="31" t="str">
        <x:v>brown cup B</x:v>
      </x:c>
      <x:c r="E667" s="31" t="str">
        <x:v>Binary task success using the task-specific rubric.</x:v>
      </x:c>
      <x:c r="F667" s="31"/>
      <x:c r="G667" s="31"/>
      <x:c r="H667" s="31" t="str">
        <x:f>IF(OR(F667="",G667=""),"",IF(F667=G667,"Agree","Disagree"))</x:f>
      </x:c>
      <x:c r="I667" s="31"/>
      <x:c r="J667" s="31" t="str">
        <x:v>No</x:v>
      </x:c>
      <x:c r="K667" s="31" t="str"/>
      <x:c r="L667" s="31" t="str"/>
      <x:c r="M667" s="31" t="str"/>
      <x:c r="N667" s="31" t="str"/>
    </x:row>
    <x:row r="668" ht="42" customHeight="1">
      <x:c r="A668" s="35" t="n">
        <x:v>666</x:v>
      </x:c>
      <x:c r="B668" s="31" t="str">
        <x:f>IF('Execution Checklist'!Q668="","",'Execution Checklist'!Q668)</x:f>
      </x:c>
      <x:c r="C668" s="31" t="str">
        <x:v>Place the closed yellow-white striped cup in the bowl.</x:v>
      </x:c>
      <x:c r="D668" s="31" t="str">
        <x:v>yellow-white striped cup A</x:v>
      </x:c>
      <x:c r="E668" s="31" t="str">
        <x:v>Binary task success; paired with the main matched-control row.</x:v>
      </x:c>
      <x:c r="F668" s="31"/>
      <x:c r="G668" s="31"/>
      <x:c r="H668" s="31" t="str">
        <x:f>IF(OR(F668="",G668=""),"",IF(F668=G668,"Agree","Disagree"))</x:f>
      </x:c>
      <x:c r="I668" s="31"/>
      <x:c r="J668" s="31" t="str">
        <x:v>No</x:v>
      </x:c>
      <x:c r="K668" s="31" t="str"/>
      <x:c r="L668" s="31" t="str"/>
      <x:c r="M668" s="31" t="str"/>
      <x:c r="N668" s="31" t="str"/>
    </x:row>
    <x:row r="669" ht="42" customHeight="1">
      <x:c r="A669" s="35" t="n">
        <x:v>667</x:v>
      </x:c>
      <x:c r="B669" s="31" t="str">
        <x:f>IF('Execution Checklist'!Q669="","",'Execution Checklist'!Q669)</x:f>
      </x:c>
      <x:c r="C669" s="31" t="str">
        <x:v>Place a brown cup in the bowl.</x:v>
      </x:c>
      <x:c r="D669" s="31" t="str">
        <x:v>brown cup B</x:v>
      </x:c>
      <x:c r="E669" s="31" t="str">
        <x:v>Binary task success; paired with the main transfer row.</x:v>
      </x:c>
      <x:c r="F669" s="31"/>
      <x:c r="G669" s="31"/>
      <x:c r="H669" s="31" t="str">
        <x:f>IF(OR(F669="",G669=""),"",IF(F669=G669,"Agree","Disagree"))</x:f>
      </x:c>
      <x:c r="I669" s="31"/>
      <x:c r="J669" s="31" t="str">
        <x:v>No</x:v>
      </x:c>
      <x:c r="K669" s="31" t="str"/>
      <x:c r="L669" s="31" t="str"/>
      <x:c r="M669" s="31" t="str"/>
      <x:c r="N669" s="31" t="str"/>
    </x:row>
    <x:row r="670" ht="42" customHeight="1">
      <x:c r="A670" s="35" t="n">
        <x:v>668</x:v>
      </x:c>
      <x:c r="B670" s="31" t="str">
        <x:f>IF('Execution Checklist'!Q670="","",'Execution Checklist'!Q670)</x:f>
      </x:c>
      <x:c r="C670" s="31" t="str">
        <x:v>Move a glass spice container into the bowl.</x:v>
      </x:c>
      <x:c r="D670" s="31" t="str">
        <x:v>glass spice container A</x:v>
      </x:c>
      <x:c r="E670" s="31" t="str">
        <x:v>Binary task success using the task-specific rubric.</x:v>
      </x:c>
      <x:c r="F670" s="31"/>
      <x:c r="G670" s="31"/>
      <x:c r="H670" s="31" t="str">
        <x:f>IF(OR(F670="",G670=""),"",IF(F670=G670,"Agree","Disagree"))</x:f>
      </x:c>
      <x:c r="I670" s="31"/>
      <x:c r="J670" s="31" t="str">
        <x:v>No</x:v>
      </x:c>
      <x:c r="K670" s="31" t="str"/>
      <x:c r="L670" s="31" t="str"/>
      <x:c r="M670" s="31" t="str"/>
      <x:c r="N670" s="31" t="str"/>
    </x:row>
    <x:row r="671" ht="42" customHeight="1">
      <x:c r="A671" s="35" t="n">
        <x:v>669</x:v>
      </x:c>
      <x:c r="B671" s="31" t="str">
        <x:f>IF('Execution Checklist'!Q671="","",'Execution Checklist'!Q671)</x:f>
      </x:c>
      <x:c r="C671" s="31" t="str">
        <x:v>Place a glass spice container in the bowl.</x:v>
      </x:c>
      <x:c r="D671" s="31" t="str">
        <x:v>glass spice container A</x:v>
      </x:c>
      <x:c r="E671" s="31" t="str">
        <x:v>Binary task success; paired with the main transfer row.</x:v>
      </x:c>
      <x:c r="F671" s="31"/>
      <x:c r="G671" s="31"/>
      <x:c r="H671" s="31" t="str">
        <x:f>IF(OR(F671="",G671=""),"",IF(F671=G671,"Agree","Disagree"))</x:f>
      </x:c>
      <x:c r="I671" s="31"/>
      <x:c r="J671" s="31" t="str">
        <x:v>No</x:v>
      </x:c>
      <x:c r="K671" s="31" t="str"/>
      <x:c r="L671" s="31" t="str"/>
      <x:c r="M671" s="31" t="str"/>
      <x:c r="N671" s="31" t="str"/>
    </x:row>
    <x:row r="672" ht="42" customHeight="1">
      <x:c r="A672" s="35" t="n">
        <x:v>670</x:v>
      </x:c>
      <x:c r="B672" s="31" t="str">
        <x:f>IF('Execution Checklist'!Q672="","",'Execution Checklist'!Q672)</x:f>
      </x:c>
      <x:c r="C672" s="31" t="str">
        <x:v>Move the overturned glass spice container into the bowl.</x:v>
      </x:c>
      <x:c r="D672" s="31" t="str">
        <x:v>glass spice container B</x:v>
      </x:c>
      <x:c r="E672" s="31" t="str">
        <x:v>Binary task success; compare with the seen-language row sharing Pair ID.</x:v>
      </x:c>
      <x:c r="F672" s="31"/>
      <x:c r="G672" s="31"/>
      <x:c r="H672" s="31" t="str">
        <x:f>IF(OR(F672="",G672=""),"",IF(F672=G672,"Agree","Disagree"))</x:f>
      </x:c>
      <x:c r="I672" s="31"/>
      <x:c r="J672" s="31" t="str">
        <x:v>No</x:v>
      </x:c>
      <x:c r="K672" s="31" t="str"/>
      <x:c r="L672" s="31" t="str"/>
      <x:c r="M672" s="31" t="str"/>
      <x:c r="N672" s="31" t="str"/>
    </x:row>
    <x:row r="673" ht="42" customHeight="1">
      <x:c r="A673" s="35" t="n">
        <x:v>671</x:v>
      </x:c>
      <x:c r="B673" s="31" t="str">
        <x:f>IF('Execution Checklist'!Q673="","",'Execution Checklist'!Q673)</x:f>
      </x:c>
      <x:c r="C673" s="31" t="str">
        <x:v>Place a white cup in the bowl.</x:v>
      </x:c>
      <x:c r="D673" s="31" t="str">
        <x:v>white cup B</x:v>
      </x:c>
      <x:c r="E673" s="31" t="str">
        <x:v>Binary task success; paired with the main transfer row.</x:v>
      </x:c>
      <x:c r="F673" s="31"/>
      <x:c r="G673" s="31"/>
      <x:c r="H673" s="31" t="str">
        <x:f>IF(OR(F673="",G673=""),"",IF(F673=G673,"Agree","Disagree"))</x:f>
      </x:c>
      <x:c r="I673" s="31"/>
      <x:c r="J673" s="31" t="str">
        <x:v>No</x:v>
      </x:c>
      <x:c r="K673" s="31" t="str"/>
      <x:c r="L673" s="31" t="str"/>
      <x:c r="M673" s="31" t="str"/>
      <x:c r="N673" s="31" t="str"/>
    </x:row>
    <x:row r="674" ht="42" customHeight="1">
      <x:c r="A674" s="35" t="n">
        <x:v>672</x:v>
      </x:c>
      <x:c r="B674" s="31" t="str">
        <x:f>IF('Execution Checklist'!Q674="","",'Execution Checklist'!Q674)</x:f>
      </x:c>
      <x:c r="C674" s="31" t="str">
        <x:v>Place a glass spice container in the bowl.</x:v>
      </x:c>
      <x:c r="D674" s="31" t="str">
        <x:v>glass spice container B</x:v>
      </x:c>
      <x:c r="E674" s="31" t="str">
        <x:v>Binary task success; paired with the main transfer row.</x:v>
      </x:c>
      <x:c r="F674" s="31"/>
      <x:c r="G674" s="31"/>
      <x:c r="H674" s="31" t="str">
        <x:f>IF(OR(F674="",G674=""),"",IF(F674=G674,"Agree","Disagree"))</x:f>
      </x:c>
      <x:c r="I674" s="31"/>
      <x:c r="J674" s="31" t="str">
        <x:v>No</x:v>
      </x:c>
      <x:c r="K674" s="31" t="str"/>
      <x:c r="L674" s="31" t="str"/>
      <x:c r="M674" s="31" t="str"/>
      <x:c r="N674" s="31" t="str"/>
    </x:row>
    <x:row r="675" ht="42" customHeight="1">
      <x:c r="A675" s="35" t="n">
        <x:v>673</x:v>
      </x:c>
      <x:c r="B675" s="31" t="str">
        <x:f>IF('Execution Checklist'!Q675="","",'Execution Checklist'!Q675)</x:f>
      </x:c>
      <x:c r="C675" s="31" t="str">
        <x:v>Place the upside-down white cup in the bowl.</x:v>
      </x:c>
      <x:c r="D675" s="31" t="str">
        <x:v>white cup A</x:v>
      </x:c>
      <x:c r="E675" s="31" t="str">
        <x:v>Binary task success using the task-specific rubric.</x:v>
      </x:c>
      <x:c r="F675" s="31"/>
      <x:c r="G675" s="31"/>
      <x:c r="H675" s="31" t="str">
        <x:f>IF(OR(F675="",G675=""),"",IF(F675=G675,"Agree","Disagree"))</x:f>
      </x:c>
      <x:c r="I675" s="31"/>
      <x:c r="J675" s="31" t="str">
        <x:v>No</x:v>
      </x:c>
      <x:c r="K675" s="31" t="str"/>
      <x:c r="L675" s="31" t="str"/>
      <x:c r="M675" s="31" t="str"/>
      <x:c r="N675" s="31" t="str"/>
    </x:row>
    <x:row r="676" ht="42" customHeight="1">
      <x:c r="A676" s="35" t="n">
        <x:v>674</x:v>
      </x:c>
      <x:c r="B676" s="31" t="str">
        <x:f>IF('Execution Checklist'!Q676="","",'Execution Checklist'!Q676)</x:f>
      </x:c>
      <x:c r="C676" s="31" t="str">
        <x:v>Place the upside-down glass spice container in the bowl.</x:v>
      </x:c>
      <x:c r="D676" s="31" t="str">
        <x:v>glass spice container B</x:v>
      </x:c>
      <x:c r="E676" s="31" t="str">
        <x:v>Binary task success using the task-specific rubric.</x:v>
      </x:c>
      <x:c r="F676" s="31"/>
      <x:c r="G676" s="31"/>
      <x:c r="H676" s="31" t="str">
        <x:f>IF(OR(F676="",G676=""),"",IF(F676=G676,"Agree","Disagree"))</x:f>
      </x:c>
      <x:c r="I676" s="31"/>
      <x:c r="J676" s="31" t="str">
        <x:v>No</x:v>
      </x:c>
      <x:c r="K676" s="31" t="str"/>
      <x:c r="L676" s="31" t="str"/>
      <x:c r="M676" s="31" t="str"/>
      <x:c r="N676" s="31" t="str"/>
    </x:row>
    <x:row r="677" ht="42" customHeight="1">
      <x:c r="A677" s="35" t="n">
        <x:v>675</x:v>
      </x:c>
      <x:c r="B677" s="31" t="str">
        <x:f>IF('Execution Checklist'!Q677="","",'Execution Checklist'!Q677)</x:f>
      </x:c>
      <x:c r="C677" s="31" t="str">
        <x:v>Place a white cup in the bowl.</x:v>
      </x:c>
      <x:c r="D677" s="31" t="str">
        <x:v>white cup B</x:v>
      </x:c>
      <x:c r="E677" s="31" t="str">
        <x:v>Binary task success; paired with the main transfer row.</x:v>
      </x:c>
      <x:c r="F677" s="31"/>
      <x:c r="G677" s="31"/>
      <x:c r="H677" s="31" t="str">
        <x:f>IF(OR(F677="",G677=""),"",IF(F677=G677,"Agree","Disagree"))</x:f>
      </x:c>
      <x:c r="I677" s="31"/>
      <x:c r="J677" s="31" t="str">
        <x:v>No</x:v>
      </x:c>
      <x:c r="K677" s="31" t="str"/>
      <x:c r="L677" s="31" t="str"/>
      <x:c r="M677" s="31" t="str"/>
      <x:c r="N677" s="31" t="str"/>
    </x:row>
    <x:row r="678" ht="42" customHeight="1">
      <x:c r="A678" s="35" t="n">
        <x:v>676</x:v>
      </x:c>
      <x:c r="B678" s="31" t="str">
        <x:f>IF('Execution Checklist'!Q678="","",'Execution Checklist'!Q678)</x:f>
      </x:c>
      <x:c r="C678" s="31" t="str">
        <x:v>Move the white cup that is open into the bowl.</x:v>
      </x:c>
      <x:c r="D678" s="31" t="str">
        <x:v>white cup B</x:v>
      </x:c>
      <x:c r="E678" s="31" t="str">
        <x:v>Binary task success; compare with the seen-language row sharing Pair ID.</x:v>
      </x:c>
      <x:c r="F678" s="31"/>
      <x:c r="G678" s="31"/>
      <x:c r="H678" s="31" t="str">
        <x:f>IF(OR(F678="",G678=""),"",IF(F678=G678,"Agree","Disagree"))</x:f>
      </x:c>
      <x:c r="I678" s="31"/>
      <x:c r="J678" s="31" t="str">
        <x:v>No</x:v>
      </x:c>
      <x:c r="K678" s="31" t="str"/>
      <x:c r="L678" s="31" t="str"/>
      <x:c r="M678" s="31" t="str"/>
      <x:c r="N678" s="31" t="str"/>
    </x:row>
    <x:row r="679" ht="42" customHeight="1">
      <x:c r="A679" s="35" t="n">
        <x:v>677</x:v>
      </x:c>
      <x:c r="B679" s="31" t="str">
        <x:f>IF('Execution Checklist'!Q679="","",'Execution Checklist'!Q679)</x:f>
      </x:c>
      <x:c r="C679" s="31" t="str">
        <x:v>Place the closed glass spice container in the bowl.</x:v>
      </x:c>
      <x:c r="D679" s="31" t="str">
        <x:v>No prespecified task success under blank language; record any action/selected target.</x:v>
      </x:c>
      <x:c r="E679" s="31" t="str">
        <x:v>Do not score ordinary task success. Record action occurrence and agreement with the parent correct-prompt rollout.</x:v>
      </x:c>
      <x:c r="F679" s="31"/>
      <x:c r="G679" s="31"/>
      <x:c r="H679" s="31" t="str">
        <x:f>IF(OR(F679="",G679=""),"",IF(F679=G679,"Agree","Disagree"))</x:f>
      </x:c>
      <x:c r="I679" s="31"/>
      <x:c r="J679" s="31" t="str">
        <x:v>No</x:v>
      </x:c>
      <x:c r="K679" s="31" t="str"/>
      <x:c r="L679" s="31" t="str"/>
      <x:c r="M679" s="31" t="str"/>
      <x:c r="N679" s="31" t="str"/>
    </x:row>
    <x:row r="680" ht="42" customHeight="1">
      <x:c r="A680" s="35" t="n">
        <x:v>678</x:v>
      </x:c>
      <x:c r="B680" s="31" t="str">
        <x:f>IF('Execution Checklist'!Q680="","",'Execution Checklist'!Q680)</x:f>
      </x:c>
      <x:c r="C680" s="31" t="str">
        <x:v>Put a yellow-white striped cup in the bowl.</x:v>
      </x:c>
      <x:c r="D680" s="31" t="str">
        <x:v>yellow-white striped cup A</x:v>
      </x:c>
      <x:c r="E680" s="31" t="str">
        <x:v>Binary task success using the task-specific rubric.</x:v>
      </x:c>
      <x:c r="F680" s="31"/>
      <x:c r="G680" s="31"/>
      <x:c r="H680" s="31" t="str">
        <x:f>IF(OR(F680="",G680=""),"",IF(F680=G680,"Agree","Disagree"))</x:f>
      </x:c>
      <x:c r="I680" s="31"/>
      <x:c r="J680" s="31" t="str">
        <x:v>No</x:v>
      </x:c>
      <x:c r="K680" s="31" t="str"/>
      <x:c r="L680" s="31" t="str"/>
      <x:c r="M680" s="31" t="str"/>
      <x:c r="N680" s="31" t="str"/>
    </x:row>
    <x:row r="681" ht="42" customHeight="1">
      <x:c r="A681" s="35" t="n">
        <x:v>679</x:v>
      </x:c>
      <x:c r="B681" s="31" t="str">
        <x:f>IF('Execution Checklist'!Q681="","",'Execution Checklist'!Q681)</x:f>
      </x:c>
      <x:c r="C681" s="31" t="str">
        <x:v>Place the closed yellow-white striped cup in the bowl.</x:v>
      </x:c>
      <x:c r="D681" s="31" t="str">
        <x:v>yellow-white striped cup A</x:v>
      </x:c>
      <x:c r="E681" s="31" t="str">
        <x:v>Binary task success; paired with the main matched-control row.</x:v>
      </x:c>
      <x:c r="F681" s="31"/>
      <x:c r="G681" s="31"/>
      <x:c r="H681" s="31" t="str">
        <x:f>IF(OR(F681="",G681=""),"",IF(F681=G681,"Agree","Disagree"))</x:f>
      </x:c>
      <x:c r="I681" s="31"/>
      <x:c r="J681" s="31" t="str">
        <x:v>No</x:v>
      </x:c>
      <x:c r="K681" s="31" t="str"/>
      <x:c r="L681" s="31" t="str"/>
      <x:c r="M681" s="31" t="str"/>
      <x:c r="N681" s="31" t="str"/>
    </x:row>
    <x:row r="682" ht="42" customHeight="1">
      <x:c r="A682" s="35" t="n">
        <x:v>680</x:v>
      </x:c>
      <x:c r="B682" s="31" t="str">
        <x:f>IF('Execution Checklist'!Q682="","",'Execution Checklist'!Q682)</x:f>
      </x:c>
      <x:c r="C682" s="31" t="str">
        <x:v>Place a brown cup in the bowl.</x:v>
      </x:c>
      <x:c r="D682" s="31" t="str">
        <x:v>brown cup A</x:v>
      </x:c>
      <x:c r="E682" s="31" t="str">
        <x:v>Binary task success; paired with the main transfer row.</x:v>
      </x:c>
      <x:c r="F682" s="31"/>
      <x:c r="G682" s="31"/>
      <x:c r="H682" s="31" t="str">
        <x:f>IF(OR(F682="",G682=""),"",IF(F682=G682,"Agree","Disagree"))</x:f>
      </x:c>
      <x:c r="I682" s="31"/>
      <x:c r="J682" s="31" t="str">
        <x:v>No</x:v>
      </x:c>
      <x:c r="K682" s="31" t="str"/>
      <x:c r="L682" s="31" t="str"/>
      <x:c r="M682" s="31" t="str"/>
      <x:c r="N682" s="31" t="str"/>
    </x:row>
    <x:row r="683" ht="42" customHeight="1">
      <x:c r="A683" s="35" t="n">
        <x:v>681</x:v>
      </x:c>
      <x:c r="B683" s="31" t="str">
        <x:f>IF('Execution Checklist'!Q683="","",'Execution Checklist'!Q683)</x:f>
      </x:c>
      <x:c r="C683" s="31" t="str">
        <x:v>Place the closed yellow-white striped cup in the bowl.</x:v>
      </x:c>
      <x:c r="D683" s="31" t="str">
        <x:v>No prespecified task success under blank language; record any action/selected target.</x:v>
      </x:c>
      <x:c r="E683" s="31" t="str">
        <x:v>Do not score ordinary task success. Record action occurrence and agreement with the parent correct-prompt rollout.</x:v>
      </x:c>
      <x:c r="F683" s="31"/>
      <x:c r="G683" s="31"/>
      <x:c r="H683" s="31" t="str">
        <x:f>IF(OR(F683="",G683=""),"",IF(F683=G683,"Agree","Disagree"))</x:f>
      </x:c>
      <x:c r="I683" s="31"/>
      <x:c r="J683" s="31" t="str">
        <x:v>No</x:v>
      </x:c>
      <x:c r="K683" s="31" t="str"/>
      <x:c r="L683" s="31" t="str"/>
      <x:c r="M683" s="31" t="str"/>
      <x:c r="N683" s="31" t="str"/>
    </x:row>
    <x:row r="684" ht="42" customHeight="1">
      <x:c r="A684" s="35" t="n">
        <x:v>682</x:v>
      </x:c>
      <x:c r="B684" s="31" t="str">
        <x:f>IF('Execution Checklist'!Q684="","",'Execution Checklist'!Q684)</x:f>
      </x:c>
      <x:c r="C684" s="31" t="str">
        <x:v>Place the red block to the left of the green pen.</x:v>
      </x:c>
      <x:c r="D684" s="31" t="str">
        <x:v>red block → to the left of green pen</x:v>
      </x:c>
      <x:c r="E684" s="31" t="str">
        <x:v>Binary task success; paired with the main matched-control row.</x:v>
      </x:c>
      <x:c r="F684" s="31"/>
      <x:c r="G684" s="31"/>
      <x:c r="H684" s="31" t="str">
        <x:f>IF(OR(F684="",G684=""),"",IF(F684=G684,"Agree","Disagree"))</x:f>
      </x:c>
      <x:c r="I684" s="31"/>
      <x:c r="J684" s="31" t="str">
        <x:v>No</x:v>
      </x:c>
      <x:c r="K684" s="31" t="str"/>
      <x:c r="L684" s="31" t="str"/>
      <x:c r="M684" s="31" t="str"/>
      <x:c r="N684" s="31" t="str"/>
    </x:row>
    <x:row r="685" ht="42" customHeight="1">
      <x:c r="A685" s="35" t="n">
        <x:v>683</x:v>
      </x:c>
      <x:c r="B685" s="31" t="str">
        <x:f>IF('Execution Checklist'!Q685="","",'Execution Checklist'!Q685)</x:f>
      </x:c>
      <x:c r="C685" s="31" t="str">
        <x:v>Place the green pen to the left of the red block.</x:v>
      </x:c>
      <x:c r="D685" s="31" t="str">
        <x:v>green pen → to the left of red block</x:v>
      </x:c>
      <x:c r="E685" s="31" t="str">
        <x:v>Binary success for the counterfactual instruction and paired action-switch analysis versus the parent.</x:v>
      </x:c>
      <x:c r="F685" s="31"/>
      <x:c r="G685" s="31"/>
      <x:c r="H685" s="31" t="str">
        <x:f>IF(OR(F685="",G685=""),"",IF(F685=G685,"Agree","Disagree"))</x:f>
      </x:c>
      <x:c r="I685" s="31"/>
      <x:c r="J685" s="31" t="str">
        <x:v>No</x:v>
      </x:c>
      <x:c r="K685" s="31" t="str"/>
      <x:c r="L685" s="31" t="str"/>
      <x:c r="M685" s="31" t="str"/>
      <x:c r="N685" s="31" t="str"/>
    </x:row>
    <x:row r="686" ht="42" customHeight="1">
      <x:c r="A686" s="35" t="n">
        <x:v>684</x:v>
      </x:c>
      <x:c r="B686" s="31" t="str">
        <x:f>IF('Execution Checklist'!Q686="","",'Execution Checklist'!Q686)</x:f>
      </x:c>
      <x:c r="C686" s="31" t="str">
        <x:v>Move the red block to the side of the pink marker facing the robot.</x:v>
      </x:c>
      <x:c r="D686" s="31" t="str">
        <x:v>red block</x:v>
      </x:c>
      <x:c r="E686" s="31" t="str">
        <x:v>Binary task success; compare with the seen-language row sharing Pair ID.</x:v>
      </x:c>
      <x:c r="F686" s="31"/>
      <x:c r="G686" s="31"/>
      <x:c r="H686" s="31" t="str">
        <x:f>IF(OR(F686="",G686=""),"",IF(F686=G686,"Agree","Disagree"))</x:f>
      </x:c>
      <x:c r="I686" s="31"/>
      <x:c r="J686" s="31" t="str">
        <x:v>No</x:v>
      </x:c>
      <x:c r="K686" s="31" t="str"/>
      <x:c r="L686" s="31" t="str"/>
      <x:c r="M686" s="31" t="str"/>
      <x:c r="N686" s="31" t="str"/>
    </x:row>
    <x:row r="687" ht="42" customHeight="1">
      <x:c r="A687" s="35" t="n">
        <x:v>685</x:v>
      </x:c>
      <x:c r="B687" s="31" t="str">
        <x:f>IF('Execution Checklist'!Q687="","",'Execution Checklist'!Q687)</x:f>
      </x:c>
      <x:c r="C687" s="31" t="str">
        <x:v>Place the red block in front of the green pen.</x:v>
      </x:c>
      <x:c r="D687" s="31" t="str">
        <x:v>red block → in front of green pen</x:v>
      </x:c>
      <x:c r="E687" s="31" t="str">
        <x:v>Binary task success; paired with the main matched-control row.</x:v>
      </x:c>
      <x:c r="F687" s="31"/>
      <x:c r="G687" s="31"/>
      <x:c r="H687" s="31" t="str">
        <x:f>IF(OR(F687="",G687=""),"",IF(F687=G687,"Agree","Disagree"))</x:f>
      </x:c>
      <x:c r="I687" s="31"/>
      <x:c r="J687" s="31" t="str">
        <x:v>No</x:v>
      </x:c>
      <x:c r="K687" s="31" t="str"/>
      <x:c r="L687" s="31" t="str"/>
      <x:c r="M687" s="31" t="str"/>
      <x:c r="N687" s="31" t="str"/>
    </x:row>
    <x:row r="688" ht="42" customHeight="1">
      <x:c r="A688" s="35" t="n">
        <x:v>686</x:v>
      </x:c>
      <x:c r="B688" s="31" t="str">
        <x:f>IF('Execution Checklist'!Q688="","",'Execution Checklist'!Q688)</x:f>
      </x:c>
      <x:c r="C688" s="31" t="str">
        <x:v>Place the green pen near the red block.</x:v>
      </x:c>
      <x:c r="D688" s="31" t="str">
        <x:v>green pen near red block</x:v>
      </x:c>
      <x:c r="E688" s="31" t="str">
        <x:v>Binary task success; paired with the main transfer row.</x:v>
      </x:c>
      <x:c r="F688" s="31"/>
      <x:c r="G688" s="31"/>
      <x:c r="H688" s="31" t="str">
        <x:f>IF(OR(F688="",G688=""),"",IF(F688=G688,"Agree","Disagree"))</x:f>
      </x:c>
      <x:c r="I688" s="31"/>
      <x:c r="J688" s="31" t="str">
        <x:v>No</x:v>
      </x:c>
      <x:c r="K688" s="31" t="str"/>
      <x:c r="L688" s="31" t="str"/>
      <x:c r="M688" s="31" t="str"/>
      <x:c r="N688" s="31" t="str"/>
    </x:row>
    <x:row r="689" ht="42" customHeight="1">
      <x:c r="A689" s="35" t="n">
        <x:v>687</x:v>
      </x:c>
      <x:c r="B689" s="31" t="str">
        <x:f>IF('Execution Checklist'!Q689="","",'Execution Checklist'!Q689)</x:f>
      </x:c>
      <x:c r="C689" s="31" t="str">
        <x:v>Place the green pen to the right of the red block.</x:v>
      </x:c>
      <x:c r="D689" s="31" t="str">
        <x:v>green pen → to the right of red block</x:v>
      </x:c>
      <x:c r="E689" s="31" t="str">
        <x:v>Binary task success; paired with the main matched-control row.</x:v>
      </x:c>
      <x:c r="F689" s="31"/>
      <x:c r="G689" s="31"/>
      <x:c r="H689" s="31" t="str">
        <x:f>IF(OR(F689="",G689=""),"",IF(F689=G689,"Agree","Disagree"))</x:f>
      </x:c>
      <x:c r="I689" s="31"/>
      <x:c r="J689" s="31" t="str">
        <x:v>No</x:v>
      </x:c>
      <x:c r="K689" s="31" t="str"/>
      <x:c r="L689" s="31" t="str"/>
      <x:c r="M689" s="31" t="str"/>
      <x:c r="N689" s="31" t="str"/>
    </x:row>
    <x:row r="690" ht="42" customHeight="1">
      <x:c r="A690" s="35" t="n">
        <x:v>688</x:v>
      </x:c>
      <x:c r="B690" s="31" t="str">
        <x:f>IF('Execution Checklist'!Q690="","",'Execution Checklist'!Q690)</x:f>
      </x:c>
      <x:c r="C690" s="31" t="str">
        <x:v>Place the green pen beside the red block.</x:v>
      </x:c>
      <x:c r="D690" s="31" t="str">
        <x:v>green pen near red block</x:v>
      </x:c>
      <x:c r="E690" s="31" t="str">
        <x:v>Binary task success; paired with the main transfer row.</x:v>
      </x:c>
      <x:c r="F690" s="31"/>
      <x:c r="G690" s="31"/>
      <x:c r="H690" s="31" t="str">
        <x:f>IF(OR(F690="",G690=""),"",IF(F690=G690,"Agree","Disagree"))</x:f>
      </x:c>
      <x:c r="I690" s="31"/>
      <x:c r="J690" s="31" t="str">
        <x:v>No</x:v>
      </x:c>
      <x:c r="K690" s="31" t="str"/>
      <x:c r="L690" s="31" t="str"/>
      <x:c r="M690" s="31" t="str"/>
      <x:c r="N690" s="31" t="str"/>
    </x:row>
    <x:row r="691" ht="42" customHeight="1">
      <x:c r="A691" s="35" t="n">
        <x:v>689</x:v>
      </x:c>
      <x:c r="B691" s="31" t="str">
        <x:f>IF('Execution Checklist'!Q691="","",'Execution Checklist'!Q691)</x:f>
      </x:c>
      <x:c r="C691" s="31" t="str">
        <x:v>Place the green pen beside the red block.</x:v>
      </x:c>
      <x:c r="D691" s="31" t="str">
        <x:v>green pen near red block</x:v>
      </x:c>
      <x:c r="E691" s="31" t="str">
        <x:v>Binary task success; paired with the main transfer row.</x:v>
      </x:c>
      <x:c r="F691" s="31"/>
      <x:c r="G691" s="31"/>
      <x:c r="H691" s="31" t="str">
        <x:f>IF(OR(F691="",G691=""),"",IF(F691=G691,"Agree","Disagree"))</x:f>
      </x:c>
      <x:c r="I691" s="31"/>
      <x:c r="J691" s="31" t="str">
        <x:v>No</x:v>
      </x:c>
      <x:c r="K691" s="31" t="str"/>
      <x:c r="L691" s="31" t="str"/>
      <x:c r="M691" s="31" t="str"/>
      <x:c r="N691" s="31" t="str"/>
    </x:row>
    <x:row r="692" ht="42" customHeight="1">
      <x:c r="A692" s="35" t="n">
        <x:v>690</x:v>
      </x:c>
      <x:c r="B692" s="31" t="str">
        <x:f>IF('Execution Checklist'!Q692="","",'Execution Checklist'!Q692)</x:f>
      </x:c>
      <x:c r="C692" s="31" t="str">
        <x:v>Place the green pen in front of the red block.</x:v>
      </x:c>
      <x:c r="D692" s="31" t="str">
        <x:v>green pen → in front of red block</x:v>
      </x:c>
      <x:c r="E692" s="31" t="str">
        <x:v>Binary success for the counterfactual instruction and paired action-switch analysis versus the parent.</x:v>
      </x:c>
      <x:c r="F692" s="31"/>
      <x:c r="G692" s="31"/>
      <x:c r="H692" s="31" t="str">
        <x:f>IF(OR(F692="",G692=""),"",IF(F692=G692,"Agree","Disagree"))</x:f>
      </x:c>
      <x:c r="I692" s="31"/>
      <x:c r="J692" s="31" t="str">
        <x:v>No</x:v>
      </x:c>
      <x:c r="K692" s="31" t="str"/>
      <x:c r="L692" s="31" t="str"/>
      <x:c r="M692" s="31" t="str"/>
      <x:c r="N692" s="31" t="str"/>
    </x:row>
    <x:row r="693" ht="42" customHeight="1">
      <x:c r="A693" s="35" t="n">
        <x:v>691</x:v>
      </x:c>
      <x:c r="B693" s="31" t="str">
        <x:f>IF('Execution Checklist'!Q693="","",'Execution Checklist'!Q693)</x:f>
      </x:c>
      <x:c r="C693" s="31" t="str">
        <x:v>Place the green pen in front of the red block.</x:v>
      </x:c>
      <x:c r="D693" s="31" t="str">
        <x:v>No prespecified task success under blank language; record any action/selected target.</x:v>
      </x:c>
      <x:c r="E693" s="31" t="str">
        <x:v>Do not score ordinary task success. Record action occurrence and agreement with the parent correct-prompt rollout.</x:v>
      </x:c>
      <x:c r="F693" s="31"/>
      <x:c r="G693" s="31"/>
      <x:c r="H693" s="31" t="str">
        <x:f>IF(OR(F693="",G693=""),"",IF(F693=G693,"Agree","Disagree"))</x:f>
      </x:c>
      <x:c r="I693" s="31"/>
      <x:c r="J693" s="31" t="str">
        <x:v>No</x:v>
      </x:c>
      <x:c r="K693" s="31" t="str"/>
      <x:c r="L693" s="31" t="str"/>
      <x:c r="M693" s="31" t="str"/>
      <x:c r="N693" s="31" t="str"/>
    </x:row>
    <x:row r="694" ht="42" customHeight="1">
      <x:c r="A694" s="35" t="n">
        <x:v>692</x:v>
      </x:c>
      <x:c r="B694" s="31" t="str">
        <x:f>IF('Execution Checklist'!Q694="","",'Execution Checklist'!Q694)</x:f>
      </x:c>
      <x:c r="C694" s="31" t="str">
        <x:v>Place the red block near the green pen.</x:v>
      </x:c>
      <x:c r="D694" s="31" t="str">
        <x:v>red block near green pen</x:v>
      </x:c>
      <x:c r="E694" s="31" t="str">
        <x:v>Binary task success; paired with the main transfer row.</x:v>
      </x:c>
      <x:c r="F694" s="31"/>
      <x:c r="G694" s="31"/>
      <x:c r="H694" s="31" t="str">
        <x:f>IF(OR(F694="",G694=""),"",IF(F694=G694,"Agree","Disagree"))</x:f>
      </x:c>
      <x:c r="I694" s="31"/>
      <x:c r="J694" s="31" t="str">
        <x:v>No</x:v>
      </x:c>
      <x:c r="K694" s="31" t="str"/>
      <x:c r="L694" s="31" t="str"/>
      <x:c r="M694" s="31" t="str"/>
      <x:c r="N694" s="31" t="str"/>
    </x:row>
    <x:row r="695" ht="42" customHeight="1">
      <x:c r="A695" s="35" t="n">
        <x:v>693</x:v>
      </x:c>
      <x:c r="B695" s="31" t="str">
        <x:f>IF('Execution Checklist'!Q695="","",'Execution Checklist'!Q695)</x:f>
      </x:c>
      <x:c r="C695" s="31" t="str">
        <x:v>Place the green pen near the red block.</x:v>
      </x:c>
      <x:c r="D695" s="31" t="str">
        <x:v>green pen near red block</x:v>
      </x:c>
      <x:c r="E695" s="31" t="str">
        <x:v>Binary task success; paired with the main transfer row.</x:v>
      </x:c>
      <x:c r="F695" s="31"/>
      <x:c r="G695" s="31"/>
      <x:c r="H695" s="31" t="str">
        <x:f>IF(OR(F695="",G695=""),"",IF(F695=G695,"Agree","Disagree"))</x:f>
      </x:c>
      <x:c r="I695" s="31"/>
      <x:c r="J695" s="31" t="str">
        <x:v>No</x:v>
      </x:c>
      <x:c r="K695" s="31" t="str"/>
      <x:c r="L695" s="31" t="str"/>
      <x:c r="M695" s="31" t="str"/>
      <x:c r="N695" s="31" t="str"/>
    </x:row>
    <x:row r="696" ht="42" customHeight="1">
      <x:c r="A696" s="35" t="n">
        <x:v>694</x:v>
      </x:c>
      <x:c r="B696" s="31" t="str">
        <x:f>IF('Execution Checklist'!Q696="","",'Execution Checklist'!Q696)</x:f>
      </x:c>
      <x:c r="C696" s="31" t="str">
        <x:v>Move the red block to the side of the pink marker facing the robot.</x:v>
      </x:c>
      <x:c r="D696" s="31" t="str">
        <x:v>red block</x:v>
      </x:c>
      <x:c r="E696" s="31" t="str">
        <x:v>Binary task success; compare with the seen-language row sharing Pair ID.</x:v>
      </x:c>
      <x:c r="F696" s="31"/>
      <x:c r="G696" s="31"/>
      <x:c r="H696" s="31" t="str">
        <x:f>IF(OR(F696="",G696=""),"",IF(F696=G696,"Agree","Disagree"))</x:f>
      </x:c>
      <x:c r="I696" s="31"/>
      <x:c r="J696" s="31" t="str">
        <x:v>No</x:v>
      </x:c>
      <x:c r="K696" s="31" t="str"/>
      <x:c r="L696" s="31" t="str"/>
      <x:c r="M696" s="31" t="str"/>
      <x:c r="N696" s="31" t="str"/>
    </x:row>
    <x:row r="697" ht="42" customHeight="1">
      <x:c r="A697" s="35" t="n">
        <x:v>695</x:v>
      </x:c>
      <x:c r="B697" s="31" t="str">
        <x:f>IF('Execution Checklist'!Q697="","",'Execution Checklist'!Q697)</x:f>
      </x:c>
      <x:c r="C697" s="31" t="str">
        <x:v>Place the green pen to the left of the red block.</x:v>
      </x:c>
      <x:c r="D697" s="31" t="str">
        <x:v>No prespecified task success under blank language; record any action/selected target.</x:v>
      </x:c>
      <x:c r="E697" s="31" t="str">
        <x:v>Do not score ordinary task success. Record action occurrence and agreement with the parent correct-prompt rollout.</x:v>
      </x:c>
      <x:c r="F697" s="31"/>
      <x:c r="G697" s="31"/>
      <x:c r="H697" s="31" t="str">
        <x:f>IF(OR(F697="",G697=""),"",IF(F697=G697,"Agree","Disagree"))</x:f>
      </x:c>
      <x:c r="I697" s="31"/>
      <x:c r="J697" s="31" t="str">
        <x:v>No</x:v>
      </x:c>
      <x:c r="K697" s="31" t="str"/>
      <x:c r="L697" s="31" t="str"/>
      <x:c r="M697" s="31" t="str"/>
      <x:c r="N697" s="31" t="str"/>
    </x:row>
    <x:row r="698" ht="42" customHeight="1">
      <x:c r="A698" s="35" t="n">
        <x:v>696</x:v>
      </x:c>
      <x:c r="B698" s="31" t="str">
        <x:f>IF('Execution Checklist'!Q698="","",'Execution Checklist'!Q698)</x:f>
      </x:c>
      <x:c r="C698" s="31" t="str">
        <x:v>Place the red block near the green pen.</x:v>
      </x:c>
      <x:c r="D698" s="31" t="str">
        <x:v>red block near green pen</x:v>
      </x:c>
      <x:c r="E698" s="31" t="str">
        <x:v>Binary task success; paired with the main transfer row.</x:v>
      </x:c>
      <x:c r="F698" s="31"/>
      <x:c r="G698" s="31"/>
      <x:c r="H698" s="31" t="str">
        <x:f>IF(OR(F698="",G698=""),"",IF(F698=G698,"Agree","Disagree"))</x:f>
      </x:c>
      <x:c r="I698" s="31"/>
      <x:c r="J698" s="31" t="str">
        <x:v>No</x:v>
      </x:c>
      <x:c r="K698" s="31" t="str"/>
      <x:c r="L698" s="31" t="str"/>
      <x:c r="M698" s="31" t="str"/>
      <x:c r="N698" s="31" t="str"/>
    </x:row>
    <x:row r="699" ht="42" customHeight="1">
      <x:c r="A699" s="35" t="n">
        <x:v>697</x:v>
      </x:c>
      <x:c r="B699" s="31" t="str">
        <x:f>IF('Execution Checklist'!Q699="","",'Execution Checklist'!Q699)</x:f>
      </x:c>
      <x:c r="C699" s="31" t="str">
        <x:v>Place the red block beside the green pen.</x:v>
      </x:c>
      <x:c r="D699" s="31" t="str">
        <x:v>red block near green pen</x:v>
      </x:c>
      <x:c r="E699" s="31" t="str">
        <x:v>Binary task success; paired with the main transfer row.</x:v>
      </x:c>
      <x:c r="F699" s="31"/>
      <x:c r="G699" s="31"/>
      <x:c r="H699" s="31" t="str">
        <x:f>IF(OR(F699="",G699=""),"",IF(F699=G699,"Agree","Disagree"))</x:f>
      </x:c>
      <x:c r="I699" s="31"/>
      <x:c r="J699" s="31" t="str">
        <x:v>No</x:v>
      </x:c>
      <x:c r="K699" s="31" t="str"/>
      <x:c r="L699" s="31" t="str"/>
      <x:c r="M699" s="31" t="str"/>
      <x:c r="N699" s="31" t="str"/>
    </x:row>
    <x:row r="700" ht="42" customHeight="1">
      <x:c r="A700" s="35" t="n">
        <x:v>698</x:v>
      </x:c>
      <x:c r="B700" s="31" t="str">
        <x:f>IF('Execution Checklist'!Q700="","",'Execution Checklist'!Q700)</x:f>
      </x:c>
      <x:c r="C700" s="31" t="str">
        <x:v>Place the green pen to the right of the red block.</x:v>
      </x:c>
      <x:c r="D700" s="31" t="str">
        <x:v>green pen → to the right of red block</x:v>
      </x:c>
      <x:c r="E700" s="31" t="str">
        <x:v>Binary success for the counterfactual instruction and paired action-switch analysis versus the parent.</x:v>
      </x:c>
      <x:c r="F700" s="31"/>
      <x:c r="G700" s="31"/>
      <x:c r="H700" s="31" t="str">
        <x:f>IF(OR(F700="",G700=""),"",IF(F700=G700,"Agree","Disagree"))</x:f>
      </x:c>
      <x:c r="I700" s="31"/>
      <x:c r="J700" s="31" t="str">
        <x:v>No</x:v>
      </x:c>
      <x:c r="K700" s="31" t="str"/>
      <x:c r="L700" s="31" t="str"/>
      <x:c r="M700" s="31" t="str"/>
      <x:c r="N700" s="31" t="str"/>
    </x:row>
    <x:row r="701" ht="42" customHeight="1">
      <x:c r="A701" s="35" t="n">
        <x:v>699</x:v>
      </x:c>
      <x:c r="B701" s="31" t="str">
        <x:f>IF('Execution Checklist'!Q701="","",'Execution Checklist'!Q701)</x:f>
      </x:c>
      <x:c r="C701" s="31" t="str">
        <x:v>Move the red block to the side of the pink marker facing the robot.</x:v>
      </x:c>
      <x:c r="D701" s="31" t="str">
        <x:v>red block</x:v>
      </x:c>
      <x:c r="E701" s="31" t="str">
        <x:v>Binary task success; compare with the seen-language row sharing Pair ID.</x:v>
      </x:c>
      <x:c r="F701" s="31"/>
      <x:c r="G701" s="31"/>
      <x:c r="H701" s="31" t="str">
        <x:f>IF(OR(F701="",G701=""),"",IF(F701=G701,"Agree","Disagree"))</x:f>
      </x:c>
      <x:c r="I701" s="31"/>
      <x:c r="J701" s="31" t="str">
        <x:v>No</x:v>
      </x:c>
      <x:c r="K701" s="31" t="str"/>
      <x:c r="L701" s="31" t="str"/>
      <x:c r="M701" s="31" t="str"/>
      <x:c r="N701" s="31" t="str"/>
    </x:row>
    <x:row r="702" ht="42" customHeight="1">
      <x:c r="A702" s="35" t="n">
        <x:v>700</x:v>
      </x:c>
      <x:c r="B702" s="31" t="str">
        <x:f>IF('Execution Checklist'!Q702="","",'Execution Checklist'!Q702)</x:f>
      </x:c>
      <x:c r="C702" s="31" t="str">
        <x:v>Place the red block to the right of the green pen.</x:v>
      </x:c>
      <x:c r="D702" s="31" t="str">
        <x:v>red block → to the right of green pen</x:v>
      </x:c>
      <x:c r="E702" s="31" t="str">
        <x:v>Binary task success; paired with the main matched-control row.</x:v>
      </x:c>
      <x:c r="F702" s="31"/>
      <x:c r="G702" s="31"/>
      <x:c r="H702" s="31" t="str">
        <x:f>IF(OR(F702="",G702=""),"",IF(F702=G702,"Agree","Disagree"))</x:f>
      </x:c>
      <x:c r="I702" s="31"/>
      <x:c r="J702" s="31" t="str">
        <x:v>No</x:v>
      </x:c>
      <x:c r="K702" s="31" t="str"/>
      <x:c r="L702" s="31" t="str"/>
      <x:c r="M702" s="31" t="str"/>
      <x:c r="N702" s="31" t="str"/>
    </x:row>
    <x:row r="703" ht="42" customHeight="1">
      <x:c r="A703" s="35" t="n">
        <x:v>701</x:v>
      </x:c>
      <x:c r="B703" s="31" t="str">
        <x:f>IF('Execution Checklist'!Q703="","",'Execution Checklist'!Q703)</x:f>
      </x:c>
      <x:c r="C703" s="31" t="str">
        <x:v>Place the green pen behind the red block.</x:v>
      </x:c>
      <x:c r="D703" s="31" t="str">
        <x:v>No prespecified task success under blank language; record any action/selected target.</x:v>
      </x:c>
      <x:c r="E703" s="31" t="str">
        <x:v>Do not score ordinary task success. Record action occurrence and agreement with the parent correct-prompt rollout.</x:v>
      </x:c>
      <x:c r="F703" s="31"/>
      <x:c r="G703" s="31"/>
      <x:c r="H703" s="31" t="str">
        <x:f>IF(OR(F703="",G703=""),"",IF(F703=G703,"Agree","Disagree"))</x:f>
      </x:c>
      <x:c r="I703" s="31"/>
      <x:c r="J703" s="31" t="str">
        <x:v>No</x:v>
      </x:c>
      <x:c r="K703" s="31" t="str"/>
      <x:c r="L703" s="31" t="str"/>
      <x:c r="M703" s="31" t="str"/>
      <x:c r="N703" s="31" t="str"/>
    </x:row>
    <x:row r="704" ht="42" customHeight="1">
      <x:c r="A704" s="35" t="n">
        <x:v>702</x:v>
      </x:c>
      <x:c r="B704" s="31" t="str">
        <x:f>IF('Execution Checklist'!Q704="","",'Execution Checklist'!Q704)</x:f>
      </x:c>
      <x:c r="C704" s="31" t="str">
        <x:v>Place the green pen behind the pink marker.</x:v>
      </x:c>
      <x:c r="D704" s="31" t="str">
        <x:v>green pen</x:v>
      </x:c>
      <x:c r="E704" s="31" t="str">
        <x:v>Binary task success using the task-specific rubric.</x:v>
      </x:c>
      <x:c r="F704" s="31"/>
      <x:c r="G704" s="31"/>
      <x:c r="H704" s="31" t="str">
        <x:f>IF(OR(F704="",G704=""),"",IF(F704=G704,"Agree","Disagree"))</x:f>
      </x:c>
      <x:c r="I704" s="31"/>
      <x:c r="J704" s="31" t="str">
        <x:v>No</x:v>
      </x:c>
      <x:c r="K704" s="31" t="str"/>
      <x:c r="L704" s="31" t="str"/>
      <x:c r="M704" s="31" t="str"/>
      <x:c r="N704" s="31" t="str"/>
    </x:row>
    <x:row r="705" ht="42" customHeight="1">
      <x:c r="A705" s="35" t="n">
        <x:v>703</x:v>
      </x:c>
      <x:c r="B705" s="31" t="str">
        <x:f>IF('Execution Checklist'!Q705="","",'Execution Checklist'!Q705)</x:f>
      </x:c>
      <x:c r="C705" s="31" t="str">
        <x:v>Place the red block near the green pen.</x:v>
      </x:c>
      <x:c r="D705" s="31" t="str">
        <x:v>red block near green pen</x:v>
      </x:c>
      <x:c r="E705" s="31" t="str">
        <x:v>Binary task success; paired with the main transfer row.</x:v>
      </x:c>
      <x:c r="F705" s="31"/>
      <x:c r="G705" s="31"/>
      <x:c r="H705" s="31" t="str">
        <x:f>IF(OR(F705="",G705=""),"",IF(F705=G705,"Agree","Disagree"))</x:f>
      </x:c>
      <x:c r="I705" s="31"/>
      <x:c r="J705" s="31" t="str">
        <x:v>No</x:v>
      </x:c>
      <x:c r="K705" s="31" t="str"/>
      <x:c r="L705" s="31" t="str"/>
      <x:c r="M705" s="31" t="str"/>
      <x:c r="N705" s="31" t="str"/>
    </x:row>
    <x:row r="706" ht="42" customHeight="1">
      <x:c r="A706" s="35" t="n">
        <x:v>704</x:v>
      </x:c>
      <x:c r="B706" s="31" t="str">
        <x:f>IF('Execution Checklist'!Q706="","",'Execution Checklist'!Q706)</x:f>
      </x:c>
      <x:c r="C706" s="31" t="str">
        <x:v>Move the red block to the side of the pink marker facing the robot.</x:v>
      </x:c>
      <x:c r="D706" s="31" t="str">
        <x:v>red block</x:v>
      </x:c>
      <x:c r="E706" s="31" t="str">
        <x:v>Binary task success; compare with the seen-language row sharing Pair ID.</x:v>
      </x:c>
      <x:c r="F706" s="31"/>
      <x:c r="G706" s="31"/>
      <x:c r="H706" s="31" t="str">
        <x:f>IF(OR(F706="",G706=""),"",IF(F706=G706,"Agree","Disagree"))</x:f>
      </x:c>
      <x:c r="I706" s="31"/>
      <x:c r="J706" s="31" t="str">
        <x:v>No</x:v>
      </x:c>
      <x:c r="K706" s="31" t="str"/>
      <x:c r="L706" s="31" t="str"/>
      <x:c r="M706" s="31" t="str"/>
      <x:c r="N706" s="31" t="str"/>
    </x:row>
    <x:row r="707" ht="42" customHeight="1">
      <x:c r="A707" s="35" t="n">
        <x:v>705</x:v>
      </x:c>
      <x:c r="B707" s="31" t="str">
        <x:f>IF('Execution Checklist'!Q707="","",'Execution Checklist'!Q707)</x:f>
      </x:c>
      <x:c r="C707" s="31" t="str">
        <x:v>Place the green pen to the left of the pink marker.</x:v>
      </x:c>
      <x:c r="D707" s="31" t="str">
        <x:v>green pen</x:v>
      </x:c>
      <x:c r="E707" s="31" t="str">
        <x:v>Binary task success using the task-specific rubric.</x:v>
      </x:c>
      <x:c r="F707" s="31"/>
      <x:c r="G707" s="31"/>
      <x:c r="H707" s="31" t="str">
        <x:f>IF(OR(F707="",G707=""),"",IF(F707=G707,"Agree","Disagree"))</x:f>
      </x:c>
      <x:c r="I707" s="31"/>
      <x:c r="J707" s="31" t="str">
        <x:v>No</x:v>
      </x:c>
      <x:c r="K707" s="31" t="str"/>
      <x:c r="L707" s="31" t="str"/>
      <x:c r="M707" s="31" t="str"/>
      <x:c r="N707" s="31" t="str"/>
    </x:row>
    <x:row r="708" ht="42" customHeight="1">
      <x:c r="A708" s="35" t="n">
        <x:v>706</x:v>
      </x:c>
      <x:c r="B708" s="31" t="str">
        <x:f>IF('Execution Checklist'!Q708="","",'Execution Checklist'!Q708)</x:f>
      </x:c>
      <x:c r="C708" s="31" t="str">
        <x:v>Place the green pen next to the red block.</x:v>
      </x:c>
      <x:c r="D708" s="31" t="str">
        <x:v>green pen near red block</x:v>
      </x:c>
      <x:c r="E708" s="31" t="str">
        <x:v>Binary task success; paired with the main transfer row.</x:v>
      </x:c>
      <x:c r="F708" s="31"/>
      <x:c r="G708" s="31"/>
      <x:c r="H708" s="31" t="str">
        <x:f>IF(OR(F708="",G708=""),"",IF(F708=G708,"Agree","Disagree"))</x:f>
      </x:c>
      <x:c r="I708" s="31"/>
      <x:c r="J708" s="31" t="str">
        <x:v>No</x:v>
      </x:c>
      <x:c r="K708" s="31" t="str"/>
      <x:c r="L708" s="31" t="str"/>
      <x:c r="M708" s="31" t="str"/>
      <x:c r="N708" s="31" t="str"/>
    </x:row>
    <x:row r="709" ht="42" customHeight="1">
      <x:c r="A709" s="35" t="n">
        <x:v>707</x:v>
      </x:c>
      <x:c r="B709" s="31" t="str">
        <x:f>IF('Execution Checklist'!Q709="","",'Execution Checklist'!Q709)</x:f>
      </x:c>
      <x:c r="C709" s="31" t="str">
        <x:v>Place the pink marker to the right of the blue block.</x:v>
      </x:c>
      <x:c r="D709" s="31" t="str">
        <x:v>pink marker</x:v>
      </x:c>
      <x:c r="E709" s="31" t="str">
        <x:v>Binary task success using the task-specific rubric.</x:v>
      </x:c>
      <x:c r="F709" s="31"/>
      <x:c r="G709" s="31"/>
      <x:c r="H709" s="31" t="str">
        <x:f>IF(OR(F709="",G709=""),"",IF(F709=G709,"Agree","Disagree"))</x:f>
      </x:c>
      <x:c r="I709" s="31"/>
      <x:c r="J709" s="31" t="str">
        <x:v>No</x:v>
      </x:c>
      <x:c r="K709" s="31" t="str"/>
      <x:c r="L709" s="31" t="str"/>
      <x:c r="M709" s="31" t="str"/>
      <x:c r="N709" s="31" t="str"/>
    </x:row>
    <x:row r="710" ht="42" customHeight="1">
      <x:c r="A710" s="35" t="n">
        <x:v>708</x:v>
      </x:c>
      <x:c r="B710" s="31" t="str">
        <x:f>IF('Execution Checklist'!Q710="","",'Execution Checklist'!Q710)</x:f>
      </x:c>
      <x:c r="C710" s="31" t="str">
        <x:v>Place the green pen to the left of the red block.</x:v>
      </x:c>
      <x:c r="D710" s="31" t="str">
        <x:v>green pen → to the left of red block</x:v>
      </x:c>
      <x:c r="E710" s="31" t="str">
        <x:v>Binary task success; paired with the main matched-control row.</x:v>
      </x:c>
      <x:c r="F710" s="31"/>
      <x:c r="G710" s="31"/>
      <x:c r="H710" s="31" t="str">
        <x:f>IF(OR(F710="",G710=""),"",IF(F710=G710,"Agree","Disagree"))</x:f>
      </x:c>
      <x:c r="I710" s="31"/>
      <x:c r="J710" s="31" t="str">
        <x:v>No</x:v>
      </x:c>
      <x:c r="K710" s="31" t="str"/>
      <x:c r="L710" s="31" t="str"/>
      <x:c r="M710" s="31" t="str"/>
      <x:c r="N710" s="31" t="str"/>
    </x:row>
    <x:row r="711" ht="42" customHeight="1">
      <x:c r="A711" s="35" t="n">
        <x:v>709</x:v>
      </x:c>
      <x:c r="B711" s="31" t="str">
        <x:f>IF('Execution Checklist'!Q711="","",'Execution Checklist'!Q711)</x:f>
      </x:c>
      <x:c r="C711" s="31" t="str">
        <x:v>Place the green pen to the right of the red block.</x:v>
      </x:c>
      <x:c r="D711" s="31" t="str">
        <x:v>green pen → to the right of red block</x:v>
      </x:c>
      <x:c r="E711" s="31" t="str">
        <x:v>Binary task success; paired with the main matched-control row.</x:v>
      </x:c>
      <x:c r="F711" s="31"/>
      <x:c r="G711" s="31"/>
      <x:c r="H711" s="31" t="str">
        <x:f>IF(OR(F711="",G711=""),"",IF(F711=G711,"Agree","Disagree"))</x:f>
      </x:c>
      <x:c r="I711" s="31"/>
      <x:c r="J711" s="31" t="str">
        <x:v>No</x:v>
      </x:c>
      <x:c r="K711" s="31" t="str"/>
      <x:c r="L711" s="31" t="str"/>
      <x:c r="M711" s="31" t="str"/>
      <x:c r="N711" s="31" t="str"/>
    </x:row>
    <x:row r="712" ht="42" customHeight="1">
      <x:c r="A712" s="35" t="n">
        <x:v>710</x:v>
      </x:c>
      <x:c r="B712" s="31" t="str">
        <x:f>IF('Execution Checklist'!Q712="","",'Execution Checklist'!Q712)</x:f>
      </x:c>
      <x:c r="C712" s="31" t="str">
        <x:v>Place the pink marker in front of the blue block.</x:v>
      </x:c>
      <x:c r="D712" s="31" t="str">
        <x:v>pink marker</x:v>
      </x:c>
      <x:c r="E712" s="31" t="str">
        <x:v>Binary task success using the task-specific rubric.</x:v>
      </x:c>
      <x:c r="F712" s="31"/>
      <x:c r="G712" s="31"/>
      <x:c r="H712" s="31" t="str">
        <x:f>IF(OR(F712="",G712=""),"",IF(F712=G712,"Agree","Disagree"))</x:f>
      </x:c>
      <x:c r="I712" s="31"/>
      <x:c r="J712" s="31" t="str">
        <x:v>No</x:v>
      </x:c>
      <x:c r="K712" s="31" t="str"/>
      <x:c r="L712" s="31" t="str"/>
      <x:c r="M712" s="31" t="str"/>
      <x:c r="N712" s="31" t="str"/>
    </x:row>
    <x:row r="713" ht="42" customHeight="1">
      <x:c r="A713" s="35" t="n">
        <x:v>711</x:v>
      </x:c>
      <x:c r="B713" s="31" t="str">
        <x:f>IF('Execution Checklist'!Q713="","",'Execution Checklist'!Q713)</x:f>
      </x:c>
      <x:c r="C713" s="31" t="str">
        <x:v>Place the red block beside the green pen.</x:v>
      </x:c>
      <x:c r="D713" s="31" t="str">
        <x:v>red block near green pen</x:v>
      </x:c>
      <x:c r="E713" s="31" t="str">
        <x:v>Binary task success; paired with the main transfer row.</x:v>
      </x:c>
      <x:c r="F713" s="31"/>
      <x:c r="G713" s="31"/>
      <x:c r="H713" s="31" t="str">
        <x:f>IF(OR(F713="",G713=""),"",IF(F713=G713,"Agree","Disagree"))</x:f>
      </x:c>
      <x:c r="I713" s="31"/>
      <x:c r="J713" s="31" t="str">
        <x:v>No</x:v>
      </x:c>
      <x:c r="K713" s="31" t="str"/>
      <x:c r="L713" s="31" t="str"/>
      <x:c r="M713" s="31" t="str"/>
      <x:c r="N713" s="31" t="str"/>
    </x:row>
    <x:row r="714" ht="42" customHeight="1">
      <x:c r="A714" s="35" t="n">
        <x:v>712</x:v>
      </x:c>
      <x:c r="B714" s="31" t="str">
        <x:f>IF('Execution Checklist'!Q714="","",'Execution Checklist'!Q714)</x:f>
      </x:c>
      <x:c r="C714" s="31" t="str">
        <x:v>Place the green pen to the left of the red block.</x:v>
      </x:c>
      <x:c r="D714" s="31" t="str">
        <x:v>green pen → to the left of red block</x:v>
      </x:c>
      <x:c r="E714" s="31" t="str">
        <x:v>Binary task success; paired with the main matched-control row.</x:v>
      </x:c>
      <x:c r="F714" s="31"/>
      <x:c r="G714" s="31"/>
      <x:c r="H714" s="31" t="str">
        <x:f>IF(OR(F714="",G714=""),"",IF(F714=G714,"Agree","Disagree"))</x:f>
      </x:c>
      <x:c r="I714" s="31"/>
      <x:c r="J714" s="31" t="str">
        <x:v>No</x:v>
      </x:c>
      <x:c r="K714" s="31" t="str"/>
      <x:c r="L714" s="31" t="str"/>
      <x:c r="M714" s="31" t="str"/>
      <x:c r="N714" s="31" t="str"/>
    </x:row>
    <x:row r="715" ht="42" customHeight="1">
      <x:c r="A715" s="35" t="n">
        <x:v>713</x:v>
      </x:c>
      <x:c r="B715" s="31" t="str">
        <x:f>IF('Execution Checklist'!Q715="","",'Execution Checklist'!Q715)</x:f>
      </x:c>
      <x:c r="C715" s="31" t="str">
        <x:v>Place the red block beside the green pen.</x:v>
      </x:c>
      <x:c r="D715" s="31" t="str">
        <x:v>red block near green pen</x:v>
      </x:c>
      <x:c r="E715" s="31" t="str">
        <x:v>Binary task success; paired with the main transfer row.</x:v>
      </x:c>
      <x:c r="F715" s="31"/>
      <x:c r="G715" s="31"/>
      <x:c r="H715" s="31" t="str">
        <x:f>IF(OR(F715="",G715=""),"",IF(F715=G715,"Agree","Disagree"))</x:f>
      </x:c>
      <x:c r="I715" s="31"/>
      <x:c r="J715" s="31" t="str">
        <x:v>No</x:v>
      </x:c>
      <x:c r="K715" s="31" t="str"/>
      <x:c r="L715" s="31" t="str"/>
      <x:c r="M715" s="31" t="str"/>
      <x:c r="N715" s="31" t="str"/>
    </x:row>
    <x:row r="716" ht="42" customHeight="1">
      <x:c r="A716" s="35" t="n">
        <x:v>714</x:v>
      </x:c>
      <x:c r="B716" s="31" t="str">
        <x:f>IF('Execution Checklist'!Q716="","",'Execution Checklist'!Q716)</x:f>
      </x:c>
      <x:c r="C716" s="31" t="str">
        <x:v>Place the blue block in front of the green pen.</x:v>
      </x:c>
      <x:c r="D716" s="31" t="str">
        <x:v>blue block</x:v>
      </x:c>
      <x:c r="E716" s="31" t="str">
        <x:v>Binary task success using the task-specific rubric.</x:v>
      </x:c>
      <x:c r="F716" s="31"/>
      <x:c r="G716" s="31"/>
      <x:c r="H716" s="31" t="str">
        <x:f>IF(OR(F716="",G716=""),"",IF(F716=G716,"Agree","Disagree"))</x:f>
      </x:c>
      <x:c r="I716" s="31"/>
      <x:c r="J716" s="31" t="str">
        <x:v>No</x:v>
      </x:c>
      <x:c r="K716" s="31" t="str"/>
      <x:c r="L716" s="31" t="str"/>
      <x:c r="M716" s="31" t="str"/>
      <x:c r="N716" s="31" t="str"/>
    </x:row>
    <x:row r="717" ht="42" customHeight="1">
      <x:c r="A717" s="35" t="n">
        <x:v>715</x:v>
      </x:c>
      <x:c r="B717" s="31" t="str">
        <x:f>IF('Execution Checklist'!Q717="","",'Execution Checklist'!Q717)</x:f>
      </x:c>
      <x:c r="C717" s="31" t="str">
        <x:v>Place the green pen beside the red block.</x:v>
      </x:c>
      <x:c r="D717" s="31" t="str">
        <x:v>green pen near red block</x:v>
      </x:c>
      <x:c r="E717" s="31" t="str">
        <x:v>Binary task success; paired with the main transfer row.</x:v>
      </x:c>
      <x:c r="F717" s="31"/>
      <x:c r="G717" s="31"/>
      <x:c r="H717" s="31" t="str">
        <x:f>IF(OR(F717="",G717=""),"",IF(F717=G717,"Agree","Disagree"))</x:f>
      </x:c>
      <x:c r="I717" s="31"/>
      <x:c r="J717" s="31" t="str">
        <x:v>No</x:v>
      </x:c>
      <x:c r="K717" s="31" t="str"/>
      <x:c r="L717" s="31" t="str"/>
      <x:c r="M717" s="31" t="str"/>
      <x:c r="N717" s="31" t="str"/>
    </x:row>
    <x:row r="718" ht="42" customHeight="1">
      <x:c r="A718" s="35" t="n">
        <x:v>716</x:v>
      </x:c>
      <x:c r="B718" s="31" t="str">
        <x:f>IF('Execution Checklist'!Q718="","",'Execution Checklist'!Q718)</x:f>
      </x:c>
      <x:c r="C718" s="31" t="str">
        <x:v>Place the red block to the left of the blue block.</x:v>
      </x:c>
      <x:c r="D718" s="31" t="str">
        <x:v>red block</x:v>
      </x:c>
      <x:c r="E718" s="31" t="str">
        <x:v>Binary task success using the task-specific rubric.</x:v>
      </x:c>
      <x:c r="F718" s="31"/>
      <x:c r="G718" s="31"/>
      <x:c r="H718" s="31" t="str">
        <x:f>IF(OR(F718="",G718=""),"",IF(F718=G718,"Agree","Disagree"))</x:f>
      </x:c>
      <x:c r="I718" s="31"/>
      <x:c r="J718" s="31" t="str">
        <x:v>No</x:v>
      </x:c>
      <x:c r="K718" s="31" t="str"/>
      <x:c r="L718" s="31" t="str"/>
      <x:c r="M718" s="31" t="str"/>
      <x:c r="N718" s="31" t="str"/>
    </x:row>
    <x:row r="719" ht="42" customHeight="1">
      <x:c r="A719" s="35" t="n">
        <x:v>717</x:v>
      </x:c>
      <x:c r="B719" s="31" t="str">
        <x:f>IF('Execution Checklist'!Q719="","",'Execution Checklist'!Q719)</x:f>
      </x:c>
      <x:c r="C719" s="31" t="str">
        <x:v>Place the green pen in front of the red block.</x:v>
      </x:c>
      <x:c r="D719" s="31" t="str">
        <x:v>green pen → in front of red block</x:v>
      </x:c>
      <x:c r="E719" s="31" t="str">
        <x:v>Binary task success; paired with the main matched-control row.</x:v>
      </x:c>
      <x:c r="F719" s="31"/>
      <x:c r="G719" s="31"/>
      <x:c r="H719" s="31" t="str">
        <x:f>IF(OR(F719="",G719=""),"",IF(F719=G719,"Agree","Disagree"))</x:f>
      </x:c>
      <x:c r="I719" s="31"/>
      <x:c r="J719" s="31" t="str">
        <x:v>No</x:v>
      </x:c>
      <x:c r="K719" s="31" t="str"/>
      <x:c r="L719" s="31" t="str"/>
      <x:c r="M719" s="31" t="str"/>
      <x:c r="N719" s="31" t="str"/>
    </x:row>
    <x:row r="720" ht="42" customHeight="1">
      <x:c r="A720" s="35" t="n">
        <x:v>718</x:v>
      </x:c>
      <x:c r="B720" s="31" t="str">
        <x:f>IF('Execution Checklist'!Q720="","",'Execution Checklist'!Q720)</x:f>
      </x:c>
      <x:c r="C720" s="31" t="str">
        <x:v>Place the green pen next to the red block.</x:v>
      </x:c>
      <x:c r="D720" s="31" t="str">
        <x:v>green pen near red block</x:v>
      </x:c>
      <x:c r="E720" s="31" t="str">
        <x:v>Binary task success; paired with the main transfer row.</x:v>
      </x:c>
      <x:c r="F720" s="31"/>
      <x:c r="G720" s="31"/>
      <x:c r="H720" s="31" t="str">
        <x:f>IF(OR(F720="",G720=""),"",IF(F720=G720,"Agree","Disagree"))</x:f>
      </x:c>
      <x:c r="I720" s="31"/>
      <x:c r="J720" s="31" t="str">
        <x:v>No</x:v>
      </x:c>
      <x:c r="K720" s="31" t="str"/>
      <x:c r="L720" s="31" t="str"/>
      <x:c r="M720" s="31" t="str"/>
      <x:c r="N720" s="31" t="str"/>
    </x:row>
    <x:row r="721" ht="42" customHeight="1">
      <x:c r="A721" s="35" t="n">
        <x:v>719</x:v>
      </x:c>
      <x:c r="B721" s="31" t="str">
        <x:f>IF('Execution Checklist'!Q721="","",'Execution Checklist'!Q721)</x:f>
      </x:c>
      <x:c r="C721" s="31" t="str">
        <x:v>Place the green pen behind the red block.</x:v>
      </x:c>
      <x:c r="D721" s="31" t="str">
        <x:v>green pen → behind red block</x:v>
      </x:c>
      <x:c r="E721" s="31" t="str">
        <x:v>Binary success for the counterfactual instruction and paired action-switch analysis versus the parent.</x:v>
      </x:c>
      <x:c r="F721" s="31"/>
      <x:c r="G721" s="31"/>
      <x:c r="H721" s="31" t="str">
        <x:f>IF(OR(F721="",G721=""),"",IF(F721=G721,"Agree","Disagree"))</x:f>
      </x:c>
      <x:c r="I721" s="31"/>
      <x:c r="J721" s="31" t="str">
        <x:v>No</x:v>
      </x:c>
      <x:c r="K721" s="31" t="str"/>
      <x:c r="L721" s="31" t="str"/>
      <x:c r="M721" s="31" t="str"/>
      <x:c r="N721" s="31" t="str"/>
    </x:row>
    <x:row r="722" ht="42" customHeight="1">
      <x:c r="A722" s="35" t="n">
        <x:v>720</x:v>
      </x:c>
      <x:c r="B722" s="31" t="str">
        <x:f>IF('Execution Checklist'!Q722="","",'Execution Checklist'!Q722)</x:f>
      </x:c>
      <x:c r="C722" s="31" t="str">
        <x:v>Move the green pen to the front of the pink marker.</x:v>
      </x:c>
      <x:c r="D722" s="31" t="str">
        <x:v>green pen</x:v>
      </x:c>
      <x:c r="E722" s="31" t="str">
        <x:v>Binary task success using the task-specific rubric.</x:v>
      </x:c>
      <x:c r="F722" s="31"/>
      <x:c r="G722" s="31"/>
      <x:c r="H722" s="31" t="str">
        <x:f>IF(OR(F722="",G722=""),"",IF(F722=G722,"Agree","Disagree"))</x:f>
      </x:c>
      <x:c r="I722" s="31"/>
      <x:c r="J722" s="31" t="str">
        <x:v>No</x:v>
      </x:c>
      <x:c r="K722" s="31" t="str"/>
      <x:c r="L722" s="31" t="str"/>
      <x:c r="M722" s="31" t="str"/>
      <x:c r="N722" s="31" t="str"/>
    </x:row>
    <x:row r="723" ht="42" customHeight="1">
      <x:c r="A723" s="35" t="n">
        <x:v>721</x:v>
      </x:c>
      <x:c r="B723" s="31" t="str">
        <x:f>IF('Execution Checklist'!Q723="","",'Execution Checklist'!Q723)</x:f>
      </x:c>
      <x:c r="C723" s="31" t="str">
        <x:v>Place the red block to the left of the green pen.</x:v>
      </x:c>
      <x:c r="D723" s="31" t="str">
        <x:v>red block → to the left of green pen</x:v>
      </x:c>
      <x:c r="E723" s="31" t="str">
        <x:v>Binary task success; paired with the main matched-control row.</x:v>
      </x:c>
      <x:c r="F723" s="31"/>
      <x:c r="G723" s="31"/>
      <x:c r="H723" s="31" t="str">
        <x:f>IF(OR(F723="",G723=""),"",IF(F723=G723,"Agree","Disagree"))</x:f>
      </x:c>
      <x:c r="I723" s="31"/>
      <x:c r="J723" s="31" t="str">
        <x:v>No</x:v>
      </x:c>
      <x:c r="K723" s="31" t="str"/>
      <x:c r="L723" s="31" t="str"/>
      <x:c r="M723" s="31" t="str"/>
      <x:c r="N723" s="31" t="str"/>
    </x:row>
    <x:row r="724" ht="42" customHeight="1">
      <x:c r="A724" s="35" t="n">
        <x:v>722</x:v>
      </x:c>
      <x:c r="B724" s="31" t="str">
        <x:f>IF('Execution Checklist'!Q724="","",'Execution Checklist'!Q724)</x:f>
      </x:c>
      <x:c r="C724" s="31" t="str">
        <x:v>Move the red block to the side of the pink marker facing the robot.</x:v>
      </x:c>
      <x:c r="D724" s="31" t="str">
        <x:v>red block</x:v>
      </x:c>
      <x:c r="E724" s="31" t="str">
        <x:v>Binary task success; compare with the seen-language row sharing Pair ID.</x:v>
      </x:c>
      <x:c r="F724" s="31"/>
      <x:c r="G724" s="31"/>
      <x:c r="H724" s="31" t="str">
        <x:f>IF(OR(F724="",G724=""),"",IF(F724=G724,"Agree","Disagree"))</x:f>
      </x:c>
      <x:c r="I724" s="31"/>
      <x:c r="J724" s="31" t="str">
        <x:v>No</x:v>
      </x:c>
      <x:c r="K724" s="31" t="str"/>
      <x:c r="L724" s="31" t="str"/>
      <x:c r="M724" s="31" t="str"/>
      <x:c r="N724" s="31" t="str"/>
    </x:row>
    <x:row r="725" ht="42" customHeight="1">
      <x:c r="A725" s="35" t="n">
        <x:v>723</x:v>
      </x:c>
      <x:c r="B725" s="31" t="str">
        <x:f>IF('Execution Checklist'!Q725="","",'Execution Checklist'!Q725)</x:f>
      </x:c>
      <x:c r="C725" s="31" t="str">
        <x:v>Place the red block to the right of the green pen.</x:v>
      </x:c>
      <x:c r="D725" s="31" t="str">
        <x:v>red block → to the right of green pen</x:v>
      </x:c>
      <x:c r="E725" s="31" t="str">
        <x:v>Binary task success; paired with the main matched-control row.</x:v>
      </x:c>
      <x:c r="F725" s="31"/>
      <x:c r="G725" s="31"/>
      <x:c r="H725" s="31" t="str">
        <x:f>IF(OR(F725="",G725=""),"",IF(F725=G725,"Agree","Disagree"))</x:f>
      </x:c>
      <x:c r="I725" s="31"/>
      <x:c r="J725" s="31" t="str">
        <x:v>No</x:v>
      </x:c>
      <x:c r="K725" s="31" t="str"/>
      <x:c r="L725" s="31" t="str"/>
      <x:c r="M725" s="31" t="str"/>
      <x:c r="N725" s="31" t="str"/>
    </x:row>
    <x:row r="726" ht="42" customHeight="1">
      <x:c r="A726" s="35" t="n">
        <x:v>724</x:v>
      </x:c>
      <x:c r="B726" s="31" t="str">
        <x:f>IF('Execution Checklist'!Q726="","",'Execution Checklist'!Q726)</x:f>
      </x:c>
      <x:c r="C726" s="31" t="str">
        <x:v>Place the red block to the right of the blue block.</x:v>
      </x:c>
      <x:c r="D726" s="31" t="str">
        <x:v>red block</x:v>
      </x:c>
      <x:c r="E726" s="31" t="str">
        <x:v>Binary task success using the task-specific rubric.</x:v>
      </x:c>
      <x:c r="F726" s="31"/>
      <x:c r="G726" s="31"/>
      <x:c r="H726" s="31" t="str">
        <x:f>IF(OR(F726="",G726=""),"",IF(F726=G726,"Agree","Disagree"))</x:f>
      </x:c>
      <x:c r="I726" s="31"/>
      <x:c r="J726" s="31" t="str">
        <x:v>No</x:v>
      </x:c>
      <x:c r="K726" s="31" t="str"/>
      <x:c r="L726" s="31" t="str"/>
      <x:c r="M726" s="31" t="str"/>
      <x:c r="N726" s="31" t="str"/>
    </x:row>
    <x:row r="727" ht="42" customHeight="1">
      <x:c r="A727" s="35" t="n">
        <x:v>725</x:v>
      </x:c>
      <x:c r="B727" s="31" t="str">
        <x:f>IF('Execution Checklist'!Q727="","",'Execution Checklist'!Q727)</x:f>
      </x:c>
      <x:c r="C727" s="31" t="str">
        <x:v>Move the red block to the side of the pink marker facing the robot.</x:v>
      </x:c>
      <x:c r="D727" s="31" t="str">
        <x:v>red block</x:v>
      </x:c>
      <x:c r="E727" s="31" t="str">
        <x:v>Binary task success; compare with the seen-language row sharing Pair ID.</x:v>
      </x:c>
      <x:c r="F727" s="31"/>
      <x:c r="G727" s="31"/>
      <x:c r="H727" s="31" t="str">
        <x:f>IF(OR(F727="",G727=""),"",IF(F727=G727,"Agree","Disagree"))</x:f>
      </x:c>
      <x:c r="I727" s="31"/>
      <x:c r="J727" s="31" t="str">
        <x:v>No</x:v>
      </x:c>
      <x:c r="K727" s="31" t="str"/>
      <x:c r="L727" s="31" t="str"/>
      <x:c r="M727" s="31" t="str"/>
      <x:c r="N727" s="31" t="str"/>
    </x:row>
    <x:row r="728" ht="42" customHeight="1">
      <x:c r="A728" s="35" t="n">
        <x:v>726</x:v>
      </x:c>
      <x:c r="B728" s="31" t="str">
        <x:f>IF('Execution Checklist'!Q728="","",'Execution Checklist'!Q728)</x:f>
      </x:c>
      <x:c r="C728" s="31" t="str">
        <x:v>Place the red block next to the green pen.</x:v>
      </x:c>
      <x:c r="D728" s="31" t="str">
        <x:v>red block near green pen</x:v>
      </x:c>
      <x:c r="E728" s="31" t="str">
        <x:v>Binary task success; paired with the main transfer row.</x:v>
      </x:c>
      <x:c r="F728" s="31"/>
      <x:c r="G728" s="31"/>
      <x:c r="H728" s="31" t="str">
        <x:f>IF(OR(F728="",G728=""),"",IF(F728=G728,"Agree","Disagree"))</x:f>
      </x:c>
      <x:c r="I728" s="31"/>
      <x:c r="J728" s="31" t="str">
        <x:v>No</x:v>
      </x:c>
      <x:c r="K728" s="31" t="str"/>
      <x:c r="L728" s="31" t="str"/>
      <x:c r="M728" s="31" t="str"/>
      <x:c r="N728" s="31" t="str"/>
    </x:row>
    <x:row r="729" ht="42" customHeight="1">
      <x:c r="A729" s="35" t="n">
        <x:v>727</x:v>
      </x:c>
      <x:c r="B729" s="31" t="str">
        <x:f>IF('Execution Checklist'!Q729="","",'Execution Checklist'!Q729)</x:f>
      </x:c>
      <x:c r="C729" s="31" t="str">
        <x:v>Move the red block to the side of the pink marker facing the robot.</x:v>
      </x:c>
      <x:c r="D729" s="31" t="str">
        <x:v>red block</x:v>
      </x:c>
      <x:c r="E729" s="31" t="str">
        <x:v>Binary task success; compare with the seen-language row sharing Pair ID.</x:v>
      </x:c>
      <x:c r="F729" s="31"/>
      <x:c r="G729" s="31"/>
      <x:c r="H729" s="31" t="str">
        <x:f>IF(OR(F729="",G729=""),"",IF(F729=G729,"Agree","Disagree"))</x:f>
      </x:c>
      <x:c r="I729" s="31"/>
      <x:c r="J729" s="31" t="str">
        <x:v>No</x:v>
      </x:c>
      <x:c r="K729" s="31" t="str"/>
      <x:c r="L729" s="31" t="str"/>
      <x:c r="M729" s="31" t="str"/>
      <x:c r="N729" s="31" t="str"/>
    </x:row>
    <x:row r="730" ht="42" customHeight="1">
      <x:c r="A730" s="35" t="n">
        <x:v>728</x:v>
      </x:c>
      <x:c r="B730" s="31" t="str">
        <x:f>IF('Execution Checklist'!Q730="","",'Execution Checklist'!Q730)</x:f>
      </x:c>
      <x:c r="C730" s="31" t="str">
        <x:v>Place the blue block behind the green pen.</x:v>
      </x:c>
      <x:c r="D730" s="31" t="str">
        <x:v>blue block</x:v>
      </x:c>
      <x:c r="E730" s="31" t="str">
        <x:v>Binary task success using the task-specific rubric.</x:v>
      </x:c>
      <x:c r="F730" s="31"/>
      <x:c r="G730" s="31"/>
      <x:c r="H730" s="31" t="str">
        <x:f>IF(OR(F730="",G730=""),"",IF(F730=G730,"Agree","Disagree"))</x:f>
      </x:c>
      <x:c r="I730" s="31"/>
      <x:c r="J730" s="31" t="str">
        <x:v>No</x:v>
      </x:c>
      <x:c r="K730" s="31" t="str"/>
      <x:c r="L730" s="31" t="str"/>
      <x:c r="M730" s="31" t="str"/>
      <x:c r="N730" s="31" t="str"/>
    </x:row>
    <x:row r="731" ht="42" customHeight="1">
      <x:c r="A731" s="35" t="n">
        <x:v>729</x:v>
      </x:c>
      <x:c r="B731" s="31" t="str">
        <x:f>IF('Execution Checklist'!Q731="","",'Execution Checklist'!Q731)</x:f>
      </x:c>
      <x:c r="C731" s="31" t="str">
        <x:v>Place the green pen near the red block.</x:v>
      </x:c>
      <x:c r="D731" s="31" t="str">
        <x:v>green pen near red block</x:v>
      </x:c>
      <x:c r="E731" s="31" t="str">
        <x:v>Binary task success; paired with the main transfer row.</x:v>
      </x:c>
      <x:c r="F731" s="31"/>
      <x:c r="G731" s="31"/>
      <x:c r="H731" s="31" t="str">
        <x:f>IF(OR(F731="",G731=""),"",IF(F731=G731,"Agree","Disagree"))</x:f>
      </x:c>
      <x:c r="I731" s="31"/>
      <x:c r="J731" s="31" t="str">
        <x:v>No</x:v>
      </x:c>
      <x:c r="K731" s="31" t="str"/>
      <x:c r="L731" s="31" t="str"/>
      <x:c r="M731" s="31" t="str"/>
      <x:c r="N731" s="31" t="str"/>
    </x:row>
    <x:row r="732" ht="42" customHeight="1">
      <x:c r="A732" s="35" t="n">
        <x:v>730</x:v>
      </x:c>
      <x:c r="B732" s="31" t="str">
        <x:f>IF('Execution Checklist'!Q732="","",'Execution Checklist'!Q732)</x:f>
      </x:c>
      <x:c r="C732" s="31" t="str">
        <x:v>Place the red block behind the green pen.</x:v>
      </x:c>
      <x:c r="D732" s="31" t="str">
        <x:v>red block → behind green pen</x:v>
      </x:c>
      <x:c r="E732" s="31" t="str">
        <x:v>Binary task success; paired with the main matched-control row.</x:v>
      </x:c>
      <x:c r="F732" s="31"/>
      <x:c r="G732" s="31"/>
      <x:c r="H732" s="31" t="str">
        <x:f>IF(OR(F732="",G732=""),"",IF(F732=G732,"Agree","Disagree"))</x:f>
      </x:c>
      <x:c r="I732" s="31"/>
      <x:c r="J732" s="31" t="str">
        <x:v>No</x:v>
      </x:c>
      <x:c r="K732" s="31" t="str"/>
      <x:c r="L732" s="31" t="str"/>
      <x:c r="M732" s="31" t="str"/>
      <x:c r="N732" s="31" t="str"/>
    </x:row>
    <x:row r="733" ht="42" customHeight="1">
      <x:c r="A733" s="35" t="n">
        <x:v>731</x:v>
      </x:c>
      <x:c r="B733" s="31" t="str">
        <x:f>IF('Execution Checklist'!Q733="","",'Execution Checklist'!Q733)</x:f>
      </x:c>
      <x:c r="C733" s="31" t="str">
        <x:v>Place the red block in front of the green pen.</x:v>
      </x:c>
      <x:c r="D733" s="31" t="str">
        <x:v>red block → in front of green pen</x:v>
      </x:c>
      <x:c r="E733" s="31" t="str">
        <x:v>Binary task success; paired with the main matched-control row.</x:v>
      </x:c>
      <x:c r="F733" s="31"/>
      <x:c r="G733" s="31"/>
      <x:c r="H733" s="31" t="str">
        <x:f>IF(OR(F733="",G733=""),"",IF(F733=G733,"Agree","Disagree"))</x:f>
      </x:c>
      <x:c r="I733" s="31"/>
      <x:c r="J733" s="31" t="str">
        <x:v>No</x:v>
      </x:c>
      <x:c r="K733" s="31" t="str"/>
      <x:c r="L733" s="31" t="str"/>
      <x:c r="M733" s="31" t="str"/>
      <x:c r="N733" s="31" t="str"/>
    </x:row>
    <x:row r="734" ht="42" customHeight="1">
      <x:c r="A734" s="35" t="n">
        <x:v>732</x:v>
      </x:c>
      <x:c r="B734" s="31" t="str">
        <x:f>IF('Execution Checklist'!Q734="","",'Execution Checklist'!Q734)</x:f>
      </x:c>
      <x:c r="C734" s="31" t="str">
        <x:v>Place the green pen to the right of the red block.</x:v>
      </x:c>
      <x:c r="D734" s="31" t="str">
        <x:v>No prespecified task success under blank language; record any action/selected target.</x:v>
      </x:c>
      <x:c r="E734" s="31" t="str">
        <x:v>Do not score ordinary task success. Record action occurrence and agreement with the parent correct-prompt rollout.</x:v>
      </x:c>
      <x:c r="F734" s="31"/>
      <x:c r="G734" s="31"/>
      <x:c r="H734" s="31" t="str">
        <x:f>IF(OR(F734="",G734=""),"",IF(F734=G734,"Agree","Disagree"))</x:f>
      </x:c>
      <x:c r="I734" s="31"/>
      <x:c r="J734" s="31" t="str">
        <x:v>No</x:v>
      </x:c>
      <x:c r="K734" s="31" t="str"/>
      <x:c r="L734" s="31" t="str"/>
      <x:c r="M734" s="31" t="str"/>
      <x:c r="N734" s="31" t="str"/>
    </x:row>
    <x:row r="735" ht="42" customHeight="1">
      <x:c r="A735" s="35" t="n">
        <x:v>733</x:v>
      </x:c>
      <x:c r="B735" s="31" t="str">
        <x:f>IF('Execution Checklist'!Q735="","",'Execution Checklist'!Q735)</x:f>
      </x:c>
      <x:c r="C735" s="31" t="str">
        <x:v>Place the green pen behind the pink marker.</x:v>
      </x:c>
      <x:c r="D735" s="31" t="str">
        <x:v>green pen</x:v>
      </x:c>
      <x:c r="E735" s="31" t="str">
        <x:v>Binary task success using the task-specific rubric.</x:v>
      </x:c>
      <x:c r="F735" s="31"/>
      <x:c r="G735" s="31"/>
      <x:c r="H735" s="31" t="str">
        <x:f>IF(OR(F735="",G735=""),"",IF(F735=G735,"Agree","Disagree"))</x:f>
      </x:c>
      <x:c r="I735" s="31"/>
      <x:c r="J735" s="31" t="str">
        <x:v>No</x:v>
      </x:c>
      <x:c r="K735" s="31" t="str"/>
      <x:c r="L735" s="31" t="str"/>
      <x:c r="M735" s="31" t="str"/>
      <x:c r="N735" s="31" t="str"/>
    </x:row>
    <x:row r="736" ht="42" customHeight="1">
      <x:c r="A736" s="35" t="n">
        <x:v>734</x:v>
      </x:c>
      <x:c r="B736" s="31" t="str">
        <x:f>IF('Execution Checklist'!Q736="","",'Execution Checklist'!Q736)</x:f>
      </x:c>
      <x:c r="C736" s="31" t="str">
        <x:v>Put the green pen on the table in front of the pink marker.</x:v>
      </x:c>
      <x:c r="D736" s="31" t="str">
        <x:v>green pen</x:v>
      </x:c>
      <x:c r="E736" s="31" t="str">
        <x:v>Binary task success using the task-specific rubric.</x:v>
      </x:c>
      <x:c r="F736" s="31"/>
      <x:c r="G736" s="31"/>
      <x:c r="H736" s="31" t="str">
        <x:f>IF(OR(F736="",G736=""),"",IF(F736=G736,"Agree","Disagree"))</x:f>
      </x:c>
      <x:c r="I736" s="31"/>
      <x:c r="J736" s="31" t="str">
        <x:v>No</x:v>
      </x:c>
      <x:c r="K736" s="31" t="str"/>
      <x:c r="L736" s="31" t="str"/>
      <x:c r="M736" s="31" t="str"/>
      <x:c r="N736" s="31" t="str"/>
    </x:row>
    <x:row r="737" ht="42" customHeight="1">
      <x:c r="A737" s="35" t="n">
        <x:v>735</x:v>
      </x:c>
      <x:c r="B737" s="31" t="str">
        <x:f>IF('Execution Checklist'!Q737="","",'Execution Checklist'!Q737)</x:f>
      </x:c>
      <x:c r="C737" s="31" t="str">
        <x:v>Place the green pen to the right of the pink marker.</x:v>
      </x:c>
      <x:c r="D737" s="31" t="str">
        <x:v>green pen</x:v>
      </x:c>
      <x:c r="E737" s="31" t="str">
        <x:v>Binary task success using the task-specific rubric.</x:v>
      </x:c>
      <x:c r="F737" s="31"/>
      <x:c r="G737" s="31"/>
      <x:c r="H737" s="31" t="str">
        <x:f>IF(OR(F737="",G737=""),"",IF(F737=G737,"Agree","Disagree"))</x:f>
      </x:c>
      <x:c r="I737" s="31"/>
      <x:c r="J737" s="31" t="str">
        <x:v>No</x:v>
      </x:c>
      <x:c r="K737" s="31" t="str"/>
      <x:c r="L737" s="31" t="str"/>
      <x:c r="M737" s="31" t="str"/>
      <x:c r="N737" s="31" t="str"/>
    </x:row>
    <x:row r="738" ht="42" customHeight="1">
      <x:c r="A738" s="35" t="n">
        <x:v>736</x:v>
      </x:c>
      <x:c r="B738" s="31" t="str">
        <x:f>IF('Execution Checklist'!Q738="","",'Execution Checklist'!Q738)</x:f>
      </x:c>
      <x:c r="C738" s="31" t="str">
        <x:v>Move the red block to the side of the pink marker facing the robot.</x:v>
      </x:c>
      <x:c r="D738" s="31" t="str">
        <x:v>red block</x:v>
      </x:c>
      <x:c r="E738" s="31" t="str">
        <x:v>Binary task success; compare with the seen-language row sharing Pair ID.</x:v>
      </x:c>
      <x:c r="F738" s="31"/>
      <x:c r="G738" s="31"/>
      <x:c r="H738" s="31" t="str">
        <x:f>IF(OR(F738="",G738=""),"",IF(F738=G738,"Agree","Disagree"))</x:f>
      </x:c>
      <x:c r="I738" s="31"/>
      <x:c r="J738" s="31" t="str">
        <x:v>No</x:v>
      </x:c>
      <x:c r="K738" s="31" t="str"/>
      <x:c r="L738" s="31" t="str"/>
      <x:c r="M738" s="31" t="str"/>
      <x:c r="N738" s="31" t="str"/>
    </x:row>
    <x:row r="739" ht="42" customHeight="1">
      <x:c r="A739" s="35" t="n">
        <x:v>737</x:v>
      </x:c>
      <x:c r="B739" s="31" t="str">
        <x:f>IF('Execution Checklist'!Q739="","",'Execution Checklist'!Q739)</x:f>
      </x:c>
      <x:c r="C739" s="31" t="str">
        <x:v>Place the green pen behind the red block.</x:v>
      </x:c>
      <x:c r="D739" s="31" t="str">
        <x:v>green pen → behind red block</x:v>
      </x:c>
      <x:c r="E739" s="31" t="str">
        <x:v>Binary task success; paired with the main matched-control row.</x:v>
      </x:c>
      <x:c r="F739" s="31"/>
      <x:c r="G739" s="31"/>
      <x:c r="H739" s="31" t="str">
        <x:f>IF(OR(F739="",G739=""),"",IF(F739=G739,"Agree","Disagree"))</x:f>
      </x:c>
      <x:c r="I739" s="31"/>
      <x:c r="J739" s="31" t="str">
        <x:v>No</x:v>
      </x:c>
      <x:c r="K739" s="31" t="str"/>
      <x:c r="L739" s="31" t="str"/>
      <x:c r="M739" s="31" t="str"/>
      <x:c r="N739" s="31" t="str"/>
    </x:row>
    <x:row r="740" ht="42" customHeight="1">
      <x:c r="A740" s="35" t="n">
        <x:v>738</x:v>
      </x:c>
      <x:c r="B740" s="31" t="str">
        <x:f>IF('Execution Checklist'!Q740="","",'Execution Checklist'!Q740)</x:f>
      </x:c>
      <x:c r="C740" s="31" t="str">
        <x:v>Place the red block next to the green pen.</x:v>
      </x:c>
      <x:c r="D740" s="31" t="str">
        <x:v>red block near green pen</x:v>
      </x:c>
      <x:c r="E740" s="31" t="str">
        <x:v>Binary task success; paired with the main transfer row.</x:v>
      </x:c>
      <x:c r="F740" s="31"/>
      <x:c r="G740" s="31"/>
      <x:c r="H740" s="31" t="str">
        <x:f>IF(OR(F740="",G740=""),"",IF(F740=G740,"Agree","Disagree"))</x:f>
      </x:c>
      <x:c r="I740" s="31"/>
      <x:c r="J740" s="31" t="str">
        <x:v>No</x:v>
      </x:c>
      <x:c r="K740" s="31" t="str"/>
      <x:c r="L740" s="31" t="str"/>
      <x:c r="M740" s="31" t="str"/>
      <x:c r="N740" s="31" t="str"/>
    </x:row>
    <x:row r="741" ht="42" customHeight="1">
      <x:c r="A741" s="35" t="n">
        <x:v>739</x:v>
      </x:c>
      <x:c r="B741" s="31" t="str">
        <x:f>IF('Execution Checklist'!Q741="","",'Execution Checklist'!Q741)</x:f>
      </x:c>
      <x:c r="C741" s="31" t="str">
        <x:v>Place the green pen in front of the red block.</x:v>
      </x:c>
      <x:c r="D741" s="31" t="str">
        <x:v>green pen → in front of red block</x:v>
      </x:c>
      <x:c r="E741" s="31" t="str">
        <x:v>Binary task success; paired with the main matched-control row.</x:v>
      </x:c>
      <x:c r="F741" s="31"/>
      <x:c r="G741" s="31"/>
      <x:c r="H741" s="31" t="str">
        <x:f>IF(OR(F741="",G741=""),"",IF(F741=G741,"Agree","Disagree"))</x:f>
      </x:c>
      <x:c r="I741" s="31"/>
      <x:c r="J741" s="31" t="str">
        <x:v>No</x:v>
      </x:c>
      <x:c r="K741" s="31" t="str"/>
      <x:c r="L741" s="31" t="str"/>
      <x:c r="M741" s="31" t="str"/>
      <x:c r="N741" s="31" t="str"/>
    </x:row>
    <x:row r="742" ht="42" customHeight="1">
      <x:c r="A742" s="35" t="n">
        <x:v>740</x:v>
      </x:c>
      <x:c r="B742" s="31" t="str">
        <x:f>IF('Execution Checklist'!Q742="","",'Execution Checklist'!Q742)</x:f>
      </x:c>
      <x:c r="C742" s="31" t="str">
        <x:v>Place the green pen to the right of the pink marker.</x:v>
      </x:c>
      <x:c r="D742" s="31" t="str">
        <x:v>green pen</x:v>
      </x:c>
      <x:c r="E742" s="31" t="str">
        <x:v>Binary task success using the task-specific rubric.</x:v>
      </x:c>
      <x:c r="F742" s="31"/>
      <x:c r="G742" s="31"/>
      <x:c r="H742" s="31" t="str">
        <x:f>IF(OR(F742="",G742=""),"",IF(F742=G742,"Agree","Disagree"))</x:f>
      </x:c>
      <x:c r="I742" s="31"/>
      <x:c r="J742" s="31" t="str">
        <x:v>No</x:v>
      </x:c>
      <x:c r="K742" s="31" t="str"/>
      <x:c r="L742" s="31" t="str"/>
      <x:c r="M742" s="31" t="str"/>
      <x:c r="N742" s="31" t="str"/>
    </x:row>
    <x:row r="743" ht="42" customHeight="1">
      <x:c r="A743" s="35" t="n">
        <x:v>741</x:v>
      </x:c>
      <x:c r="B743" s="31" t="str">
        <x:f>IF('Execution Checklist'!Q743="","",'Execution Checklist'!Q743)</x:f>
      </x:c>
      <x:c r="C743" s="31" t="str">
        <x:v>Place the green pen in front of the pink marker.</x:v>
      </x:c>
      <x:c r="D743" s="31" t="str">
        <x:v>green pen</x:v>
      </x:c>
      <x:c r="E743" s="31" t="str">
        <x:v>Binary task success using the task-specific rubric.</x:v>
      </x:c>
      <x:c r="F743" s="31"/>
      <x:c r="G743" s="31"/>
      <x:c r="H743" s="31" t="str">
        <x:f>IF(OR(F743="",G743=""),"",IF(F743=G743,"Agree","Disagree"))</x:f>
      </x:c>
      <x:c r="I743" s="31"/>
      <x:c r="J743" s="31" t="str">
        <x:v>No</x:v>
      </x:c>
      <x:c r="K743" s="31" t="str"/>
      <x:c r="L743" s="31" t="str"/>
      <x:c r="M743" s="31" t="str"/>
      <x:c r="N743" s="31" t="str"/>
    </x:row>
    <x:row r="744" ht="42" customHeight="1">
      <x:c r="A744" s="35" t="n">
        <x:v>742</x:v>
      </x:c>
      <x:c r="B744" s="31" t="str">
        <x:f>IF('Execution Checklist'!Q744="","",'Execution Checklist'!Q744)</x:f>
      </x:c>
      <x:c r="C744" s="31" t="str">
        <x:v>Place the green pen behind the red block.</x:v>
      </x:c>
      <x:c r="D744" s="31" t="str">
        <x:v>green pen → behind red block</x:v>
      </x:c>
      <x:c r="E744" s="31" t="str">
        <x:v>Binary task success; paired with the main matched-control row.</x:v>
      </x:c>
      <x:c r="F744" s="31"/>
      <x:c r="G744" s="31"/>
      <x:c r="H744" s="31" t="str">
        <x:f>IF(OR(F744="",G744=""),"",IF(F744=G744,"Agree","Disagree"))</x:f>
      </x:c>
      <x:c r="I744" s="31"/>
      <x:c r="J744" s="31" t="str">
        <x:v>No</x:v>
      </x:c>
      <x:c r="K744" s="31" t="str"/>
      <x:c r="L744" s="31" t="str"/>
      <x:c r="M744" s="31" t="str"/>
      <x:c r="N744" s="31" t="str"/>
    </x:row>
    <x:row r="745" ht="42" customHeight="1">
      <x:c r="A745" s="35" t="n">
        <x:v>743</x:v>
      </x:c>
      <x:c r="B745" s="31" t="str">
        <x:f>IF('Execution Checklist'!Q745="","",'Execution Checklist'!Q745)</x:f>
      </x:c>
      <x:c r="C745" s="31" t="str">
        <x:v>Place the red block behind the green pen.</x:v>
      </x:c>
      <x:c r="D745" s="31" t="str">
        <x:v>red block → behind green pen</x:v>
      </x:c>
      <x:c r="E745" s="31" t="str">
        <x:v>Binary task success; paired with the main matched-control row.</x:v>
      </x:c>
      <x:c r="F745" s="31"/>
      <x:c r="G745" s="31"/>
      <x:c r="H745" s="31" t="str">
        <x:f>IF(OR(F745="",G745=""),"",IF(F745=G745,"Agree","Disagree"))</x:f>
      </x:c>
      <x:c r="I745" s="31"/>
      <x:c r="J745" s="31" t="str">
        <x:v>No</x:v>
      </x:c>
      <x:c r="K745" s="31" t="str"/>
      <x:c r="L745" s="31" t="str"/>
      <x:c r="M745" s="31" t="str"/>
      <x:c r="N745" s="31" t="str"/>
    </x:row>
    <x:row r="746" ht="42" customHeight="1">
      <x:c r="A746" s="35" t="n">
        <x:v>744</x:v>
      </x:c>
      <x:c r="B746" s="31" t="str">
        <x:f>IF('Execution Checklist'!Q746="","",'Execution Checklist'!Q746)</x:f>
      </x:c>
      <x:c r="C746" s="31" t="str">
        <x:v>Move a glass spice container into the bowl.</x:v>
      </x:c>
      <x:c r="D746" s="31" t="str">
        <x:v>glass spice container A</x:v>
      </x:c>
      <x:c r="E746" s="31" t="str">
        <x:v>Binary task success using the task-specific rubric.</x:v>
      </x:c>
      <x:c r="F746" s="31"/>
      <x:c r="G746" s="31"/>
      <x:c r="H746" s="31" t="str">
        <x:f>IF(OR(F746="",G746=""),"",IF(F746=G746,"Agree","Disagree"))</x:f>
      </x:c>
      <x:c r="I746" s="31"/>
      <x:c r="J746" s="31" t="str">
        <x:v>No</x:v>
      </x:c>
      <x:c r="K746" s="31" t="str"/>
      <x:c r="L746" s="31" t="str"/>
      <x:c r="M746" s="31" t="str"/>
      <x:c r="N746" s="31" t="str"/>
    </x:row>
    <x:row r="747" ht="42" customHeight="1">
      <x:c r="A747" s="35" t="n">
        <x:v>745</x:v>
      </x:c>
      <x:c r="B747" s="31" t="str">
        <x:f>IF('Execution Checklist'!Q747="","",'Execution Checklist'!Q747)</x:f>
      </x:c>
      <x:c r="C747" s="31" t="str">
        <x:v>Place a yellow-white striped cup in the bowl.</x:v>
      </x:c>
      <x:c r="D747" s="31" t="str">
        <x:v>yellow-white striped cup B</x:v>
      </x:c>
      <x:c r="E747" s="31" t="str">
        <x:v>Binary task success; paired with the main transfer row.</x:v>
      </x:c>
      <x:c r="F747" s="31"/>
      <x:c r="G747" s="31"/>
      <x:c r="H747" s="31" t="str">
        <x:f>IF(OR(F747="",G747=""),"",IF(F747=G747,"Agree","Disagree"))</x:f>
      </x:c>
      <x:c r="I747" s="31"/>
      <x:c r="J747" s="31" t="str">
        <x:v>No</x:v>
      </x:c>
      <x:c r="K747" s="31" t="str"/>
      <x:c r="L747" s="31" t="str"/>
      <x:c r="M747" s="31" t="str"/>
      <x:c r="N747" s="31" t="str"/>
    </x:row>
    <x:row r="748" ht="42" customHeight="1">
      <x:c r="A748" s="35" t="n">
        <x:v>746</x:v>
      </x:c>
      <x:c r="B748" s="31" t="str">
        <x:f>IF('Execution Checklist'!Q748="","",'Execution Checklist'!Q748)</x:f>
      </x:c>
      <x:c r="C748" s="31" t="str">
        <x:v>Place the open white cup in the bowl.</x:v>
      </x:c>
      <x:c r="D748" s="31" t="str">
        <x:v>white cup B</x:v>
      </x:c>
      <x:c r="E748" s="31" t="str">
        <x:v>Binary task success using the task-specific rubric.</x:v>
      </x:c>
      <x:c r="F748" s="31"/>
      <x:c r="G748" s="31"/>
      <x:c r="H748" s="31" t="str">
        <x:f>IF(OR(F748="",G748=""),"",IF(F748=G748,"Agree","Disagree"))</x:f>
      </x:c>
      <x:c r="I748" s="31"/>
      <x:c r="J748" s="31" t="str">
        <x:v>No</x:v>
      </x:c>
      <x:c r="K748" s="31" t="str"/>
      <x:c r="L748" s="31" t="str"/>
      <x:c r="M748" s="31" t="str"/>
      <x:c r="N748" s="31" t="str"/>
    </x:row>
    <x:row r="749" ht="42" customHeight="1">
      <x:c r="A749" s="35" t="n">
        <x:v>747</x:v>
      </x:c>
      <x:c r="B749" s="31" t="str">
        <x:f>IF('Execution Checklist'!Q749="","",'Execution Checklist'!Q749)</x:f>
      </x:c>
      <x:c r="C749" s="31" t="str">
        <x:v>Place the upright yellow-white striped cup in the bowl.</x:v>
      </x:c>
      <x:c r="D749" s="31" t="str">
        <x:v>yellow-white striped cup B</x:v>
      </x:c>
      <x:c r="E749" s="31" t="str">
        <x:v>Binary task success; paired with the main matched-control row.</x:v>
      </x:c>
      <x:c r="F749" s="31"/>
      <x:c r="G749" s="31"/>
      <x:c r="H749" s="31" t="str">
        <x:f>IF(OR(F749="",G749=""),"",IF(F749=G749,"Agree","Disagree"))</x:f>
      </x:c>
      <x:c r="I749" s="31"/>
      <x:c r="J749" s="31" t="str">
        <x:v>No</x:v>
      </x:c>
      <x:c r="K749" s="31" t="str"/>
      <x:c r="L749" s="31" t="str"/>
      <x:c r="M749" s="31" t="str"/>
      <x:c r="N749" s="31" t="str"/>
    </x:row>
    <x:row r="750" ht="42" customHeight="1">
      <x:c r="A750" s="35" t="n">
        <x:v>748</x:v>
      </x:c>
      <x:c r="B750" s="31" t="str">
        <x:f>IF('Execution Checklist'!Q750="","",'Execution Checklist'!Q750)</x:f>
      </x:c>
      <x:c r="C750" s="31" t="str">
        <x:v>Place a white cup in the bowl.</x:v>
      </x:c>
      <x:c r="D750" s="31" t="str">
        <x:v>white cup B</x:v>
      </x:c>
      <x:c r="E750" s="31" t="str">
        <x:v>Binary task success; paired with the main transfer row.</x:v>
      </x:c>
      <x:c r="F750" s="31"/>
      <x:c r="G750" s="31"/>
      <x:c r="H750" s="31" t="str">
        <x:f>IF(OR(F750="",G750=""),"",IF(F750=G750,"Agree","Disagree"))</x:f>
      </x:c>
      <x:c r="I750" s="31"/>
      <x:c r="J750" s="31" t="str">
        <x:v>No</x:v>
      </x:c>
      <x:c r="K750" s="31" t="str"/>
      <x:c r="L750" s="31" t="str"/>
      <x:c r="M750" s="31" t="str"/>
      <x:c r="N750" s="31" t="str"/>
    </x:row>
    <x:row r="751" ht="42" customHeight="1">
      <x:c r="A751" s="35" t="n">
        <x:v>749</x:v>
      </x:c>
      <x:c r="B751" s="31" t="str">
        <x:f>IF('Execution Checklist'!Q751="","",'Execution Checklist'!Q751)</x:f>
      </x:c>
      <x:c r="C751" s="31" t="str">
        <x:v>Move the open white cup into the bowl.</x:v>
      </x:c>
      <x:c r="D751" s="31" t="str">
        <x:v>white cup A</x:v>
      </x:c>
      <x:c r="E751" s="31" t="str">
        <x:v>Binary task success using the task-specific rubric.</x:v>
      </x:c>
      <x:c r="F751" s="31"/>
      <x:c r="G751" s="31"/>
      <x:c r="H751" s="31" t="str">
        <x:f>IF(OR(F751="",G751=""),"",IF(F751=G751,"Agree","Disagree"))</x:f>
      </x:c>
      <x:c r="I751" s="31"/>
      <x:c r="J751" s="31" t="str">
        <x:v>No</x:v>
      </x:c>
      <x:c r="K751" s="31" t="str"/>
      <x:c r="L751" s="31" t="str"/>
      <x:c r="M751" s="31" t="str"/>
      <x:c r="N751" s="31" t="str"/>
    </x:row>
    <x:row r="752" ht="42" customHeight="1">
      <x:c r="A752" s="35" t="n">
        <x:v>750</x:v>
      </x:c>
      <x:c r="B752" s="31" t="str">
        <x:f>IF('Execution Checklist'!Q752="","",'Execution Checklist'!Q752)</x:f>
      </x:c>
      <x:c r="C752" s="31" t="str">
        <x:v>Place a brown cup in the bowl.</x:v>
      </x:c>
      <x:c r="D752" s="31" t="str">
        <x:v>brown cup A</x:v>
      </x:c>
      <x:c r="E752" s="31" t="str">
        <x:v>Binary task success; paired with the main transfer row.</x:v>
      </x:c>
      <x:c r="F752" s="31"/>
      <x:c r="G752" s="31"/>
      <x:c r="H752" s="31" t="str">
        <x:f>IF(OR(F752="",G752=""),"",IF(F752=G752,"Agree","Disagree"))</x:f>
      </x:c>
      <x:c r="I752" s="31"/>
      <x:c r="J752" s="31" t="str">
        <x:v>No</x:v>
      </x:c>
      <x:c r="K752" s="31" t="str"/>
      <x:c r="L752" s="31" t="str"/>
      <x:c r="M752" s="31" t="str"/>
      <x:c r="N752" s="31" t="str"/>
    </x:row>
    <x:row r="753" ht="42" customHeight="1">
      <x:c r="A753" s="35" t="n">
        <x:v>751</x:v>
      </x:c>
      <x:c r="B753" s="31" t="str">
        <x:f>IF('Execution Checklist'!Q753="","",'Execution Checklist'!Q753)</x:f>
      </x:c>
      <x:c r="C753" s="31" t="str">
        <x:v>Place the closed brown cup in the bowl.</x:v>
      </x:c>
      <x:c r="D753" s="31" t="str">
        <x:v>brown cup A</x:v>
      </x:c>
      <x:c r="E753" s="31" t="str">
        <x:v>Binary task success; paired with the main matched-control row.</x:v>
      </x:c>
      <x:c r="F753" s="31"/>
      <x:c r="G753" s="31"/>
      <x:c r="H753" s="31" t="str">
        <x:f>IF(OR(F753="",G753=""),"",IF(F753=G753,"Agree","Disagree"))</x:f>
      </x:c>
      <x:c r="I753" s="31"/>
      <x:c r="J753" s="31" t="str">
        <x:v>No</x:v>
      </x:c>
      <x:c r="K753" s="31" t="str"/>
      <x:c r="L753" s="31" t="str"/>
      <x:c r="M753" s="31" t="str"/>
      <x:c r="N753" s="31" t="str"/>
    </x:row>
    <x:row r="754" ht="42" customHeight="1">
      <x:c r="A754" s="35" t="n">
        <x:v>752</x:v>
      </x:c>
      <x:c r="B754" s="31" t="str">
        <x:f>IF('Execution Checklist'!Q754="","",'Execution Checklist'!Q754)</x:f>
      </x:c>
      <x:c r="C754" s="31" t="str">
        <x:v>Place the closed white cup in the bowl.</x:v>
      </x:c>
      <x:c r="D754" s="31" t="str">
        <x:v>No prespecified task success under blank language; record any action/selected target.</x:v>
      </x:c>
      <x:c r="E754" s="31" t="str">
        <x:v>Do not score ordinary task success. Record action occurrence and agreement with the parent correct-prompt rollout.</x:v>
      </x:c>
      <x:c r="F754" s="31"/>
      <x:c r="G754" s="31"/>
      <x:c r="H754" s="31" t="str">
        <x:f>IF(OR(F754="",G754=""),"",IF(F754=G754,"Agree","Disagree"))</x:f>
      </x:c>
      <x:c r="I754" s="31"/>
      <x:c r="J754" s="31" t="str">
        <x:v>No</x:v>
      </x:c>
      <x:c r="K754" s="31" t="str"/>
      <x:c r="L754" s="31" t="str"/>
      <x:c r="M754" s="31" t="str"/>
      <x:c r="N754" s="31" t="str"/>
    </x:row>
    <x:row r="755" ht="42" customHeight="1">
      <x:c r="A755" s="35" t="n">
        <x:v>753</x:v>
      </x:c>
      <x:c r="B755" s="31" t="str">
        <x:f>IF('Execution Checklist'!Q755="","",'Execution Checklist'!Q755)</x:f>
      </x:c>
      <x:c r="C755" s="31" t="str">
        <x:v>Place a glass spice container in the bowl.</x:v>
      </x:c>
      <x:c r="D755" s="31" t="str">
        <x:v>glass spice container B</x:v>
      </x:c>
      <x:c r="E755" s="31" t="str">
        <x:v>Binary task success; paired with the main transfer row.</x:v>
      </x:c>
      <x:c r="F755" s="31"/>
      <x:c r="G755" s="31"/>
      <x:c r="H755" s="31" t="str">
        <x:f>IF(OR(F755="",G755=""),"",IF(F755=G755,"Agree","Disagree"))</x:f>
      </x:c>
      <x:c r="I755" s="31"/>
      <x:c r="J755" s="31" t="str">
        <x:v>No</x:v>
      </x:c>
      <x:c r="K755" s="31" t="str"/>
      <x:c r="L755" s="31" t="str"/>
      <x:c r="M755" s="31" t="str"/>
      <x:c r="N755" s="31" t="str"/>
    </x:row>
    <x:row r="756" ht="42" customHeight="1">
      <x:c r="A756" s="35" t="n">
        <x:v>754</x:v>
      </x:c>
      <x:c r="B756" s="31" t="str">
        <x:f>IF('Execution Checklist'!Q756="","",'Execution Checklist'!Q756)</x:f>
      </x:c>
      <x:c r="C756" s="31" t="str">
        <x:v>Move the white cup that is open into the bowl.</x:v>
      </x:c>
      <x:c r="D756" s="31" t="str">
        <x:v>white cup B</x:v>
      </x:c>
      <x:c r="E756" s="31" t="str">
        <x:v>Binary task success; compare with the seen-language row sharing Pair ID.</x:v>
      </x:c>
      <x:c r="F756" s="31"/>
      <x:c r="G756" s="31"/>
      <x:c r="H756" s="31" t="str">
        <x:f>IF(OR(F756="",G756=""),"",IF(F756=G756,"Agree","Disagree"))</x:f>
      </x:c>
      <x:c r="I756" s="31"/>
      <x:c r="J756" s="31" t="str">
        <x:v>No</x:v>
      </x:c>
      <x:c r="K756" s="31" t="str"/>
      <x:c r="L756" s="31" t="str"/>
      <x:c r="M756" s="31" t="str"/>
      <x:c r="N756" s="31" t="str"/>
    </x:row>
    <x:row r="757" ht="42" customHeight="1">
      <x:c r="A757" s="35" t="n">
        <x:v>755</x:v>
      </x:c>
      <x:c r="B757" s="31" t="str">
        <x:f>IF('Execution Checklist'!Q757="","",'Execution Checklist'!Q757)</x:f>
      </x:c>
      <x:c r="C757" s="31" t="str">
        <x:v>Place a white cup in the bowl.</x:v>
      </x:c>
      <x:c r="D757" s="31" t="str">
        <x:v>white cup B</x:v>
      </x:c>
      <x:c r="E757" s="31" t="str">
        <x:v>Binary task success; paired with the main transfer row.</x:v>
      </x:c>
      <x:c r="F757" s="31"/>
      <x:c r="G757" s="31"/>
      <x:c r="H757" s="31" t="str">
        <x:f>IF(OR(F757="",G757=""),"",IF(F757=G757,"Agree","Disagree"))</x:f>
      </x:c>
      <x:c r="I757" s="31"/>
      <x:c r="J757" s="31" t="str">
        <x:v>No</x:v>
      </x:c>
      <x:c r="K757" s="31" t="str"/>
      <x:c r="L757" s="31" t="str"/>
      <x:c r="M757" s="31" t="str"/>
      <x:c r="N757" s="31" t="str"/>
    </x:row>
    <x:row r="758" ht="42" customHeight="1">
      <x:c r="A758" s="35" t="n">
        <x:v>756</x:v>
      </x:c>
      <x:c r="B758" s="31" t="str">
        <x:f>IF('Execution Checklist'!Q758="","",'Execution Checklist'!Q758)</x:f>
      </x:c>
      <x:c r="C758" s="31" t="str">
        <x:v>Place a white cup in the bowl.</x:v>
      </x:c>
      <x:c r="D758" s="31" t="str">
        <x:v>white cup A</x:v>
      </x:c>
      <x:c r="E758" s="31" t="str">
        <x:v>Binary task success; paired with the main transfer row.</x:v>
      </x:c>
      <x:c r="F758" s="31"/>
      <x:c r="G758" s="31"/>
      <x:c r="H758" s="31" t="str">
        <x:f>IF(OR(F758="",G758=""),"",IF(F758=G758,"Agree","Disagree"))</x:f>
      </x:c>
      <x:c r="I758" s="31"/>
      <x:c r="J758" s="31" t="str">
        <x:v>No</x:v>
      </x:c>
      <x:c r="K758" s="31" t="str"/>
      <x:c r="L758" s="31" t="str"/>
      <x:c r="M758" s="31" t="str"/>
      <x:c r="N758" s="31" t="str"/>
    </x:row>
    <x:row r="759" ht="42" customHeight="1">
      <x:c r="A759" s="35" t="n">
        <x:v>757</x:v>
      </x:c>
      <x:c r="B759" s="31" t="str">
        <x:f>IF('Execution Checklist'!Q759="","",'Execution Checklist'!Q759)</x:f>
      </x:c>
      <x:c r="C759" s="31" t="str">
        <x:v>Place the closed white cup in the bowl.</x:v>
      </x:c>
      <x:c r="D759" s="31" t="str">
        <x:v>white cup A</x:v>
      </x:c>
      <x:c r="E759" s="31" t="str">
        <x:v>Binary task success; paired with the main matched-control row.</x:v>
      </x:c>
      <x:c r="F759" s="31"/>
      <x:c r="G759" s="31"/>
      <x:c r="H759" s="31" t="str">
        <x:f>IF(OR(F759="",G759=""),"",IF(F759=G759,"Agree","Disagree"))</x:f>
      </x:c>
      <x:c r="I759" s="31"/>
      <x:c r="J759" s="31" t="str">
        <x:v>No</x:v>
      </x:c>
      <x:c r="K759" s="31" t="str"/>
      <x:c r="L759" s="31" t="str"/>
      <x:c r="M759" s="31" t="str"/>
      <x:c r="N759" s="31" t="str"/>
    </x:row>
    <x:row r="760" ht="42" customHeight="1">
      <x:c r="A760" s="35" t="n">
        <x:v>758</x:v>
      </x:c>
      <x:c r="B760" s="31" t="str">
        <x:f>IF('Execution Checklist'!Q760="","",'Execution Checklist'!Q760)</x:f>
      </x:c>
      <x:c r="C760" s="31" t="str">
        <x:v>Place the upright yellow-white striped cup in the bowl.</x:v>
      </x:c>
      <x:c r="D760" s="31" t="str">
        <x:v>yellow-white striped cup B</x:v>
      </x:c>
      <x:c r="E760" s="31" t="str">
        <x:v>Binary task success; paired with the main matched-control row.</x:v>
      </x:c>
      <x:c r="F760" s="31"/>
      <x:c r="G760" s="31"/>
      <x:c r="H760" s="31" t="str">
        <x:f>IF(OR(F760="",G760=""),"",IF(F760=G760,"Agree","Disagree"))</x:f>
      </x:c>
      <x:c r="I760" s="31"/>
      <x:c r="J760" s="31" t="str">
        <x:v>No</x:v>
      </x:c>
      <x:c r="K760" s="31" t="str"/>
      <x:c r="L760" s="31" t="str"/>
      <x:c r="M760" s="31" t="str"/>
      <x:c r="N760" s="31" t="str"/>
    </x:row>
    <x:row r="761" ht="42" customHeight="1">
      <x:c r="A761" s="35" t="n">
        <x:v>759</x:v>
      </x:c>
      <x:c r="B761" s="31" t="str">
        <x:f>IF('Execution Checklist'!Q761="","",'Execution Checklist'!Q761)</x:f>
      </x:c>
      <x:c r="C761" s="31" t="str">
        <x:v>Place the open white cup in the bowl.</x:v>
      </x:c>
      <x:c r="D761" s="31" t="str">
        <x:v>white cup B</x:v>
      </x:c>
      <x:c r="E761" s="31" t="str">
        <x:v>Binary task success using the task-specific rubric.</x:v>
      </x:c>
      <x:c r="F761" s="31"/>
      <x:c r="G761" s="31"/>
      <x:c r="H761" s="31" t="str">
        <x:f>IF(OR(F761="",G761=""),"",IF(F761=G761,"Agree","Disagree"))</x:f>
      </x:c>
      <x:c r="I761" s="31"/>
      <x:c r="J761" s="31" t="str">
        <x:v>No</x:v>
      </x:c>
      <x:c r="K761" s="31" t="str"/>
      <x:c r="L761" s="31" t="str"/>
      <x:c r="M761" s="31" t="str"/>
      <x:c r="N761" s="31" t="str"/>
    </x:row>
    <x:row r="762" ht="42" customHeight="1">
      <x:c r="A762" s="35" t="n">
        <x:v>760</x:v>
      </x:c>
      <x:c r="B762" s="31" t="str">
        <x:f>IF('Execution Checklist'!Q762="","",'Execution Checklist'!Q762)</x:f>
      </x:c>
      <x:c r="C762" s="31" t="str">
        <x:v>Put the open glass spice container in the bowl.</x:v>
      </x:c>
      <x:c r="D762" s="31" t="str">
        <x:v>glass spice container B</x:v>
      </x:c>
      <x:c r="E762" s="31" t="str">
        <x:v>Binary task success using the task-specific rubric.</x:v>
      </x:c>
      <x:c r="F762" s="31"/>
      <x:c r="G762" s="31"/>
      <x:c r="H762" s="31" t="str">
        <x:f>IF(OR(F762="",G762=""),"",IF(F762=G762,"Agree","Disagree"))</x:f>
      </x:c>
      <x:c r="I762" s="31"/>
      <x:c r="J762" s="31" t="str">
        <x:v>No</x:v>
      </x:c>
      <x:c r="K762" s="31" t="str"/>
      <x:c r="L762" s="31" t="str"/>
      <x:c r="M762" s="31" t="str"/>
      <x:c r="N762" s="31" t="str"/>
    </x:row>
    <x:row r="763" ht="42" customHeight="1">
      <x:c r="A763" s="35" t="n">
        <x:v>761</x:v>
      </x:c>
      <x:c r="B763" s="31" t="str">
        <x:f>IF('Execution Checklist'!Q763="","",'Execution Checklist'!Q763)</x:f>
      </x:c>
      <x:c r="C763" s="31" t="str">
        <x:v>Find the white cup with its opening uncovered and move it into the bowl.</x:v>
      </x:c>
      <x:c r="D763" s="31" t="str">
        <x:v>white cup B</x:v>
      </x:c>
      <x:c r="E763" s="31" t="str">
        <x:v>Binary task success; compare with the seen-language row sharing Pair ID.</x:v>
      </x:c>
      <x:c r="F763" s="31"/>
      <x:c r="G763" s="31"/>
      <x:c r="H763" s="31" t="str">
        <x:f>IF(OR(F763="",G763=""),"",IF(F763=G763,"Agree","Disagree"))</x:f>
      </x:c>
      <x:c r="I763" s="31"/>
      <x:c r="J763" s="31" t="str">
        <x:v>No</x:v>
      </x:c>
      <x:c r="K763" s="31" t="str"/>
      <x:c r="L763" s="31" t="str"/>
      <x:c r="M763" s="31" t="str"/>
      <x:c r="N763" s="31" t="str"/>
    </x:row>
    <x:row r="764" ht="42" customHeight="1">
      <x:c r="A764" s="35" t="n">
        <x:v>762</x:v>
      </x:c>
      <x:c r="B764" s="31" t="str">
        <x:f>IF('Execution Checklist'!Q764="","",'Execution Checklist'!Q764)</x:f>
      </x:c>
      <x:c r="C764" s="31" t="str">
        <x:v>Place a glass spice container in the bowl.</x:v>
      </x:c>
      <x:c r="D764" s="31" t="str">
        <x:v>glass spice container A</x:v>
      </x:c>
      <x:c r="E764" s="31" t="str">
        <x:v>Binary task success; paired with the main transfer row.</x:v>
      </x:c>
      <x:c r="F764" s="31"/>
      <x:c r="G764" s="31"/>
      <x:c r="H764" s="31" t="str">
        <x:f>IF(OR(F764="",G764=""),"",IF(F764=G764,"Agree","Disagree"))</x:f>
      </x:c>
      <x:c r="I764" s="31"/>
      <x:c r="J764" s="31" t="str">
        <x:v>No</x:v>
      </x:c>
      <x:c r="K764" s="31" t="str"/>
      <x:c r="L764" s="31" t="str"/>
      <x:c r="M764" s="31" t="str"/>
      <x:c r="N764" s="31" t="str"/>
    </x:row>
    <x:row r="765" ht="42" customHeight="1">
      <x:c r="A765" s="35" t="n">
        <x:v>763</x:v>
      </x:c>
      <x:c r="B765" s="31" t="str">
        <x:f>IF('Execution Checklist'!Q765="","",'Execution Checklist'!Q765)</x:f>
      </x:c>
      <x:c r="C765" s="31" t="str">
        <x:v>Place the closed glass spice container in the bowl.</x:v>
      </x:c>
      <x:c r="D765" s="31" t="str">
        <x:v>No prespecified task success under blank language; record any action/selected target.</x:v>
      </x:c>
      <x:c r="E765" s="31" t="str">
        <x:v>Do not score ordinary task success. Record action occurrence and agreement with the parent correct-prompt rollout.</x:v>
      </x:c>
      <x:c r="F765" s="31"/>
      <x:c r="G765" s="31"/>
      <x:c r="H765" s="31" t="str">
        <x:f>IF(OR(F765="",G765=""),"",IF(F765=G765,"Agree","Disagree"))</x:f>
      </x:c>
      <x:c r="I765" s="31"/>
      <x:c r="J765" s="31" t="str">
        <x:v>No</x:v>
      </x:c>
      <x:c r="K765" s="31" t="str"/>
      <x:c r="L765" s="31" t="str"/>
      <x:c r="M765" s="31" t="str"/>
      <x:c r="N765" s="31" t="str"/>
    </x:row>
    <x:row r="766" ht="42" customHeight="1">
      <x:c r="A766" s="35" t="n">
        <x:v>764</x:v>
      </x:c>
      <x:c r="B766" s="31" t="str">
        <x:f>IF('Execution Checklist'!Q766="","",'Execution Checklist'!Q766)</x:f>
      </x:c>
      <x:c r="C766" s="31" t="str">
        <x:v>Place the closed glass spice container in the bowl.</x:v>
      </x:c>
      <x:c r="D766" s="31" t="str">
        <x:v>glass spice container B</x:v>
      </x:c>
      <x:c r="E766" s="31" t="str">
        <x:v>Binary task success; paired with the main matched-control row.</x:v>
      </x:c>
      <x:c r="F766" s="31"/>
      <x:c r="G766" s="31"/>
      <x:c r="H766" s="31" t="str">
        <x:f>IF(OR(F766="",G766=""),"",IF(F766=G766,"Agree","Disagree"))</x:f>
      </x:c>
      <x:c r="I766" s="31"/>
      <x:c r="J766" s="31" t="str">
        <x:v>No</x:v>
      </x:c>
      <x:c r="K766" s="31" t="str"/>
      <x:c r="L766" s="31" t="str"/>
      <x:c r="M766" s="31" t="str"/>
      <x:c r="N766" s="31" t="str"/>
    </x:row>
    <x:row r="767" ht="42" customHeight="1">
      <x:c r="A767" s="35" t="n">
        <x:v>765</x:v>
      </x:c>
      <x:c r="B767" s="31" t="str">
        <x:f>IF('Execution Checklist'!Q767="","",'Execution Checklist'!Q767)</x:f>
      </x:c>
      <x:c r="C767" s="31" t="str">
        <x:v>Place a glass spice container in the bowl.</x:v>
      </x:c>
      <x:c r="D767" s="31" t="str">
        <x:v>glass spice container B</x:v>
      </x:c>
      <x:c r="E767" s="31" t="str">
        <x:v>Binary task success; paired with the main transfer row.</x:v>
      </x:c>
      <x:c r="F767" s="31"/>
      <x:c r="G767" s="31"/>
      <x:c r="H767" s="31" t="str">
        <x:f>IF(OR(F767="",G767=""),"",IF(F767=G767,"Agree","Disagree"))</x:f>
      </x:c>
      <x:c r="I767" s="31"/>
      <x:c r="J767" s="31" t="str">
        <x:v>No</x:v>
      </x:c>
      <x:c r="K767" s="31" t="str"/>
      <x:c r="L767" s="31" t="str"/>
      <x:c r="M767" s="31" t="str"/>
      <x:c r="N767" s="31" t="str"/>
    </x:row>
    <x:row r="768" ht="42" customHeight="1">
      <x:c r="A768" s="35" t="n">
        <x:v>766</x:v>
      </x:c>
      <x:c r="B768" s="31" t="str">
        <x:f>IF('Execution Checklist'!Q768="","",'Execution Checklist'!Q768)</x:f>
      </x:c>
      <x:c r="C768" s="31" t="str">
        <x:v>Place a yellow-white striped cup in the bowl.</x:v>
      </x:c>
      <x:c r="D768" s="31" t="str">
        <x:v>yellow-white striped cup A</x:v>
      </x:c>
      <x:c r="E768" s="31" t="str">
        <x:v>Binary task success; paired with the main transfer row.</x:v>
      </x:c>
      <x:c r="F768" s="31"/>
      <x:c r="G768" s="31"/>
      <x:c r="H768" s="31" t="str">
        <x:f>IF(OR(F768="",G768=""),"",IF(F768=G768,"Agree","Disagree"))</x:f>
      </x:c>
      <x:c r="I768" s="31"/>
      <x:c r="J768" s="31" t="str">
        <x:v>No</x:v>
      </x:c>
      <x:c r="K768" s="31" t="str"/>
      <x:c r="L768" s="31" t="str"/>
      <x:c r="M768" s="31" t="str"/>
      <x:c r="N768" s="31" t="str"/>
    </x:row>
    <x:row r="769" ht="42" customHeight="1">
      <x:c r="A769" s="35" t="n">
        <x:v>767</x:v>
      </x:c>
      <x:c r="B769" s="31" t="str">
        <x:f>IF('Execution Checklist'!Q769="","",'Execution Checklist'!Q769)</x:f>
      </x:c>
      <x:c r="C769" s="31" t="str">
        <x:v>Place the closed brown cup in the bowl.</x:v>
      </x:c>
      <x:c r="D769" s="31" t="str">
        <x:v>No prespecified task success under blank language; record any action/selected target.</x:v>
      </x:c>
      <x:c r="E769" s="31" t="str">
        <x:v>Do not score ordinary task success. Record action occurrence and agreement with the parent correct-prompt rollout.</x:v>
      </x:c>
      <x:c r="F769" s="31"/>
      <x:c r="G769" s="31"/>
      <x:c r="H769" s="31" t="str">
        <x:f>IF(OR(F769="",G769=""),"",IF(F769=G769,"Agree","Disagree"))</x:f>
      </x:c>
      <x:c r="I769" s="31"/>
      <x:c r="J769" s="31" t="str">
        <x:v>No</x:v>
      </x:c>
      <x:c r="K769" s="31" t="str"/>
      <x:c r="L769" s="31" t="str"/>
      <x:c r="M769" s="31" t="str"/>
      <x:c r="N769" s="31" t="str"/>
    </x:row>
    <x:row r="770" ht="42" customHeight="1">
      <x:c r="A770" s="35" t="n">
        <x:v>768</x:v>
      </x:c>
      <x:c r="B770" s="31" t="str">
        <x:f>IF('Execution Checklist'!Q770="","",'Execution Checklist'!Q770)</x:f>
      </x:c>
      <x:c r="C770" s="31" t="str">
        <x:v>Place the closed yellow-white striped cup in the bowl.</x:v>
      </x:c>
      <x:c r="D770" s="31" t="str">
        <x:v>No prespecified task success under blank language; record any action/selected target.</x:v>
      </x:c>
      <x:c r="E770" s="31" t="str">
        <x:v>Do not score ordinary task success. Record action occurrence and agreement with the parent correct-prompt rollout.</x:v>
      </x:c>
      <x:c r="F770" s="31"/>
      <x:c r="G770" s="31"/>
      <x:c r="H770" s="31" t="str">
        <x:f>IF(OR(F770="",G770=""),"",IF(F770=G770,"Agree","Disagree"))</x:f>
      </x:c>
      <x:c r="I770" s="31"/>
      <x:c r="J770" s="31" t="str">
        <x:v>No</x:v>
      </x:c>
      <x:c r="K770" s="31" t="str"/>
      <x:c r="L770" s="31" t="str"/>
      <x:c r="M770" s="31" t="str"/>
      <x:c r="N770" s="31" t="str"/>
    </x:row>
    <x:row r="771" ht="42" customHeight="1">
      <x:c r="A771" s="35" t="n">
        <x:v>769</x:v>
      </x:c>
      <x:c r="B771" s="31" t="str">
        <x:f>IF('Execution Checklist'!Q771="","",'Execution Checklist'!Q771)</x:f>
      </x:c>
      <x:c r="C771" s="31" t="str">
        <x:v>Place the upright brown cup in the bowl.</x:v>
      </x:c>
      <x:c r="D771" s="31" t="str">
        <x:v>brown cup B</x:v>
      </x:c>
      <x:c r="E771" s="31" t="str">
        <x:v>Binary task success; paired with the main matched-control row.</x:v>
      </x:c>
      <x:c r="F771" s="31"/>
      <x:c r="G771" s="31"/>
      <x:c r="H771" s="31" t="str">
        <x:f>IF(OR(F771="",G771=""),"",IF(F771=G771,"Agree","Disagree"))</x:f>
      </x:c>
      <x:c r="I771" s="31"/>
      <x:c r="J771" s="31" t="str">
        <x:v>No</x:v>
      </x:c>
      <x:c r="K771" s="31" t="str"/>
      <x:c r="L771" s="31" t="str"/>
      <x:c r="M771" s="31" t="str"/>
      <x:c r="N771" s="31" t="str"/>
    </x:row>
    <x:row r="772" ht="42" customHeight="1">
      <x:c r="A772" s="35" t="n">
        <x:v>770</x:v>
      </x:c>
      <x:c r="B772" s="31" t="str">
        <x:f>IF('Execution Checklist'!Q772="","",'Execution Checklist'!Q772)</x:f>
      </x:c>
      <x:c r="C772" s="31" t="str">
        <x:v>Place the upright white cup in the bowl.</x:v>
      </x:c>
      <x:c r="D772" s="31" t="str">
        <x:v>white cup B</x:v>
      </x:c>
      <x:c r="E772" s="31" t="str">
        <x:v>Binary task success; paired with the main matched-control row.</x:v>
      </x:c>
      <x:c r="F772" s="31"/>
      <x:c r="G772" s="31"/>
      <x:c r="H772" s="31" t="str">
        <x:f>IF(OR(F772="",G772=""),"",IF(F772=G772,"Agree","Disagree"))</x:f>
      </x:c>
      <x:c r="I772" s="31"/>
      <x:c r="J772" s="31" t="str">
        <x:v>No</x:v>
      </x:c>
      <x:c r="K772" s="31" t="str"/>
      <x:c r="L772" s="31" t="str"/>
      <x:c r="M772" s="31" t="str"/>
      <x:c r="N772" s="31" t="str"/>
    </x:row>
    <x:row r="773" ht="42" customHeight="1">
      <x:c r="A773" s="35" t="n">
        <x:v>771</x:v>
      </x:c>
      <x:c r="B773" s="31" t="str">
        <x:f>IF('Execution Checklist'!Q773="","",'Execution Checklist'!Q773)</x:f>
      </x:c>
      <x:c r="C773" s="31" t="str">
        <x:v>Place a brown cup in the bowl.</x:v>
      </x:c>
      <x:c r="D773" s="31" t="str">
        <x:v>brown cup B</x:v>
      </x:c>
      <x:c r="E773" s="31" t="str">
        <x:v>Binary task success; paired with the main transfer row.</x:v>
      </x:c>
      <x:c r="F773" s="31"/>
      <x:c r="G773" s="31"/>
      <x:c r="H773" s="31" t="str">
        <x:f>IF(OR(F773="",G773=""),"",IF(F773=G773,"Agree","Disagree"))</x:f>
      </x:c>
      <x:c r="I773" s="31"/>
      <x:c r="J773" s="31" t="str">
        <x:v>No</x:v>
      </x:c>
      <x:c r="K773" s="31" t="str"/>
      <x:c r="L773" s="31" t="str"/>
      <x:c r="M773" s="31" t="str"/>
      <x:c r="N773" s="31" t="str"/>
    </x:row>
    <x:row r="774" ht="42" customHeight="1">
      <x:c r="A774" s="35" t="n">
        <x:v>772</x:v>
      </x:c>
      <x:c r="B774" s="31" t="str">
        <x:f>IF('Execution Checklist'!Q774="","",'Execution Checklist'!Q774)</x:f>
      </x:c>
      <x:c r="C774" s="31" t="str">
        <x:v>Place the upside-down white cup in the bowl.</x:v>
      </x:c>
      <x:c r="D774" s="31" t="str">
        <x:v>white cup A</x:v>
      </x:c>
      <x:c r="E774" s="31" t="str">
        <x:v>Binary task success using the task-specific rubric.</x:v>
      </x:c>
      <x:c r="F774" s="31"/>
      <x:c r="G774" s="31"/>
      <x:c r="H774" s="31" t="str">
        <x:f>IF(OR(F774="",G774=""),"",IF(F774=G774,"Agree","Disagree"))</x:f>
      </x:c>
      <x:c r="I774" s="31"/>
      <x:c r="J774" s="31" t="str">
        <x:v>No</x:v>
      </x:c>
      <x:c r="K774" s="31" t="str"/>
      <x:c r="L774" s="31" t="str"/>
      <x:c r="M774" s="31" t="str"/>
      <x:c r="N774" s="31" t="str"/>
    </x:row>
    <x:row r="775" ht="42" customHeight="1">
      <x:c r="A775" s="35" t="n">
        <x:v>773</x:v>
      </x:c>
      <x:c r="B775" s="31" t="str">
        <x:f>IF('Execution Checklist'!Q775="","",'Execution Checklist'!Q775)</x:f>
      </x:c>
      <x:c r="C775" s="31" t="str">
        <x:v>Place the open yellow-white striped cup in the bowl.</x:v>
      </x:c>
      <x:c r="D775" s="31" t="str">
        <x:v>yellow-white striped cup B</x:v>
      </x:c>
      <x:c r="E775" s="31" t="str">
        <x:v>Binary success for the counterfactual instruction and paired action-switch analysis versus the parent.</x:v>
      </x:c>
      <x:c r="F775" s="31"/>
      <x:c r="G775" s="31"/>
      <x:c r="H775" s="31" t="str">
        <x:f>IF(OR(F775="",G775=""),"",IF(F775=G775,"Agree","Disagree"))</x:f>
      </x:c>
      <x:c r="I775" s="31"/>
      <x:c r="J775" s="31" t="str">
        <x:v>No</x:v>
      </x:c>
      <x:c r="K775" s="31" t="str"/>
      <x:c r="L775" s="31" t="str"/>
      <x:c r="M775" s="31" t="str"/>
      <x:c r="N775" s="31" t="str"/>
    </x:row>
    <x:row r="776" ht="42" customHeight="1">
      <x:c r="A776" s="35" t="n">
        <x:v>774</x:v>
      </x:c>
      <x:c r="B776" s="31" t="str">
        <x:f>IF('Execution Checklist'!Q776="","",'Execution Checklist'!Q776)</x:f>
      </x:c>
      <x:c r="C776" s="31" t="str">
        <x:v>Place the closed yellow-white striped cup in the bowl.</x:v>
      </x:c>
      <x:c r="D776" s="31" t="str">
        <x:v>yellow-white striped cup A</x:v>
      </x:c>
      <x:c r="E776" s="31" t="str">
        <x:v>Binary task success; paired with the main matched-control row.</x:v>
      </x:c>
      <x:c r="F776" s="31"/>
      <x:c r="G776" s="31"/>
      <x:c r="H776" s="31" t="str">
        <x:f>IF(OR(F776="",G776=""),"",IF(F776=G776,"Agree","Disagree"))</x:f>
      </x:c>
      <x:c r="I776" s="31"/>
      <x:c r="J776" s="31" t="str">
        <x:v>No</x:v>
      </x:c>
      <x:c r="K776" s="31" t="str"/>
      <x:c r="L776" s="31" t="str"/>
      <x:c r="M776" s="31" t="str"/>
      <x:c r="N776" s="31" t="str"/>
    </x:row>
    <x:row r="777" ht="42" customHeight="1">
      <x:c r="A777" s="35" t="n">
        <x:v>775</x:v>
      </x:c>
      <x:c r="B777" s="31" t="str">
        <x:f>IF('Execution Checklist'!Q777="","",'Execution Checklist'!Q777)</x:f>
      </x:c>
      <x:c r="C777" s="31" t="str">
        <x:v>Place a yellow-white striped cup in the bowl.</x:v>
      </x:c>
      <x:c r="D777" s="31" t="str">
        <x:v>yellow-white striped cup A</x:v>
      </x:c>
      <x:c r="E777" s="31" t="str">
        <x:v>Binary task success; paired with the main transfer row.</x:v>
      </x:c>
      <x:c r="F777" s="31"/>
      <x:c r="G777" s="31"/>
      <x:c r="H777" s="31" t="str">
        <x:f>IF(OR(F777="",G777=""),"",IF(F777=G777,"Agree","Disagree"))</x:f>
      </x:c>
      <x:c r="I777" s="31"/>
      <x:c r="J777" s="31" t="str">
        <x:v>No</x:v>
      </x:c>
      <x:c r="K777" s="31" t="str"/>
      <x:c r="L777" s="31" t="str"/>
      <x:c r="M777" s="31" t="str"/>
      <x:c r="N777" s="31" t="str"/>
    </x:row>
    <x:row r="778" ht="42" customHeight="1">
      <x:c r="A778" s="35" t="n">
        <x:v>776</x:v>
      </x:c>
      <x:c r="B778" s="31" t="str">
        <x:f>IF('Execution Checklist'!Q778="","",'Execution Checklist'!Q778)</x:f>
      </x:c>
      <x:c r="C778" s="31" t="str">
        <x:v>Place the open glass spice container in the bowl.</x:v>
      </x:c>
      <x:c r="D778" s="31" t="str">
        <x:v>glass spice container A</x:v>
      </x:c>
      <x:c r="E778" s="31" t="str">
        <x:v>Binary success for the counterfactual instruction and paired action-switch analysis versus the parent.</x:v>
      </x:c>
      <x:c r="F778" s="31"/>
      <x:c r="G778" s="31"/>
      <x:c r="H778" s="31" t="str">
        <x:f>IF(OR(F778="",G778=""),"",IF(F778=G778,"Agree","Disagree"))</x:f>
      </x:c>
      <x:c r="I778" s="31"/>
      <x:c r="J778" s="31" t="str">
        <x:v>No</x:v>
      </x:c>
      <x:c r="K778" s="31" t="str"/>
      <x:c r="L778" s="31" t="str"/>
      <x:c r="M778" s="31" t="str"/>
      <x:c r="N778" s="31" t="str"/>
    </x:row>
    <x:row r="779" ht="42" customHeight="1">
      <x:c r="A779" s="35" t="n">
        <x:v>777</x:v>
      </x:c>
      <x:c r="B779" s="31" t="str">
        <x:f>IF('Execution Checklist'!Q779="","",'Execution Checklist'!Q779)</x:f>
      </x:c>
      <x:c r="C779" s="31" t="str">
        <x:v>Place the open white cup in the bowl.</x:v>
      </x:c>
      <x:c r="D779" s="31" t="str">
        <x:v>white cup B</x:v>
      </x:c>
      <x:c r="E779" s="31" t="str">
        <x:v>Binary success for the counterfactual instruction and paired action-switch analysis versus the parent.</x:v>
      </x:c>
      <x:c r="F779" s="31"/>
      <x:c r="G779" s="31"/>
      <x:c r="H779" s="31" t="str">
        <x:f>IF(OR(F779="",G779=""),"",IF(F779=G779,"Agree","Disagree"))</x:f>
      </x:c>
      <x:c r="I779" s="31"/>
      <x:c r="J779" s="31" t="str">
        <x:v>No</x:v>
      </x:c>
      <x:c r="K779" s="31" t="str"/>
      <x:c r="L779" s="31" t="str"/>
      <x:c r="M779" s="31" t="str"/>
      <x:c r="N779" s="31" t="str"/>
    </x:row>
    <x:row r="780" ht="42" customHeight="1">
      <x:c r="A780" s="35" t="n">
        <x:v>778</x:v>
      </x:c>
      <x:c r="B780" s="31" t="str">
        <x:f>IF('Execution Checklist'!Q780="","",'Execution Checklist'!Q780)</x:f>
      </x:c>
      <x:c r="C780" s="31" t="str">
        <x:v>Place the upright glass spice container in the bowl.</x:v>
      </x:c>
      <x:c r="D780" s="31" t="str">
        <x:v>glass spice container A</x:v>
      </x:c>
      <x:c r="E780" s="31" t="str">
        <x:v>Binary task success; paired with the main matched-control row.</x:v>
      </x:c>
      <x:c r="F780" s="31"/>
      <x:c r="G780" s="31"/>
      <x:c r="H780" s="31" t="str">
        <x:f>IF(OR(F780="",G780=""),"",IF(F780=G780,"Agree","Disagree"))</x:f>
      </x:c>
      <x:c r="I780" s="31"/>
      <x:c r="J780" s="31" t="str">
        <x:v>No</x:v>
      </x:c>
      <x:c r="K780" s="31" t="str"/>
      <x:c r="L780" s="31" t="str"/>
      <x:c r="M780" s="31" t="str"/>
      <x:c r="N780" s="31" t="str"/>
    </x:row>
    <x:row r="781" ht="42" customHeight="1">
      <x:c r="A781" s="35" t="n">
        <x:v>779</x:v>
      </x:c>
      <x:c r="B781" s="31" t="str">
        <x:f>IF('Execution Checklist'!Q781="","",'Execution Checklist'!Q781)</x:f>
      </x:c>
      <x:c r="C781" s="31" t="str">
        <x:v>Place the closed glass spice container in the bowl.</x:v>
      </x:c>
      <x:c r="D781" s="31" t="str">
        <x:v>glass spice container B</x:v>
      </x:c>
      <x:c r="E781" s="31" t="str">
        <x:v>Binary task success; paired with the main matched-control row.</x:v>
      </x:c>
      <x:c r="F781" s="31"/>
      <x:c r="G781" s="31"/>
      <x:c r="H781" s="31" t="str">
        <x:f>IF(OR(F781="",G781=""),"",IF(F781=G781,"Agree","Disagree"))</x:f>
      </x:c>
      <x:c r="I781" s="31"/>
      <x:c r="J781" s="31" t="str">
        <x:v>No</x:v>
      </x:c>
      <x:c r="K781" s="31" t="str"/>
      <x:c r="L781" s="31" t="str"/>
      <x:c r="M781" s="31" t="str"/>
      <x:c r="N781" s="31" t="str"/>
    </x:row>
    <x:row r="782" ht="42" customHeight="1">
      <x:c r="A782" s="35" t="n">
        <x:v>780</x:v>
      </x:c>
      <x:c r="B782" s="31" t="str">
        <x:f>IF('Execution Checklist'!Q782="","",'Execution Checklist'!Q782)</x:f>
      </x:c>
      <x:c r="C782" s="31" t="str">
        <x:v>Place the closed white cup in the bowl.</x:v>
      </x:c>
      <x:c r="D782" s="31" t="str">
        <x:v>white cup A</x:v>
      </x:c>
      <x:c r="E782" s="31" t="str">
        <x:v>Binary task success; paired with the main matched-control row.</x:v>
      </x:c>
      <x:c r="F782" s="31"/>
      <x:c r="G782" s="31"/>
      <x:c r="H782" s="31" t="str">
        <x:f>IF(OR(F782="",G782=""),"",IF(F782=G782,"Agree","Disagree"))</x:f>
      </x:c>
      <x:c r="I782" s="31"/>
      <x:c r="J782" s="31" t="str">
        <x:v>No</x:v>
      </x:c>
      <x:c r="K782" s="31" t="str"/>
      <x:c r="L782" s="31" t="str"/>
      <x:c r="M782" s="31" t="str"/>
      <x:c r="N782" s="31" t="str"/>
    </x:row>
    <x:row r="783" ht="42" customHeight="1">
      <x:c r="A783" s="35" t="n">
        <x:v>781</x:v>
      </x:c>
      <x:c r="B783" s="31" t="str">
        <x:f>IF('Execution Checklist'!Q783="","",'Execution Checklist'!Q783)</x:f>
      </x:c>
      <x:c r="C783" s="31" t="str">
        <x:v>Put the open white cup in the bowl.</x:v>
      </x:c>
      <x:c r="D783" s="31" t="str">
        <x:v>white cup B</x:v>
      </x:c>
      <x:c r="E783" s="31" t="str">
        <x:v>Binary task success; compare with the seen-language row sharing Pair ID.</x:v>
      </x:c>
      <x:c r="F783" s="31"/>
      <x:c r="G783" s="31"/>
      <x:c r="H783" s="31" t="str">
        <x:f>IF(OR(F783="",G783=""),"",IF(F783=G783,"Agree","Disagree"))</x:f>
      </x:c>
      <x:c r="I783" s="31"/>
      <x:c r="J783" s="31" t="str">
        <x:v>No</x:v>
      </x:c>
      <x:c r="K783" s="31" t="str"/>
      <x:c r="L783" s="31" t="str"/>
      <x:c r="M783" s="31" t="str"/>
      <x:c r="N783" s="31" t="str"/>
    </x:row>
    <x:row r="784" ht="42" customHeight="1">
      <x:c r="A784" s="35" t="n">
        <x:v>782</x:v>
      </x:c>
      <x:c r="B784" s="31" t="str">
        <x:f>IF('Execution Checklist'!Q784="","",'Execution Checklist'!Q784)</x:f>
      </x:c>
      <x:c r="C784" s="31" t="str">
        <x:v>Place a brown cup in the bowl.</x:v>
      </x:c>
      <x:c r="D784" s="31" t="str">
        <x:v>brown cup A</x:v>
      </x:c>
      <x:c r="E784" s="31" t="str">
        <x:v>Binary task success; paired with the main transfer row.</x:v>
      </x:c>
      <x:c r="F784" s="31"/>
      <x:c r="G784" s="31"/>
      <x:c r="H784" s="31" t="str">
        <x:f>IF(OR(F784="",G784=""),"",IF(F784=G784,"Agree","Disagree"))</x:f>
      </x:c>
      <x:c r="I784" s="31"/>
      <x:c r="J784" s="31" t="str">
        <x:v>No</x:v>
      </x:c>
      <x:c r="K784" s="31" t="str"/>
      <x:c r="L784" s="31" t="str"/>
      <x:c r="M784" s="31" t="str"/>
      <x:c r="N784" s="31" t="str"/>
    </x:row>
    <x:row r="785" ht="42" customHeight="1">
      <x:c r="A785" s="35" t="n">
        <x:v>783</x:v>
      </x:c>
      <x:c r="B785" s="31" t="str">
        <x:f>IF('Execution Checklist'!Q785="","",'Execution Checklist'!Q785)</x:f>
      </x:c>
      <x:c r="C785" s="31" t="str">
        <x:v>Place the closed brown cup in the bowl.</x:v>
      </x:c>
      <x:c r="D785" s="31" t="str">
        <x:v>brown cup A</x:v>
      </x:c>
      <x:c r="E785" s="31" t="str">
        <x:v>Binary task success; paired with the main matched-control row.</x:v>
      </x:c>
      <x:c r="F785" s="31"/>
      <x:c r="G785" s="31"/>
      <x:c r="H785" s="31" t="str">
        <x:f>IF(OR(F785="",G785=""),"",IF(F785=G785,"Agree","Disagree"))</x:f>
      </x:c>
      <x:c r="I785" s="31"/>
      <x:c r="J785" s="31" t="str">
        <x:v>No</x:v>
      </x:c>
      <x:c r="K785" s="31" t="str"/>
      <x:c r="L785" s="31" t="str"/>
      <x:c r="M785" s="31" t="str"/>
      <x:c r="N785" s="31" t="str"/>
    </x:row>
    <x:row r="786" ht="42" customHeight="1">
      <x:c r="A786" s="35" t="n">
        <x:v>784</x:v>
      </x:c>
      <x:c r="B786" s="31" t="str">
        <x:f>IF('Execution Checklist'!Q786="","",'Execution Checklist'!Q786)</x:f>
      </x:c>
      <x:c r="C786" s="31" t="str">
        <x:v>Move the overturned glass spice container into the bowl.</x:v>
      </x:c>
      <x:c r="D786" s="31" t="str">
        <x:v>glass spice container B</x:v>
      </x:c>
      <x:c r="E786" s="31" t="str">
        <x:v>Binary task success; compare with the seen-language row sharing Pair ID.</x:v>
      </x:c>
      <x:c r="F786" s="31"/>
      <x:c r="G786" s="31"/>
      <x:c r="H786" s="31" t="str">
        <x:f>IF(OR(F786="",G786=""),"",IF(F786=G786,"Agree","Disagree"))</x:f>
      </x:c>
      <x:c r="I786" s="31"/>
      <x:c r="J786" s="31" t="str">
        <x:v>No</x:v>
      </x:c>
      <x:c r="K786" s="31" t="str"/>
      <x:c r="L786" s="31" t="str"/>
      <x:c r="M786" s="31" t="str"/>
      <x:c r="N786" s="31" t="str"/>
    </x:row>
    <x:row r="787" ht="42" customHeight="1">
      <x:c r="A787" s="35" t="n">
        <x:v>785</x:v>
      </x:c>
      <x:c r="B787" s="31" t="str">
        <x:f>IF('Execution Checklist'!Q787="","",'Execution Checklist'!Q787)</x:f>
      </x:c>
      <x:c r="C787" s="31" t="str">
        <x:v>Find the white cup that is turned upside down and move it into the bowl.</x:v>
      </x:c>
      <x:c r="D787" s="31" t="str">
        <x:v>white cup A</x:v>
      </x:c>
      <x:c r="E787" s="31" t="str">
        <x:v>Binary task success; compare with the seen-language row sharing Pair ID.</x:v>
      </x:c>
      <x:c r="F787" s="31"/>
      <x:c r="G787" s="31"/>
      <x:c r="H787" s="31" t="str">
        <x:f>IF(OR(F787="",G787=""),"",IF(F787=G787,"Agree","Disagree"))</x:f>
      </x:c>
      <x:c r="I787" s="31"/>
      <x:c r="J787" s="31" t="str">
        <x:v>No</x:v>
      </x:c>
      <x:c r="K787" s="31" t="str"/>
      <x:c r="L787" s="31" t="str"/>
      <x:c r="M787" s="31" t="str"/>
      <x:c r="N787" s="31" t="str"/>
    </x:row>
    <x:row r="788" ht="42" customHeight="1">
      <x:c r="A788" s="35" t="n">
        <x:v>786</x:v>
      </x:c>
      <x:c r="B788" s="31" t="str">
        <x:f>IF('Execution Checklist'!Q788="","",'Execution Checklist'!Q788)</x:f>
      </x:c>
      <x:c r="C788" s="31" t="str">
        <x:v>Place the open yellow-white striped cup in the bowl.</x:v>
      </x:c>
      <x:c r="D788" s="31" t="str">
        <x:v>yellow-white striped cup B</x:v>
      </x:c>
      <x:c r="E788" s="31" t="str">
        <x:v>Binary task success using the task-specific rubric.</x:v>
      </x:c>
      <x:c r="F788" s="31"/>
      <x:c r="G788" s="31"/>
      <x:c r="H788" s="31" t="str">
        <x:f>IF(OR(F788="",G788=""),"",IF(F788=G788,"Agree","Disagree"))</x:f>
      </x:c>
      <x:c r="I788" s="31"/>
      <x:c r="J788" s="31" t="str">
        <x:v>No</x:v>
      </x:c>
      <x:c r="K788" s="31" t="str"/>
      <x:c r="L788" s="31" t="str"/>
      <x:c r="M788" s="31" t="str"/>
      <x:c r="N788" s="31" t="str"/>
    </x:row>
    <x:row r="789" ht="42" customHeight="1">
      <x:c r="A789" s="35" t="n">
        <x:v>787</x:v>
      </x:c>
      <x:c r="B789" s="31" t="str">
        <x:f>IF('Execution Checklist'!Q789="","",'Execution Checklist'!Q789)</x:f>
      </x:c>
      <x:c r="C789" s="31" t="str">
        <x:v>Place the closed yellow-white striped cup in the bowl.</x:v>
      </x:c>
      <x:c r="D789" s="31" t="str">
        <x:v>yellow-white striped cup A</x:v>
      </x:c>
      <x:c r="E789" s="31" t="str">
        <x:v>Binary task success; paired with the main matched-control row.</x:v>
      </x:c>
      <x:c r="F789" s="31"/>
      <x:c r="G789" s="31"/>
      <x:c r="H789" s="31" t="str">
        <x:f>IF(OR(F789="",G789=""),"",IF(F789=G789,"Agree","Disagree"))</x:f>
      </x:c>
      <x:c r="I789" s="31"/>
      <x:c r="J789" s="31" t="str">
        <x:v>No</x:v>
      </x:c>
      <x:c r="K789" s="31" t="str"/>
      <x:c r="L789" s="31" t="str"/>
      <x:c r="M789" s="31" t="str"/>
      <x:c r="N789" s="31" t="str"/>
    </x:row>
    <x:row r="790" ht="42" customHeight="1">
      <x:c r="A790" s="35" t="n">
        <x:v>788</x:v>
      </x:c>
      <x:c r="B790" s="31" t="str">
        <x:f>IF('Execution Checklist'!Q790="","",'Execution Checklist'!Q790)</x:f>
      </x:c>
      <x:c r="C790" s="31" t="str">
        <x:v>Place the upright white cup in the bowl.</x:v>
      </x:c>
      <x:c r="D790" s="31" t="str">
        <x:v>white cup B</x:v>
      </x:c>
      <x:c r="E790" s="31" t="str">
        <x:v>Binary task success; paired with the main matched-control row.</x:v>
      </x:c>
      <x:c r="F790" s="31"/>
      <x:c r="G790" s="31"/>
      <x:c r="H790" s="31" t="str">
        <x:f>IF(OR(F790="",G790=""),"",IF(F790=G790,"Agree","Disagree"))</x:f>
      </x:c>
      <x:c r="I790" s="31"/>
      <x:c r="J790" s="31" t="str">
        <x:v>No</x:v>
      </x:c>
      <x:c r="K790" s="31" t="str"/>
      <x:c r="L790" s="31" t="str"/>
      <x:c r="M790" s="31" t="str"/>
      <x:c r="N790" s="31" t="str"/>
    </x:row>
    <x:row r="791" ht="42" customHeight="1">
      <x:c r="A791" s="35" t="n">
        <x:v>789</x:v>
      </x:c>
      <x:c r="B791" s="31" t="str">
        <x:f>IF('Execution Checklist'!Q791="","",'Execution Checklist'!Q791)</x:f>
      </x:c>
      <x:c r="C791" s="31" t="str">
        <x:v>Place the upside-down glass spice container in the bowl.</x:v>
      </x:c>
      <x:c r="D791" s="31" t="str">
        <x:v>glass spice container B</x:v>
      </x:c>
      <x:c r="E791" s="31" t="str">
        <x:v>Binary task success using the task-specific rubric.</x:v>
      </x:c>
      <x:c r="F791" s="31"/>
      <x:c r="G791" s="31"/>
      <x:c r="H791" s="31" t="str">
        <x:f>IF(OR(F791="",G791=""),"",IF(F791=G791,"Agree","Disagree"))</x:f>
      </x:c>
      <x:c r="I791" s="31"/>
      <x:c r="J791" s="31" t="str">
        <x:v>No</x:v>
      </x:c>
      <x:c r="K791" s="31" t="str"/>
      <x:c r="L791" s="31" t="str"/>
      <x:c r="M791" s="31" t="str"/>
      <x:c r="N791" s="31" t="str"/>
    </x:row>
    <x:row r="792" ht="42" customHeight="1">
      <x:c r="A792" s="35" t="n">
        <x:v>790</x:v>
      </x:c>
      <x:c r="B792" s="31" t="str">
        <x:f>IF('Execution Checklist'!Q792="","",'Execution Checklist'!Q792)</x:f>
      </x:c>
      <x:c r="C792" s="31" t="str">
        <x:v>Place the open white cup in the bowl.</x:v>
      </x:c>
      <x:c r="D792" s="31" t="str">
        <x:v>white cup B</x:v>
      </x:c>
      <x:c r="E792" s="31" t="str">
        <x:v>Binary task success using the task-specific rubric.</x:v>
      </x:c>
      <x:c r="F792" s="31"/>
      <x:c r="G792" s="31"/>
      <x:c r="H792" s="31" t="str">
        <x:f>IF(OR(F792="",G792=""),"",IF(F792=G792,"Agree","Disagree"))</x:f>
      </x:c>
      <x:c r="I792" s="31"/>
      <x:c r="J792" s="31" t="str">
        <x:v>No</x:v>
      </x:c>
      <x:c r="K792" s="31" t="str"/>
      <x:c r="L792" s="31" t="str"/>
      <x:c r="M792" s="31" t="str"/>
      <x:c r="N792" s="31" t="str"/>
    </x:row>
    <x:row r="793" ht="42" customHeight="1">
      <x:c r="A793" s="35" t="n">
        <x:v>791</x:v>
      </x:c>
      <x:c r="B793" s="31" t="str">
        <x:f>IF('Execution Checklist'!Q793="","",'Execution Checklist'!Q793)</x:f>
      </x:c>
      <x:c r="C793" s="31" t="str">
        <x:v>Place the upside-down white cup in the bowl.</x:v>
      </x:c>
      <x:c r="D793" s="31" t="str">
        <x:v>white cup A</x:v>
      </x:c>
      <x:c r="E793" s="31" t="str">
        <x:v>Binary task success using the task-specific rubric.</x:v>
      </x:c>
      <x:c r="F793" s="31"/>
      <x:c r="G793" s="31"/>
      <x:c r="H793" s="31" t="str">
        <x:f>IF(OR(F793="",G793=""),"",IF(F793=G793,"Agree","Disagree"))</x:f>
      </x:c>
      <x:c r="I793" s="31"/>
      <x:c r="J793" s="31" t="str">
        <x:v>No</x:v>
      </x:c>
      <x:c r="K793" s="31" t="str"/>
      <x:c r="L793" s="31" t="str"/>
      <x:c r="M793" s="31" t="str"/>
      <x:c r="N793" s="31" t="str"/>
    </x:row>
    <x:row r="794" ht="42" customHeight="1">
      <x:c r="A794" s="35" t="n">
        <x:v>792</x:v>
      </x:c>
      <x:c r="B794" s="31" t="str">
        <x:f>IF('Execution Checklist'!Q794="","",'Execution Checklist'!Q794)</x:f>
      </x:c>
      <x:c r="C794" s="31" t="str">
        <x:v>Place the open brown cup in the bowl.</x:v>
      </x:c>
      <x:c r="D794" s="31" t="str">
        <x:v>brown cup B</x:v>
      </x:c>
      <x:c r="E794" s="31" t="str">
        <x:v>Binary success for the counterfactual instruction and paired action-switch analysis versus the parent.</x:v>
      </x:c>
      <x:c r="F794" s="31"/>
      <x:c r="G794" s="31"/>
      <x:c r="H794" s="31" t="str">
        <x:f>IF(OR(F794="",G794=""),"",IF(F794=G794,"Agree","Disagree"))</x:f>
      </x:c>
      <x:c r="I794" s="31"/>
      <x:c r="J794" s="31" t="str">
        <x:v>No</x:v>
      </x:c>
      <x:c r="K794" s="31" t="str"/>
      <x:c r="L794" s="31" t="str"/>
      <x:c r="M794" s="31" t="str"/>
      <x:c r="N794" s="31" t="str"/>
    </x:row>
    <x:row r="795" ht="42" customHeight="1">
      <x:c r="A795" s="35" t="n">
        <x:v>793</x:v>
      </x:c>
      <x:c r="B795" s="31" t="str">
        <x:f>IF('Execution Checklist'!Q795="","",'Execution Checklist'!Q795)</x:f>
      </x:c>
      <x:c r="C795" s="31" t="str">
        <x:v>Place a brown cup in the bowl.</x:v>
      </x:c>
      <x:c r="D795" s="31" t="str">
        <x:v>brown cup B</x:v>
      </x:c>
      <x:c r="E795" s="31" t="str">
        <x:v>Binary task success; paired with the main transfer row.</x:v>
      </x:c>
      <x:c r="F795" s="31"/>
      <x:c r="G795" s="31"/>
      <x:c r="H795" s="31" t="str">
        <x:f>IF(OR(F795="",G795=""),"",IF(F795=G795,"Agree","Disagree"))</x:f>
      </x:c>
      <x:c r="I795" s="31"/>
      <x:c r="J795" s="31" t="str">
        <x:v>No</x:v>
      </x:c>
      <x:c r="K795" s="31" t="str"/>
      <x:c r="L795" s="31" t="str"/>
      <x:c r="M795" s="31" t="str"/>
      <x:c r="N795" s="31" t="str"/>
    </x:row>
    <x:row r="796" ht="42" customHeight="1">
      <x:c r="A796" s="35" t="n">
        <x:v>794</x:v>
      </x:c>
      <x:c r="B796" s="31" t="str">
        <x:f>IF('Execution Checklist'!Q796="","",'Execution Checklist'!Q796)</x:f>
      </x:c>
      <x:c r="C796" s="31" t="str">
        <x:v>Put the inverted white cup into the bowl.</x:v>
      </x:c>
      <x:c r="D796" s="31" t="str">
        <x:v>white cup A</x:v>
      </x:c>
      <x:c r="E796" s="31" t="str">
        <x:v>Binary task success; compare with the seen-language row sharing Pair ID.</x:v>
      </x:c>
      <x:c r="F796" s="31"/>
      <x:c r="G796" s="31"/>
      <x:c r="H796" s="31" t="str">
        <x:f>IF(OR(F796="",G796=""),"",IF(F796=G796,"Agree","Disagree"))</x:f>
      </x:c>
      <x:c r="I796" s="31"/>
      <x:c r="J796" s="31" t="str">
        <x:v>No</x:v>
      </x:c>
      <x:c r="K796" s="31" t="str"/>
      <x:c r="L796" s="31" t="str"/>
      <x:c r="M796" s="31" t="str"/>
      <x:c r="N796" s="31" t="str"/>
    </x:row>
    <x:row r="797" ht="42" customHeight="1">
      <x:c r="A797" s="35" t="n">
        <x:v>795</x:v>
      </x:c>
      <x:c r="B797" s="31" t="str">
        <x:f>IF('Execution Checklist'!Q797="","",'Execution Checklist'!Q797)</x:f>
      </x:c>
      <x:c r="C797" s="31" t="str">
        <x:v>Move the overturned white cup into the bowl.</x:v>
      </x:c>
      <x:c r="D797" s="31" t="str">
        <x:v>white cup A</x:v>
      </x:c>
      <x:c r="E797" s="31" t="str">
        <x:v>Binary task success; compare with the seen-language row sharing Pair ID.</x:v>
      </x:c>
      <x:c r="F797" s="31"/>
      <x:c r="G797" s="31"/>
      <x:c r="H797" s="31" t="str">
        <x:f>IF(OR(F797="",G797=""),"",IF(F797=G797,"Agree","Disagree"))</x:f>
      </x:c>
      <x:c r="I797" s="31"/>
      <x:c r="J797" s="31" t="str">
        <x:v>No</x:v>
      </x:c>
      <x:c r="K797" s="31" t="str"/>
      <x:c r="L797" s="31" t="str"/>
      <x:c r="M797" s="31" t="str"/>
      <x:c r="N797" s="31" t="str"/>
    </x:row>
    <x:row r="798" ht="42" customHeight="1">
      <x:c r="A798" s="35" t="n">
        <x:v>796</x:v>
      </x:c>
      <x:c r="B798" s="31" t="str">
        <x:f>IF('Execution Checklist'!Q798="","",'Execution Checklist'!Q798)</x:f>
      </x:c>
      <x:c r="C798" s="31" t="str">
        <x:v>Place the upside-down white cup in the bowl.</x:v>
      </x:c>
      <x:c r="D798" s="31" t="str">
        <x:v>white cup A</x:v>
      </x:c>
      <x:c r="E798" s="31" t="str">
        <x:v>Binary task success using the task-specific rubric.</x:v>
      </x:c>
      <x:c r="F798" s="31"/>
      <x:c r="G798" s="31"/>
      <x:c r="H798" s="31" t="str">
        <x:f>IF(OR(F798="",G798=""),"",IF(F798=G798,"Agree","Disagree"))</x:f>
      </x:c>
      <x:c r="I798" s="31"/>
      <x:c r="J798" s="31" t="str">
        <x:v>No</x:v>
      </x:c>
      <x:c r="K798" s="31" t="str"/>
      <x:c r="L798" s="31" t="str"/>
      <x:c r="M798" s="31" t="str"/>
      <x:c r="N798" s="31" t="str"/>
    </x:row>
    <x:row r="799" ht="42" customHeight="1">
      <x:c r="A799" s="35" t="n">
        <x:v>797</x:v>
      </x:c>
      <x:c r="B799" s="31" t="str">
        <x:f>IF('Execution Checklist'!Q799="","",'Execution Checklist'!Q799)</x:f>
      </x:c>
      <x:c r="C799" s="31" t="str">
        <x:v>Place a white cup in the bowl.</x:v>
      </x:c>
      <x:c r="D799" s="31" t="str">
        <x:v>white cup A</x:v>
      </x:c>
      <x:c r="E799" s="31" t="str">
        <x:v>Binary task success; paired with the main transfer row.</x:v>
      </x:c>
      <x:c r="F799" s="31"/>
      <x:c r="G799" s="31"/>
      <x:c r="H799" s="31" t="str">
        <x:f>IF(OR(F799="",G799=""),"",IF(F799=G799,"Agree","Disagree"))</x:f>
      </x:c>
      <x:c r="I799" s="31"/>
      <x:c r="J799" s="31" t="str">
        <x:v>No</x:v>
      </x:c>
      <x:c r="K799" s="31" t="str"/>
      <x:c r="L799" s="31" t="str"/>
      <x:c r="M799" s="31" t="str"/>
      <x:c r="N799" s="31" t="str"/>
    </x:row>
    <x:row r="800" ht="42" customHeight="1">
      <x:c r="A800" s="35" t="n">
        <x:v>798</x:v>
      </x:c>
      <x:c r="B800" s="31" t="str">
        <x:f>IF('Execution Checklist'!Q800="","",'Execution Checklist'!Q800)</x:f>
      </x:c>
      <x:c r="C800" s="31" t="str">
        <x:v>Place the upright glass spice container in the bowl.</x:v>
      </x:c>
      <x:c r="D800" s="31" t="str">
        <x:v>glass spice container A</x:v>
      </x:c>
      <x:c r="E800" s="31" t="str">
        <x:v>Binary task success; paired with the main matched-control row.</x:v>
      </x:c>
      <x:c r="F800" s="31"/>
      <x:c r="G800" s="31"/>
      <x:c r="H800" s="31" t="str">
        <x:f>IF(OR(F800="",G800=""),"",IF(F800=G800,"Agree","Disagree"))</x:f>
      </x:c>
      <x:c r="I800" s="31"/>
      <x:c r="J800" s="31" t="str">
        <x:v>No</x:v>
      </x:c>
      <x:c r="K800" s="31" t="str"/>
      <x:c r="L800" s="31" t="str"/>
      <x:c r="M800" s="31" t="str"/>
      <x:c r="N800" s="31" t="str"/>
    </x:row>
    <x:row r="801" ht="42" customHeight="1">
      <x:c r="A801" s="35" t="n">
        <x:v>799</x:v>
      </x:c>
      <x:c r="B801" s="31" t="str">
        <x:f>IF('Execution Checklist'!Q801="","",'Execution Checklist'!Q801)</x:f>
      </x:c>
      <x:c r="C801" s="31" t="str">
        <x:v>Put a brown cup in the bowl.</x:v>
      </x:c>
      <x:c r="D801" s="31" t="str">
        <x:v>brown cup B</x:v>
      </x:c>
      <x:c r="E801" s="31" t="str">
        <x:v>Binary task success using the task-specific rubric.</x:v>
      </x:c>
      <x:c r="F801" s="31"/>
      <x:c r="G801" s="31"/>
      <x:c r="H801" s="31" t="str">
        <x:f>IF(OR(F801="",G801=""),"",IF(F801=G801,"Agree","Disagree"))</x:f>
      </x:c>
      <x:c r="I801" s="31"/>
      <x:c r="J801" s="31" t="str">
        <x:v>No</x:v>
      </x:c>
      <x:c r="K801" s="31" t="str"/>
      <x:c r="L801" s="31" t="str"/>
      <x:c r="M801" s="31" t="str"/>
      <x:c r="N801" s="31" t="str"/>
    </x:row>
    <x:row r="802" ht="42" customHeight="1">
      <x:c r="A802" s="35" t="n">
        <x:v>800</x:v>
      </x:c>
      <x:c r="B802" s="31" t="str">
        <x:f>IF('Execution Checklist'!Q802="","",'Execution Checklist'!Q802)</x:f>
      </x:c>
      <x:c r="C802" s="31" t="str">
        <x:v>Put a yellow-white striped cup in the bowl.</x:v>
      </x:c>
      <x:c r="D802" s="31" t="str">
        <x:v>yellow-white striped cup A</x:v>
      </x:c>
      <x:c r="E802" s="31" t="str">
        <x:v>Binary task success using the task-specific rubric.</x:v>
      </x:c>
      <x:c r="F802" s="31"/>
      <x:c r="G802" s="31"/>
      <x:c r="H802" s="31" t="str">
        <x:f>IF(OR(F802="",G802=""),"",IF(F802=G802,"Agree","Disagree"))</x:f>
      </x:c>
      <x:c r="I802" s="31"/>
      <x:c r="J802" s="31" t="str">
        <x:v>No</x:v>
      </x:c>
      <x:c r="K802" s="31" t="str"/>
      <x:c r="L802" s="31" t="str"/>
      <x:c r="M802" s="31" t="str"/>
      <x:c r="N802" s="31" t="str"/>
    </x:row>
    <x:row r="803" ht="42" customHeight="1">
      <x:c r="A803" s="35" t="n">
        <x:v>801</x:v>
      </x:c>
      <x:c r="B803" s="31" t="str">
        <x:f>IF('Execution Checklist'!Q803="","",'Execution Checklist'!Q803)</x:f>
      </x:c>
      <x:c r="C803" s="31" t="str">
        <x:v>Move the open brown cup into the bowl.</x:v>
      </x:c>
      <x:c r="D803" s="31" t="str">
        <x:v>brown cup B</x:v>
      </x:c>
      <x:c r="E803" s="31" t="str">
        <x:v>Binary task success using the task-specific rubric.</x:v>
      </x:c>
      <x:c r="F803" s="31"/>
      <x:c r="G803" s="31"/>
      <x:c r="H803" s="31" t="str">
        <x:f>IF(OR(F803="",G803=""),"",IF(F803=G803,"Agree","Disagree"))</x:f>
      </x:c>
      <x:c r="I803" s="31"/>
      <x:c r="J803" s="31" t="str">
        <x:v>No</x:v>
      </x:c>
      <x:c r="K803" s="31" t="str"/>
      <x:c r="L803" s="31" t="str"/>
      <x:c r="M803" s="31" t="str"/>
      <x:c r="N803" s="31" t="str"/>
    </x:row>
    <x:row r="804" ht="42" customHeight="1">
      <x:c r="A804" s="35" t="n">
        <x:v>802</x:v>
      </x:c>
      <x:c r="B804" s="31" t="str">
        <x:f>IF('Execution Checklist'!Q804="","",'Execution Checklist'!Q804)</x:f>
      </x:c>
      <x:c r="C804" s="31" t="str">
        <x:v>Move the yellow-white striped cup that is open into the bowl.</x:v>
      </x:c>
      <x:c r="D804" s="31" t="str">
        <x:v>yellow-white striped cup B</x:v>
      </x:c>
      <x:c r="E804" s="31" t="str">
        <x:v>Binary task success; compare with the seen-language row sharing Pair ID.</x:v>
      </x:c>
      <x:c r="F804" s="31"/>
      <x:c r="G804" s="31"/>
      <x:c r="H804" s="31" t="str">
        <x:f>IF(OR(F804="",G804=""),"",IF(F804=G804,"Agree","Disagree"))</x:f>
      </x:c>
      <x:c r="I804" s="31"/>
      <x:c r="J804" s="31" t="str">
        <x:v>No</x:v>
      </x:c>
      <x:c r="K804" s="31" t="str"/>
      <x:c r="L804" s="31" t="str"/>
      <x:c r="M804" s="31" t="str"/>
      <x:c r="N804" s="31" t="str"/>
    </x:row>
    <x:row r="805" ht="42" customHeight="1">
      <x:c r="A805" s="35" t="n">
        <x:v>803</x:v>
      </x:c>
      <x:c r="B805" s="31" t="str">
        <x:f>IF('Execution Checklist'!Q805="","",'Execution Checklist'!Q805)</x:f>
      </x:c>
      <x:c r="C805" s="31" t="str">
        <x:v>Place a yellow-white striped cup in the bowl.</x:v>
      </x:c>
      <x:c r="D805" s="31" t="str">
        <x:v>yellow-white striped cup B</x:v>
      </x:c>
      <x:c r="E805" s="31" t="str">
        <x:v>Binary task success; paired with the main transfer row.</x:v>
      </x:c>
      <x:c r="F805" s="31"/>
      <x:c r="G805" s="31"/>
      <x:c r="H805" s="31" t="str">
        <x:f>IF(OR(F805="",G805=""),"",IF(F805=G805,"Agree","Disagree"))</x:f>
      </x:c>
      <x:c r="I805" s="31"/>
      <x:c r="J805" s="31" t="str">
        <x:v>No</x:v>
      </x:c>
      <x:c r="K805" s="31" t="str"/>
      <x:c r="L805" s="31" t="str"/>
      <x:c r="M805" s="31" t="str"/>
      <x:c r="N805" s="31" t="str"/>
    </x:row>
    <x:row r="806" ht="42" customHeight="1">
      <x:c r="A806" s="35" t="n">
        <x:v>804</x:v>
      </x:c>
      <x:c r="B806" s="31" t="str">
        <x:f>IF('Execution Checklist'!Q806="","",'Execution Checklist'!Q806)</x:f>
      </x:c>
      <x:c r="C806" s="31" t="str">
        <x:v>Place a glass spice container in the bowl.</x:v>
      </x:c>
      <x:c r="D806" s="31" t="str">
        <x:v>glass spice container A</x:v>
      </x:c>
      <x:c r="E806" s="31" t="str">
        <x:v>Binary task success; paired with the main transfer row.</x:v>
      </x:c>
      <x:c r="F806" s="31"/>
      <x:c r="G806" s="31"/>
      <x:c r="H806" s="31" t="str">
        <x:f>IF(OR(F806="",G806=""),"",IF(F806=G806,"Agree","Disagree"))</x:f>
      </x:c>
      <x:c r="I806" s="31"/>
      <x:c r="J806" s="31" t="str">
        <x:v>No</x:v>
      </x:c>
      <x:c r="K806" s="31" t="str"/>
      <x:c r="L806" s="31" t="str"/>
      <x:c r="M806" s="31" t="str"/>
      <x:c r="N806" s="31" t="str"/>
    </x:row>
    <x:row r="807" ht="42" customHeight="1">
      <x:c r="A807" s="35" t="n">
        <x:v>805</x:v>
      </x:c>
      <x:c r="B807" s="31" t="str">
        <x:f>IF('Execution Checklist'!Q807="","",'Execution Checklist'!Q807)</x:f>
      </x:c>
      <x:c r="C807" s="31" t="str">
        <x:v>Place the upright brown cup in the bowl.</x:v>
      </x:c>
      <x:c r="D807" s="31" t="str">
        <x:v>brown cup B</x:v>
      </x:c>
      <x:c r="E807" s="31" t="str">
        <x:v>Binary task success; paired with the main matched-control row.</x:v>
      </x:c>
      <x:c r="F807" s="31"/>
      <x:c r="G807" s="31"/>
      <x:c r="H807" s="31" t="str">
        <x:f>IF(OR(F807="",G807=""),"",IF(F807=G807,"Agree","Disagree"))</x:f>
      </x:c>
      <x:c r="I807" s="31"/>
      <x:c r="J807" s="31" t="str">
        <x:v>No</x:v>
      </x:c>
      <x:c r="K807" s="31" t="str"/>
      <x:c r="L807" s="31" t="str"/>
      <x:c r="M807" s="31" t="str"/>
      <x:c r="N807" s="31" t="str"/>
    </x:row>
    <x:row r="808" ht="42" customHeight="1">
      <x:c r="A808" s="35" t="n">
        <x:v>806</x:v>
      </x:c>
      <x:c r="B808" s="31" t="str">
        <x:f>IF('Execution Checklist'!Q808="","",'Execution Checklist'!Q808)</x:f>
      </x:c>
      <x:c r="C808" s="31" t="str">
        <x:v>Place the pink marker to the right of the blue block.</x:v>
      </x:c>
      <x:c r="D808" s="31" t="str">
        <x:v>pink marker</x:v>
      </x:c>
      <x:c r="E808" s="31" t="str">
        <x:v>Binary task success using the task-specific rubric.</x:v>
      </x:c>
      <x:c r="F808" s="31"/>
      <x:c r="G808" s="31"/>
      <x:c r="H808" s="31" t="str">
        <x:f>IF(OR(F808="",G808=""),"",IF(F808=G808,"Agree","Disagree"))</x:f>
      </x:c>
      <x:c r="I808" s="31"/>
      <x:c r="J808" s="31" t="str">
        <x:v>No</x:v>
      </x:c>
      <x:c r="K808" s="31" t="str"/>
      <x:c r="L808" s="31" t="str"/>
      <x:c r="M808" s="31" t="str"/>
      <x:c r="N808" s="31" t="str"/>
    </x:row>
    <x:row r="809" ht="42" customHeight="1">
      <x:c r="A809" s="35" t="n">
        <x:v>807</x:v>
      </x:c>
      <x:c r="B809" s="31" t="str">
        <x:f>IF('Execution Checklist'!Q809="","",'Execution Checklist'!Q809)</x:f>
      </x:c>
      <x:c r="C809" s="31" t="str">
        <x:v>Place the green pen to the left of the red block.</x:v>
      </x:c>
      <x:c r="D809" s="31" t="str">
        <x:v>green pen → to the left of red block</x:v>
      </x:c>
      <x:c r="E809" s="31" t="str">
        <x:v>Binary success for the counterfactual instruction and paired action-switch analysis versus the parent.</x:v>
      </x:c>
      <x:c r="F809" s="31"/>
      <x:c r="G809" s="31"/>
      <x:c r="H809" s="31" t="str">
        <x:f>IF(OR(F809="",G809=""),"",IF(F809=G809,"Agree","Disagree"))</x:f>
      </x:c>
      <x:c r="I809" s="31"/>
      <x:c r="J809" s="31" t="str">
        <x:v>No</x:v>
      </x:c>
      <x:c r="K809" s="31" t="str"/>
      <x:c r="L809" s="31" t="str"/>
      <x:c r="M809" s="31" t="str"/>
      <x:c r="N809" s="31" t="str"/>
    </x:row>
    <x:row r="810" ht="42" customHeight="1">
      <x:c r="A810" s="35" t="n">
        <x:v>808</x:v>
      </x:c>
      <x:c r="B810" s="31" t="str">
        <x:f>IF('Execution Checklist'!Q810="","",'Execution Checklist'!Q810)</x:f>
      </x:c>
      <x:c r="C810" s="31" t="str">
        <x:v>Place the red block to the left of the green pen.</x:v>
      </x:c>
      <x:c r="D810" s="31" t="str">
        <x:v>red block → to the left of green pen</x:v>
      </x:c>
      <x:c r="E810" s="31" t="str">
        <x:v>Binary task success; paired with the main matched-control row.</x:v>
      </x:c>
      <x:c r="F810" s="31"/>
      <x:c r="G810" s="31"/>
      <x:c r="H810" s="31" t="str">
        <x:f>IF(OR(F810="",G810=""),"",IF(F810=G810,"Agree","Disagree"))</x:f>
      </x:c>
      <x:c r="I810" s="31"/>
      <x:c r="J810" s="31" t="str">
        <x:v>No</x:v>
      </x:c>
      <x:c r="K810" s="31" t="str"/>
      <x:c r="L810" s="31" t="str"/>
      <x:c r="M810" s="31" t="str"/>
      <x:c r="N810" s="31" t="str"/>
    </x:row>
    <x:row r="811" ht="42" customHeight="1">
      <x:c r="A811" s="35" t="n">
        <x:v>809</x:v>
      </x:c>
      <x:c r="B811" s="31" t="str">
        <x:f>IF('Execution Checklist'!Q811="","",'Execution Checklist'!Q811)</x:f>
      </x:c>
      <x:c r="C811" s="31" t="str">
        <x:v>Place the green pen in front of the red block.</x:v>
      </x:c>
      <x:c r="D811" s="31" t="str">
        <x:v>No prespecified task success under blank language; record any action/selected target.</x:v>
      </x:c>
      <x:c r="E811" s="31" t="str">
        <x:v>Do not score ordinary task success. Record action occurrence and agreement with the parent correct-prompt rollout.</x:v>
      </x:c>
      <x:c r="F811" s="31"/>
      <x:c r="G811" s="31"/>
      <x:c r="H811" s="31" t="str">
        <x:f>IF(OR(F811="",G811=""),"",IF(F811=G811,"Agree","Disagree"))</x:f>
      </x:c>
      <x:c r="I811" s="31"/>
      <x:c r="J811" s="31" t="str">
        <x:v>No</x:v>
      </x:c>
      <x:c r="K811" s="31" t="str"/>
      <x:c r="L811" s="31" t="str"/>
      <x:c r="M811" s="31" t="str"/>
      <x:c r="N811" s="31" t="str"/>
    </x:row>
    <x:row r="812" ht="42" customHeight="1">
      <x:c r="A812" s="35" t="n">
        <x:v>810</x:v>
      </x:c>
      <x:c r="B812" s="31" t="str">
        <x:f>IF('Execution Checklist'!Q812="","",'Execution Checklist'!Q812)</x:f>
      </x:c>
      <x:c r="C812" s="31" t="str">
        <x:v>Move the red block to the side of the pink marker facing the robot.</x:v>
      </x:c>
      <x:c r="D812" s="31" t="str">
        <x:v>red block</x:v>
      </x:c>
      <x:c r="E812" s="31" t="str">
        <x:v>Binary task success; compare with the seen-language row sharing Pair ID.</x:v>
      </x:c>
      <x:c r="F812" s="31"/>
      <x:c r="G812" s="31"/>
      <x:c r="H812" s="31" t="str">
        <x:f>IF(OR(F812="",G812=""),"",IF(F812=G812,"Agree","Disagree"))</x:f>
      </x:c>
      <x:c r="I812" s="31"/>
      <x:c r="J812" s="31" t="str">
        <x:v>No</x:v>
      </x:c>
      <x:c r="K812" s="31" t="str"/>
      <x:c r="L812" s="31" t="str"/>
      <x:c r="M812" s="31" t="str"/>
      <x:c r="N812" s="31" t="str"/>
    </x:row>
    <x:row r="813" ht="42" customHeight="1">
      <x:c r="A813" s="35" t="n">
        <x:v>811</x:v>
      </x:c>
      <x:c r="B813" s="31" t="str">
        <x:f>IF('Execution Checklist'!Q813="","",'Execution Checklist'!Q813)</x:f>
      </x:c>
      <x:c r="C813" s="31" t="str">
        <x:v>Place the blue block in front of the green pen.</x:v>
      </x:c>
      <x:c r="D813" s="31" t="str">
        <x:v>blue block</x:v>
      </x:c>
      <x:c r="E813" s="31" t="str">
        <x:v>Binary task success using the task-specific rubric.</x:v>
      </x:c>
      <x:c r="F813" s="31"/>
      <x:c r="G813" s="31"/>
      <x:c r="H813" s="31" t="str">
        <x:f>IF(OR(F813="",G813=""),"",IF(F813=G813,"Agree","Disagree"))</x:f>
      </x:c>
      <x:c r="I813" s="31"/>
      <x:c r="J813" s="31" t="str">
        <x:v>No</x:v>
      </x:c>
      <x:c r="K813" s="31" t="str"/>
      <x:c r="L813" s="31" t="str"/>
      <x:c r="M813" s="31" t="str"/>
      <x:c r="N813" s="31" t="str"/>
    </x:row>
    <x:row r="814" ht="42" customHeight="1">
      <x:c r="A814" s="35" t="n">
        <x:v>812</x:v>
      </x:c>
      <x:c r="B814" s="31" t="str">
        <x:f>IF('Execution Checklist'!Q814="","",'Execution Checklist'!Q814)</x:f>
      </x:c>
      <x:c r="C814" s="31" t="str">
        <x:v>Move the red block to the side of the pink marker facing the robot.</x:v>
      </x:c>
      <x:c r="D814" s="31" t="str">
        <x:v>red block</x:v>
      </x:c>
      <x:c r="E814" s="31" t="str">
        <x:v>Binary task success; compare with the seen-language row sharing Pair ID.</x:v>
      </x:c>
      <x:c r="F814" s="31"/>
      <x:c r="G814" s="31"/>
      <x:c r="H814" s="31" t="str">
        <x:f>IF(OR(F814="",G814=""),"",IF(F814=G814,"Agree","Disagree"))</x:f>
      </x:c>
      <x:c r="I814" s="31"/>
      <x:c r="J814" s="31" t="str">
        <x:v>No</x:v>
      </x:c>
      <x:c r="K814" s="31" t="str"/>
      <x:c r="L814" s="31" t="str"/>
      <x:c r="M814" s="31" t="str"/>
      <x:c r="N814" s="31" t="str"/>
    </x:row>
    <x:row r="815" ht="42" customHeight="1">
      <x:c r="A815" s="35" t="n">
        <x:v>813</x:v>
      </x:c>
      <x:c r="B815" s="31" t="str">
        <x:f>IF('Execution Checklist'!Q815="","",'Execution Checklist'!Q815)</x:f>
      </x:c>
      <x:c r="C815" s="31" t="str">
        <x:v>Place the green pen near the red block.</x:v>
      </x:c>
      <x:c r="D815" s="31" t="str">
        <x:v>green pen near red block</x:v>
      </x:c>
      <x:c r="E815" s="31" t="str">
        <x:v>Binary task success; paired with the main transfer row.</x:v>
      </x:c>
      <x:c r="F815" s="31"/>
      <x:c r="G815" s="31"/>
      <x:c r="H815" s="31" t="str">
        <x:f>IF(OR(F815="",G815=""),"",IF(F815=G815,"Agree","Disagree"))</x:f>
      </x:c>
      <x:c r="I815" s="31"/>
      <x:c r="J815" s="31" t="str">
        <x:v>No</x:v>
      </x:c>
      <x:c r="K815" s="31" t="str"/>
      <x:c r="L815" s="31" t="str"/>
      <x:c r="M815" s="31" t="str"/>
      <x:c r="N815" s="31" t="str"/>
    </x:row>
    <x:row r="816" ht="42" customHeight="1">
      <x:c r="A816" s="35" t="n">
        <x:v>814</x:v>
      </x:c>
      <x:c r="B816" s="31" t="str">
        <x:f>IF('Execution Checklist'!Q816="","",'Execution Checklist'!Q816)</x:f>
      </x:c>
      <x:c r="C816" s="31" t="str">
        <x:v>Move the red block to the side of the pink marker facing the robot.</x:v>
      </x:c>
      <x:c r="D816" s="31" t="str">
        <x:v>red block</x:v>
      </x:c>
      <x:c r="E816" s="31" t="str">
        <x:v>Binary task success; compare with the seen-language row sharing Pair ID.</x:v>
      </x:c>
      <x:c r="F816" s="31"/>
      <x:c r="G816" s="31"/>
      <x:c r="H816" s="31" t="str">
        <x:f>IF(OR(F816="",G816=""),"",IF(F816=G816,"Agree","Disagree"))</x:f>
      </x:c>
      <x:c r="I816" s="31"/>
      <x:c r="J816" s="31" t="str">
        <x:v>No</x:v>
      </x:c>
      <x:c r="K816" s="31" t="str"/>
      <x:c r="L816" s="31" t="str"/>
      <x:c r="M816" s="31" t="str"/>
      <x:c r="N816" s="31" t="str"/>
    </x:row>
    <x:row r="817" ht="42" customHeight="1">
      <x:c r="A817" s="35" t="n">
        <x:v>815</x:v>
      </x:c>
      <x:c r="B817" s="31" t="str">
        <x:f>IF('Execution Checklist'!Q817="","",'Execution Checklist'!Q817)</x:f>
      </x:c>
      <x:c r="C817" s="31" t="str">
        <x:v>Place the green pen in front of the red block.</x:v>
      </x:c>
      <x:c r="D817" s="31" t="str">
        <x:v>green pen → in front of red block</x:v>
      </x:c>
      <x:c r="E817" s="31" t="str">
        <x:v>Binary task success; paired with the main matched-control row.</x:v>
      </x:c>
      <x:c r="F817" s="31"/>
      <x:c r="G817" s="31"/>
      <x:c r="H817" s="31" t="str">
        <x:f>IF(OR(F817="",G817=""),"",IF(F817=G817,"Agree","Disagree"))</x:f>
      </x:c>
      <x:c r="I817" s="31"/>
      <x:c r="J817" s="31" t="str">
        <x:v>No</x:v>
      </x:c>
      <x:c r="K817" s="31" t="str"/>
      <x:c r="L817" s="31" t="str"/>
      <x:c r="M817" s="31" t="str"/>
      <x:c r="N817" s="31" t="str"/>
    </x:row>
    <x:row r="818" ht="42" customHeight="1">
      <x:c r="A818" s="35" t="n">
        <x:v>816</x:v>
      </x:c>
      <x:c r="B818" s="31" t="str">
        <x:f>IF('Execution Checklist'!Q818="","",'Execution Checklist'!Q818)</x:f>
      </x:c>
      <x:c r="C818" s="31" t="str">
        <x:v>Place the green pen in front of the pink marker.</x:v>
      </x:c>
      <x:c r="D818" s="31" t="str">
        <x:v>green pen</x:v>
      </x:c>
      <x:c r="E818" s="31" t="str">
        <x:v>Binary task success using the task-specific rubric.</x:v>
      </x:c>
      <x:c r="F818" s="31"/>
      <x:c r="G818" s="31"/>
      <x:c r="H818" s="31" t="str">
        <x:f>IF(OR(F818="",G818=""),"",IF(F818=G818,"Agree","Disagree"))</x:f>
      </x:c>
      <x:c r="I818" s="31"/>
      <x:c r="J818" s="31" t="str">
        <x:v>No</x:v>
      </x:c>
      <x:c r="K818" s="31" t="str"/>
      <x:c r="L818" s="31" t="str"/>
      <x:c r="M818" s="31" t="str"/>
      <x:c r="N818" s="31" t="str"/>
    </x:row>
    <x:row r="819" ht="42" customHeight="1">
      <x:c r="A819" s="35" t="n">
        <x:v>817</x:v>
      </x:c>
      <x:c r="B819" s="31" t="str">
        <x:f>IF('Execution Checklist'!Q819="","",'Execution Checklist'!Q819)</x:f>
      </x:c>
      <x:c r="C819" s="31" t="str">
        <x:v>Place the red block behind the green pen.</x:v>
      </x:c>
      <x:c r="D819" s="31" t="str">
        <x:v>red block → behind green pen</x:v>
      </x:c>
      <x:c r="E819" s="31" t="str">
        <x:v>Binary task success; paired with the main matched-control row.</x:v>
      </x:c>
      <x:c r="F819" s="31"/>
      <x:c r="G819" s="31"/>
      <x:c r="H819" s="31" t="str">
        <x:f>IF(OR(F819="",G819=""),"",IF(F819=G819,"Agree","Disagree"))</x:f>
      </x:c>
      <x:c r="I819" s="31"/>
      <x:c r="J819" s="31" t="str">
        <x:v>No</x:v>
      </x:c>
      <x:c r="K819" s="31" t="str"/>
      <x:c r="L819" s="31" t="str"/>
      <x:c r="M819" s="31" t="str"/>
      <x:c r="N819" s="31" t="str"/>
    </x:row>
    <x:row r="820" ht="42" customHeight="1">
      <x:c r="A820" s="35" t="n">
        <x:v>818</x:v>
      </x:c>
      <x:c r="B820" s="31" t="str">
        <x:f>IF('Execution Checklist'!Q820="","",'Execution Checklist'!Q820)</x:f>
      </x:c>
      <x:c r="C820" s="31" t="str">
        <x:v>Place the red block to the left of the blue block.</x:v>
      </x:c>
      <x:c r="D820" s="31" t="str">
        <x:v>red block</x:v>
      </x:c>
      <x:c r="E820" s="31" t="str">
        <x:v>Binary task success using the task-specific rubric.</x:v>
      </x:c>
      <x:c r="F820" s="31"/>
      <x:c r="G820" s="31"/>
      <x:c r="H820" s="31" t="str">
        <x:f>IF(OR(F820="",G820=""),"",IF(F820=G820,"Agree","Disagree"))</x:f>
      </x:c>
      <x:c r="I820" s="31"/>
      <x:c r="J820" s="31" t="str">
        <x:v>No</x:v>
      </x:c>
      <x:c r="K820" s="31" t="str"/>
      <x:c r="L820" s="31" t="str"/>
      <x:c r="M820" s="31" t="str"/>
      <x:c r="N820" s="31" t="str"/>
    </x:row>
    <x:row r="821" ht="42" customHeight="1">
      <x:c r="A821" s="35" t="n">
        <x:v>819</x:v>
      </x:c>
      <x:c r="B821" s="31" t="str">
        <x:f>IF('Execution Checklist'!Q821="","",'Execution Checklist'!Q821)</x:f>
      </x:c>
      <x:c r="C821" s="31" t="str">
        <x:v>Place the green pen to the right of the pink marker.</x:v>
      </x:c>
      <x:c r="D821" s="31" t="str">
        <x:v>green pen</x:v>
      </x:c>
      <x:c r="E821" s="31" t="str">
        <x:v>Binary task success using the task-specific rubric.</x:v>
      </x:c>
      <x:c r="F821" s="31"/>
      <x:c r="G821" s="31"/>
      <x:c r="H821" s="31" t="str">
        <x:f>IF(OR(F821="",G821=""),"",IF(F821=G821,"Agree","Disagree"))</x:f>
      </x:c>
      <x:c r="I821" s="31"/>
      <x:c r="J821" s="31" t="str">
        <x:v>No</x:v>
      </x:c>
      <x:c r="K821" s="31" t="str"/>
      <x:c r="L821" s="31" t="str"/>
      <x:c r="M821" s="31" t="str"/>
      <x:c r="N821" s="31" t="str"/>
    </x:row>
    <x:row r="822" ht="42" customHeight="1">
      <x:c r="A822" s="35" t="n">
        <x:v>820</x:v>
      </x:c>
      <x:c r="B822" s="31" t="str">
        <x:f>IF('Execution Checklist'!Q822="","",'Execution Checklist'!Q822)</x:f>
      </x:c>
      <x:c r="C822" s="31" t="str">
        <x:v>Place the red block to the right of the green pen.</x:v>
      </x:c>
      <x:c r="D822" s="31" t="str">
        <x:v>red block → to the right of green pen</x:v>
      </x:c>
      <x:c r="E822" s="31" t="str">
        <x:v>Binary task success; paired with the main matched-control row.</x:v>
      </x:c>
      <x:c r="F822" s="31"/>
      <x:c r="G822" s="31"/>
      <x:c r="H822" s="31" t="str">
        <x:f>IF(OR(F822="",G822=""),"",IF(F822=G822,"Agree","Disagree"))</x:f>
      </x:c>
      <x:c r="I822" s="31"/>
      <x:c r="J822" s="31" t="str">
        <x:v>No</x:v>
      </x:c>
      <x:c r="K822" s="31" t="str"/>
      <x:c r="L822" s="31" t="str"/>
      <x:c r="M822" s="31" t="str"/>
      <x:c r="N822" s="31" t="str"/>
    </x:row>
    <x:row r="823" ht="42" customHeight="1">
      <x:c r="A823" s="35" t="n">
        <x:v>821</x:v>
      </x:c>
      <x:c r="B823" s="31" t="str">
        <x:f>IF('Execution Checklist'!Q823="","",'Execution Checklist'!Q823)</x:f>
      </x:c>
      <x:c r="C823" s="31" t="str">
        <x:v>Place the green pen to the left of the red block.</x:v>
      </x:c>
      <x:c r="D823" s="31" t="str">
        <x:v>No prespecified task success under blank language; record any action/selected target.</x:v>
      </x:c>
      <x:c r="E823" s="31" t="str">
        <x:v>Do not score ordinary task success. Record action occurrence and agreement with the parent correct-prompt rollout.</x:v>
      </x:c>
      <x:c r="F823" s="31"/>
      <x:c r="G823" s="31"/>
      <x:c r="H823" s="31" t="str">
        <x:f>IF(OR(F823="",G823=""),"",IF(F823=G823,"Agree","Disagree"))</x:f>
      </x:c>
      <x:c r="I823" s="31"/>
      <x:c r="J823" s="31" t="str">
        <x:v>No</x:v>
      </x:c>
      <x:c r="K823" s="31" t="str"/>
      <x:c r="L823" s="31" t="str"/>
      <x:c r="M823" s="31" t="str"/>
      <x:c r="N823" s="31" t="str"/>
    </x:row>
    <x:row r="824" ht="42" customHeight="1">
      <x:c r="A824" s="35" t="n">
        <x:v>822</x:v>
      </x:c>
      <x:c r="B824" s="31" t="str">
        <x:f>IF('Execution Checklist'!Q824="","",'Execution Checklist'!Q824)</x:f>
      </x:c>
      <x:c r="C824" s="31" t="str">
        <x:v>Place the red block near the green pen.</x:v>
      </x:c>
      <x:c r="D824" s="31" t="str">
        <x:v>red block near green pen</x:v>
      </x:c>
      <x:c r="E824" s="31" t="str">
        <x:v>Binary task success; paired with the main transfer row.</x:v>
      </x:c>
      <x:c r="F824" s="31"/>
      <x:c r="G824" s="31"/>
      <x:c r="H824" s="31" t="str">
        <x:f>IF(OR(F824="",G824=""),"",IF(F824=G824,"Agree","Disagree"))</x:f>
      </x:c>
      <x:c r="I824" s="31"/>
      <x:c r="J824" s="31" t="str">
        <x:v>No</x:v>
      </x:c>
      <x:c r="K824" s="31" t="str"/>
      <x:c r="L824" s="31" t="str"/>
      <x:c r="M824" s="31" t="str"/>
      <x:c r="N824" s="31" t="str"/>
    </x:row>
    <x:row r="825" ht="42" customHeight="1">
      <x:c r="A825" s="35" t="n">
        <x:v>823</x:v>
      </x:c>
      <x:c r="B825" s="31" t="str">
        <x:f>IF('Execution Checklist'!Q825="","",'Execution Checklist'!Q825)</x:f>
      </x:c>
      <x:c r="C825" s="31" t="str">
        <x:v>Move the red block to the side of the pink marker facing the robot.</x:v>
      </x:c>
      <x:c r="D825" s="31" t="str">
        <x:v>red block</x:v>
      </x:c>
      <x:c r="E825" s="31" t="str">
        <x:v>Binary task success; compare with the seen-language row sharing Pair ID.</x:v>
      </x:c>
      <x:c r="F825" s="31"/>
      <x:c r="G825" s="31"/>
      <x:c r="H825" s="31" t="str">
        <x:f>IF(OR(F825="",G825=""),"",IF(F825=G825,"Agree","Disagree"))</x:f>
      </x:c>
      <x:c r="I825" s="31"/>
      <x:c r="J825" s="31" t="str">
        <x:v>No</x:v>
      </x:c>
      <x:c r="K825" s="31" t="str"/>
      <x:c r="L825" s="31" t="str"/>
      <x:c r="M825" s="31" t="str"/>
      <x:c r="N825" s="31" t="str"/>
    </x:row>
    <x:row r="826" ht="42" customHeight="1">
      <x:c r="A826" s="35" t="n">
        <x:v>824</x:v>
      </x:c>
      <x:c r="B826" s="31" t="str">
        <x:f>IF('Execution Checklist'!Q826="","",'Execution Checklist'!Q826)</x:f>
      </x:c>
      <x:c r="C826" s="31" t="str">
        <x:v>Place the red block to the left of the green pen.</x:v>
      </x:c>
      <x:c r="D826" s="31" t="str">
        <x:v>red block → to the left of green pen</x:v>
      </x:c>
      <x:c r="E826" s="31" t="str">
        <x:v>Binary task success; paired with the main matched-control row.</x:v>
      </x:c>
      <x:c r="F826" s="31"/>
      <x:c r="G826" s="31"/>
      <x:c r="H826" s="31" t="str">
        <x:f>IF(OR(F826="",G826=""),"",IF(F826=G826,"Agree","Disagree"))</x:f>
      </x:c>
      <x:c r="I826" s="31"/>
      <x:c r="J826" s="31" t="str">
        <x:v>No</x:v>
      </x:c>
      <x:c r="K826" s="31" t="str"/>
      <x:c r="L826" s="31" t="str"/>
      <x:c r="M826" s="31" t="str"/>
      <x:c r="N826" s="31" t="str"/>
    </x:row>
    <x:row r="827" ht="42" customHeight="1">
      <x:c r="A827" s="35" t="n">
        <x:v>825</x:v>
      </x:c>
      <x:c r="B827" s="31" t="str">
        <x:f>IF('Execution Checklist'!Q827="","",'Execution Checklist'!Q827)</x:f>
      </x:c>
      <x:c r="C827" s="31" t="str">
        <x:v>Place the green pen next to the red block.</x:v>
      </x:c>
      <x:c r="D827" s="31" t="str">
        <x:v>green pen near red block</x:v>
      </x:c>
      <x:c r="E827" s="31" t="str">
        <x:v>Binary task success; paired with the main transfer row.</x:v>
      </x:c>
      <x:c r="F827" s="31"/>
      <x:c r="G827" s="31"/>
      <x:c r="H827" s="31" t="str">
        <x:f>IF(OR(F827="",G827=""),"",IF(F827=G827,"Agree","Disagree"))</x:f>
      </x:c>
      <x:c r="I827" s="31"/>
      <x:c r="J827" s="31" t="str">
        <x:v>No</x:v>
      </x:c>
      <x:c r="K827" s="31" t="str"/>
      <x:c r="L827" s="31" t="str"/>
      <x:c r="M827" s="31" t="str"/>
      <x:c r="N827" s="31" t="str"/>
    </x:row>
    <x:row r="828" ht="42" customHeight="1">
      <x:c r="A828" s="35" t="n">
        <x:v>826</x:v>
      </x:c>
      <x:c r="B828" s="31" t="str">
        <x:f>IF('Execution Checklist'!Q828="","",'Execution Checklist'!Q828)</x:f>
      </x:c>
      <x:c r="C828" s="31" t="str">
        <x:v>Place the green pen beside the red block.</x:v>
      </x:c>
      <x:c r="D828" s="31" t="str">
        <x:v>green pen near red block</x:v>
      </x:c>
      <x:c r="E828" s="31" t="str">
        <x:v>Binary task success; paired with the main transfer row.</x:v>
      </x:c>
      <x:c r="F828" s="31"/>
      <x:c r="G828" s="31"/>
      <x:c r="H828" s="31" t="str">
        <x:f>IF(OR(F828="",G828=""),"",IF(F828=G828,"Agree","Disagree"))</x:f>
      </x:c>
      <x:c r="I828" s="31"/>
      <x:c r="J828" s="31" t="str">
        <x:v>No</x:v>
      </x:c>
      <x:c r="K828" s="31" t="str"/>
      <x:c r="L828" s="31" t="str"/>
      <x:c r="M828" s="31" t="str"/>
      <x:c r="N828" s="31" t="str"/>
    </x:row>
    <x:row r="829" ht="42" customHeight="1">
      <x:c r="A829" s="35" t="n">
        <x:v>827</x:v>
      </x:c>
      <x:c r="B829" s="31" t="str">
        <x:f>IF('Execution Checklist'!Q829="","",'Execution Checklist'!Q829)</x:f>
      </x:c>
      <x:c r="C829" s="31" t="str">
        <x:v>Place the red block in front of the green pen.</x:v>
      </x:c>
      <x:c r="D829" s="31" t="str">
        <x:v>red block → in front of green pen</x:v>
      </x:c>
      <x:c r="E829" s="31" t="str">
        <x:v>Binary task success; paired with the main matched-control row.</x:v>
      </x:c>
      <x:c r="F829" s="31"/>
      <x:c r="G829" s="31"/>
      <x:c r="H829" s="31" t="str">
        <x:f>IF(OR(F829="",G829=""),"",IF(F829=G829,"Agree","Disagree"))</x:f>
      </x:c>
      <x:c r="I829" s="31"/>
      <x:c r="J829" s="31" t="str">
        <x:v>No</x:v>
      </x:c>
      <x:c r="K829" s="31" t="str"/>
      <x:c r="L829" s="31" t="str"/>
      <x:c r="M829" s="31" t="str"/>
      <x:c r="N829" s="31" t="str"/>
    </x:row>
    <x:row r="830" ht="42" customHeight="1">
      <x:c r="A830" s="35" t="n">
        <x:v>828</x:v>
      </x:c>
      <x:c r="B830" s="31" t="str">
        <x:f>IF('Execution Checklist'!Q830="","",'Execution Checklist'!Q830)</x:f>
      </x:c>
      <x:c r="C830" s="31" t="str">
        <x:v>Place the red block next to the green pen.</x:v>
      </x:c>
      <x:c r="D830" s="31" t="str">
        <x:v>red block near green pen</x:v>
      </x:c>
      <x:c r="E830" s="31" t="str">
        <x:v>Binary task success; paired with the main transfer row.</x:v>
      </x:c>
      <x:c r="F830" s="31"/>
      <x:c r="G830" s="31"/>
      <x:c r="H830" s="31" t="str">
        <x:f>IF(OR(F830="",G830=""),"",IF(F830=G830,"Agree","Disagree"))</x:f>
      </x:c>
      <x:c r="I830" s="31"/>
      <x:c r="J830" s="31" t="str">
        <x:v>No</x:v>
      </x:c>
      <x:c r="K830" s="31" t="str"/>
      <x:c r="L830" s="31" t="str"/>
      <x:c r="M830" s="31" t="str"/>
      <x:c r="N830" s="31" t="str"/>
    </x:row>
    <x:row r="831" ht="42" customHeight="1">
      <x:c r="A831" s="35" t="n">
        <x:v>829</x:v>
      </x:c>
      <x:c r="B831" s="31" t="str">
        <x:f>IF('Execution Checklist'!Q831="","",'Execution Checklist'!Q831)</x:f>
      </x:c>
      <x:c r="C831" s="31" t="str">
        <x:v>Place the red block beside the green pen.</x:v>
      </x:c>
      <x:c r="D831" s="31" t="str">
        <x:v>red block near green pen</x:v>
      </x:c>
      <x:c r="E831" s="31" t="str">
        <x:v>Binary task success; paired with the main transfer row.</x:v>
      </x:c>
      <x:c r="F831" s="31"/>
      <x:c r="G831" s="31"/>
      <x:c r="H831" s="31" t="str">
        <x:f>IF(OR(F831="",G831=""),"",IF(F831=G831,"Agree","Disagree"))</x:f>
      </x:c>
      <x:c r="I831" s="31"/>
      <x:c r="J831" s="31" t="str">
        <x:v>No</x:v>
      </x:c>
      <x:c r="K831" s="31" t="str"/>
      <x:c r="L831" s="31" t="str"/>
      <x:c r="M831" s="31" t="str"/>
      <x:c r="N831" s="31" t="str"/>
    </x:row>
    <x:row r="832" ht="42" customHeight="1">
      <x:c r="A832" s="35" t="n">
        <x:v>830</x:v>
      </x:c>
      <x:c r="B832" s="31" t="str">
        <x:f>IF('Execution Checklist'!Q832="","",'Execution Checklist'!Q832)</x:f>
      </x:c>
      <x:c r="C832" s="31" t="str">
        <x:v>Place the green pen next to the red block.</x:v>
      </x:c>
      <x:c r="D832" s="31" t="str">
        <x:v>green pen near red block</x:v>
      </x:c>
      <x:c r="E832" s="31" t="str">
        <x:v>Binary task success; paired with the main transfer row.</x:v>
      </x:c>
      <x:c r="F832" s="31"/>
      <x:c r="G832" s="31"/>
      <x:c r="H832" s="31" t="str">
        <x:f>IF(OR(F832="",G832=""),"",IF(F832=G832,"Agree","Disagree"))</x:f>
      </x:c>
      <x:c r="I832" s="31"/>
      <x:c r="J832" s="31" t="str">
        <x:v>No</x:v>
      </x:c>
      <x:c r="K832" s="31" t="str"/>
      <x:c r="L832" s="31" t="str"/>
      <x:c r="M832" s="31" t="str"/>
      <x:c r="N832" s="31" t="str"/>
    </x:row>
    <x:row r="833" ht="42" customHeight="1">
      <x:c r="A833" s="35" t="n">
        <x:v>831</x:v>
      </x:c>
      <x:c r="B833" s="31" t="str">
        <x:f>IF('Execution Checklist'!Q833="","",'Execution Checklist'!Q833)</x:f>
      </x:c>
      <x:c r="C833" s="31" t="str">
        <x:v>Place the green pen beside the red block.</x:v>
      </x:c>
      <x:c r="D833" s="31" t="str">
        <x:v>green pen near red block</x:v>
      </x:c>
      <x:c r="E833" s="31" t="str">
        <x:v>Binary task success; paired with the main transfer row.</x:v>
      </x:c>
      <x:c r="F833" s="31"/>
      <x:c r="G833" s="31"/>
      <x:c r="H833" s="31" t="str">
        <x:f>IF(OR(F833="",G833=""),"",IF(F833=G833,"Agree","Disagree"))</x:f>
      </x:c>
      <x:c r="I833" s="31"/>
      <x:c r="J833" s="31" t="str">
        <x:v>No</x:v>
      </x:c>
      <x:c r="K833" s="31" t="str"/>
      <x:c r="L833" s="31" t="str"/>
      <x:c r="M833" s="31" t="str"/>
      <x:c r="N833" s="31" t="str"/>
    </x:row>
    <x:row r="834" ht="42" customHeight="1">
      <x:c r="A834" s="35" t="n">
        <x:v>832</x:v>
      </x:c>
      <x:c r="B834" s="31" t="str">
        <x:f>IF('Execution Checklist'!Q834="","",'Execution Checklist'!Q834)</x:f>
      </x:c>
      <x:c r="C834" s="31" t="str">
        <x:v>Place the green pen near the red block.</x:v>
      </x:c>
      <x:c r="D834" s="31" t="str">
        <x:v>green pen near red block</x:v>
      </x:c>
      <x:c r="E834" s="31" t="str">
        <x:v>Binary task success; paired with the main transfer row.</x:v>
      </x:c>
      <x:c r="F834" s="31"/>
      <x:c r="G834" s="31"/>
      <x:c r="H834" s="31" t="str">
        <x:f>IF(OR(F834="",G834=""),"",IF(F834=G834,"Agree","Disagree"))</x:f>
      </x:c>
      <x:c r="I834" s="31"/>
      <x:c r="J834" s="31" t="str">
        <x:v>No</x:v>
      </x:c>
      <x:c r="K834" s="31" t="str"/>
      <x:c r="L834" s="31" t="str"/>
      <x:c r="M834" s="31" t="str"/>
      <x:c r="N834" s="31" t="str"/>
    </x:row>
    <x:row r="835" ht="42" customHeight="1">
      <x:c r="A835" s="35" t="n">
        <x:v>833</x:v>
      </x:c>
      <x:c r="B835" s="31" t="str">
        <x:f>IF('Execution Checklist'!Q835="","",'Execution Checklist'!Q835)</x:f>
      </x:c>
      <x:c r="C835" s="31" t="str">
        <x:v>Place the green pen behind the pink marker.</x:v>
      </x:c>
      <x:c r="D835" s="31" t="str">
        <x:v>green pen</x:v>
      </x:c>
      <x:c r="E835" s="31" t="str">
        <x:v>Binary task success using the task-specific rubric.</x:v>
      </x:c>
      <x:c r="F835" s="31"/>
      <x:c r="G835" s="31"/>
      <x:c r="H835" s="31" t="str">
        <x:f>IF(OR(F835="",G835=""),"",IF(F835=G835,"Agree","Disagree"))</x:f>
      </x:c>
      <x:c r="I835" s="31"/>
      <x:c r="J835" s="31" t="str">
        <x:v>No</x:v>
      </x:c>
      <x:c r="K835" s="31" t="str"/>
      <x:c r="L835" s="31" t="str"/>
      <x:c r="M835" s="31" t="str"/>
      <x:c r="N835" s="31" t="str"/>
    </x:row>
    <x:row r="836" ht="42" customHeight="1">
      <x:c r="A836" s="35" t="n">
        <x:v>834</x:v>
      </x:c>
      <x:c r="B836" s="31" t="str">
        <x:f>IF('Execution Checklist'!Q836="","",'Execution Checklist'!Q836)</x:f>
      </x:c>
      <x:c r="C836" s="31" t="str">
        <x:v>Place the blue block behind the green pen.</x:v>
      </x:c>
      <x:c r="D836" s="31" t="str">
        <x:v>blue block</x:v>
      </x:c>
      <x:c r="E836" s="31" t="str">
        <x:v>Binary task success using the task-specific rubric.</x:v>
      </x:c>
      <x:c r="F836" s="31"/>
      <x:c r="G836" s="31"/>
      <x:c r="H836" s="31" t="str">
        <x:f>IF(OR(F836="",G836=""),"",IF(F836=G836,"Agree","Disagree"))</x:f>
      </x:c>
      <x:c r="I836" s="31"/>
      <x:c r="J836" s="31" t="str">
        <x:v>No</x:v>
      </x:c>
      <x:c r="K836" s="31" t="str"/>
      <x:c r="L836" s="31" t="str"/>
      <x:c r="M836" s="31" t="str"/>
      <x:c r="N836" s="31" t="str"/>
    </x:row>
    <x:row r="837" ht="42" customHeight="1">
      <x:c r="A837" s="35" t="n">
        <x:v>835</x:v>
      </x:c>
      <x:c r="B837" s="31" t="str">
        <x:f>IF('Execution Checklist'!Q837="","",'Execution Checklist'!Q837)</x:f>
      </x:c>
      <x:c r="C837" s="31" t="str">
        <x:v>Place the red block next to the green pen.</x:v>
      </x:c>
      <x:c r="D837" s="31" t="str">
        <x:v>red block near green pen</x:v>
      </x:c>
      <x:c r="E837" s="31" t="str">
        <x:v>Binary task success; paired with the main transfer row.</x:v>
      </x:c>
      <x:c r="F837" s="31"/>
      <x:c r="G837" s="31"/>
      <x:c r="H837" s="31" t="str">
        <x:f>IF(OR(F837="",G837=""),"",IF(F837=G837,"Agree","Disagree"))</x:f>
      </x:c>
      <x:c r="I837" s="31"/>
      <x:c r="J837" s="31" t="str">
        <x:v>No</x:v>
      </x:c>
      <x:c r="K837" s="31" t="str"/>
      <x:c r="L837" s="31" t="str"/>
      <x:c r="M837" s="31" t="str"/>
      <x:c r="N837" s="31" t="str"/>
    </x:row>
    <x:row r="838" ht="42" customHeight="1">
      <x:c r="A838" s="35" t="n">
        <x:v>836</x:v>
      </x:c>
      <x:c r="B838" s="31" t="str">
        <x:f>IF('Execution Checklist'!Q838="","",'Execution Checklist'!Q838)</x:f>
      </x:c>
      <x:c r="C838" s="31" t="str">
        <x:v>Place the green pen behind the red block.</x:v>
      </x:c>
      <x:c r="D838" s="31" t="str">
        <x:v>green pen → behind red block</x:v>
      </x:c>
      <x:c r="E838" s="31" t="str">
        <x:v>Binary task success; paired with the main matched-control row.</x:v>
      </x:c>
      <x:c r="F838" s="31"/>
      <x:c r="G838" s="31"/>
      <x:c r="H838" s="31" t="str">
        <x:f>IF(OR(F838="",G838=""),"",IF(F838=G838,"Agree","Disagree"))</x:f>
      </x:c>
      <x:c r="I838" s="31"/>
      <x:c r="J838" s="31" t="str">
        <x:v>No</x:v>
      </x:c>
      <x:c r="K838" s="31" t="str"/>
      <x:c r="L838" s="31" t="str"/>
      <x:c r="M838" s="31" t="str"/>
      <x:c r="N838" s="31" t="str"/>
    </x:row>
    <x:row r="839" ht="42" customHeight="1">
      <x:c r="A839" s="35" t="n">
        <x:v>837</x:v>
      </x:c>
      <x:c r="B839" s="31" t="str">
        <x:f>IF('Execution Checklist'!Q839="","",'Execution Checklist'!Q839)</x:f>
      </x:c>
      <x:c r="C839" s="31" t="str">
        <x:v>Place the green pen behind the red block.</x:v>
      </x:c>
      <x:c r="D839" s="31" t="str">
        <x:v>green pen → behind red block</x:v>
      </x:c>
      <x:c r="E839" s="31" t="str">
        <x:v>Binary success for the counterfactual instruction and paired action-switch analysis versus the parent.</x:v>
      </x:c>
      <x:c r="F839" s="31"/>
      <x:c r="G839" s="31"/>
      <x:c r="H839" s="31" t="str">
        <x:f>IF(OR(F839="",G839=""),"",IF(F839=G839,"Agree","Disagree"))</x:f>
      </x:c>
      <x:c r="I839" s="31"/>
      <x:c r="J839" s="31" t="str">
        <x:v>No</x:v>
      </x:c>
      <x:c r="K839" s="31" t="str"/>
      <x:c r="L839" s="31" t="str"/>
      <x:c r="M839" s="31" t="str"/>
      <x:c r="N839" s="31" t="str"/>
    </x:row>
    <x:row r="840" ht="42" customHeight="1">
      <x:c r="A840" s="35" t="n">
        <x:v>838</x:v>
      </x:c>
      <x:c r="B840" s="31" t="str">
        <x:f>IF('Execution Checklist'!Q840="","",'Execution Checklist'!Q840)</x:f>
      </x:c>
      <x:c r="C840" s="31" t="str">
        <x:v>Place the red block near the green pen.</x:v>
      </x:c>
      <x:c r="D840" s="31" t="str">
        <x:v>red block near green pen</x:v>
      </x:c>
      <x:c r="E840" s="31" t="str">
        <x:v>Binary task success; paired with the main transfer row.</x:v>
      </x:c>
      <x:c r="F840" s="31"/>
      <x:c r="G840" s="31"/>
      <x:c r="H840" s="31" t="str">
        <x:f>IF(OR(F840="",G840=""),"",IF(F840=G840,"Agree","Disagree"))</x:f>
      </x:c>
      <x:c r="I840" s="31"/>
      <x:c r="J840" s="31" t="str">
        <x:v>No</x:v>
      </x:c>
      <x:c r="K840" s="31" t="str"/>
      <x:c r="L840" s="31" t="str"/>
      <x:c r="M840" s="31" t="str"/>
      <x:c r="N840" s="31" t="str"/>
    </x:row>
    <x:row r="841" ht="42" customHeight="1">
      <x:c r="A841" s="35" t="n">
        <x:v>839</x:v>
      </x:c>
      <x:c r="B841" s="31" t="str">
        <x:f>IF('Execution Checklist'!Q841="","",'Execution Checklist'!Q841)</x:f>
      </x:c>
      <x:c r="C841" s="31" t="str">
        <x:v>Place the green pen to the left of the pink marker.</x:v>
      </x:c>
      <x:c r="D841" s="31" t="str">
        <x:v>green pen</x:v>
      </x:c>
      <x:c r="E841" s="31" t="str">
        <x:v>Binary task success using the task-specific rubric.</x:v>
      </x:c>
      <x:c r="F841" s="31"/>
      <x:c r="G841" s="31"/>
      <x:c r="H841" s="31" t="str">
        <x:f>IF(OR(F841="",G841=""),"",IF(F841=G841,"Agree","Disagree"))</x:f>
      </x:c>
      <x:c r="I841" s="31"/>
      <x:c r="J841" s="31" t="str">
        <x:v>No</x:v>
      </x:c>
      <x:c r="K841" s="31" t="str"/>
      <x:c r="L841" s="31" t="str"/>
      <x:c r="M841" s="31" t="str"/>
      <x:c r="N841" s="31" t="str"/>
    </x:row>
    <x:row r="842" ht="42" customHeight="1">
      <x:c r="A842" s="35" t="n">
        <x:v>840</x:v>
      </x:c>
      <x:c r="B842" s="31" t="str">
        <x:f>IF('Execution Checklist'!Q842="","",'Execution Checklist'!Q842)</x:f>
      </x:c>
      <x:c r="C842" s="31" t="str">
        <x:v>Place the green pen in front of the red block.</x:v>
      </x:c>
      <x:c r="D842" s="31" t="str">
        <x:v>green pen → in front of red block</x:v>
      </x:c>
      <x:c r="E842" s="31" t="str">
        <x:v>Binary success for the counterfactual instruction and paired action-switch analysis versus the parent.</x:v>
      </x:c>
      <x:c r="F842" s="31"/>
      <x:c r="G842" s="31"/>
      <x:c r="H842" s="31" t="str">
        <x:f>IF(OR(F842="",G842=""),"",IF(F842=G842,"Agree","Disagree"))</x:f>
      </x:c>
      <x:c r="I842" s="31"/>
      <x:c r="J842" s="31" t="str">
        <x:v>No</x:v>
      </x:c>
      <x:c r="K842" s="31" t="str"/>
      <x:c r="L842" s="31" t="str"/>
      <x:c r="M842" s="31" t="str"/>
      <x:c r="N842" s="31" t="str"/>
    </x:row>
    <x:row r="843" ht="42" customHeight="1">
      <x:c r="A843" s="35" t="n">
        <x:v>841</x:v>
      </x:c>
      <x:c r="B843" s="31" t="str">
        <x:f>IF('Execution Checklist'!Q843="","",'Execution Checklist'!Q843)</x:f>
      </x:c>
      <x:c r="C843" s="31" t="str">
        <x:v>Move the green pen to the front of the pink marker.</x:v>
      </x:c>
      <x:c r="D843" s="31" t="str">
        <x:v>green pen</x:v>
      </x:c>
      <x:c r="E843" s="31" t="str">
        <x:v>Binary task success using the task-specific rubric.</x:v>
      </x:c>
      <x:c r="F843" s="31"/>
      <x:c r="G843" s="31"/>
      <x:c r="H843" s="31" t="str">
        <x:f>IF(OR(F843="",G843=""),"",IF(F843=G843,"Agree","Disagree"))</x:f>
      </x:c>
      <x:c r="I843" s="31"/>
      <x:c r="J843" s="31" t="str">
        <x:v>No</x:v>
      </x:c>
      <x:c r="K843" s="31" t="str"/>
      <x:c r="L843" s="31" t="str"/>
      <x:c r="M843" s="31" t="str"/>
      <x:c r="N843" s="31" t="str"/>
    </x:row>
    <x:row r="844" ht="42" customHeight="1">
      <x:c r="A844" s="35" t="n">
        <x:v>842</x:v>
      </x:c>
      <x:c r="B844" s="31" t="str">
        <x:f>IF('Execution Checklist'!Q844="","",'Execution Checklist'!Q844)</x:f>
      </x:c>
      <x:c r="C844" s="31" t="str">
        <x:v>Place the red block beside the green pen.</x:v>
      </x:c>
      <x:c r="D844" s="31" t="str">
        <x:v>red block near green pen</x:v>
      </x:c>
      <x:c r="E844" s="31" t="str">
        <x:v>Binary task success; paired with the main transfer row.</x:v>
      </x:c>
      <x:c r="F844" s="31"/>
      <x:c r="G844" s="31"/>
      <x:c r="H844" s="31" t="str">
        <x:f>IF(OR(F844="",G844=""),"",IF(F844=G844,"Agree","Disagree"))</x:f>
      </x:c>
      <x:c r="I844" s="31"/>
      <x:c r="J844" s="31" t="str">
        <x:v>No</x:v>
      </x:c>
      <x:c r="K844" s="31" t="str"/>
      <x:c r="L844" s="31" t="str"/>
      <x:c r="M844" s="31" t="str"/>
      <x:c r="N844" s="31" t="str"/>
    </x:row>
    <x:row r="845" ht="42" customHeight="1">
      <x:c r="A845" s="35" t="n">
        <x:v>843</x:v>
      </x:c>
      <x:c r="B845" s="31" t="str">
        <x:f>IF('Execution Checklist'!Q845="","",'Execution Checklist'!Q845)</x:f>
      </x:c>
      <x:c r="C845" s="31" t="str">
        <x:v>Place the green pen behind the pink marker.</x:v>
      </x:c>
      <x:c r="D845" s="31" t="str">
        <x:v>green pen</x:v>
      </x:c>
      <x:c r="E845" s="31" t="str">
        <x:v>Binary task success using the task-specific rubric.</x:v>
      </x:c>
      <x:c r="F845" s="31"/>
      <x:c r="G845" s="31"/>
      <x:c r="H845" s="31" t="str">
        <x:f>IF(OR(F845="",G845=""),"",IF(F845=G845,"Agree","Disagree"))</x:f>
      </x:c>
      <x:c r="I845" s="31"/>
      <x:c r="J845" s="31" t="str">
        <x:v>No</x:v>
      </x:c>
      <x:c r="K845" s="31" t="str"/>
      <x:c r="L845" s="31" t="str"/>
      <x:c r="M845" s="31" t="str"/>
      <x:c r="N845" s="31" t="str"/>
    </x:row>
    <x:row r="846" ht="42" customHeight="1">
      <x:c r="A846" s="35" t="n">
        <x:v>844</x:v>
      </x:c>
      <x:c r="B846" s="31" t="str">
        <x:f>IF('Execution Checklist'!Q846="","",'Execution Checklist'!Q846)</x:f>
      </x:c>
      <x:c r="C846" s="31" t="str">
        <x:v>Place the red block in front of the green pen.</x:v>
      </x:c>
      <x:c r="D846" s="31" t="str">
        <x:v>red block → in front of green pen</x:v>
      </x:c>
      <x:c r="E846" s="31" t="str">
        <x:v>Binary task success; paired with the main matched-control row.</x:v>
      </x:c>
      <x:c r="F846" s="31"/>
      <x:c r="G846" s="31"/>
      <x:c r="H846" s="31" t="str">
        <x:f>IF(OR(F846="",G846=""),"",IF(F846=G846,"Agree","Disagree"))</x:f>
      </x:c>
      <x:c r="I846" s="31"/>
      <x:c r="J846" s="31" t="str">
        <x:v>No</x:v>
      </x:c>
      <x:c r="K846" s="31" t="str"/>
      <x:c r="L846" s="31" t="str"/>
      <x:c r="M846" s="31" t="str"/>
      <x:c r="N846" s="31" t="str"/>
    </x:row>
    <x:row r="847" ht="42" customHeight="1">
      <x:c r="A847" s="35" t="n">
        <x:v>845</x:v>
      </x:c>
      <x:c r="B847" s="31" t="str">
        <x:f>IF('Execution Checklist'!Q847="","",'Execution Checklist'!Q847)</x:f>
      </x:c>
      <x:c r="C847" s="31" t="str">
        <x:v>Place the green pen behind the red block.</x:v>
      </x:c>
      <x:c r="D847" s="31" t="str">
        <x:v>No prespecified task success under blank language; record any action/selected target.</x:v>
      </x:c>
      <x:c r="E847" s="31" t="str">
        <x:v>Do not score ordinary task success. Record action occurrence and agreement with the parent correct-prompt rollout.</x:v>
      </x:c>
      <x:c r="F847" s="31"/>
      <x:c r="G847" s="31"/>
      <x:c r="H847" s="31" t="str">
        <x:f>IF(OR(F847="",G847=""),"",IF(F847=G847,"Agree","Disagree"))</x:f>
      </x:c>
      <x:c r="I847" s="31"/>
      <x:c r="J847" s="31" t="str">
        <x:v>No</x:v>
      </x:c>
      <x:c r="K847" s="31" t="str"/>
      <x:c r="L847" s="31" t="str"/>
      <x:c r="M847" s="31" t="str"/>
      <x:c r="N847" s="31" t="str"/>
    </x:row>
    <x:row r="848" ht="42" customHeight="1">
      <x:c r="A848" s="35" t="n">
        <x:v>846</x:v>
      </x:c>
      <x:c r="B848" s="31" t="str">
        <x:f>IF('Execution Checklist'!Q848="","",'Execution Checklist'!Q848)</x:f>
      </x:c>
      <x:c r="C848" s="31" t="str">
        <x:v>Place the green pen to the right of the red block.</x:v>
      </x:c>
      <x:c r="D848" s="31" t="str">
        <x:v>green pen → to the right of red block</x:v>
      </x:c>
      <x:c r="E848" s="31" t="str">
        <x:v>Binary task success; paired with the main matched-control row.</x:v>
      </x:c>
      <x:c r="F848" s="31"/>
      <x:c r="G848" s="31"/>
      <x:c r="H848" s="31" t="str">
        <x:f>IF(OR(F848="",G848=""),"",IF(F848=G848,"Agree","Disagree"))</x:f>
      </x:c>
      <x:c r="I848" s="31"/>
      <x:c r="J848" s="31" t="str">
        <x:v>No</x:v>
      </x:c>
      <x:c r="K848" s="31" t="str"/>
      <x:c r="L848" s="31" t="str"/>
      <x:c r="M848" s="31" t="str"/>
      <x:c r="N848" s="31" t="str"/>
    </x:row>
    <x:row r="849" ht="42" customHeight="1">
      <x:c r="A849" s="35" t="n">
        <x:v>847</x:v>
      </x:c>
      <x:c r="B849" s="31" t="str">
        <x:f>IF('Execution Checklist'!Q849="","",'Execution Checklist'!Q849)</x:f>
      </x:c>
      <x:c r="C849" s="31" t="str">
        <x:v>Place the green pen to the right of the red block.</x:v>
      </x:c>
      <x:c r="D849" s="31" t="str">
        <x:v>green pen → to the right of red block</x:v>
      </x:c>
      <x:c r="E849" s="31" t="str">
        <x:v>Binary success for the counterfactual instruction and paired action-switch analysis versus the parent.</x:v>
      </x:c>
      <x:c r="F849" s="31"/>
      <x:c r="G849" s="31"/>
      <x:c r="H849" s="31" t="str">
        <x:f>IF(OR(F849="",G849=""),"",IF(F849=G849,"Agree","Disagree"))</x:f>
      </x:c>
      <x:c r="I849" s="31"/>
      <x:c r="J849" s="31" t="str">
        <x:v>No</x:v>
      </x:c>
      <x:c r="K849" s="31" t="str"/>
      <x:c r="L849" s="31" t="str"/>
      <x:c r="M849" s="31" t="str"/>
      <x:c r="N849" s="31" t="str"/>
    </x:row>
    <x:row r="850" ht="42" customHeight="1">
      <x:c r="A850" s="35" t="n">
        <x:v>848</x:v>
      </x:c>
      <x:c r="B850" s="31" t="str">
        <x:f>IF('Execution Checklist'!Q850="","",'Execution Checklist'!Q850)</x:f>
      </x:c>
      <x:c r="C850" s="31" t="str">
        <x:v>Place the red block to the right of the blue block.</x:v>
      </x:c>
      <x:c r="D850" s="31" t="str">
        <x:v>red block</x:v>
      </x:c>
      <x:c r="E850" s="31" t="str">
        <x:v>Binary task success using the task-specific rubric.</x:v>
      </x:c>
      <x:c r="F850" s="31"/>
      <x:c r="G850" s="31"/>
      <x:c r="H850" s="31" t="str">
        <x:f>IF(OR(F850="",G850=""),"",IF(F850=G850,"Agree","Disagree"))</x:f>
      </x:c>
      <x:c r="I850" s="31"/>
      <x:c r="J850" s="31" t="str">
        <x:v>No</x:v>
      </x:c>
      <x:c r="K850" s="31" t="str"/>
      <x:c r="L850" s="31" t="str"/>
      <x:c r="M850" s="31" t="str"/>
      <x:c r="N850" s="31" t="str"/>
    </x:row>
    <x:row r="851" ht="42" customHeight="1">
      <x:c r="A851" s="35" t="n">
        <x:v>849</x:v>
      </x:c>
      <x:c r="B851" s="31" t="str">
        <x:f>IF('Execution Checklist'!Q851="","",'Execution Checklist'!Q851)</x:f>
      </x:c>
      <x:c r="C851" s="31" t="str">
        <x:v>Place the green pen to the right of the pink marker.</x:v>
      </x:c>
      <x:c r="D851" s="31" t="str">
        <x:v>green pen</x:v>
      </x:c>
      <x:c r="E851" s="31" t="str">
        <x:v>Binary task success using the task-specific rubric.</x:v>
      </x:c>
      <x:c r="F851" s="31"/>
      <x:c r="G851" s="31"/>
      <x:c r="H851" s="31" t="str">
        <x:f>IF(OR(F851="",G851=""),"",IF(F851=G851,"Agree","Disagree"))</x:f>
      </x:c>
      <x:c r="I851" s="31"/>
      <x:c r="J851" s="31" t="str">
        <x:v>No</x:v>
      </x:c>
      <x:c r="K851" s="31" t="str"/>
      <x:c r="L851" s="31" t="str"/>
      <x:c r="M851" s="31" t="str"/>
      <x:c r="N851" s="31" t="str"/>
    </x:row>
    <x:row r="852" ht="42" customHeight="1">
      <x:c r="A852" s="35" t="n">
        <x:v>850</x:v>
      </x:c>
      <x:c r="B852" s="31" t="str">
        <x:f>IF('Execution Checklist'!Q852="","",'Execution Checklist'!Q852)</x:f>
      </x:c>
      <x:c r="C852" s="31" t="str">
        <x:v>Place the green pen to the left of the red block.</x:v>
      </x:c>
      <x:c r="D852" s="31" t="str">
        <x:v>green pen → to the left of red block</x:v>
      </x:c>
      <x:c r="E852" s="31" t="str">
        <x:v>Binary task success; paired with the main matched-control row.</x:v>
      </x:c>
      <x:c r="F852" s="31"/>
      <x:c r="G852" s="31"/>
      <x:c r="H852" s="31" t="str">
        <x:f>IF(OR(F852="",G852=""),"",IF(F852=G852,"Agree","Disagree"))</x:f>
      </x:c>
      <x:c r="I852" s="31"/>
      <x:c r="J852" s="31" t="str">
        <x:v>No</x:v>
      </x:c>
      <x:c r="K852" s="31" t="str"/>
      <x:c r="L852" s="31" t="str"/>
      <x:c r="M852" s="31" t="str"/>
      <x:c r="N852" s="31" t="str"/>
    </x:row>
    <x:row r="853" ht="42" customHeight="1">
      <x:c r="A853" s="35" t="n">
        <x:v>851</x:v>
      </x:c>
      <x:c r="B853" s="31" t="str">
        <x:f>IF('Execution Checklist'!Q853="","",'Execution Checklist'!Q853)</x:f>
      </x:c>
      <x:c r="C853" s="31" t="str">
        <x:v>Place the red block near the green pen.</x:v>
      </x:c>
      <x:c r="D853" s="31" t="str">
        <x:v>red block near green pen</x:v>
      </x:c>
      <x:c r="E853" s="31" t="str">
        <x:v>Binary task success; paired with the main transfer row.</x:v>
      </x:c>
      <x:c r="F853" s="31"/>
      <x:c r="G853" s="31"/>
      <x:c r="H853" s="31" t="str">
        <x:f>IF(OR(F853="",G853=""),"",IF(F853=G853,"Agree","Disagree"))</x:f>
      </x:c>
      <x:c r="I853" s="31"/>
      <x:c r="J853" s="31" t="str">
        <x:v>No</x:v>
      </x:c>
      <x:c r="K853" s="31" t="str"/>
      <x:c r="L853" s="31" t="str"/>
      <x:c r="M853" s="31" t="str"/>
      <x:c r="N853" s="31" t="str"/>
    </x:row>
    <x:row r="854" ht="42" customHeight="1">
      <x:c r="A854" s="35" t="n">
        <x:v>852</x:v>
      </x:c>
      <x:c r="B854" s="31" t="str">
        <x:f>IF('Execution Checklist'!Q854="","",'Execution Checklist'!Q854)</x:f>
      </x:c>
      <x:c r="C854" s="31" t="str">
        <x:v>Move the red block to the side of the pink marker facing the robot.</x:v>
      </x:c>
      <x:c r="D854" s="31" t="str">
        <x:v>red block</x:v>
      </x:c>
      <x:c r="E854" s="31" t="str">
        <x:v>Binary task success; compare with the seen-language row sharing Pair ID.</x:v>
      </x:c>
      <x:c r="F854" s="31"/>
      <x:c r="G854" s="31"/>
      <x:c r="H854" s="31" t="str">
        <x:f>IF(OR(F854="",G854=""),"",IF(F854=G854,"Agree","Disagree"))</x:f>
      </x:c>
      <x:c r="I854" s="31"/>
      <x:c r="J854" s="31" t="str">
        <x:v>No</x:v>
      </x:c>
      <x:c r="K854" s="31" t="str"/>
      <x:c r="L854" s="31" t="str"/>
      <x:c r="M854" s="31" t="str"/>
      <x:c r="N854" s="31" t="str"/>
    </x:row>
    <x:row r="855" ht="42" customHeight="1">
      <x:c r="A855" s="35" t="n">
        <x:v>853</x:v>
      </x:c>
      <x:c r="B855" s="31" t="str">
        <x:f>IF('Execution Checklist'!Q855="","",'Execution Checklist'!Q855)</x:f>
      </x:c>
      <x:c r="C855" s="31" t="str">
        <x:v>Place the green pen in front of the red block.</x:v>
      </x:c>
      <x:c r="D855" s="31" t="str">
        <x:v>green pen → in front of red block</x:v>
      </x:c>
      <x:c r="E855" s="31" t="str">
        <x:v>Binary task success; paired with the main matched-control row.</x:v>
      </x:c>
      <x:c r="F855" s="31"/>
      <x:c r="G855" s="31"/>
      <x:c r="H855" s="31" t="str">
        <x:f>IF(OR(F855="",G855=""),"",IF(F855=G855,"Agree","Disagree"))</x:f>
      </x:c>
      <x:c r="I855" s="31"/>
      <x:c r="J855" s="31" t="str">
        <x:v>No</x:v>
      </x:c>
      <x:c r="K855" s="31" t="str"/>
      <x:c r="L855" s="31" t="str"/>
      <x:c r="M855" s="31" t="str"/>
      <x:c r="N855" s="31" t="str"/>
    </x:row>
    <x:row r="856" ht="42" customHeight="1">
      <x:c r="A856" s="35" t="n">
        <x:v>854</x:v>
      </x:c>
      <x:c r="B856" s="31" t="str">
        <x:f>IF('Execution Checklist'!Q856="","",'Execution Checklist'!Q856)</x:f>
      </x:c>
      <x:c r="C856" s="31" t="str">
        <x:v>Place the green pen behind the red block.</x:v>
      </x:c>
      <x:c r="D856" s="31" t="str">
        <x:v>green pen → behind red block</x:v>
      </x:c>
      <x:c r="E856" s="31" t="str">
        <x:v>Binary task success; paired with the main matched-control row.</x:v>
      </x:c>
      <x:c r="F856" s="31"/>
      <x:c r="G856" s="31"/>
      <x:c r="H856" s="31" t="str">
        <x:f>IF(OR(F856="",G856=""),"",IF(F856=G856,"Agree","Disagree"))</x:f>
      </x:c>
      <x:c r="I856" s="31"/>
      <x:c r="J856" s="31" t="str">
        <x:v>No</x:v>
      </x:c>
      <x:c r="K856" s="31" t="str"/>
      <x:c r="L856" s="31" t="str"/>
      <x:c r="M856" s="31" t="str"/>
      <x:c r="N856" s="31" t="str"/>
    </x:row>
    <x:row r="857" ht="42" customHeight="1">
      <x:c r="A857" s="35" t="n">
        <x:v>855</x:v>
      </x:c>
      <x:c r="B857" s="31" t="str">
        <x:f>IF('Execution Checklist'!Q857="","",'Execution Checklist'!Q857)</x:f>
      </x:c>
      <x:c r="C857" s="31" t="str">
        <x:v>Move the red block to the side of the pink marker facing the robot.</x:v>
      </x:c>
      <x:c r="D857" s="31" t="str">
        <x:v>red block</x:v>
      </x:c>
      <x:c r="E857" s="31" t="str">
        <x:v>Binary task success; compare with the seen-language row sharing Pair ID.</x:v>
      </x:c>
      <x:c r="F857" s="31"/>
      <x:c r="G857" s="31"/>
      <x:c r="H857" s="31" t="str">
        <x:f>IF(OR(F857="",G857=""),"",IF(F857=G857,"Agree","Disagree"))</x:f>
      </x:c>
      <x:c r="I857" s="31"/>
      <x:c r="J857" s="31" t="str">
        <x:v>No</x:v>
      </x:c>
      <x:c r="K857" s="31" t="str"/>
      <x:c r="L857" s="31" t="str"/>
      <x:c r="M857" s="31" t="str"/>
      <x:c r="N857" s="31" t="str"/>
    </x:row>
    <x:row r="858" ht="42" customHeight="1">
      <x:c r="A858" s="35" t="n">
        <x:v>856</x:v>
      </x:c>
      <x:c r="B858" s="31" t="str">
        <x:f>IF('Execution Checklist'!Q858="","",'Execution Checklist'!Q858)</x:f>
      </x:c>
      <x:c r="C858" s="31" t="str">
        <x:v>Put the green pen on the table in front of the pink marker.</x:v>
      </x:c>
      <x:c r="D858" s="31" t="str">
        <x:v>green pen</x:v>
      </x:c>
      <x:c r="E858" s="31" t="str">
        <x:v>Binary task success using the task-specific rubric.</x:v>
      </x:c>
      <x:c r="F858" s="31"/>
      <x:c r="G858" s="31"/>
      <x:c r="H858" s="31" t="str">
        <x:f>IF(OR(F858="",G858=""),"",IF(F858=G858,"Agree","Disagree"))</x:f>
      </x:c>
      <x:c r="I858" s="31"/>
      <x:c r="J858" s="31" t="str">
        <x:v>No</x:v>
      </x:c>
      <x:c r="K858" s="31" t="str"/>
      <x:c r="L858" s="31" t="str"/>
      <x:c r="M858" s="31" t="str"/>
      <x:c r="N858" s="31" t="str"/>
    </x:row>
    <x:row r="859" ht="42" customHeight="1">
      <x:c r="A859" s="35" t="n">
        <x:v>857</x:v>
      </x:c>
      <x:c r="B859" s="31" t="str">
        <x:f>IF('Execution Checklist'!Q859="","",'Execution Checklist'!Q859)</x:f>
      </x:c>
      <x:c r="C859" s="31" t="str">
        <x:v>Place the green pen to the right of the red block.</x:v>
      </x:c>
      <x:c r="D859" s="31" t="str">
        <x:v>green pen → to the right of red block</x:v>
      </x:c>
      <x:c r="E859" s="31" t="str">
        <x:v>Binary task success; paired with the main matched-control row.</x:v>
      </x:c>
      <x:c r="F859" s="31"/>
      <x:c r="G859" s="31"/>
      <x:c r="H859" s="31" t="str">
        <x:f>IF(OR(F859="",G859=""),"",IF(F859=G859,"Agree","Disagree"))</x:f>
      </x:c>
      <x:c r="I859" s="31"/>
      <x:c r="J859" s="31" t="str">
        <x:v>No</x:v>
      </x:c>
      <x:c r="K859" s="31" t="str"/>
      <x:c r="L859" s="31" t="str"/>
      <x:c r="M859" s="31" t="str"/>
      <x:c r="N859" s="31" t="str"/>
    </x:row>
    <x:row r="860" ht="42" customHeight="1">
      <x:c r="A860" s="35" t="n">
        <x:v>858</x:v>
      </x:c>
      <x:c r="B860" s="31" t="str">
        <x:f>IF('Execution Checklist'!Q860="","",'Execution Checklist'!Q860)</x:f>
      </x:c>
      <x:c r="C860" s="31" t="str">
        <x:v>Move the red block to the side of the pink marker facing the robot.</x:v>
      </x:c>
      <x:c r="D860" s="31" t="str">
        <x:v>red block</x:v>
      </x:c>
      <x:c r="E860" s="31" t="str">
        <x:v>Binary task success; compare with the seen-language row sharing Pair ID.</x:v>
      </x:c>
      <x:c r="F860" s="31"/>
      <x:c r="G860" s="31"/>
      <x:c r="H860" s="31" t="str">
        <x:f>IF(OR(F860="",G860=""),"",IF(F860=G860,"Agree","Disagree"))</x:f>
      </x:c>
      <x:c r="I860" s="31"/>
      <x:c r="J860" s="31" t="str">
        <x:v>No</x:v>
      </x:c>
      <x:c r="K860" s="31" t="str"/>
      <x:c r="L860" s="31" t="str"/>
      <x:c r="M860" s="31" t="str"/>
      <x:c r="N860" s="31" t="str"/>
    </x:row>
    <x:row r="861" ht="42" customHeight="1">
      <x:c r="A861" s="35" t="n">
        <x:v>859</x:v>
      </x:c>
      <x:c r="B861" s="31" t="str">
        <x:f>IF('Execution Checklist'!Q861="","",'Execution Checklist'!Q861)</x:f>
      </x:c>
      <x:c r="C861" s="31" t="str">
        <x:v>Place the green pen near the red block.</x:v>
      </x:c>
      <x:c r="D861" s="31" t="str">
        <x:v>green pen near red block</x:v>
      </x:c>
      <x:c r="E861" s="31" t="str">
        <x:v>Binary task success; paired with the main transfer row.</x:v>
      </x:c>
      <x:c r="F861" s="31"/>
      <x:c r="G861" s="31"/>
      <x:c r="H861" s="31" t="str">
        <x:f>IF(OR(F861="",G861=""),"",IF(F861=G861,"Agree","Disagree"))</x:f>
      </x:c>
      <x:c r="I861" s="31"/>
      <x:c r="J861" s="31" t="str">
        <x:v>No</x:v>
      </x:c>
      <x:c r="K861" s="31" t="str"/>
      <x:c r="L861" s="31" t="str"/>
      <x:c r="M861" s="31" t="str"/>
      <x:c r="N861" s="31" t="str"/>
    </x:row>
    <x:row r="862" ht="42" customHeight="1">
      <x:c r="A862" s="35" t="n">
        <x:v>860</x:v>
      </x:c>
      <x:c r="B862" s="31" t="str">
        <x:f>IF('Execution Checklist'!Q862="","",'Execution Checklist'!Q862)</x:f>
      </x:c>
      <x:c r="C862" s="31" t="str">
        <x:v>Place the green pen to the right of the red block.</x:v>
      </x:c>
      <x:c r="D862" s="31" t="str">
        <x:v>No prespecified task success under blank language; record any action/selected target.</x:v>
      </x:c>
      <x:c r="E862" s="31" t="str">
        <x:v>Do not score ordinary task success. Record action occurrence and agreement with the parent correct-prompt rollout.</x:v>
      </x:c>
      <x:c r="F862" s="31"/>
      <x:c r="G862" s="31"/>
      <x:c r="H862" s="31" t="str">
        <x:f>IF(OR(F862="",G862=""),"",IF(F862=G862,"Agree","Disagree"))</x:f>
      </x:c>
      <x:c r="I862" s="31"/>
      <x:c r="J862" s="31" t="str">
        <x:v>No</x:v>
      </x:c>
      <x:c r="K862" s="31" t="str"/>
      <x:c r="L862" s="31" t="str"/>
      <x:c r="M862" s="31" t="str"/>
      <x:c r="N862" s="31" t="str"/>
    </x:row>
    <x:row r="863" ht="42" customHeight="1">
      <x:c r="A863" s="35" t="n">
        <x:v>861</x:v>
      </x:c>
      <x:c r="B863" s="31" t="str">
        <x:f>IF('Execution Checklist'!Q863="","",'Execution Checklist'!Q863)</x:f>
      </x:c>
      <x:c r="C863" s="31" t="str">
        <x:v>Place the green pen to the left of the red block.</x:v>
      </x:c>
      <x:c r="D863" s="31" t="str">
        <x:v>green pen → to the left of red block</x:v>
      </x:c>
      <x:c r="E863" s="31" t="str">
        <x:v>Binary task success; paired with the main matched-control row.</x:v>
      </x:c>
      <x:c r="F863" s="31"/>
      <x:c r="G863" s="31"/>
      <x:c r="H863" s="31" t="str">
        <x:f>IF(OR(F863="",G863=""),"",IF(F863=G863,"Agree","Disagree"))</x:f>
      </x:c>
      <x:c r="I863" s="31"/>
      <x:c r="J863" s="31" t="str">
        <x:v>No</x:v>
      </x:c>
      <x:c r="K863" s="31" t="str"/>
      <x:c r="L863" s="31" t="str"/>
      <x:c r="M863" s="31" t="str"/>
      <x:c r="N863" s="31" t="str"/>
    </x:row>
    <x:row r="864" ht="42" customHeight="1">
      <x:c r="A864" s="35" t="n">
        <x:v>862</x:v>
      </x:c>
      <x:c r="B864" s="31" t="str">
        <x:f>IF('Execution Checklist'!Q864="","",'Execution Checklist'!Q864)</x:f>
      </x:c>
      <x:c r="C864" s="31" t="str">
        <x:v>Place the pink marker in front of the blue block.</x:v>
      </x:c>
      <x:c r="D864" s="31" t="str">
        <x:v>pink marker</x:v>
      </x:c>
      <x:c r="E864" s="31" t="str">
        <x:v>Binary task success using the task-specific rubric.</x:v>
      </x:c>
      <x:c r="F864" s="31"/>
      <x:c r="G864" s="31"/>
      <x:c r="H864" s="31" t="str">
        <x:f>IF(OR(F864="",G864=""),"",IF(F864=G864,"Agree","Disagree"))</x:f>
      </x:c>
      <x:c r="I864" s="31"/>
      <x:c r="J864" s="31" t="str">
        <x:v>No</x:v>
      </x:c>
      <x:c r="K864" s="31" t="str"/>
      <x:c r="L864" s="31" t="str"/>
      <x:c r="M864" s="31" t="str"/>
      <x:c r="N864" s="31" t="str"/>
    </x:row>
    <x:row r="865" ht="42" customHeight="1">
      <x:c r="A865" s="35" t="n">
        <x:v>863</x:v>
      </x:c>
      <x:c r="B865" s="31" t="str">
        <x:f>IF('Execution Checklist'!Q865="","",'Execution Checklist'!Q865)</x:f>
      </x:c>
      <x:c r="C865" s="31" t="str">
        <x:v>Place the red block behind the green pen.</x:v>
      </x:c>
      <x:c r="D865" s="31" t="str">
        <x:v>red block → behind green pen</x:v>
      </x:c>
      <x:c r="E865" s="31" t="str">
        <x:v>Binary task success; paired with the main matched-control row.</x:v>
      </x:c>
      <x:c r="F865" s="31"/>
      <x:c r="G865" s="31"/>
      <x:c r="H865" s="31" t="str">
        <x:f>IF(OR(F865="",G865=""),"",IF(F865=G865,"Agree","Disagree"))</x:f>
      </x:c>
      <x:c r="I865" s="31"/>
      <x:c r="J865" s="31" t="str">
        <x:v>No</x:v>
      </x:c>
      <x:c r="K865" s="31" t="str"/>
      <x:c r="L865" s="31" t="str"/>
      <x:c r="M865" s="31" t="str"/>
      <x:c r="N865" s="31" t="str"/>
    </x:row>
    <x:row r="866" ht="42" customHeight="1">
      <x:c r="A866" s="35" t="n">
        <x:v>864</x:v>
      </x:c>
      <x:c r="B866" s="31" t="str">
        <x:f>IF('Execution Checklist'!Q866="","",'Execution Checklist'!Q866)</x:f>
      </x:c>
      <x:c r="C866" s="31" t="str">
        <x:v>Place the red block beside the green pen.</x:v>
      </x:c>
      <x:c r="D866" s="31" t="str">
        <x:v>red block near green pen</x:v>
      </x:c>
      <x:c r="E866" s="31" t="str">
        <x:v>Binary task success; paired with the main transfer row.</x:v>
      </x:c>
      <x:c r="F866" s="31"/>
      <x:c r="G866" s="31"/>
      <x:c r="H866" s="31" t="str">
        <x:f>IF(OR(F866="",G866=""),"",IF(F866=G866,"Agree","Disagree"))</x:f>
      </x:c>
      <x:c r="I866" s="31"/>
      <x:c r="J866" s="31" t="str">
        <x:v>No</x:v>
      </x:c>
      <x:c r="K866" s="31" t="str"/>
      <x:c r="L866" s="31" t="str"/>
      <x:c r="M866" s="31" t="str"/>
      <x:c r="N866" s="31" t="str"/>
    </x:row>
    <x:row r="867" ht="42" customHeight="1">
      <x:c r="A867" s="35" t="n">
        <x:v>865</x:v>
      </x:c>
      <x:c r="B867" s="31" t="str">
        <x:f>IF('Execution Checklist'!Q867="","",'Execution Checklist'!Q867)</x:f>
      </x:c>
      <x:c r="C867" s="31" t="str">
        <x:v>Place the green pen beside the red block.</x:v>
      </x:c>
      <x:c r="D867" s="31" t="str">
        <x:v>green pen near red block</x:v>
      </x:c>
      <x:c r="E867" s="31" t="str">
        <x:v>Binary task success; paired with the main transfer row.</x:v>
      </x:c>
      <x:c r="F867" s="31"/>
      <x:c r="G867" s="31"/>
      <x:c r="H867" s="31" t="str">
        <x:f>IF(OR(F867="",G867=""),"",IF(F867=G867,"Agree","Disagree"))</x:f>
      </x:c>
      <x:c r="I867" s="31"/>
      <x:c r="J867" s="31" t="str">
        <x:v>No</x:v>
      </x:c>
      <x:c r="K867" s="31" t="str"/>
      <x:c r="L867" s="31" t="str"/>
      <x:c r="M867" s="31" t="str"/>
      <x:c r="N867" s="31" t="str"/>
    </x:row>
    <x:row r="868" ht="42" customHeight="1">
      <x:c r="A868" s="35" t="n">
        <x:v>866</x:v>
      </x:c>
      <x:c r="B868" s="31" t="str">
        <x:f>IF('Execution Checklist'!Q868="","",'Execution Checklist'!Q868)</x:f>
      </x:c>
      <x:c r="C868" s="31" t="str">
        <x:v>Move the red block to the side of the pink marker facing the robot.</x:v>
      </x:c>
      <x:c r="D868" s="31" t="str">
        <x:v>red block</x:v>
      </x:c>
      <x:c r="E868" s="31" t="str">
        <x:v>Binary task success; compare with the seen-language row sharing Pair ID.</x:v>
      </x:c>
      <x:c r="F868" s="31"/>
      <x:c r="G868" s="31"/>
      <x:c r="H868" s="31" t="str">
        <x:f>IF(OR(F868="",G868=""),"",IF(F868=G868,"Agree","Disagree"))</x:f>
      </x:c>
      <x:c r="I868" s="31"/>
      <x:c r="J868" s="31" t="str">
        <x:v>No</x:v>
      </x:c>
      <x:c r="K868" s="31" t="str"/>
      <x:c r="L868" s="31" t="str"/>
      <x:c r="M868" s="31" t="str"/>
      <x:c r="N868" s="31" t="str"/>
    </x:row>
    <x:row r="869" ht="42" customHeight="1">
      <x:c r="A869" s="35" t="n">
        <x:v>867</x:v>
      </x:c>
      <x:c r="B869" s="31" t="str">
        <x:f>IF('Execution Checklist'!Q869="","",'Execution Checklist'!Q869)</x:f>
      </x:c>
      <x:c r="C869" s="31" t="str">
        <x:v>Place the red block to the right of the green pen.</x:v>
      </x:c>
      <x:c r="D869" s="31" t="str">
        <x:v>red block → to the right of green pen</x:v>
      </x:c>
      <x:c r="E869" s="31" t="str">
        <x:v>Binary task success; paired with the main matched-control row.</x:v>
      </x:c>
      <x:c r="F869" s="31"/>
      <x:c r="G869" s="31"/>
      <x:c r="H869" s="31" t="str">
        <x:f>IF(OR(F869="",G869=""),"",IF(F869=G869,"Agree","Disagree"))</x:f>
      </x:c>
      <x:c r="I869" s="31"/>
      <x:c r="J869" s="31" t="str">
        <x:v>No</x:v>
      </x:c>
      <x:c r="K869" s="31" t="str"/>
      <x:c r="L869" s="31" t="str"/>
      <x:c r="M869" s="31" t="str"/>
      <x:c r="N869" s="31" t="str"/>
    </x:row>
    <x:row r="870" ht="42" customHeight="1">
      <x:c r="A870" s="35" t="n">
        <x:v>868</x:v>
      </x:c>
      <x:c r="B870" s="31" t="str">
        <x:f>IF('Execution Checklist'!Q870="","",'Execution Checklist'!Q870)</x:f>
      </x:c>
      <x:c r="C870" s="31" t="str">
        <x:v>Move the yellow block into the bowl.</x:v>
      </x:c>
      <x:c r="D870" s="31" t="str">
        <x:v>yellow block</x:v>
      </x:c>
      <x:c r="E870" s="31" t="str">
        <x:v>Binary task success using the task-specific rubric.</x:v>
      </x:c>
      <x:c r="F870" s="31"/>
      <x:c r="G870" s="31"/>
      <x:c r="H870" s="31" t="str">
        <x:f>IF(OR(F870="",G870=""),"",IF(F870=G870,"Agree","Disagree"))</x:f>
      </x:c>
      <x:c r="I870" s="31"/>
      <x:c r="J870" s="31" t="str">
        <x:v>No</x:v>
      </x:c>
      <x:c r="K870" s="31" t="str"/>
      <x:c r="L870" s="31" t="str"/>
      <x:c r="M870" s="31" t="str"/>
      <x:c r="N870" s="31" t="str"/>
    </x:row>
    <x:row r="871" ht="42" customHeight="1">
      <x:c r="A871" s="35" t="n">
        <x:v>869</x:v>
      </x:c>
      <x:c r="B871" s="31" t="str">
        <x:f>IF('Execution Checklist'!Q871="","",'Execution Checklist'!Q871)</x:f>
      </x:c>
      <x:c r="C871" s="31" t="str">
        <x:v>Remove the airplane toy without propellers from the bowl.</x:v>
      </x:c>
      <x:c r="D871" s="31" t="str">
        <x:v>REMOVE airplane toy without propellers</x:v>
      </x:c>
      <x:c r="E871" s="31" t="str">
        <x:v>Binary task success; paired with the main transfer row.</x:v>
      </x:c>
      <x:c r="F871" s="31"/>
      <x:c r="G871" s="31"/>
      <x:c r="H871" s="31" t="str">
        <x:f>IF(OR(F871="",G871=""),"",IF(F871=G871,"Agree","Disagree"))</x:f>
      </x:c>
      <x:c r="I871" s="31"/>
      <x:c r="J871" s="31" t="str">
        <x:v>No</x:v>
      </x:c>
      <x:c r="K871" s="31" t="str"/>
      <x:c r="L871" s="31" t="str"/>
      <x:c r="M871" s="31" t="str"/>
      <x:c r="N871" s="31" t="str"/>
    </x:row>
    <x:row r="872" ht="42" customHeight="1">
      <x:c r="A872" s="35" t="n">
        <x:v>870</x:v>
      </x:c>
      <x:c r="B872" s="31" t="str">
        <x:f>IF('Execution Checklist'!Q872="","",'Execution Checklist'!Q872)</x:f>
      </x:c>
      <x:c r="C872" s="31" t="str">
        <x:v>Put the blue pen in the bowl.</x:v>
      </x:c>
      <x:c r="D872" s="31" t="str">
        <x:v>ADD blue pen</x:v>
      </x:c>
      <x:c r="E872" s="31" t="str">
        <x:v>Binary task success; paired with the main transfer row.</x:v>
      </x:c>
      <x:c r="F872" s="31"/>
      <x:c r="G872" s="31"/>
      <x:c r="H872" s="31" t="str">
        <x:f>IF(OR(F872="",G872=""),"",IF(F872=G872,"Agree","Disagree"))</x:f>
      </x:c>
      <x:c r="I872" s="31"/>
      <x:c r="J872" s="31" t="str">
        <x:v>No</x:v>
      </x:c>
      <x:c r="K872" s="31" t="str"/>
      <x:c r="L872" s="31" t="str"/>
      <x:c r="M872" s="31" t="str"/>
      <x:c r="N872" s="31" t="str"/>
    </x:row>
    <x:row r="873" ht="42" customHeight="1">
      <x:c r="A873" s="35" t="n">
        <x:v>871</x:v>
      </x:c>
      <x:c r="B873" s="31" t="str">
        <x:f>IF('Execution Checklist'!Q873="","",'Execution Checklist'!Q873)</x:f>
      </x:c>
      <x:c r="C873" s="31" t="str">
        <x:v>Remove the yellow block from the bowl.</x:v>
      </x:c>
      <x:c r="D873" s="31" t="str">
        <x:v>REMOVE yellow block</x:v>
      </x:c>
      <x:c r="E873" s="31" t="str">
        <x:v>Binary task success; paired with the main transfer row.</x:v>
      </x:c>
      <x:c r="F873" s="31"/>
      <x:c r="G873" s="31"/>
      <x:c r="H873" s="31" t="str">
        <x:f>IF(OR(F873="",G873=""),"",IF(F873=G873,"Agree","Disagree"))</x:f>
      </x:c>
      <x:c r="I873" s="31"/>
      <x:c r="J873" s="31" t="str">
        <x:v>No</x:v>
      </x:c>
      <x:c r="K873" s="31" t="str"/>
      <x:c r="L873" s="31" t="str"/>
      <x:c r="M873" s="31" t="str"/>
      <x:c r="N873" s="31" t="str"/>
    </x:row>
    <x:row r="874" ht="42" customHeight="1">
      <x:c r="A874" s="35" t="n">
        <x:v>872</x:v>
      </x:c>
      <x:c r="B874" s="31" t="str">
        <x:f>IF('Execution Checklist'!Q874="","",'Execution Checklist'!Q874)</x:f>
      </x:c>
      <x:c r="C874" s="31" t="str">
        <x:v>Leave exactly three objects in the bowl.</x:v>
      </x:c>
      <x:c r="D874" s="31" t="str">
        <x:v>ADD one table object</x:v>
      </x:c>
      <x:c r="E874" s="31" t="str">
        <x:v>Binary task success; paired with the main matched-control row.</x:v>
      </x:c>
      <x:c r="F874" s="31"/>
      <x:c r="G874" s="31"/>
      <x:c r="H874" s="31" t="str">
        <x:f>IF(OR(F874="",G874=""),"",IF(F874=G874,"Agree","Disagree"))</x:f>
      </x:c>
      <x:c r="I874" s="31"/>
      <x:c r="J874" s="31" t="str">
        <x:v>No</x:v>
      </x:c>
      <x:c r="K874" s="31" t="str"/>
      <x:c r="L874" s="31" t="str"/>
      <x:c r="M874" s="31" t="str"/>
      <x:c r="N874" s="31" t="str"/>
    </x:row>
    <x:row r="875" ht="42" customHeight="1">
      <x:c r="A875" s="35" t="n">
        <x:v>873</x:v>
      </x:c>
      <x:c r="B875" s="31" t="str">
        <x:f>IF('Execution Checklist'!Q875="","",'Execution Checklist'!Q875)</x:f>
      </x:c>
      <x:c r="C875" s="31" t="str">
        <x:v>Leave exactly three objects in the bowl.</x:v>
      </x:c>
      <x:c r="D875" s="31" t="str">
        <x:v>ADD one table object</x:v>
      </x:c>
      <x:c r="E875" s="31" t="str">
        <x:v>Binary success for the counterfactual instruction and paired action-switch analysis versus the parent.</x:v>
      </x:c>
      <x:c r="F875" s="31"/>
      <x:c r="G875" s="31"/>
      <x:c r="H875" s="31" t="str">
        <x:f>IF(OR(F875="",G875=""),"",IF(F875=G875,"Agree","Disagree"))</x:f>
      </x:c>
      <x:c r="I875" s="31"/>
      <x:c r="J875" s="31" t="str">
        <x:v>No</x:v>
      </x:c>
      <x:c r="K875" s="31" t="str"/>
      <x:c r="L875" s="31" t="str"/>
      <x:c r="M875" s="31" t="str"/>
      <x:c r="N875" s="31" t="str"/>
    </x:row>
    <x:row r="876" ht="42" customHeight="1">
      <x:c r="A876" s="35" t="n">
        <x:v>874</x:v>
      </x:c>
      <x:c r="B876" s="31" t="str">
        <x:f>IF('Execution Checklist'!Q876="","",'Execution Checklist'!Q876)</x:f>
      </x:c>
      <x:c r="C876" s="31" t="str">
        <x:v>Leave exactly three objects in the bowl.</x:v>
      </x:c>
      <x:c r="D876" s="31" t="str">
        <x:v>No prespecified task success under blank language; record any action/selected target.</x:v>
      </x:c>
      <x:c r="E876" s="31" t="str">
        <x:v>Do not score ordinary task success. Record action occurrence and agreement with the parent correct-prompt rollout.</x:v>
      </x:c>
      <x:c r="F876" s="31"/>
      <x:c r="G876" s="31"/>
      <x:c r="H876" s="31" t="str">
        <x:f>IF(OR(F876="",G876=""),"",IF(F876=G876,"Agree","Disagree"))</x:f>
      </x:c>
      <x:c r="I876" s="31"/>
      <x:c r="J876" s="31" t="str">
        <x:v>No</x:v>
      </x:c>
      <x:c r="K876" s="31" t="str"/>
      <x:c r="L876" s="31" t="str"/>
      <x:c r="M876" s="31" t="str"/>
      <x:c r="N876" s="31" t="str"/>
    </x:row>
    <x:row r="877" ht="42" customHeight="1">
      <x:c r="A877" s="35" t="n">
        <x:v>875</x:v>
      </x:c>
      <x:c r="B877" s="31" t="str">
        <x:f>IF('Execution Checklist'!Q877="","",'Execution Checklist'!Q877)</x:f>
      </x:c>
      <x:c r="C877" s="31" t="str">
        <x:v>Leave exactly three objects in the bowl.</x:v>
      </x:c>
      <x:c r="D877" s="31" t="str">
        <x:v>No prespecified task success under blank language; record any action/selected target.</x:v>
      </x:c>
      <x:c r="E877" s="31" t="str">
        <x:v>Do not score ordinary task success. Record action occurrence and agreement with the parent correct-prompt rollout.</x:v>
      </x:c>
      <x:c r="F877" s="31"/>
      <x:c r="G877" s="31"/>
      <x:c r="H877" s="31" t="str">
        <x:f>IF(OR(F877="",G877=""),"",IF(F877=G877,"Agree","Disagree"))</x:f>
      </x:c>
      <x:c r="I877" s="31"/>
      <x:c r="J877" s="31" t="str">
        <x:v>No</x:v>
      </x:c>
      <x:c r="K877" s="31" t="str"/>
      <x:c r="L877" s="31" t="str"/>
      <x:c r="M877" s="31" t="str"/>
      <x:c r="N877" s="31" t="str"/>
    </x:row>
    <x:row r="878" ht="42" customHeight="1">
      <x:c r="A878" s="35" t="n">
        <x:v>876</x:v>
      </x:c>
      <x:c r="B878" s="31" t="str">
        <x:f>IF('Execution Checklist'!Q878="","",'Execution Checklist'!Q878)</x:f>
      </x:c>
      <x:c r="C878" s="31" t="str">
        <x:v>Put the green pencil sharpener in the bowl.</x:v>
      </x:c>
      <x:c r="D878" s="31" t="str">
        <x:v>ADD green pencil sharpener</x:v>
      </x:c>
      <x:c r="E878" s="31" t="str">
        <x:v>Binary task success; paired with the main transfer row.</x:v>
      </x:c>
      <x:c r="F878" s="31"/>
      <x:c r="G878" s="31"/>
      <x:c r="H878" s="31" t="str">
        <x:f>IF(OR(F878="",G878=""),"",IF(F878=G878,"Agree","Disagree"))</x:f>
      </x:c>
      <x:c r="I878" s="31"/>
      <x:c r="J878" s="31" t="str">
        <x:v>No</x:v>
      </x:c>
      <x:c r="K878" s="31" t="str"/>
      <x:c r="L878" s="31" t="str"/>
      <x:c r="M878" s="31" t="str"/>
      <x:c r="N878" s="31" t="str"/>
    </x:row>
    <x:row r="879" ht="42" customHeight="1">
      <x:c r="A879" s="35" t="n">
        <x:v>877</x:v>
      </x:c>
      <x:c r="B879" s="31" t="str">
        <x:f>IF('Execution Checklist'!Q879="","",'Execution Checklist'!Q879)</x:f>
      </x:c>
      <x:c r="C879" s="31" t="str">
        <x:v>Move the blue pen into the bowl.</x:v>
      </x:c>
      <x:c r="D879" s="31" t="str">
        <x:v>blue pen</x:v>
      </x:c>
      <x:c r="E879" s="31" t="str">
        <x:v>Binary task success using the task-specific rubric.</x:v>
      </x:c>
      <x:c r="F879" s="31"/>
      <x:c r="G879" s="31"/>
      <x:c r="H879" s="31" t="str">
        <x:f>IF(OR(F879="",G879=""),"",IF(F879=G879,"Agree","Disagree"))</x:f>
      </x:c>
      <x:c r="I879" s="31"/>
      <x:c r="J879" s="31" t="str">
        <x:v>No</x:v>
      </x:c>
      <x:c r="K879" s="31" t="str"/>
      <x:c r="L879" s="31" t="str"/>
      <x:c r="M879" s="31" t="str"/>
      <x:c r="N879" s="31" t="str"/>
    </x:row>
    <x:row r="880" ht="42" customHeight="1">
      <x:c r="A880" s="35" t="n">
        <x:v>878</x:v>
      </x:c>
      <x:c r="B880" s="31" t="str">
        <x:f>IF('Execution Checklist'!Q880="","",'Execution Checklist'!Q880)</x:f>
      </x:c>
      <x:c r="C880" s="31" t="str">
        <x:v>Finish with two objects in the bowl.</x:v>
      </x:c>
      <x:c r="D880" s="31" t="str"/>
      <x:c r="E880" s="31" t="str">
        <x:v>Binary task success; compare with the seen-language row sharing Pair ID.</x:v>
      </x:c>
      <x:c r="F880" s="31"/>
      <x:c r="G880" s="31"/>
      <x:c r="H880" s="31" t="str">
        <x:f>IF(OR(F880="",G880=""),"",IF(F880=G880,"Agree","Disagree"))</x:f>
      </x:c>
      <x:c r="I880" s="31"/>
      <x:c r="J880" s="31" t="str">
        <x:v>No</x:v>
      </x:c>
      <x:c r="K880" s="31" t="str"/>
      <x:c r="L880" s="31" t="str"/>
      <x:c r="M880" s="31" t="str"/>
      <x:c r="N880" s="31" t="str"/>
    </x:row>
    <x:row r="881" ht="42" customHeight="1">
      <x:c r="A881" s="35" t="n">
        <x:v>879</x:v>
      </x:c>
      <x:c r="B881" s="31" t="str">
        <x:f>IF('Execution Checklist'!Q881="","",'Execution Checklist'!Q881)</x:f>
      </x:c>
      <x:c r="C881" s="31" t="str">
        <x:v>Leave exactly three objects in the bowl.</x:v>
      </x:c>
      <x:c r="D881" s="31" t="str">
        <x:v>ADD one table object</x:v>
      </x:c>
      <x:c r="E881" s="31" t="str">
        <x:v>Binary task success; paired with the main matched-control row.</x:v>
      </x:c>
      <x:c r="F881" s="31"/>
      <x:c r="G881" s="31"/>
      <x:c r="H881" s="31" t="str">
        <x:f>IF(OR(F881="",G881=""),"",IF(F881=G881,"Agree","Disagree"))</x:f>
      </x:c>
      <x:c r="I881" s="31"/>
      <x:c r="J881" s="31" t="str">
        <x:v>No</x:v>
      </x:c>
      <x:c r="K881" s="31" t="str"/>
      <x:c r="L881" s="31" t="str"/>
      <x:c r="M881" s="31" t="str"/>
      <x:c r="N881" s="31" t="str"/>
    </x:row>
    <x:row r="882" ht="42" customHeight="1">
      <x:c r="A882" s="35" t="n">
        <x:v>880</x:v>
      </x:c>
      <x:c r="B882" s="31" t="str">
        <x:f>IF('Execution Checklist'!Q882="","",'Execution Checklist'!Q882)</x:f>
      </x:c>
      <x:c r="C882" s="31" t="str">
        <x:v>Make the bowl contain exactly two objects.</x:v>
      </x:c>
      <x:c r="D882" s="31" t="str"/>
      <x:c r="E882" s="31" t="str">
        <x:v>Binary task success using the task-specific rubric.</x:v>
      </x:c>
      <x:c r="F882" s="31"/>
      <x:c r="G882" s="31"/>
      <x:c r="H882" s="31" t="str">
        <x:f>IF(OR(F882="",G882=""),"",IF(F882=G882,"Agree","Disagree"))</x:f>
      </x:c>
      <x:c r="I882" s="31"/>
      <x:c r="J882" s="31" t="str">
        <x:v>No</x:v>
      </x:c>
      <x:c r="K882" s="31" t="str"/>
      <x:c r="L882" s="31" t="str"/>
      <x:c r="M882" s="31" t="str"/>
      <x:c r="N882" s="31" t="str"/>
    </x:row>
    <x:row r="883" ht="42" customHeight="1">
      <x:c r="A883" s="35" t="n">
        <x:v>881</x:v>
      </x:c>
      <x:c r="B883" s="31" t="str">
        <x:f>IF('Execution Checklist'!Q883="","",'Execution Checklist'!Q883)</x:f>
      </x:c>
      <x:c r="C883" s="31" t="str">
        <x:v>Leave exactly three objects in the bowl.</x:v>
      </x:c>
      <x:c r="D883" s="31" t="str">
        <x:v>ADD one table object</x:v>
      </x:c>
      <x:c r="E883" s="31" t="str">
        <x:v>Binary task success; paired with the main matched-control row.</x:v>
      </x:c>
      <x:c r="F883" s="31"/>
      <x:c r="G883" s="31"/>
      <x:c r="H883" s="31" t="str">
        <x:f>IF(OR(F883="",G883=""),"",IF(F883=G883,"Agree","Disagree"))</x:f>
      </x:c>
      <x:c r="I883" s="31"/>
      <x:c r="J883" s="31" t="str">
        <x:v>No</x:v>
      </x:c>
      <x:c r="K883" s="31" t="str"/>
      <x:c r="L883" s="31" t="str"/>
      <x:c r="M883" s="31" t="str"/>
      <x:c r="N883" s="31" t="str"/>
    </x:row>
    <x:row r="884" ht="42" customHeight="1">
      <x:c r="A884" s="35" t="n">
        <x:v>882</x:v>
      </x:c>
      <x:c r="B884" s="31" t="str">
        <x:f>IF('Execution Checklist'!Q884="","",'Execution Checklist'!Q884)</x:f>
      </x:c>
      <x:c r="C884" s="31" t="str">
        <x:v>Make the bowl contain exactly zero objects.</x:v>
      </x:c>
      <x:c r="D884" s="31" t="str"/>
      <x:c r="E884" s="31" t="str">
        <x:v>Binary task success using the task-specific rubric.</x:v>
      </x:c>
      <x:c r="F884" s="31"/>
      <x:c r="G884" s="31"/>
      <x:c r="H884" s="31" t="str">
        <x:f>IF(OR(F884="",G884=""),"",IF(F884=G884,"Agree","Disagree"))</x:f>
      </x:c>
      <x:c r="I884" s="31"/>
      <x:c r="J884" s="31" t="str">
        <x:v>No</x:v>
      </x:c>
      <x:c r="K884" s="31" t="str"/>
      <x:c r="L884" s="31" t="str"/>
      <x:c r="M884" s="31" t="str"/>
      <x:c r="N884" s="31" t="str"/>
    </x:row>
    <x:row r="885" ht="42" customHeight="1">
      <x:c r="A885" s="35" t="n">
        <x:v>883</x:v>
      </x:c>
      <x:c r="B885" s="31" t="str">
        <x:f>IF('Execution Checklist'!Q885="","",'Execution Checklist'!Q885)</x:f>
      </x:c>
      <x:c r="C885" s="31" t="str">
        <x:v>Leave exactly one object in the bowl.</x:v>
      </x:c>
      <x:c r="D885" s="31" t="str">
        <x:v>REMOVE one bowl object</x:v>
      </x:c>
      <x:c r="E885" s="31" t="str">
        <x:v>Binary task success; paired with the main matched-control row.</x:v>
      </x:c>
      <x:c r="F885" s="31"/>
      <x:c r="G885" s="31"/>
      <x:c r="H885" s="31" t="str">
        <x:f>IF(OR(F885="",G885=""),"",IF(F885=G885,"Agree","Disagree"))</x:f>
      </x:c>
      <x:c r="I885" s="31"/>
      <x:c r="J885" s="31" t="str">
        <x:v>No</x:v>
      </x:c>
      <x:c r="K885" s="31" t="str"/>
      <x:c r="L885" s="31" t="str"/>
      <x:c r="M885" s="31" t="str"/>
      <x:c r="N885" s="31" t="str"/>
    </x:row>
    <x:row r="886" ht="42" customHeight="1">
      <x:c r="A886" s="35" t="n">
        <x:v>884</x:v>
      </x:c>
      <x:c r="B886" s="31" t="str">
        <x:f>IF('Execution Checklist'!Q886="","",'Execution Checklist'!Q886)</x:f>
      </x:c>
      <x:c r="C886" s="31" t="str">
        <x:v>Put the airplane toy without propellers in the bowl.</x:v>
      </x:c>
      <x:c r="D886" s="31" t="str">
        <x:v>ADD airplane toy without propellers</x:v>
      </x:c>
      <x:c r="E886" s="31" t="str">
        <x:v>Binary task success; paired with the main transfer row.</x:v>
      </x:c>
      <x:c r="F886" s="31"/>
      <x:c r="G886" s="31"/>
      <x:c r="H886" s="31" t="str">
        <x:f>IF(OR(F886="",G886=""),"",IF(F886=G886,"Agree","Disagree"))</x:f>
      </x:c>
      <x:c r="I886" s="31"/>
      <x:c r="J886" s="31" t="str">
        <x:v>No</x:v>
      </x:c>
      <x:c r="K886" s="31" t="str"/>
      <x:c r="L886" s="31" t="str"/>
      <x:c r="M886" s="31" t="str"/>
      <x:c r="N886" s="31" t="str"/>
    </x:row>
    <x:row r="887" ht="42" customHeight="1">
      <x:c r="A887" s="35" t="n">
        <x:v>885</x:v>
      </x:c>
      <x:c r="B887" s="31" t="str">
        <x:f>IF('Execution Checklist'!Q887="","",'Execution Checklist'!Q887)</x:f>
      </x:c>
      <x:c r="C887" s="31" t="str">
        <x:v>Leave exactly two objects in the bowl.</x:v>
      </x:c>
      <x:c r="D887" s="31" t="str">
        <x:v>yellow block</x:v>
      </x:c>
      <x:c r="E887" s="31" t="str">
        <x:v>Binary task success using the task-specific rubric.</x:v>
      </x:c>
      <x:c r="F887" s="31"/>
      <x:c r="G887" s="31"/>
      <x:c r="H887" s="31" t="str">
        <x:f>IF(OR(F887="",G887=""),"",IF(F887=G887,"Agree","Disagree"))</x:f>
      </x:c>
      <x:c r="I887" s="31"/>
      <x:c r="J887" s="31" t="str">
        <x:v>No</x:v>
      </x:c>
      <x:c r="K887" s="31" t="str"/>
      <x:c r="L887" s="31" t="str"/>
      <x:c r="M887" s="31" t="str"/>
      <x:c r="N887" s="31" t="str"/>
    </x:row>
    <x:row r="888" ht="42" customHeight="1">
      <x:c r="A888" s="35" t="n">
        <x:v>886</x:v>
      </x:c>
      <x:c r="B888" s="31" t="str">
        <x:f>IF('Execution Checklist'!Q888="","",'Execution Checklist'!Q888)</x:f>
      </x:c>
      <x:c r="C888" s="31" t="str">
        <x:v>Remove the green pencil sharpener from the bowl.</x:v>
      </x:c>
      <x:c r="D888" s="31" t="str">
        <x:v>REMOVE green pencil sharpener</x:v>
      </x:c>
      <x:c r="E888" s="31" t="str">
        <x:v>Binary task success; paired with the main transfer row.</x:v>
      </x:c>
      <x:c r="F888" s="31"/>
      <x:c r="G888" s="31"/>
      <x:c r="H888" s="31" t="str">
        <x:f>IF(OR(F888="",G888=""),"",IF(F888=G888,"Agree","Disagree"))</x:f>
      </x:c>
      <x:c r="I888" s="31"/>
      <x:c r="J888" s="31" t="str">
        <x:v>No</x:v>
      </x:c>
      <x:c r="K888" s="31" t="str"/>
      <x:c r="L888" s="31" t="str"/>
      <x:c r="M888" s="31" t="str"/>
      <x:c r="N888" s="31" t="str"/>
    </x:row>
    <x:row r="889" ht="42" customHeight="1">
      <x:c r="A889" s="35" t="n">
        <x:v>887</x:v>
      </x:c>
      <x:c r="B889" s="31" t="str">
        <x:f>IF('Execution Checklist'!Q889="","",'Execution Checklist'!Q889)</x:f>
      </x:c>
      <x:c r="C889" s="31" t="str">
        <x:v>Remove the green pencil sharpener from the bowl.</x:v>
      </x:c>
      <x:c r="D889" s="31" t="str">
        <x:v>REMOVE green pencil sharpener</x:v>
      </x:c>
      <x:c r="E889" s="31" t="str">
        <x:v>Binary task success; paired with the main transfer row.</x:v>
      </x:c>
      <x:c r="F889" s="31"/>
      <x:c r="G889" s="31"/>
      <x:c r="H889" s="31" t="str">
        <x:f>IF(OR(F889="",G889=""),"",IF(F889=G889,"Agree","Disagree"))</x:f>
      </x:c>
      <x:c r="I889" s="31"/>
      <x:c r="J889" s="31" t="str">
        <x:v>No</x:v>
      </x:c>
      <x:c r="K889" s="31" t="str"/>
      <x:c r="L889" s="31" t="str"/>
      <x:c r="M889" s="31" t="str"/>
      <x:c r="N889" s="31" t="str"/>
    </x:row>
    <x:row r="890" ht="42" customHeight="1">
      <x:c r="A890" s="35" t="n">
        <x:v>888</x:v>
      </x:c>
      <x:c r="B890" s="31" t="str">
        <x:f>IF('Execution Checklist'!Q890="","",'Execution Checklist'!Q890)</x:f>
      </x:c>
      <x:c r="C890" s="31" t="str">
        <x:v>Put the green pencil sharpener in the bowl.</x:v>
      </x:c>
      <x:c r="D890" s="31" t="str">
        <x:v>ADD green pencil sharpener</x:v>
      </x:c>
      <x:c r="E890" s="31" t="str">
        <x:v>Binary task success; paired with the main transfer row.</x:v>
      </x:c>
      <x:c r="F890" s="31"/>
      <x:c r="G890" s="31"/>
      <x:c r="H890" s="31" t="str">
        <x:f>IF(OR(F890="",G890=""),"",IF(F890=G890,"Agree","Disagree"))</x:f>
      </x:c>
      <x:c r="I890" s="31"/>
      <x:c r="J890" s="31" t="str">
        <x:v>No</x:v>
      </x:c>
      <x:c r="K890" s="31" t="str"/>
      <x:c r="L890" s="31" t="str"/>
      <x:c r="M890" s="31" t="str"/>
      <x:c r="N890" s="31" t="str"/>
    </x:row>
    <x:row r="891" ht="42" customHeight="1">
      <x:c r="A891" s="35" t="n">
        <x:v>889</x:v>
      </x:c>
      <x:c r="B891" s="31" t="str">
        <x:f>IF('Execution Checklist'!Q891="","",'Execution Checklist'!Q891)</x:f>
      </x:c>
      <x:c r="C891" s="31" t="str">
        <x:v>Finish with two objects in the bowl.</x:v>
      </x:c>
      <x:c r="D891" s="31" t="str"/>
      <x:c r="E891" s="31" t="str">
        <x:v>Binary task success; compare with the seen-language row sharing Pair ID.</x:v>
      </x:c>
      <x:c r="F891" s="31"/>
      <x:c r="G891" s="31"/>
      <x:c r="H891" s="31" t="str">
        <x:f>IF(OR(F891="",G891=""),"",IF(F891=G891,"Agree","Disagree"))</x:f>
      </x:c>
      <x:c r="I891" s="31"/>
      <x:c r="J891" s="31" t="str">
        <x:v>No</x:v>
      </x:c>
      <x:c r="K891" s="31" t="str"/>
      <x:c r="L891" s="31" t="str"/>
      <x:c r="M891" s="31" t="str"/>
      <x:c r="N891" s="31" t="str"/>
    </x:row>
    <x:row r="892" ht="42" customHeight="1">
      <x:c r="A892" s="35" t="n">
        <x:v>890</x:v>
      </x:c>
      <x:c r="B892" s="31" t="str">
        <x:f>IF('Execution Checklist'!Q892="","",'Execution Checklist'!Q892)</x:f>
      </x:c>
      <x:c r="C892" s="31" t="str">
        <x:v>Put the blue pen in the bowl.</x:v>
      </x:c>
      <x:c r="D892" s="31" t="str">
        <x:v>ADD blue pen</x:v>
      </x:c>
      <x:c r="E892" s="31" t="str">
        <x:v>Binary task success; paired with the main transfer row.</x:v>
      </x:c>
      <x:c r="F892" s="31"/>
      <x:c r="G892" s="31"/>
      <x:c r="H892" s="31" t="str">
        <x:f>IF(OR(F892="",G892=""),"",IF(F892=G892,"Agree","Disagree"))</x:f>
      </x:c>
      <x:c r="I892" s="31"/>
      <x:c r="J892" s="31" t="str">
        <x:v>No</x:v>
      </x:c>
      <x:c r="K892" s="31" t="str"/>
      <x:c r="L892" s="31" t="str"/>
      <x:c r="M892" s="31" t="str"/>
      <x:c r="N892" s="31" t="str"/>
    </x:row>
    <x:row r="893" ht="42" customHeight="1">
      <x:c r="A893" s="35" t="n">
        <x:v>891</x:v>
      </x:c>
      <x:c r="B893" s="31" t="str">
        <x:f>IF('Execution Checklist'!Q893="","",'Execution Checklist'!Q893)</x:f>
      </x:c>
      <x:c r="C893" s="31" t="str">
        <x:v>Leave exactly one object in the bowl.</x:v>
      </x:c>
      <x:c r="D893" s="31" t="str">
        <x:v>REMOVE one bowl object</x:v>
      </x:c>
      <x:c r="E893" s="31" t="str">
        <x:v>Binary task success; paired with the main matched-control row.</x:v>
      </x:c>
      <x:c r="F893" s="31"/>
      <x:c r="G893" s="31"/>
      <x:c r="H893" s="31" t="str">
        <x:f>IF(OR(F893="",G893=""),"",IF(F893=G893,"Agree","Disagree"))</x:f>
      </x:c>
      <x:c r="I893" s="31"/>
      <x:c r="J893" s="31" t="str">
        <x:v>No</x:v>
      </x:c>
      <x:c r="K893" s="31" t="str"/>
      <x:c r="L893" s="31" t="str"/>
      <x:c r="M893" s="31" t="str"/>
      <x:c r="N893" s="31" t="str"/>
    </x:row>
    <x:row r="894" ht="42" customHeight="1">
      <x:c r="A894" s="35" t="n">
        <x:v>892</x:v>
      </x:c>
      <x:c r="B894" s="31" t="str">
        <x:f>IF('Execution Checklist'!Q894="","",'Execution Checklist'!Q894)</x:f>
      </x:c>
      <x:c r="C894" s="31" t="str">
        <x:v>Leave exactly three objects in the bowl.</x:v>
      </x:c>
      <x:c r="D894" s="31" t="str">
        <x:v>ADD one table object</x:v>
      </x:c>
      <x:c r="E894" s="31" t="str">
        <x:v>Binary task success; paired with the main matched-control row.</x:v>
      </x:c>
      <x:c r="F894" s="31"/>
      <x:c r="G894" s="31"/>
      <x:c r="H894" s="31" t="str">
        <x:f>IF(OR(F894="",G894=""),"",IF(F894=G894,"Agree","Disagree"))</x:f>
      </x:c>
      <x:c r="I894" s="31"/>
      <x:c r="J894" s="31" t="str">
        <x:v>No</x:v>
      </x:c>
      <x:c r="K894" s="31" t="str"/>
      <x:c r="L894" s="31" t="str"/>
      <x:c r="M894" s="31" t="str"/>
      <x:c r="N894" s="31" t="str"/>
    </x:row>
    <x:row r="895" ht="42" customHeight="1">
      <x:c r="A895" s="35" t="n">
        <x:v>893</x:v>
      </x:c>
      <x:c r="B895" s="31" t="str">
        <x:f>IF('Execution Checklist'!Q895="","",'Execution Checklist'!Q895)</x:f>
      </x:c>
      <x:c r="C895" s="31" t="str">
        <x:v>Make the bowl contain exactly zero objects.</x:v>
      </x:c>
      <x:c r="D895" s="31" t="str"/>
      <x:c r="E895" s="31" t="str">
        <x:v>Binary task success using the task-specific rubric.</x:v>
      </x:c>
      <x:c r="F895" s="31"/>
      <x:c r="G895" s="31"/>
      <x:c r="H895" s="31" t="str">
        <x:f>IF(OR(F895="",G895=""),"",IF(F895=G895,"Agree","Disagree"))</x:f>
      </x:c>
      <x:c r="I895" s="31"/>
      <x:c r="J895" s="31" t="str">
        <x:v>No</x:v>
      </x:c>
      <x:c r="K895" s="31" t="str"/>
      <x:c r="L895" s="31" t="str"/>
      <x:c r="M895" s="31" t="str"/>
      <x:c r="N895" s="31" t="str"/>
    </x:row>
    <x:row r="896" ht="42" customHeight="1">
      <x:c r="A896" s="35" t="n">
        <x:v>894</x:v>
      </x:c>
      <x:c r="B896" s="31" t="str">
        <x:f>IF('Execution Checklist'!Q896="","",'Execution Checklist'!Q896)</x:f>
      </x:c>
      <x:c r="C896" s="31" t="str">
        <x:v>Leave no objects in the bowl.</x:v>
      </x:c>
      <x:c r="D896" s="31" t="str">
        <x:v>blue pen</x:v>
      </x:c>
      <x:c r="E896" s="31" t="str">
        <x:v>Binary task success using the task-specific rubric.</x:v>
      </x:c>
      <x:c r="F896" s="31"/>
      <x:c r="G896" s="31"/>
      <x:c r="H896" s="31" t="str">
        <x:f>IF(OR(F896="",G896=""),"",IF(F896=G896,"Agree","Disagree"))</x:f>
      </x:c>
      <x:c r="I896" s="31"/>
      <x:c r="J896" s="31" t="str">
        <x:v>No</x:v>
      </x:c>
      <x:c r="K896" s="31" t="str"/>
      <x:c r="L896" s="31" t="str"/>
      <x:c r="M896" s="31" t="str"/>
      <x:c r="N896" s="31" t="str"/>
    </x:row>
    <x:row r="897" ht="42" customHeight="1">
      <x:c r="A897" s="35" t="n">
        <x:v>895</x:v>
      </x:c>
      <x:c r="B897" s="31" t="str">
        <x:f>IF('Execution Checklist'!Q897="","",'Execution Checklist'!Q897)</x:f>
      </x:c>
      <x:c r="C897" s="31" t="str">
        <x:v>Leave exactly one object in the bowl.</x:v>
      </x:c>
      <x:c r="D897" s="31" t="str">
        <x:v>REMOVE one bowl object</x:v>
      </x:c>
      <x:c r="E897" s="31" t="str">
        <x:v>Binary task success; paired with the main matched-control row.</x:v>
      </x:c>
      <x:c r="F897" s="31"/>
      <x:c r="G897" s="31"/>
      <x:c r="H897" s="31" t="str">
        <x:f>IF(OR(F897="",G897=""),"",IF(F897=G897,"Agree","Disagree"))</x:f>
      </x:c>
      <x:c r="I897" s="31"/>
      <x:c r="J897" s="31" t="str">
        <x:v>No</x:v>
      </x:c>
      <x:c r="K897" s="31" t="str"/>
      <x:c r="L897" s="31" t="str"/>
      <x:c r="M897" s="31" t="str"/>
      <x:c r="N897" s="31" t="str"/>
    </x:row>
    <x:row r="898" ht="42" customHeight="1">
      <x:c r="A898" s="35" t="n">
        <x:v>896</x:v>
      </x:c>
      <x:c r="B898" s="31" t="str">
        <x:f>IF('Execution Checklist'!Q898="","",'Execution Checklist'!Q898)</x:f>
      </x:c>
      <x:c r="C898" s="31" t="str">
        <x:v>Leave exactly three objects in the bowl.</x:v>
      </x:c>
      <x:c r="D898" s="31" t="str">
        <x:v>ADD one table object</x:v>
      </x:c>
      <x:c r="E898" s="31" t="str">
        <x:v>Binary task success; paired with the main matched-control row.</x:v>
      </x:c>
      <x:c r="F898" s="31"/>
      <x:c r="G898" s="31"/>
      <x:c r="H898" s="31" t="str">
        <x:f>IF(OR(F898="",G898=""),"",IF(F898=G898,"Agree","Disagree"))</x:f>
      </x:c>
      <x:c r="I898" s="31"/>
      <x:c r="J898" s="31" t="str">
        <x:v>No</x:v>
      </x:c>
      <x:c r="K898" s="31" t="str"/>
      <x:c r="L898" s="31" t="str"/>
      <x:c r="M898" s="31" t="str"/>
      <x:c r="N898" s="31" t="str"/>
    </x:row>
    <x:row r="899" ht="42" customHeight="1">
      <x:c r="A899" s="35" t="n">
        <x:v>897</x:v>
      </x:c>
      <x:c r="B899" s="31" t="str">
        <x:f>IF('Execution Checklist'!Q899="","",'Execution Checklist'!Q899)</x:f>
      </x:c>
      <x:c r="C899" s="31" t="str">
        <x:v>Put the airplane toy without propellers in the bowl.</x:v>
      </x:c>
      <x:c r="D899" s="31" t="str">
        <x:v>ADD airplane toy without propellers</x:v>
      </x:c>
      <x:c r="E899" s="31" t="str">
        <x:v>Binary task success; paired with the main transfer row.</x:v>
      </x:c>
      <x:c r="F899" s="31"/>
      <x:c r="G899" s="31"/>
      <x:c r="H899" s="31" t="str">
        <x:f>IF(OR(F899="",G899=""),"",IF(F899=G899,"Agree","Disagree"))</x:f>
      </x:c>
      <x:c r="I899" s="31"/>
      <x:c r="J899" s="31" t="str">
        <x:v>No</x:v>
      </x:c>
      <x:c r="K899" s="31" t="str"/>
      <x:c r="L899" s="31" t="str"/>
      <x:c r="M899" s="31" t="str"/>
      <x:c r="N899" s="31" t="str"/>
    </x:row>
    <x:row r="900" ht="42" customHeight="1">
      <x:c r="A900" s="35" t="n">
        <x:v>898</x:v>
      </x:c>
      <x:c r="B900" s="31" t="str">
        <x:f>IF('Execution Checklist'!Q900="","",'Execution Checklist'!Q900)</x:f>
      </x:c>
      <x:c r="C900" s="31" t="str">
        <x:v>Finish with two objects in the bowl.</x:v>
      </x:c>
      <x:c r="D900" s="31" t="str"/>
      <x:c r="E900" s="31" t="str">
        <x:v>Binary task success; compare with the seen-language row sharing Pair ID.</x:v>
      </x:c>
      <x:c r="F900" s="31"/>
      <x:c r="G900" s="31"/>
      <x:c r="H900" s="31" t="str">
        <x:f>IF(OR(F900="",G900=""),"",IF(F900=G900,"Agree","Disagree"))</x:f>
      </x:c>
      <x:c r="I900" s="31"/>
      <x:c r="J900" s="31" t="str">
        <x:v>No</x:v>
      </x:c>
      <x:c r="K900" s="31" t="str"/>
      <x:c r="L900" s="31" t="str"/>
      <x:c r="M900" s="31" t="str"/>
      <x:c r="N900" s="31" t="str"/>
    </x:row>
    <x:row r="901" ht="42" customHeight="1">
      <x:c r="A901" s="35" t="n">
        <x:v>899</x:v>
      </x:c>
      <x:c r="B901" s="31" t="str">
        <x:f>IF('Execution Checklist'!Q901="","",'Execution Checklist'!Q901)</x:f>
      </x:c>
      <x:c r="C901" s="31" t="str">
        <x:v>Finish with two objects in the bowl.</x:v>
      </x:c>
      <x:c r="D901" s="31" t="str"/>
      <x:c r="E901" s="31" t="str">
        <x:v>Binary task success; compare with the seen-language row sharing Pair ID.</x:v>
      </x:c>
      <x:c r="F901" s="31"/>
      <x:c r="G901" s="31"/>
      <x:c r="H901" s="31" t="str">
        <x:f>IF(OR(F901="",G901=""),"",IF(F901=G901,"Agree","Disagree"))</x:f>
      </x:c>
      <x:c r="I901" s="31"/>
      <x:c r="J901" s="31" t="str">
        <x:v>No</x:v>
      </x:c>
      <x:c r="K901" s="31" t="str"/>
      <x:c r="L901" s="31" t="str"/>
      <x:c r="M901" s="31" t="str"/>
      <x:c r="N901" s="31" t="str"/>
    </x:row>
    <x:row r="902" ht="42" customHeight="1">
      <x:c r="A902" s="35" t="n">
        <x:v>900</x:v>
      </x:c>
      <x:c r="B902" s="31" t="str">
        <x:f>IF('Execution Checklist'!Q902="","",'Execution Checklist'!Q902)</x:f>
      </x:c>
      <x:c r="C902" s="31" t="str">
        <x:v>Remove the blue pen from the bowl.</x:v>
      </x:c>
      <x:c r="D902" s="31" t="str">
        <x:v>REMOVE blue pen</x:v>
      </x:c>
      <x:c r="E902" s="31" t="str">
        <x:v>Binary task success; paired with the main transfer row.</x:v>
      </x:c>
      <x:c r="F902" s="31"/>
      <x:c r="G902" s="31"/>
      <x:c r="H902" s="31" t="str">
        <x:f>IF(OR(F902="",G902=""),"",IF(F902=G902,"Agree","Disagree"))</x:f>
      </x:c>
      <x:c r="I902" s="31"/>
      <x:c r="J902" s="31" t="str">
        <x:v>No</x:v>
      </x:c>
      <x:c r="K902" s="31" t="str"/>
      <x:c r="L902" s="31" t="str"/>
      <x:c r="M902" s="31" t="str"/>
      <x:c r="N902" s="31" t="str"/>
    </x:row>
    <x:row r="903" ht="42" customHeight="1">
      <x:c r="A903" s="35" t="n">
        <x:v>901</x:v>
      </x:c>
      <x:c r="B903" s="31" t="str">
        <x:f>IF('Execution Checklist'!Q903="","",'Execution Checklist'!Q903)</x:f>
      </x:c>
      <x:c r="C903" s="31" t="str">
        <x:v>Leave exactly one object in the bowl.</x:v>
      </x:c>
      <x:c r="D903" s="31" t="str">
        <x:v>REMOVE one bowl object</x:v>
      </x:c>
      <x:c r="E903" s="31" t="str">
        <x:v>Binary task success; paired with the main matched-control row.</x:v>
      </x:c>
      <x:c r="F903" s="31"/>
      <x:c r="G903" s="31"/>
      <x:c r="H903" s="31" t="str">
        <x:f>IF(OR(F903="",G903=""),"",IF(F903=G903,"Agree","Disagree"))</x:f>
      </x:c>
      <x:c r="I903" s="31"/>
      <x:c r="J903" s="31" t="str">
        <x:v>No</x:v>
      </x:c>
      <x:c r="K903" s="31" t="str"/>
      <x:c r="L903" s="31" t="str"/>
      <x:c r="M903" s="31" t="str"/>
      <x:c r="N903" s="31" t="str"/>
    </x:row>
    <x:row r="904" ht="42" customHeight="1">
      <x:c r="A904" s="35" t="n">
        <x:v>902</x:v>
      </x:c>
      <x:c r="B904" s="31" t="str">
        <x:f>IF('Execution Checklist'!Q904="","",'Execution Checklist'!Q904)</x:f>
      </x:c>
      <x:c r="C904" s="31" t="str">
        <x:v>Remove the yellow block from the bowl.</x:v>
      </x:c>
      <x:c r="D904" s="31" t="str">
        <x:v>REMOVE yellow block</x:v>
      </x:c>
      <x:c r="E904" s="31" t="str">
        <x:v>Binary task success; paired with the main transfer row.</x:v>
      </x:c>
      <x:c r="F904" s="31"/>
      <x:c r="G904" s="31"/>
      <x:c r="H904" s="31" t="str">
        <x:f>IF(OR(F904="",G904=""),"",IF(F904=G904,"Agree","Disagree"))</x:f>
      </x:c>
      <x:c r="I904" s="31"/>
      <x:c r="J904" s="31" t="str">
        <x:v>No</x:v>
      </x:c>
      <x:c r="K904" s="31" t="str"/>
      <x:c r="L904" s="31" t="str"/>
      <x:c r="M904" s="31" t="str"/>
      <x:c r="N904" s="31" t="str"/>
    </x:row>
    <x:row r="905" ht="42" customHeight="1">
      <x:c r="A905" s="35" t="n">
        <x:v>903</x:v>
      </x:c>
      <x:c r="B905" s="31" t="str">
        <x:f>IF('Execution Checklist'!Q905="","",'Execution Checklist'!Q905)</x:f>
      </x:c>
      <x:c r="C905" s="31" t="str">
        <x:v>Leave exactly one object in the bowl.</x:v>
      </x:c>
      <x:c r="D905" s="31" t="str">
        <x:v>REMOVE one bowl object</x:v>
      </x:c>
      <x:c r="E905" s="31" t="str">
        <x:v>Binary task success; paired with the main matched-control row.</x:v>
      </x:c>
      <x:c r="F905" s="31"/>
      <x:c r="G905" s="31"/>
      <x:c r="H905" s="31" t="str">
        <x:f>IF(OR(F905="",G905=""),"",IF(F905=G905,"Agree","Disagree"))</x:f>
      </x:c>
      <x:c r="I905" s="31"/>
      <x:c r="J905" s="31" t="str">
        <x:v>No</x:v>
      </x:c>
      <x:c r="K905" s="31" t="str"/>
      <x:c r="L905" s="31" t="str"/>
      <x:c r="M905" s="31" t="str"/>
      <x:c r="N905" s="31" t="str"/>
    </x:row>
    <x:row r="906" ht="42" customHeight="1">
      <x:c r="A906" s="35" t="n">
        <x:v>904</x:v>
      </x:c>
      <x:c r="B906" s="31" t="str">
        <x:f>IF('Execution Checklist'!Q906="","",'Execution Checklist'!Q906)</x:f>
      </x:c>
      <x:c r="C906" s="31" t="str">
        <x:v>Put the yellow block in the bowl.</x:v>
      </x:c>
      <x:c r="D906" s="31" t="str">
        <x:v>ADD yellow block</x:v>
      </x:c>
      <x:c r="E906" s="31" t="str">
        <x:v>Binary task success; paired with the main transfer row.</x:v>
      </x:c>
      <x:c r="F906" s="31"/>
      <x:c r="G906" s="31"/>
      <x:c r="H906" s="31" t="str">
        <x:f>IF(OR(F906="",G906=""),"",IF(F906=G906,"Agree","Disagree"))</x:f>
      </x:c>
      <x:c r="I906" s="31"/>
      <x:c r="J906" s="31" t="str">
        <x:v>No</x:v>
      </x:c>
      <x:c r="K906" s="31" t="str"/>
      <x:c r="L906" s="31" t="str"/>
      <x:c r="M906" s="31" t="str"/>
      <x:c r="N906" s="31" t="str"/>
    </x:row>
    <x:row r="907" ht="42" customHeight="1">
      <x:c r="A907" s="35" t="n">
        <x:v>905</x:v>
      </x:c>
      <x:c r="B907" s="31" t="str">
        <x:f>IF('Execution Checklist'!Q907="","",'Execution Checklist'!Q907)</x:f>
      </x:c>
      <x:c r="C907" s="31" t="str">
        <x:v>Leave exactly three objects in the bowl.</x:v>
      </x:c>
      <x:c r="D907" s="31" t="str">
        <x:v>ADD one table object</x:v>
      </x:c>
      <x:c r="E907" s="31" t="str">
        <x:v>Binary task success; paired with the main matched-control row.</x:v>
      </x:c>
      <x:c r="F907" s="31"/>
      <x:c r="G907" s="31"/>
      <x:c r="H907" s="31" t="str">
        <x:f>IF(OR(F907="",G907=""),"",IF(F907=G907,"Agree","Disagree"))</x:f>
      </x:c>
      <x:c r="I907" s="31"/>
      <x:c r="J907" s="31" t="str">
        <x:v>No</x:v>
      </x:c>
      <x:c r="K907" s="31" t="str"/>
      <x:c r="L907" s="31" t="str"/>
      <x:c r="M907" s="31" t="str"/>
      <x:c r="N907" s="31" t="str"/>
    </x:row>
    <x:row r="908" ht="42" customHeight="1">
      <x:c r="A908" s="35" t="n">
        <x:v>906</x:v>
      </x:c>
      <x:c r="B908" s="31" t="str">
        <x:f>IF('Execution Checklist'!Q908="","",'Execution Checklist'!Q908)</x:f>
      </x:c>
      <x:c r="C908" s="31" t="str">
        <x:v>Move the airplane toy without propellers into the bowl.</x:v>
      </x:c>
      <x:c r="D908" s="31" t="str">
        <x:v>airplane toy without propellers</x:v>
      </x:c>
      <x:c r="E908" s="31" t="str">
        <x:v>Binary task success using the task-specific rubric.</x:v>
      </x:c>
      <x:c r="F908" s="31"/>
      <x:c r="G908" s="31"/>
      <x:c r="H908" s="31" t="str">
        <x:f>IF(OR(F908="",G908=""),"",IF(F908=G908,"Agree","Disagree"))</x:f>
      </x:c>
      <x:c r="I908" s="31"/>
      <x:c r="J908" s="31" t="str">
        <x:v>No</x:v>
      </x:c>
      <x:c r="K908" s="31" t="str"/>
      <x:c r="L908" s="31" t="str"/>
      <x:c r="M908" s="31" t="str"/>
      <x:c r="N908" s="31" t="str"/>
    </x:row>
    <x:row r="909" ht="42" customHeight="1">
      <x:c r="A909" s="35" t="n">
        <x:v>907</x:v>
      </x:c>
      <x:c r="B909" s="31" t="str">
        <x:f>IF('Execution Checklist'!Q909="","",'Execution Checklist'!Q909)</x:f>
      </x:c>
      <x:c r="C909" s="31" t="str">
        <x:v>Leave exactly three objects in the bowl.</x:v>
      </x:c>
      <x:c r="D909" s="31" t="str">
        <x:v>ADD one table object</x:v>
      </x:c>
      <x:c r="E909" s="31" t="str">
        <x:v>Binary success for the counterfactual instruction and paired action-switch analysis versus the parent.</x:v>
      </x:c>
      <x:c r="F909" s="31"/>
      <x:c r="G909" s="31"/>
      <x:c r="H909" s="31" t="str">
        <x:f>IF(OR(F909="",G909=""),"",IF(F909=G909,"Agree","Disagree"))</x:f>
      </x:c>
      <x:c r="I909" s="31"/>
      <x:c r="J909" s="31" t="str">
        <x:v>No</x:v>
      </x:c>
      <x:c r="K909" s="31" t="str"/>
      <x:c r="L909" s="31" t="str"/>
      <x:c r="M909" s="31" t="str"/>
      <x:c r="N909" s="31" t="str"/>
    </x:row>
    <x:row r="910" ht="42" customHeight="1">
      <x:c r="A910" s="35" t="n">
        <x:v>908</x:v>
      </x:c>
      <x:c r="B910" s="31" t="str">
        <x:f>IF('Execution Checklist'!Q910="","",'Execution Checklist'!Q910)</x:f>
      </x:c>
      <x:c r="C910" s="31" t="str">
        <x:v>Leave exactly three objects in the bowl.</x:v>
      </x:c>
      <x:c r="D910" s="31" t="str">
        <x:v>ADD one table object</x:v>
      </x:c>
      <x:c r="E910" s="31" t="str">
        <x:v>Binary task success; paired with the main matched-control row.</x:v>
      </x:c>
      <x:c r="F910" s="31"/>
      <x:c r="G910" s="31"/>
      <x:c r="H910" s="31" t="str">
        <x:f>IF(OR(F910="",G910=""),"",IF(F910=G910,"Agree","Disagree"))</x:f>
      </x:c>
      <x:c r="I910" s="31"/>
      <x:c r="J910" s="31" t="str">
        <x:v>No</x:v>
      </x:c>
      <x:c r="K910" s="31" t="str"/>
      <x:c r="L910" s="31" t="str"/>
      <x:c r="M910" s="31" t="str"/>
      <x:c r="N910" s="31" t="str"/>
    </x:row>
    <x:row r="911" ht="42" customHeight="1">
      <x:c r="A911" s="35" t="n">
        <x:v>909</x:v>
      </x:c>
      <x:c r="B911" s="31" t="str">
        <x:f>IF('Execution Checklist'!Q911="","",'Execution Checklist'!Q911)</x:f>
      </x:c>
      <x:c r="C911" s="31" t="str">
        <x:v>Leave exactly one object in the bowl.</x:v>
      </x:c>
      <x:c r="D911" s="31" t="str">
        <x:v>REMOVE one bowl object</x:v>
      </x:c>
      <x:c r="E911" s="31" t="str">
        <x:v>Binary task success; paired with the main matched-control row.</x:v>
      </x:c>
      <x:c r="F911" s="31"/>
      <x:c r="G911" s="31"/>
      <x:c r="H911" s="31" t="str">
        <x:f>IF(OR(F911="",G911=""),"",IF(F911=G911,"Agree","Disagree"))</x:f>
      </x:c>
      <x:c r="I911" s="31"/>
      <x:c r="J911" s="31" t="str">
        <x:v>No</x:v>
      </x:c>
      <x:c r="K911" s="31" t="str"/>
      <x:c r="L911" s="31" t="str"/>
      <x:c r="M911" s="31" t="str"/>
      <x:c r="N911" s="31" t="str"/>
    </x:row>
    <x:row r="912" ht="42" customHeight="1">
      <x:c r="A912" s="35" t="n">
        <x:v>910</x:v>
      </x:c>
      <x:c r="B912" s="31" t="str">
        <x:f>IF('Execution Checklist'!Q912="","",'Execution Checklist'!Q912)</x:f>
      </x:c>
      <x:c r="C912" s="31" t="str">
        <x:v>Make the bowl contain exactly two objects.</x:v>
      </x:c>
      <x:c r="D912" s="31" t="str"/>
      <x:c r="E912" s="31" t="str">
        <x:v>Binary task success using the task-specific rubric.</x:v>
      </x:c>
      <x:c r="F912" s="31"/>
      <x:c r="G912" s="31"/>
      <x:c r="H912" s="31" t="str">
        <x:f>IF(OR(F912="",G912=""),"",IF(F912=G912,"Agree","Disagree"))</x:f>
      </x:c>
      <x:c r="I912" s="31"/>
      <x:c r="J912" s="31" t="str">
        <x:v>No</x:v>
      </x:c>
      <x:c r="K912" s="31" t="str"/>
      <x:c r="L912" s="31" t="str"/>
      <x:c r="M912" s="31" t="str"/>
      <x:c r="N912" s="31" t="str"/>
    </x:row>
    <x:row r="913" ht="42" customHeight="1">
      <x:c r="A913" s="35" t="n">
        <x:v>911</x:v>
      </x:c>
      <x:c r="B913" s="31" t="str">
        <x:f>IF('Execution Checklist'!Q913="","",'Execution Checklist'!Q913)</x:f>
      </x:c>
      <x:c r="C913" s="31" t="str">
        <x:v>Remove the airplane toy without propellers from the bowl.</x:v>
      </x:c>
      <x:c r="D913" s="31" t="str">
        <x:v>REMOVE airplane toy without propellers</x:v>
      </x:c>
      <x:c r="E913" s="31" t="str">
        <x:v>Binary task success; paired with the main transfer row.</x:v>
      </x:c>
      <x:c r="F913" s="31"/>
      <x:c r="G913" s="31"/>
      <x:c r="H913" s="31" t="str">
        <x:f>IF(OR(F913="",G913=""),"",IF(F913=G913,"Agree","Disagree"))</x:f>
      </x:c>
      <x:c r="I913" s="31"/>
      <x:c r="J913" s="31" t="str">
        <x:v>No</x:v>
      </x:c>
      <x:c r="K913" s="31" t="str"/>
      <x:c r="L913" s="31" t="str"/>
      <x:c r="M913" s="31" t="str"/>
      <x:c r="N913" s="31" t="str"/>
    </x:row>
    <x:row r="914" ht="42" customHeight="1">
      <x:c r="A914" s="35" t="n">
        <x:v>912</x:v>
      </x:c>
      <x:c r="B914" s="31" t="str">
        <x:f>IF('Execution Checklist'!Q914="","",'Execution Checklist'!Q914)</x:f>
      </x:c>
      <x:c r="C914" s="31" t="str">
        <x:v>Put the yellow block in the bowl.</x:v>
      </x:c>
      <x:c r="D914" s="31" t="str">
        <x:v>ADD yellow block</x:v>
      </x:c>
      <x:c r="E914" s="31" t="str">
        <x:v>Binary task success; paired with the main transfer row.</x:v>
      </x:c>
      <x:c r="F914" s="31"/>
      <x:c r="G914" s="31"/>
      <x:c r="H914" s="31" t="str">
        <x:f>IF(OR(F914="",G914=""),"",IF(F914=G914,"Agree","Disagree"))</x:f>
      </x:c>
      <x:c r="I914" s="31"/>
      <x:c r="J914" s="31" t="str">
        <x:v>No</x:v>
      </x:c>
      <x:c r="K914" s="31" t="str"/>
      <x:c r="L914" s="31" t="str"/>
      <x:c r="M914" s="31" t="str"/>
      <x:c r="N914" s="31" t="str"/>
    </x:row>
    <x:row r="915" ht="42" customHeight="1">
      <x:c r="A915" s="35" t="n">
        <x:v>913</x:v>
      </x:c>
      <x:c r="B915" s="31" t="str">
        <x:f>IF('Execution Checklist'!Q915="","",'Execution Checklist'!Q915)</x:f>
      </x:c>
      <x:c r="C915" s="31" t="str">
        <x:v>Finish with two objects in the bowl.</x:v>
      </x:c>
      <x:c r="D915" s="31" t="str"/>
      <x:c r="E915" s="31" t="str">
        <x:v>Binary task success; compare with the seen-language row sharing Pair ID.</x:v>
      </x:c>
      <x:c r="F915" s="31"/>
      <x:c r="G915" s="31"/>
      <x:c r="H915" s="31" t="str">
        <x:f>IF(OR(F915="",G915=""),"",IF(F915=G915,"Agree","Disagree"))</x:f>
      </x:c>
      <x:c r="I915" s="31"/>
      <x:c r="J915" s="31" t="str">
        <x:v>No</x:v>
      </x:c>
      <x:c r="K915" s="31" t="str"/>
      <x:c r="L915" s="31" t="str"/>
      <x:c r="M915" s="31" t="str"/>
      <x:c r="N915" s="31" t="str"/>
    </x:row>
    <x:row r="916" ht="42" customHeight="1">
      <x:c r="A916" s="35" t="n">
        <x:v>914</x:v>
      </x:c>
      <x:c r="B916" s="31" t="str">
        <x:f>IF('Execution Checklist'!Q916="","",'Execution Checklist'!Q916)</x:f>
      </x:c>
      <x:c r="C916" s="31" t="str">
        <x:v>Leave exactly one object in the bowl.</x:v>
      </x:c>
      <x:c r="D916" s="31" t="str">
        <x:v>REMOVE one bowl object</x:v>
      </x:c>
      <x:c r="E916" s="31" t="str">
        <x:v>Binary success for the counterfactual instruction and paired action-switch analysis versus the parent.</x:v>
      </x:c>
      <x:c r="F916" s="31"/>
      <x:c r="G916" s="31"/>
      <x:c r="H916" s="31" t="str">
        <x:f>IF(OR(F916="",G916=""),"",IF(F916=G916,"Agree","Disagree"))</x:f>
      </x:c>
      <x:c r="I916" s="31"/>
      <x:c r="J916" s="31" t="str">
        <x:v>No</x:v>
      </x:c>
      <x:c r="K916" s="31" t="str"/>
      <x:c r="L916" s="31" t="str"/>
      <x:c r="M916" s="31" t="str"/>
      <x:c r="N916" s="31" t="str"/>
    </x:row>
    <x:row r="917" ht="42" customHeight="1">
      <x:c r="A917" s="35" t="n">
        <x:v>915</x:v>
      </x:c>
      <x:c r="B917" s="31" t="str">
        <x:f>IF('Execution Checklist'!Q917="","",'Execution Checklist'!Q917)</x:f>
      </x:c>
      <x:c r="C917" s="31" t="str">
        <x:v>Remove the blue pen from the bowl.</x:v>
      </x:c>
      <x:c r="D917" s="31" t="str">
        <x:v>REMOVE blue pen</x:v>
      </x:c>
      <x:c r="E917" s="31" t="str">
        <x:v>Binary task success; paired with the main transfer row.</x:v>
      </x:c>
      <x:c r="F917" s="31"/>
      <x:c r="G917" s="31"/>
      <x:c r="H917" s="31" t="str">
        <x:f>IF(OR(F917="",G917=""),"",IF(F917=G917,"Agree","Disagree"))</x:f>
      </x:c>
      <x:c r="I917" s="31"/>
      <x:c r="J917" s="31" t="str">
        <x:v>No</x:v>
      </x:c>
      <x:c r="K917" s="31" t="str"/>
      <x:c r="L917" s="31" t="str"/>
      <x:c r="M917" s="31" t="str"/>
      <x:c r="N917" s="31" t="str"/>
    </x:row>
    <x:row r="918" ht="42" customHeight="1">
      <x:c r="A918" s="35" t="n">
        <x:v>916</x:v>
      </x:c>
      <x:c r="B918" s="31" t="str">
        <x:f>IF('Execution Checklist'!Q918="","",'Execution Checklist'!Q918)</x:f>
      </x:c>
      <x:c r="C918" s="31" t="str">
        <x:v>Remove the yellow block from the bowl.</x:v>
      </x:c>
      <x:c r="D918" s="31" t="str">
        <x:v>yellow block</x:v>
      </x:c>
      <x:c r="E918" s="31" t="str">
        <x:v>Binary task success using the task-specific rubric.</x:v>
      </x:c>
      <x:c r="F918" s="31"/>
      <x:c r="G918" s="31"/>
      <x:c r="H918" s="31" t="str">
        <x:f>IF(OR(F918="",G918=""),"",IF(F918=G918,"Agree","Disagree"))</x:f>
      </x:c>
      <x:c r="I918" s="31"/>
      <x:c r="J918" s="31" t="str">
        <x:v>No</x:v>
      </x:c>
      <x:c r="K918" s="31" t="str"/>
      <x:c r="L918" s="31" t="str"/>
      <x:c r="M918" s="31" t="str"/>
      <x:c r="N918" s="31" t="str"/>
    </x:row>
    <x:row r="919" ht="42" customHeight="1">
      <x:c r="A919" s="35" t="n">
        <x:v>917</x:v>
      </x:c>
      <x:c r="B919" s="31" t="str">
        <x:f>IF('Execution Checklist'!Q919="","",'Execution Checklist'!Q919)</x:f>
      </x:c>
      <x:c r="C919" s="31" t="str">
        <x:v>Leave exactly three objects in the bowl.</x:v>
      </x:c>
      <x:c r="D919" s="31" t="str">
        <x:v>ADD one table object</x:v>
      </x:c>
      <x:c r="E919" s="31" t="str">
        <x:v>Binary task success; paired with the main matched-control row.</x:v>
      </x:c>
      <x:c r="F919" s="31"/>
      <x:c r="G919" s="31"/>
      <x:c r="H919" s="31" t="str">
        <x:f>IF(OR(F919="",G919=""),"",IF(F919=G919,"Agree","Disagree"))</x:f>
      </x:c>
      <x:c r="I919" s="31"/>
      <x:c r="J919" s="31" t="str">
        <x:v>No</x:v>
      </x:c>
      <x:c r="K919" s="31" t="str"/>
      <x:c r="L919" s="31" t="str"/>
      <x:c r="M919" s="31" t="str"/>
      <x:c r="N919" s="31" t="str"/>
    </x:row>
    <x:row r="920" ht="42" customHeight="1">
      <x:c r="A920" s="35" t="n">
        <x:v>918</x:v>
      </x:c>
      <x:c r="B920" s="31" t="str">
        <x:f>IF('Execution Checklist'!Q920="","",'Execution Checklist'!Q920)</x:f>
      </x:c>
      <x:c r="C920" s="31" t="str">
        <x:v>Finish with two objects in the bowl.</x:v>
      </x:c>
      <x:c r="D920" s="31" t="str"/>
      <x:c r="E920" s="31" t="str">
        <x:v>Binary task success; compare with the seen-language row sharing Pair ID.</x:v>
      </x:c>
      <x:c r="F920" s="31"/>
      <x:c r="G920" s="31"/>
      <x:c r="H920" s="31" t="str">
        <x:f>IF(OR(F920="",G920=""),"",IF(F920=G920,"Agree","Disagree"))</x:f>
      </x:c>
      <x:c r="I920" s="31"/>
      <x:c r="J920" s="31" t="str">
        <x:v>No</x:v>
      </x:c>
      <x:c r="K920" s="31" t="str"/>
      <x:c r="L920" s="31" t="str"/>
      <x:c r="M920" s="31" t="str"/>
      <x:c r="N920" s="31" t="str"/>
    </x:row>
    <x:row r="921" ht="42" customHeight="1">
      <x:c r="A921" s="35" t="n">
        <x:v>919</x:v>
      </x:c>
      <x:c r="B921" s="31" t="str">
        <x:f>IF('Execution Checklist'!Q921="","",'Execution Checklist'!Q921)</x:f>
      </x:c>
      <x:c r="C921" s="31" t="str">
        <x:v>Leave exactly one object in the bowl.</x:v>
      </x:c>
      <x:c r="D921" s="31" t="str">
        <x:v>REMOVE one bowl object</x:v>
      </x:c>
      <x:c r="E921" s="31" t="str">
        <x:v>Binary success for the counterfactual instruction and paired action-switch analysis versus the parent.</x:v>
      </x:c>
      <x:c r="F921" s="31"/>
      <x:c r="G921" s="31"/>
      <x:c r="H921" s="31" t="str">
        <x:f>IF(OR(F921="",G921=""),"",IF(F921=G921,"Agree","Disagree"))</x:f>
      </x:c>
      <x:c r="I921" s="31"/>
      <x:c r="J921" s="31" t="str">
        <x:v>No</x:v>
      </x:c>
      <x:c r="K921" s="31" t="str"/>
      <x:c r="L921" s="31" t="str"/>
      <x:c r="M921" s="31" t="str"/>
      <x:c r="N921" s="31" t="str"/>
    </x:row>
    <x:row r="922" ht="42" customHeight="1">
      <x:c r="A922" s="35" t="n">
        <x:v>920</x:v>
      </x:c>
      <x:c r="B922" s="31" t="str">
        <x:f>IF('Execution Checklist'!Q922="","",'Execution Checklist'!Q922)</x:f>
      </x:c>
      <x:c r="C922" s="31" t="str">
        <x:v>Finish with two objects in the bowl.</x:v>
      </x:c>
      <x:c r="D922" s="31" t="str"/>
      <x:c r="E922" s="31" t="str">
        <x:v>Binary task success; compare with the seen-language row sharing Pair ID.</x:v>
      </x:c>
      <x:c r="F922" s="31"/>
      <x:c r="G922" s="31"/>
      <x:c r="H922" s="31" t="str">
        <x:f>IF(OR(F922="",G922=""),"",IF(F922=G922,"Agree","Disagree"))</x:f>
      </x:c>
      <x:c r="I922" s="31"/>
      <x:c r="J922" s="31" t="str">
        <x:v>No</x:v>
      </x:c>
      <x:c r="K922" s="31" t="str"/>
      <x:c r="L922" s="31" t="str"/>
      <x:c r="M922" s="31" t="str"/>
      <x:c r="N922" s="31" t="str"/>
    </x:row>
    <x:row r="923" ht="42" customHeight="1">
      <x:c r="A923" s="35" t="n">
        <x:v>921</x:v>
      </x:c>
      <x:c r="B923" s="31" t="str">
        <x:f>IF('Execution Checklist'!Q923="","",'Execution Checklist'!Q923)</x:f>
      </x:c>
      <x:c r="C923" s="31" t="str">
        <x:v>Finish with two objects in the bowl.</x:v>
      </x:c>
      <x:c r="D923" s="31" t="str"/>
      <x:c r="E923" s="31" t="str">
        <x:v>Binary task success; compare with the seen-language row sharing Pair ID.</x:v>
      </x:c>
      <x:c r="F923" s="31"/>
      <x:c r="G923" s="31"/>
      <x:c r="H923" s="31" t="str">
        <x:f>IF(OR(F923="",G923=""),"",IF(F923=G923,"Agree","Disagree"))</x:f>
      </x:c>
      <x:c r="I923" s="31"/>
      <x:c r="J923" s="31" t="str">
        <x:v>No</x:v>
      </x:c>
      <x:c r="K923" s="31" t="str"/>
      <x:c r="L923" s="31" t="str"/>
      <x:c r="M923" s="31" t="str"/>
      <x:c r="N923" s="31" t="str"/>
    </x:row>
    <x:row r="924" ht="42" customHeight="1">
      <x:c r="A924" s="35" t="n">
        <x:v>922</x:v>
      </x:c>
      <x:c r="B924" s="31" t="str">
        <x:f>IF('Execution Checklist'!Q924="","",'Execution Checklist'!Q924)</x:f>
      </x:c>
      <x:c r="C924" s="31" t="str">
        <x:v>Leave exactly one object in the bowl.</x:v>
      </x:c>
      <x:c r="D924" s="31" t="str">
        <x:v>REMOVE one bowl object</x:v>
      </x:c>
      <x:c r="E924" s="31" t="str">
        <x:v>Binary task success; paired with the main matched-control row.</x:v>
      </x:c>
      <x:c r="F924" s="31"/>
      <x:c r="G924" s="31"/>
      <x:c r="H924" s="31" t="str">
        <x:f>IF(OR(F924="",G924=""),"",IF(F924=G924,"Agree","Disagree"))</x:f>
      </x:c>
      <x:c r="I924" s="31"/>
      <x:c r="J924" s="31" t="str">
        <x:v>No</x:v>
      </x:c>
      <x:c r="K924" s="31" t="str"/>
      <x:c r="L924" s="31" t="str"/>
      <x:c r="M924" s="31" t="str"/>
      <x:c r="N924" s="31" t="str"/>
    </x:row>
    <x:row r="925" ht="42" customHeight="1">
      <x:c r="A925" s="35" t="n">
        <x:v>923</x:v>
      </x:c>
      <x:c r="B925" s="31" t="str">
        <x:f>IF('Execution Checklist'!Q925="","",'Execution Checklist'!Q925)</x:f>
      </x:c>
      <x:c r="C925" s="31" t="str">
        <x:v>Adjust the bowl so that it contains two objects.</x:v>
      </x:c>
      <x:c r="D925" s="31" t="str"/>
      <x:c r="E925" s="31" t="str">
        <x:v>Binary task success using the task-specific rubric.</x:v>
      </x:c>
      <x:c r="F925" s="31"/>
      <x:c r="G925" s="31"/>
      <x:c r="H925" s="31" t="str">
        <x:f>IF(OR(F925="",G925=""),"",IF(F925=G925,"Agree","Disagree"))</x:f>
      </x:c>
      <x:c r="I925" s="31"/>
      <x:c r="J925" s="31" t="str">
        <x:v>No</x:v>
      </x:c>
      <x:c r="K925" s="31" t="str"/>
      <x:c r="L925" s="31" t="str"/>
      <x:c r="M925" s="31" t="str"/>
      <x:c r="N925" s="31" t="str"/>
    </x:row>
    <x:row r="926" ht="42" customHeight="1">
      <x:c r="A926" s="35" t="n">
        <x:v>924</x:v>
      </x:c>
      <x:c r="B926" s="31" t="str">
        <x:f>IF('Execution Checklist'!Q926="","",'Execution Checklist'!Q926)</x:f>
      </x:c>
      <x:c r="C926" s="31" t="str">
        <x:v>Adjust the bowl so that it contains two objects.</x:v>
      </x:c>
      <x:c r="D926" s="31" t="str"/>
      <x:c r="E926" s="31" t="str">
        <x:v>Binary task success using the task-specific rubric.</x:v>
      </x:c>
      <x:c r="F926" s="31"/>
      <x:c r="G926" s="31"/>
      <x:c r="H926" s="31" t="str">
        <x:f>IF(OR(F926="",G926=""),"",IF(F926=G926,"Agree","Disagree"))</x:f>
      </x:c>
      <x:c r="I926" s="31"/>
      <x:c r="J926" s="31" t="str">
        <x:v>No</x:v>
      </x:c>
      <x:c r="K926" s="31" t="str"/>
      <x:c r="L926" s="31" t="str"/>
      <x:c r="M926" s="31" t="str"/>
      <x:c r="N926" s="31" t="str"/>
    </x:row>
    <x:row r="927" ht="42" customHeight="1">
      <x:c r="A927" s="35" t="n">
        <x:v>925</x:v>
      </x:c>
      <x:c r="B927" s="31" t="str">
        <x:f>IF('Execution Checklist'!Q927="","",'Execution Checklist'!Q927)</x:f>
      </x:c>
      <x:c r="C927" s="31" t="str">
        <x:v>Leave exactly one object in the bowl.</x:v>
      </x:c>
      <x:c r="D927" s="31" t="str">
        <x:v>No prespecified task success under blank language; record any action/selected target.</x:v>
      </x:c>
      <x:c r="E927" s="31" t="str">
        <x:v>Do not score ordinary task success. Record action occurrence and agreement with the parent correct-prompt rollout.</x:v>
      </x:c>
      <x:c r="F927" s="31"/>
      <x:c r="G927" s="31"/>
      <x:c r="H927" s="31" t="str">
        <x:f>IF(OR(F927="",G927=""),"",IF(F927=G927,"Agree","Disagree"))</x:f>
      </x:c>
      <x:c r="I927" s="31"/>
      <x:c r="J927" s="31" t="str">
        <x:v>No</x:v>
      </x:c>
      <x:c r="K927" s="31" t="str"/>
      <x:c r="L927" s="31" t="str"/>
      <x:c r="M927" s="31" t="str"/>
      <x:c r="N927" s="31" t="str"/>
    </x:row>
    <x:row r="928" ht="42" customHeight="1">
      <x:c r="A928" s="35" t="n">
        <x:v>926</x:v>
      </x:c>
      <x:c r="B928" s="31" t="str">
        <x:f>IF('Execution Checklist'!Q928="","",'Execution Checklist'!Q928)</x:f>
      </x:c>
      <x:c r="C928" s="31" t="str">
        <x:v>Leave exactly one object in the bowl.</x:v>
      </x:c>
      <x:c r="D928" s="31" t="str">
        <x:v>REMOVE one bowl object</x:v>
      </x:c>
      <x:c r="E928" s="31" t="str">
        <x:v>Binary task success; paired with the main matched-control row.</x:v>
      </x:c>
      <x:c r="F928" s="31"/>
      <x:c r="G928" s="31"/>
      <x:c r="H928" s="31" t="str">
        <x:f>IF(OR(F928="",G928=""),"",IF(F928=G928,"Agree","Disagree"))</x:f>
      </x:c>
      <x:c r="I928" s="31"/>
      <x:c r="J928" s="31" t="str">
        <x:v>No</x:v>
      </x:c>
      <x:c r="K928" s="31" t="str"/>
      <x:c r="L928" s="31" t="str"/>
      <x:c r="M928" s="31" t="str"/>
      <x:c r="N928" s="31" t="str"/>
    </x:row>
    <x:row r="929" ht="42" customHeight="1">
      <x:c r="A929" s="35" t="n">
        <x:v>927</x:v>
      </x:c>
      <x:c r="B929" s="31" t="str">
        <x:f>IF('Execution Checklist'!Q929="","",'Execution Checklist'!Q929)</x:f>
      </x:c>
      <x:c r="C929" s="31" t="str">
        <x:v>Adjust the bowl so that it contains zero objects.</x:v>
      </x:c>
      <x:c r="D929" s="31" t="str"/>
      <x:c r="E929" s="31" t="str">
        <x:v>Binary task success using the task-specific rubric.</x:v>
      </x:c>
      <x:c r="F929" s="31"/>
      <x:c r="G929" s="31"/>
      <x:c r="H929" s="31" t="str">
        <x:f>IF(OR(F929="",G929=""),"",IF(F929=G929,"Agree","Disagree"))</x:f>
      </x:c>
      <x:c r="I929" s="31"/>
      <x:c r="J929" s="31" t="str">
        <x:v>No</x:v>
      </x:c>
      <x:c r="K929" s="31" t="str"/>
      <x:c r="L929" s="31" t="str"/>
      <x:c r="M929" s="31" t="str"/>
      <x:c r="N929" s="31" t="str"/>
    </x:row>
    <x:row r="930" ht="42" customHeight="1">
      <x:c r="A930" s="35" t="n">
        <x:v>928</x:v>
      </x:c>
      <x:c r="B930" s="31" t="str">
        <x:f>IF('Execution Checklist'!Q930="","",'Execution Checklist'!Q930)</x:f>
      </x:c>
      <x:c r="C930" s="31" t="str">
        <x:v>Leave exactly one object in the bowl.</x:v>
      </x:c>
      <x:c r="D930" s="31" t="str">
        <x:v>No prespecified task success under blank language; record any action/selected target.</x:v>
      </x:c>
      <x:c r="E930" s="31" t="str">
        <x:v>Do not score ordinary task success. Record action occurrence and agreement with the parent correct-prompt rollout.</x:v>
      </x:c>
      <x:c r="F930" s="31"/>
      <x:c r="G930" s="31"/>
      <x:c r="H930" s="31" t="str">
        <x:f>IF(OR(F930="",G930=""),"",IF(F930=G930,"Agree","Disagree"))</x:f>
      </x:c>
      <x:c r="I930" s="31"/>
      <x:c r="J930" s="31" t="str">
        <x:v>No</x:v>
      </x:c>
      <x:c r="K930" s="31" t="str"/>
      <x:c r="L930" s="31" t="str"/>
      <x:c r="M930" s="31" t="str"/>
      <x:c r="N930" s="31" t="str"/>
    </x:row>
    <x:row r="931" ht="42" customHeight="1">
      <x:c r="A931" s="35" t="n">
        <x:v>929</x:v>
      </x:c>
      <x:c r="B931" s="31" t="str">
        <x:f>IF('Execution Checklist'!Q931="","",'Execution Checklist'!Q931)</x:f>
      </x:c>
      <x:c r="C931" s="31" t="str">
        <x:v>Adjust the bowl so that it contains zero objects.</x:v>
      </x:c>
      <x:c r="D931" s="31" t="str"/>
      <x:c r="E931" s="31" t="str">
        <x:v>Binary task success using the task-specific rubric.</x:v>
      </x:c>
      <x:c r="F931" s="31"/>
      <x:c r="G931" s="31"/>
      <x:c r="H931" s="31" t="str">
        <x:f>IF(OR(F931="",G931=""),"",IF(F931=G931,"Agree","Disagree"))</x:f>
      </x:c>
      <x:c r="I931" s="31"/>
      <x:c r="J931" s="31" t="str">
        <x:v>No</x:v>
      </x:c>
      <x:c r="K931" s="31" t="str"/>
      <x:c r="L931" s="31" t="str"/>
      <x:c r="M931" s="31" t="str"/>
      <x:c r="N931" s="31" t="str"/>
    </x:row>
    <x:row r="932" ht="42" customHeight="1">
      <x:c r="A932" s="35" t="n">
        <x:v>930</x:v>
      </x:c>
      <x:c r="B932" s="31" t="str">
        <x:f>IF('Execution Checklist'!Q932="","",'Execution Checklist'!Q932)</x:f>
      </x:c>
      <x:c r="C932" s="31" t="str">
        <x:v>Place the green pen beside the red block.</x:v>
      </x:c>
      <x:c r="D932" s="31" t="str">
        <x:v>green pen near red block</x:v>
      </x:c>
      <x:c r="E932" s="31" t="str">
        <x:v>Binary task success; paired with the main transfer row.</x:v>
      </x:c>
      <x:c r="F932" s="31"/>
      <x:c r="G932" s="31"/>
      <x:c r="H932" s="31" t="str">
        <x:f>IF(OR(F932="",G932=""),"",IF(F932=G932,"Agree","Disagree"))</x:f>
      </x:c>
      <x:c r="I932" s="31"/>
      <x:c r="J932" s="31" t="str">
        <x:v>No</x:v>
      </x:c>
      <x:c r="K932" s="31" t="str"/>
      <x:c r="L932" s="31" t="str"/>
      <x:c r="M932" s="31" t="str"/>
      <x:c r="N932" s="31" t="str"/>
    </x:row>
    <x:row r="933" ht="42" customHeight="1">
      <x:c r="A933" s="35" t="n">
        <x:v>931</x:v>
      </x:c>
      <x:c r="B933" s="31" t="str">
        <x:f>IF('Execution Checklist'!Q933="","",'Execution Checklist'!Q933)</x:f>
      </x:c>
      <x:c r="C933" s="31" t="str">
        <x:v>Place the green pen to the right of the red block.</x:v>
      </x:c>
      <x:c r="D933" s="31" t="str">
        <x:v>green pen → to the right of red block</x:v>
      </x:c>
      <x:c r="E933" s="31" t="str">
        <x:v>Binary task success; paired with the main matched-control row.</x:v>
      </x:c>
      <x:c r="F933" s="31"/>
      <x:c r="G933" s="31"/>
      <x:c r="H933" s="31" t="str">
        <x:f>IF(OR(F933="",G933=""),"",IF(F933=G933,"Agree","Disagree"))</x:f>
      </x:c>
      <x:c r="I933" s="31"/>
      <x:c r="J933" s="31" t="str">
        <x:v>No</x:v>
      </x:c>
      <x:c r="K933" s="31" t="str"/>
      <x:c r="L933" s="31" t="str"/>
      <x:c r="M933" s="31" t="str"/>
      <x:c r="N933" s="31" t="str"/>
    </x:row>
    <x:row r="934" ht="42" customHeight="1">
      <x:c r="A934" s="35" t="n">
        <x:v>932</x:v>
      </x:c>
      <x:c r="B934" s="31" t="str">
        <x:f>IF('Execution Checklist'!Q934="","",'Execution Checklist'!Q934)</x:f>
      </x:c>
      <x:c r="C934" s="31" t="str">
        <x:v>Place the green pen near the red block.</x:v>
      </x:c>
      <x:c r="D934" s="31" t="str">
        <x:v>green pen near red block</x:v>
      </x:c>
      <x:c r="E934" s="31" t="str">
        <x:v>Binary task success; paired with the main transfer row.</x:v>
      </x:c>
      <x:c r="F934" s="31"/>
      <x:c r="G934" s="31"/>
      <x:c r="H934" s="31" t="str">
        <x:f>IF(OR(F934="",G934=""),"",IF(F934=G934,"Agree","Disagree"))</x:f>
      </x:c>
      <x:c r="I934" s="31"/>
      <x:c r="J934" s="31" t="str">
        <x:v>No</x:v>
      </x:c>
      <x:c r="K934" s="31" t="str"/>
      <x:c r="L934" s="31" t="str"/>
      <x:c r="M934" s="31" t="str"/>
      <x:c r="N934" s="31" t="str"/>
    </x:row>
    <x:row r="935" ht="42" customHeight="1">
      <x:c r="A935" s="35" t="n">
        <x:v>933</x:v>
      </x:c>
      <x:c r="B935" s="31" t="str">
        <x:f>IF('Execution Checklist'!Q935="","",'Execution Checklist'!Q935)</x:f>
      </x:c>
      <x:c r="C935" s="31" t="str">
        <x:v>Place the green pen in front of the red block.</x:v>
      </x:c>
      <x:c r="D935" s="31" t="str">
        <x:v>No prespecified task success under blank language; record any action/selected target.</x:v>
      </x:c>
      <x:c r="E935" s="31" t="str">
        <x:v>Do not score ordinary task success. Record action occurrence and agreement with the parent correct-prompt rollout.</x:v>
      </x:c>
      <x:c r="F935" s="31"/>
      <x:c r="G935" s="31"/>
      <x:c r="H935" s="31" t="str">
        <x:f>IF(OR(F935="",G935=""),"",IF(F935=G935,"Agree","Disagree"))</x:f>
      </x:c>
      <x:c r="I935" s="31"/>
      <x:c r="J935" s="31" t="str">
        <x:v>No</x:v>
      </x:c>
      <x:c r="K935" s="31" t="str"/>
      <x:c r="L935" s="31" t="str"/>
      <x:c r="M935" s="31" t="str"/>
      <x:c r="N935" s="31" t="str"/>
    </x:row>
    <x:row r="936" ht="42" customHeight="1">
      <x:c r="A936" s="35" t="n">
        <x:v>934</x:v>
      </x:c>
      <x:c r="B936" s="31" t="str">
        <x:f>IF('Execution Checklist'!Q936="","",'Execution Checklist'!Q936)</x:f>
      </x:c>
      <x:c r="C936" s="31" t="str">
        <x:v>Move the red block to the side of the pink marker facing the robot.</x:v>
      </x:c>
      <x:c r="D936" s="31" t="str">
        <x:v>red block</x:v>
      </x:c>
      <x:c r="E936" s="31" t="str">
        <x:v>Binary task success; compare with the seen-language row sharing Pair ID.</x:v>
      </x:c>
      <x:c r="F936" s="31"/>
      <x:c r="G936" s="31"/>
      <x:c r="H936" s="31" t="str">
        <x:f>IF(OR(F936="",G936=""),"",IF(F936=G936,"Agree","Disagree"))</x:f>
      </x:c>
      <x:c r="I936" s="31"/>
      <x:c r="J936" s="31" t="str">
        <x:v>No</x:v>
      </x:c>
      <x:c r="K936" s="31" t="str"/>
      <x:c r="L936" s="31" t="str"/>
      <x:c r="M936" s="31" t="str"/>
      <x:c r="N936" s="31" t="str"/>
    </x:row>
    <x:row r="937" ht="42" customHeight="1">
      <x:c r="A937" s="35" t="n">
        <x:v>935</x:v>
      </x:c>
      <x:c r="B937" s="31" t="str">
        <x:f>IF('Execution Checklist'!Q937="","",'Execution Checklist'!Q937)</x:f>
      </x:c>
      <x:c r="C937" s="31" t="str">
        <x:v>Place the red block beside the green pen.</x:v>
      </x:c>
      <x:c r="D937" s="31" t="str">
        <x:v>red block near green pen</x:v>
      </x:c>
      <x:c r="E937" s="31" t="str">
        <x:v>Binary task success; paired with the main transfer row.</x:v>
      </x:c>
      <x:c r="F937" s="31"/>
      <x:c r="G937" s="31"/>
      <x:c r="H937" s="31" t="str">
        <x:f>IF(OR(F937="",G937=""),"",IF(F937=G937,"Agree","Disagree"))</x:f>
      </x:c>
      <x:c r="I937" s="31"/>
      <x:c r="J937" s="31" t="str">
        <x:v>No</x:v>
      </x:c>
      <x:c r="K937" s="31" t="str"/>
      <x:c r="L937" s="31" t="str"/>
      <x:c r="M937" s="31" t="str"/>
      <x:c r="N937" s="31" t="str"/>
    </x:row>
    <x:row r="938" ht="42" customHeight="1">
      <x:c r="A938" s="35" t="n">
        <x:v>936</x:v>
      </x:c>
      <x:c r="B938" s="31" t="str">
        <x:f>IF('Execution Checklist'!Q938="","",'Execution Checklist'!Q938)</x:f>
      </x:c>
      <x:c r="C938" s="31" t="str">
        <x:v>Place the blue block behind the green pen.</x:v>
      </x:c>
      <x:c r="D938" s="31" t="str">
        <x:v>blue block</x:v>
      </x:c>
      <x:c r="E938" s="31" t="str">
        <x:v>Binary task success using the task-specific rubric.</x:v>
      </x:c>
      <x:c r="F938" s="31"/>
      <x:c r="G938" s="31"/>
      <x:c r="H938" s="31" t="str">
        <x:f>IF(OR(F938="",G938=""),"",IF(F938=G938,"Agree","Disagree"))</x:f>
      </x:c>
      <x:c r="I938" s="31"/>
      <x:c r="J938" s="31" t="str">
        <x:v>No</x:v>
      </x:c>
      <x:c r="K938" s="31" t="str"/>
      <x:c r="L938" s="31" t="str"/>
      <x:c r="M938" s="31" t="str"/>
      <x:c r="N938" s="31" t="str"/>
    </x:row>
    <x:row r="939" ht="42" customHeight="1">
      <x:c r="A939" s="35" t="n">
        <x:v>937</x:v>
      </x:c>
      <x:c r="B939" s="31" t="str">
        <x:f>IF('Execution Checklist'!Q939="","",'Execution Checklist'!Q939)</x:f>
      </x:c>
      <x:c r="C939" s="31" t="str">
        <x:v>Place the green pen in front of the red block.</x:v>
      </x:c>
      <x:c r="D939" s="31" t="str">
        <x:v>green pen → in front of red block</x:v>
      </x:c>
      <x:c r="E939" s="31" t="str">
        <x:v>Binary task success; paired with the main matched-control row.</x:v>
      </x:c>
      <x:c r="F939" s="31"/>
      <x:c r="G939" s="31"/>
      <x:c r="H939" s="31" t="str">
        <x:f>IF(OR(F939="",G939=""),"",IF(F939=G939,"Agree","Disagree"))</x:f>
      </x:c>
      <x:c r="I939" s="31"/>
      <x:c r="J939" s="31" t="str">
        <x:v>No</x:v>
      </x:c>
      <x:c r="K939" s="31" t="str"/>
      <x:c r="L939" s="31" t="str"/>
      <x:c r="M939" s="31" t="str"/>
      <x:c r="N939" s="31" t="str"/>
    </x:row>
    <x:row r="940" ht="42" customHeight="1">
      <x:c r="A940" s="35" t="n">
        <x:v>938</x:v>
      </x:c>
      <x:c r="B940" s="31" t="str">
        <x:f>IF('Execution Checklist'!Q940="","",'Execution Checklist'!Q940)</x:f>
      </x:c>
      <x:c r="C940" s="31" t="str">
        <x:v>Place the green pen to the left of the red block.</x:v>
      </x:c>
      <x:c r="D940" s="31" t="str">
        <x:v>No prespecified task success under blank language; record any action/selected target.</x:v>
      </x:c>
      <x:c r="E940" s="31" t="str">
        <x:v>Do not score ordinary task success. Record action occurrence and agreement with the parent correct-prompt rollout.</x:v>
      </x:c>
      <x:c r="F940" s="31"/>
      <x:c r="G940" s="31"/>
      <x:c r="H940" s="31" t="str">
        <x:f>IF(OR(F940="",G940=""),"",IF(F940=G940,"Agree","Disagree"))</x:f>
      </x:c>
      <x:c r="I940" s="31"/>
      <x:c r="J940" s="31" t="str">
        <x:v>No</x:v>
      </x:c>
      <x:c r="K940" s="31" t="str"/>
      <x:c r="L940" s="31" t="str"/>
      <x:c r="M940" s="31" t="str"/>
      <x:c r="N940" s="31" t="str"/>
    </x:row>
    <x:row r="941" ht="42" customHeight="1">
      <x:c r="A941" s="35" t="n">
        <x:v>939</x:v>
      </x:c>
      <x:c r="B941" s="31" t="str">
        <x:f>IF('Execution Checklist'!Q941="","",'Execution Checklist'!Q941)</x:f>
      </x:c>
      <x:c r="C941" s="31" t="str">
        <x:v>Place the green pen beside the red block.</x:v>
      </x:c>
      <x:c r="D941" s="31" t="str">
        <x:v>green pen near red block</x:v>
      </x:c>
      <x:c r="E941" s="31" t="str">
        <x:v>Binary task success; paired with the main transfer row.</x:v>
      </x:c>
      <x:c r="F941" s="31"/>
      <x:c r="G941" s="31"/>
      <x:c r="H941" s="31" t="str">
        <x:f>IF(OR(F941="",G941=""),"",IF(F941=G941,"Agree","Disagree"))</x:f>
      </x:c>
      <x:c r="I941" s="31"/>
      <x:c r="J941" s="31" t="str">
        <x:v>No</x:v>
      </x:c>
      <x:c r="K941" s="31" t="str"/>
      <x:c r="L941" s="31" t="str"/>
      <x:c r="M941" s="31" t="str"/>
      <x:c r="N941" s="31" t="str"/>
    </x:row>
    <x:row r="942" ht="42" customHeight="1">
      <x:c r="A942" s="35" t="n">
        <x:v>940</x:v>
      </x:c>
      <x:c r="B942" s="31" t="str">
        <x:f>IF('Execution Checklist'!Q942="","",'Execution Checklist'!Q942)</x:f>
      </x:c>
      <x:c r="C942" s="31" t="str">
        <x:v>Place the red block beside the green pen.</x:v>
      </x:c>
      <x:c r="D942" s="31" t="str">
        <x:v>red block near green pen</x:v>
      </x:c>
      <x:c r="E942" s="31" t="str">
        <x:v>Binary task success; paired with the main transfer row.</x:v>
      </x:c>
      <x:c r="F942" s="31"/>
      <x:c r="G942" s="31"/>
      <x:c r="H942" s="31" t="str">
        <x:f>IF(OR(F942="",G942=""),"",IF(F942=G942,"Agree","Disagree"))</x:f>
      </x:c>
      <x:c r="I942" s="31"/>
      <x:c r="J942" s="31" t="str">
        <x:v>No</x:v>
      </x:c>
      <x:c r="K942" s="31" t="str"/>
      <x:c r="L942" s="31" t="str"/>
      <x:c r="M942" s="31" t="str"/>
      <x:c r="N942" s="31" t="str"/>
    </x:row>
    <x:row r="943" ht="42" customHeight="1">
      <x:c r="A943" s="35" t="n">
        <x:v>941</x:v>
      </x:c>
      <x:c r="B943" s="31" t="str">
        <x:f>IF('Execution Checklist'!Q943="","",'Execution Checklist'!Q943)</x:f>
      </x:c>
      <x:c r="C943" s="31" t="str">
        <x:v>Place the green pen behind the pink marker.</x:v>
      </x:c>
      <x:c r="D943" s="31" t="str">
        <x:v>green pen</x:v>
      </x:c>
      <x:c r="E943" s="31" t="str">
        <x:v>Binary task success using the task-specific rubric.</x:v>
      </x:c>
      <x:c r="F943" s="31"/>
      <x:c r="G943" s="31"/>
      <x:c r="H943" s="31" t="str">
        <x:f>IF(OR(F943="",G943=""),"",IF(F943=G943,"Agree","Disagree"))</x:f>
      </x:c>
      <x:c r="I943" s="31"/>
      <x:c r="J943" s="31" t="str">
        <x:v>No</x:v>
      </x:c>
      <x:c r="K943" s="31" t="str"/>
      <x:c r="L943" s="31" t="str"/>
      <x:c r="M943" s="31" t="str"/>
      <x:c r="N943" s="31" t="str"/>
    </x:row>
    <x:row r="944" ht="42" customHeight="1">
      <x:c r="A944" s="35" t="n">
        <x:v>942</x:v>
      </x:c>
      <x:c r="B944" s="31" t="str">
        <x:f>IF('Execution Checklist'!Q944="","",'Execution Checklist'!Q944)</x:f>
      </x:c>
      <x:c r="C944" s="31" t="str">
        <x:v>Place the green pen to the right of the red block.</x:v>
      </x:c>
      <x:c r="D944" s="31" t="str">
        <x:v>green pen → to the right of red block</x:v>
      </x:c>
      <x:c r="E944" s="31" t="str">
        <x:v>Binary task success; paired with the main matched-control row.</x:v>
      </x:c>
      <x:c r="F944" s="31"/>
      <x:c r="G944" s="31"/>
      <x:c r="H944" s="31" t="str">
        <x:f>IF(OR(F944="",G944=""),"",IF(F944=G944,"Agree","Disagree"))</x:f>
      </x:c>
      <x:c r="I944" s="31"/>
      <x:c r="J944" s="31" t="str">
        <x:v>No</x:v>
      </x:c>
      <x:c r="K944" s="31" t="str"/>
      <x:c r="L944" s="31" t="str"/>
      <x:c r="M944" s="31" t="str"/>
      <x:c r="N944" s="31" t="str"/>
    </x:row>
    <x:row r="945" ht="42" customHeight="1">
      <x:c r="A945" s="35" t="n">
        <x:v>943</x:v>
      </x:c>
      <x:c r="B945" s="31" t="str">
        <x:f>IF('Execution Checklist'!Q945="","",'Execution Checklist'!Q945)</x:f>
      </x:c>
      <x:c r="C945" s="31" t="str">
        <x:v>Place the green pen next to the red block.</x:v>
      </x:c>
      <x:c r="D945" s="31" t="str">
        <x:v>green pen near red block</x:v>
      </x:c>
      <x:c r="E945" s="31" t="str">
        <x:v>Binary task success; paired with the main transfer row.</x:v>
      </x:c>
      <x:c r="F945" s="31"/>
      <x:c r="G945" s="31"/>
      <x:c r="H945" s="31" t="str">
        <x:f>IF(OR(F945="",G945=""),"",IF(F945=G945,"Agree","Disagree"))</x:f>
      </x:c>
      <x:c r="I945" s="31"/>
      <x:c r="J945" s="31" t="str">
        <x:v>No</x:v>
      </x:c>
      <x:c r="K945" s="31" t="str"/>
      <x:c r="L945" s="31" t="str"/>
      <x:c r="M945" s="31" t="str"/>
      <x:c r="N945" s="31" t="str"/>
    </x:row>
    <x:row r="946" ht="42" customHeight="1">
      <x:c r="A946" s="35" t="n">
        <x:v>944</x:v>
      </x:c>
      <x:c r="B946" s="31" t="str">
        <x:f>IF('Execution Checklist'!Q946="","",'Execution Checklist'!Q946)</x:f>
      </x:c>
      <x:c r="C946" s="31" t="str">
        <x:v>Place the red block to the right of the green pen.</x:v>
      </x:c>
      <x:c r="D946" s="31" t="str">
        <x:v>red block → to the right of green pen</x:v>
      </x:c>
      <x:c r="E946" s="31" t="str">
        <x:v>Binary task success; paired with the main matched-control row.</x:v>
      </x:c>
      <x:c r="F946" s="31"/>
      <x:c r="G946" s="31"/>
      <x:c r="H946" s="31" t="str">
        <x:f>IF(OR(F946="",G946=""),"",IF(F946=G946,"Agree","Disagree"))</x:f>
      </x:c>
      <x:c r="I946" s="31"/>
      <x:c r="J946" s="31" t="str">
        <x:v>No</x:v>
      </x:c>
      <x:c r="K946" s="31" t="str"/>
      <x:c r="L946" s="31" t="str"/>
      <x:c r="M946" s="31" t="str"/>
      <x:c r="N946" s="31" t="str"/>
    </x:row>
    <x:row r="947" ht="42" customHeight="1">
      <x:c r="A947" s="35" t="n">
        <x:v>945</x:v>
      </x:c>
      <x:c r="B947" s="31" t="str">
        <x:f>IF('Execution Checklist'!Q947="","",'Execution Checklist'!Q947)</x:f>
      </x:c>
      <x:c r="C947" s="31" t="str">
        <x:v>Place the red block next to the green pen.</x:v>
      </x:c>
      <x:c r="D947" s="31" t="str">
        <x:v>red block near green pen</x:v>
      </x:c>
      <x:c r="E947" s="31" t="str">
        <x:v>Binary task success; paired with the main transfer row.</x:v>
      </x:c>
      <x:c r="F947" s="31"/>
      <x:c r="G947" s="31"/>
      <x:c r="H947" s="31" t="str">
        <x:f>IF(OR(F947="",G947=""),"",IF(F947=G947,"Agree","Disagree"))</x:f>
      </x:c>
      <x:c r="I947" s="31"/>
      <x:c r="J947" s="31" t="str">
        <x:v>No</x:v>
      </x:c>
      <x:c r="K947" s="31" t="str"/>
      <x:c r="L947" s="31" t="str"/>
      <x:c r="M947" s="31" t="str"/>
      <x:c r="N947" s="31" t="str"/>
    </x:row>
    <x:row r="948" ht="42" customHeight="1">
      <x:c r="A948" s="35" t="n">
        <x:v>946</x:v>
      </x:c>
      <x:c r="B948" s="31" t="str">
        <x:f>IF('Execution Checklist'!Q948="","",'Execution Checklist'!Q948)</x:f>
      </x:c>
      <x:c r="C948" s="31" t="str">
        <x:v>Place the pink marker to the right of the blue block.</x:v>
      </x:c>
      <x:c r="D948" s="31" t="str">
        <x:v>pink marker</x:v>
      </x:c>
      <x:c r="E948" s="31" t="str">
        <x:v>Binary task success using the task-specific rubric.</x:v>
      </x:c>
      <x:c r="F948" s="31"/>
      <x:c r="G948" s="31"/>
      <x:c r="H948" s="31" t="str">
        <x:f>IF(OR(F948="",G948=""),"",IF(F948=G948,"Agree","Disagree"))</x:f>
      </x:c>
      <x:c r="I948" s="31"/>
      <x:c r="J948" s="31" t="str">
        <x:v>No</x:v>
      </x:c>
      <x:c r="K948" s="31" t="str"/>
      <x:c r="L948" s="31" t="str"/>
      <x:c r="M948" s="31" t="str"/>
      <x:c r="N948" s="31" t="str"/>
    </x:row>
    <x:row r="949" ht="42" customHeight="1">
      <x:c r="A949" s="35" t="n">
        <x:v>947</x:v>
      </x:c>
      <x:c r="B949" s="31" t="str">
        <x:f>IF('Execution Checklist'!Q949="","",'Execution Checklist'!Q949)</x:f>
      </x:c>
      <x:c r="C949" s="31" t="str">
        <x:v>Place the pink marker in front of the blue block.</x:v>
      </x:c>
      <x:c r="D949" s="31" t="str">
        <x:v>pink marker</x:v>
      </x:c>
      <x:c r="E949" s="31" t="str">
        <x:v>Binary task success using the task-specific rubric.</x:v>
      </x:c>
      <x:c r="F949" s="31"/>
      <x:c r="G949" s="31"/>
      <x:c r="H949" s="31" t="str">
        <x:f>IF(OR(F949="",G949=""),"",IF(F949=G949,"Agree","Disagree"))</x:f>
      </x:c>
      <x:c r="I949" s="31"/>
      <x:c r="J949" s="31" t="str">
        <x:v>No</x:v>
      </x:c>
      <x:c r="K949" s="31" t="str"/>
      <x:c r="L949" s="31" t="str"/>
      <x:c r="M949" s="31" t="str"/>
      <x:c r="N949" s="31" t="str"/>
    </x:row>
    <x:row r="950" ht="42" customHeight="1">
      <x:c r="A950" s="35" t="n">
        <x:v>948</x:v>
      </x:c>
      <x:c r="B950" s="31" t="str">
        <x:f>IF('Execution Checklist'!Q950="","",'Execution Checklist'!Q950)</x:f>
      </x:c>
      <x:c r="C950" s="31" t="str">
        <x:v>Move the red block to the side of the pink marker facing the robot.</x:v>
      </x:c>
      <x:c r="D950" s="31" t="str">
        <x:v>red block</x:v>
      </x:c>
      <x:c r="E950" s="31" t="str">
        <x:v>Binary task success; compare with the seen-language row sharing Pair ID.</x:v>
      </x:c>
      <x:c r="F950" s="31"/>
      <x:c r="G950" s="31"/>
      <x:c r="H950" s="31" t="str">
        <x:f>IF(OR(F950="",G950=""),"",IF(F950=G950,"Agree","Disagree"))</x:f>
      </x:c>
      <x:c r="I950" s="31"/>
      <x:c r="J950" s="31" t="str">
        <x:v>No</x:v>
      </x:c>
      <x:c r="K950" s="31" t="str"/>
      <x:c r="L950" s="31" t="str"/>
      <x:c r="M950" s="31" t="str"/>
      <x:c r="N950" s="31" t="str"/>
    </x:row>
    <x:row r="951" ht="42" customHeight="1">
      <x:c r="A951" s="35" t="n">
        <x:v>949</x:v>
      </x:c>
      <x:c r="B951" s="31" t="str">
        <x:f>IF('Execution Checklist'!Q951="","",'Execution Checklist'!Q951)</x:f>
      </x:c>
      <x:c r="C951" s="31" t="str">
        <x:v>Move the red block to the side of the pink marker facing the robot.</x:v>
      </x:c>
      <x:c r="D951" s="31" t="str">
        <x:v>red block</x:v>
      </x:c>
      <x:c r="E951" s="31" t="str">
        <x:v>Binary task success; compare with the seen-language row sharing Pair ID.</x:v>
      </x:c>
      <x:c r="F951" s="31"/>
      <x:c r="G951" s="31"/>
      <x:c r="H951" s="31" t="str">
        <x:f>IF(OR(F951="",G951=""),"",IF(F951=G951,"Agree","Disagree"))</x:f>
      </x:c>
      <x:c r="I951" s="31"/>
      <x:c r="J951" s="31" t="str">
        <x:v>No</x:v>
      </x:c>
      <x:c r="K951" s="31" t="str"/>
      <x:c r="L951" s="31" t="str"/>
      <x:c r="M951" s="31" t="str"/>
      <x:c r="N951" s="31" t="str"/>
    </x:row>
    <x:row r="952" ht="42" customHeight="1">
      <x:c r="A952" s="35" t="n">
        <x:v>950</x:v>
      </x:c>
      <x:c r="B952" s="31" t="str">
        <x:f>IF('Execution Checklist'!Q952="","",'Execution Checklist'!Q952)</x:f>
      </x:c>
      <x:c r="C952" s="31" t="str">
        <x:v>Place the red block to the left of the green pen.</x:v>
      </x:c>
      <x:c r="D952" s="31" t="str">
        <x:v>red block → to the left of green pen</x:v>
      </x:c>
      <x:c r="E952" s="31" t="str">
        <x:v>Binary task success; paired with the main matched-control row.</x:v>
      </x:c>
      <x:c r="F952" s="31"/>
      <x:c r="G952" s="31"/>
      <x:c r="H952" s="31" t="str">
        <x:f>IF(OR(F952="",G952=""),"",IF(F952=G952,"Agree","Disagree"))</x:f>
      </x:c>
      <x:c r="I952" s="31"/>
      <x:c r="J952" s="31" t="str">
        <x:v>No</x:v>
      </x:c>
      <x:c r="K952" s="31" t="str"/>
      <x:c r="L952" s="31" t="str"/>
      <x:c r="M952" s="31" t="str"/>
      <x:c r="N952" s="31" t="str"/>
    </x:row>
    <x:row r="953" ht="42" customHeight="1">
      <x:c r="A953" s="35" t="n">
        <x:v>951</x:v>
      </x:c>
      <x:c r="B953" s="31" t="str">
        <x:f>IF('Execution Checklist'!Q953="","",'Execution Checklist'!Q953)</x:f>
      </x:c>
      <x:c r="C953" s="31" t="str">
        <x:v>Put the green pen on the table in front of the pink marker.</x:v>
      </x:c>
      <x:c r="D953" s="31" t="str">
        <x:v>green pen</x:v>
      </x:c>
      <x:c r="E953" s="31" t="str">
        <x:v>Binary task success using the task-specific rubric.</x:v>
      </x:c>
      <x:c r="F953" s="31"/>
      <x:c r="G953" s="31"/>
      <x:c r="H953" s="31" t="str">
        <x:f>IF(OR(F953="",G953=""),"",IF(F953=G953,"Agree","Disagree"))</x:f>
      </x:c>
      <x:c r="I953" s="31"/>
      <x:c r="J953" s="31" t="str">
        <x:v>No</x:v>
      </x:c>
      <x:c r="K953" s="31" t="str"/>
      <x:c r="L953" s="31" t="str"/>
      <x:c r="M953" s="31" t="str"/>
      <x:c r="N953" s="31" t="str"/>
    </x:row>
    <x:row r="954" ht="42" customHeight="1">
      <x:c r="A954" s="35" t="n">
        <x:v>952</x:v>
      </x:c>
      <x:c r="B954" s="31" t="str">
        <x:f>IF('Execution Checklist'!Q954="","",'Execution Checklist'!Q954)</x:f>
      </x:c>
      <x:c r="C954" s="31" t="str">
        <x:v>Place the red block behind the green pen.</x:v>
      </x:c>
      <x:c r="D954" s="31" t="str">
        <x:v>red block → behind green pen</x:v>
      </x:c>
      <x:c r="E954" s="31" t="str">
        <x:v>Binary task success; paired with the main matched-control row.</x:v>
      </x:c>
      <x:c r="F954" s="31"/>
      <x:c r="G954" s="31"/>
      <x:c r="H954" s="31" t="str">
        <x:f>IF(OR(F954="",G954=""),"",IF(F954=G954,"Agree","Disagree"))</x:f>
      </x:c>
      <x:c r="I954" s="31"/>
      <x:c r="J954" s="31" t="str">
        <x:v>No</x:v>
      </x:c>
      <x:c r="K954" s="31" t="str"/>
      <x:c r="L954" s="31" t="str"/>
      <x:c r="M954" s="31" t="str"/>
      <x:c r="N954" s="31" t="str"/>
    </x:row>
    <x:row r="955" ht="42" customHeight="1">
      <x:c r="A955" s="35" t="n">
        <x:v>953</x:v>
      </x:c>
      <x:c r="B955" s="31" t="str">
        <x:f>IF('Execution Checklist'!Q955="","",'Execution Checklist'!Q955)</x:f>
      </x:c>
      <x:c r="C955" s="31" t="str">
        <x:v>Place the green pen to the right of the pink marker.</x:v>
      </x:c>
      <x:c r="D955" s="31" t="str">
        <x:v>green pen</x:v>
      </x:c>
      <x:c r="E955" s="31" t="str">
        <x:v>Binary task success using the task-specific rubric.</x:v>
      </x:c>
      <x:c r="F955" s="31"/>
      <x:c r="G955" s="31"/>
      <x:c r="H955" s="31" t="str">
        <x:f>IF(OR(F955="",G955=""),"",IF(F955=G955,"Agree","Disagree"))</x:f>
      </x:c>
      <x:c r="I955" s="31"/>
      <x:c r="J955" s="31" t="str">
        <x:v>No</x:v>
      </x:c>
      <x:c r="K955" s="31" t="str"/>
      <x:c r="L955" s="31" t="str"/>
      <x:c r="M955" s="31" t="str"/>
      <x:c r="N955" s="31" t="str"/>
    </x:row>
    <x:row r="956" ht="42" customHeight="1">
      <x:c r="A956" s="35" t="n">
        <x:v>954</x:v>
      </x:c>
      <x:c r="B956" s="31" t="str">
        <x:f>IF('Execution Checklist'!Q956="","",'Execution Checklist'!Q956)</x:f>
      </x:c>
      <x:c r="C956" s="31" t="str">
        <x:v>Place the red block to the right of the green pen.</x:v>
      </x:c>
      <x:c r="D956" s="31" t="str">
        <x:v>red block → to the right of green pen</x:v>
      </x:c>
      <x:c r="E956" s="31" t="str">
        <x:v>Binary task success; paired with the main matched-control row.</x:v>
      </x:c>
      <x:c r="F956" s="31"/>
      <x:c r="G956" s="31"/>
      <x:c r="H956" s="31" t="str">
        <x:f>IF(OR(F956="",G956=""),"",IF(F956=G956,"Agree","Disagree"))</x:f>
      </x:c>
      <x:c r="I956" s="31"/>
      <x:c r="J956" s="31" t="str">
        <x:v>No</x:v>
      </x:c>
      <x:c r="K956" s="31" t="str"/>
      <x:c r="L956" s="31" t="str"/>
      <x:c r="M956" s="31" t="str"/>
      <x:c r="N956" s="31" t="str"/>
    </x:row>
    <x:row r="957" ht="42" customHeight="1">
      <x:c r="A957" s="35" t="n">
        <x:v>955</x:v>
      </x:c>
      <x:c r="B957" s="31" t="str">
        <x:f>IF('Execution Checklist'!Q957="","",'Execution Checklist'!Q957)</x:f>
      </x:c>
      <x:c r="C957" s="31" t="str">
        <x:v>Move the red block to the side of the pink marker facing the robot.</x:v>
      </x:c>
      <x:c r="D957" s="31" t="str">
        <x:v>red block</x:v>
      </x:c>
      <x:c r="E957" s="31" t="str">
        <x:v>Binary task success; compare with the seen-language row sharing Pair ID.</x:v>
      </x:c>
      <x:c r="F957" s="31"/>
      <x:c r="G957" s="31"/>
      <x:c r="H957" s="31" t="str">
        <x:f>IF(OR(F957="",G957=""),"",IF(F957=G957,"Agree","Disagree"))</x:f>
      </x:c>
      <x:c r="I957" s="31"/>
      <x:c r="J957" s="31" t="str">
        <x:v>No</x:v>
      </x:c>
      <x:c r="K957" s="31" t="str"/>
      <x:c r="L957" s="31" t="str"/>
      <x:c r="M957" s="31" t="str"/>
      <x:c r="N957" s="31" t="str"/>
    </x:row>
    <x:row r="958" ht="42" customHeight="1">
      <x:c r="A958" s="35" t="n">
        <x:v>956</x:v>
      </x:c>
      <x:c r="B958" s="31" t="str">
        <x:f>IF('Execution Checklist'!Q958="","",'Execution Checklist'!Q958)</x:f>
      </x:c>
      <x:c r="C958" s="31" t="str">
        <x:v>Place the green pen in front of the red block.</x:v>
      </x:c>
      <x:c r="D958" s="31" t="str">
        <x:v>green pen → in front of red block</x:v>
      </x:c>
      <x:c r="E958" s="31" t="str">
        <x:v>Binary task success; paired with the main matched-control row.</x:v>
      </x:c>
      <x:c r="F958" s="31"/>
      <x:c r="G958" s="31"/>
      <x:c r="H958" s="31" t="str">
        <x:f>IF(OR(F958="",G958=""),"",IF(F958=G958,"Agree","Disagree"))</x:f>
      </x:c>
      <x:c r="I958" s="31"/>
      <x:c r="J958" s="31" t="str">
        <x:v>No</x:v>
      </x:c>
      <x:c r="K958" s="31" t="str"/>
      <x:c r="L958" s="31" t="str"/>
      <x:c r="M958" s="31" t="str"/>
      <x:c r="N958" s="31" t="str"/>
    </x:row>
    <x:row r="959" ht="42" customHeight="1">
      <x:c r="A959" s="35" t="n">
        <x:v>957</x:v>
      </x:c>
      <x:c r="B959" s="31" t="str">
        <x:f>IF('Execution Checklist'!Q959="","",'Execution Checklist'!Q959)</x:f>
      </x:c>
      <x:c r="C959" s="31" t="str">
        <x:v>Place the green pen to the right of the red block.</x:v>
      </x:c>
      <x:c r="D959" s="31" t="str">
        <x:v>green pen → to the right of red block</x:v>
      </x:c>
      <x:c r="E959" s="31" t="str">
        <x:v>Binary success for the counterfactual instruction and paired action-switch analysis versus the parent.</x:v>
      </x:c>
      <x:c r="F959" s="31"/>
      <x:c r="G959" s="31"/>
      <x:c r="H959" s="31" t="str">
        <x:f>IF(OR(F959="",G959=""),"",IF(F959=G959,"Agree","Disagree"))</x:f>
      </x:c>
      <x:c r="I959" s="31"/>
      <x:c r="J959" s="31" t="str">
        <x:v>No</x:v>
      </x:c>
      <x:c r="K959" s="31" t="str"/>
      <x:c r="L959" s="31" t="str"/>
      <x:c r="M959" s="31" t="str"/>
      <x:c r="N959" s="31" t="str"/>
    </x:row>
    <x:row r="960" ht="42" customHeight="1">
      <x:c r="A960" s="35" t="n">
        <x:v>958</x:v>
      </x:c>
      <x:c r="B960" s="31" t="str">
        <x:f>IF('Execution Checklist'!Q960="","",'Execution Checklist'!Q960)</x:f>
      </x:c>
      <x:c r="C960" s="31" t="str">
        <x:v>Place the green pen to the left of the red block.</x:v>
      </x:c>
      <x:c r="D960" s="31" t="str">
        <x:v>green pen → to the left of red block</x:v>
      </x:c>
      <x:c r="E960" s="31" t="str">
        <x:v>Binary task success; paired with the main matched-control row.</x:v>
      </x:c>
      <x:c r="F960" s="31"/>
      <x:c r="G960" s="31"/>
      <x:c r="H960" s="31" t="str">
        <x:f>IF(OR(F960="",G960=""),"",IF(F960=G960,"Agree","Disagree"))</x:f>
      </x:c>
      <x:c r="I960" s="31"/>
      <x:c r="J960" s="31" t="str">
        <x:v>No</x:v>
      </x:c>
      <x:c r="K960" s="31" t="str"/>
      <x:c r="L960" s="31" t="str"/>
      <x:c r="M960" s="31" t="str"/>
      <x:c r="N960" s="31" t="str"/>
    </x:row>
    <x:row r="961" ht="42" customHeight="1">
      <x:c r="A961" s="35" t="n">
        <x:v>959</x:v>
      </x:c>
      <x:c r="B961" s="31" t="str">
        <x:f>IF('Execution Checklist'!Q961="","",'Execution Checklist'!Q961)</x:f>
      </x:c>
      <x:c r="C961" s="31" t="str">
        <x:v>Move the green pen to the front of the pink marker.</x:v>
      </x:c>
      <x:c r="D961" s="31" t="str">
        <x:v>green pen</x:v>
      </x:c>
      <x:c r="E961" s="31" t="str">
        <x:v>Binary task success using the task-specific rubric.</x:v>
      </x:c>
      <x:c r="F961" s="31"/>
      <x:c r="G961" s="31"/>
      <x:c r="H961" s="31" t="str">
        <x:f>IF(OR(F961="",G961=""),"",IF(F961=G961,"Agree","Disagree"))</x:f>
      </x:c>
      <x:c r="I961" s="31"/>
      <x:c r="J961" s="31" t="str">
        <x:v>No</x:v>
      </x:c>
      <x:c r="K961" s="31" t="str"/>
      <x:c r="L961" s="31" t="str"/>
      <x:c r="M961" s="31" t="str"/>
      <x:c r="N961" s="31" t="str"/>
    </x:row>
    <x:row r="962" ht="42" customHeight="1">
      <x:c r="A962" s="35" t="n">
        <x:v>960</x:v>
      </x:c>
      <x:c r="B962" s="31" t="str">
        <x:f>IF('Execution Checklist'!Q962="","",'Execution Checklist'!Q962)</x:f>
      </x:c>
      <x:c r="C962" s="31" t="str">
        <x:v>Place the red block behind the green pen.</x:v>
      </x:c>
      <x:c r="D962" s="31" t="str">
        <x:v>red block → behind green pen</x:v>
      </x:c>
      <x:c r="E962" s="31" t="str">
        <x:v>Binary task success; paired with the main matched-control row.</x:v>
      </x:c>
      <x:c r="F962" s="31"/>
      <x:c r="G962" s="31"/>
      <x:c r="H962" s="31" t="str">
        <x:f>IF(OR(F962="",G962=""),"",IF(F962=G962,"Agree","Disagree"))</x:f>
      </x:c>
      <x:c r="I962" s="31"/>
      <x:c r="J962" s="31" t="str">
        <x:v>No</x:v>
      </x:c>
      <x:c r="K962" s="31" t="str"/>
      <x:c r="L962" s="31" t="str"/>
      <x:c r="M962" s="31" t="str"/>
      <x:c r="N962" s="31" t="str"/>
    </x:row>
    <x:row r="963" ht="42" customHeight="1">
      <x:c r="A963" s="35" t="n">
        <x:v>961</x:v>
      </x:c>
      <x:c r="B963" s="31" t="str">
        <x:f>IF('Execution Checklist'!Q963="","",'Execution Checklist'!Q963)</x:f>
      </x:c>
      <x:c r="C963" s="31" t="str">
        <x:v>Place the green pen near the red block.</x:v>
      </x:c>
      <x:c r="D963" s="31" t="str">
        <x:v>green pen near red block</x:v>
      </x:c>
      <x:c r="E963" s="31" t="str">
        <x:v>Binary task success; paired with the main transfer row.</x:v>
      </x:c>
      <x:c r="F963" s="31"/>
      <x:c r="G963" s="31"/>
      <x:c r="H963" s="31" t="str">
        <x:f>IF(OR(F963="",G963=""),"",IF(F963=G963,"Agree","Disagree"))</x:f>
      </x:c>
      <x:c r="I963" s="31"/>
      <x:c r="J963" s="31" t="str">
        <x:v>No</x:v>
      </x:c>
      <x:c r="K963" s="31" t="str"/>
      <x:c r="L963" s="31" t="str"/>
      <x:c r="M963" s="31" t="str"/>
      <x:c r="N963" s="31" t="str"/>
    </x:row>
    <x:row r="964" ht="42" customHeight="1">
      <x:c r="A964" s="35" t="n">
        <x:v>962</x:v>
      </x:c>
      <x:c r="B964" s="31" t="str">
        <x:f>IF('Execution Checklist'!Q964="","",'Execution Checklist'!Q964)</x:f>
      </x:c>
      <x:c r="C964" s="31" t="str">
        <x:v>Place the red block beside the green pen.</x:v>
      </x:c>
      <x:c r="D964" s="31" t="str">
        <x:v>red block near green pen</x:v>
      </x:c>
      <x:c r="E964" s="31" t="str">
        <x:v>Binary task success; paired with the main transfer row.</x:v>
      </x:c>
      <x:c r="F964" s="31"/>
      <x:c r="G964" s="31"/>
      <x:c r="H964" s="31" t="str">
        <x:f>IF(OR(F964="",G964=""),"",IF(F964=G964,"Agree","Disagree"))</x:f>
      </x:c>
      <x:c r="I964" s="31"/>
      <x:c r="J964" s="31" t="str">
        <x:v>No</x:v>
      </x:c>
      <x:c r="K964" s="31" t="str"/>
      <x:c r="L964" s="31" t="str"/>
      <x:c r="M964" s="31" t="str"/>
      <x:c r="N964" s="31" t="str"/>
    </x:row>
    <x:row r="965" ht="42" customHeight="1">
      <x:c r="A965" s="35" t="n">
        <x:v>963</x:v>
      </x:c>
      <x:c r="B965" s="31" t="str">
        <x:f>IF('Execution Checklist'!Q965="","",'Execution Checklist'!Q965)</x:f>
      </x:c>
      <x:c r="C965" s="31" t="str">
        <x:v>Place the green pen behind the red block.</x:v>
      </x:c>
      <x:c r="D965" s="31" t="str">
        <x:v>green pen → behind red block</x:v>
      </x:c>
      <x:c r="E965" s="31" t="str">
        <x:v>Binary task success; paired with the main matched-control row.</x:v>
      </x:c>
      <x:c r="F965" s="31"/>
      <x:c r="G965" s="31"/>
      <x:c r="H965" s="31" t="str">
        <x:f>IF(OR(F965="",G965=""),"",IF(F965=G965,"Agree","Disagree"))</x:f>
      </x:c>
      <x:c r="I965" s="31"/>
      <x:c r="J965" s="31" t="str">
        <x:v>No</x:v>
      </x:c>
      <x:c r="K965" s="31" t="str"/>
      <x:c r="L965" s="31" t="str"/>
      <x:c r="M965" s="31" t="str"/>
      <x:c r="N965" s="31" t="str"/>
    </x:row>
    <x:row r="966" ht="42" customHeight="1">
      <x:c r="A966" s="35" t="n">
        <x:v>964</x:v>
      </x:c>
      <x:c r="B966" s="31" t="str">
        <x:f>IF('Execution Checklist'!Q966="","",'Execution Checklist'!Q966)</x:f>
      </x:c>
      <x:c r="C966" s="31" t="str">
        <x:v>Move the red block to the side of the pink marker facing the robot.</x:v>
      </x:c>
      <x:c r="D966" s="31" t="str">
        <x:v>red block</x:v>
      </x:c>
      <x:c r="E966" s="31" t="str">
        <x:v>Binary task success; compare with the seen-language row sharing Pair ID.</x:v>
      </x:c>
      <x:c r="F966" s="31"/>
      <x:c r="G966" s="31"/>
      <x:c r="H966" s="31" t="str">
        <x:f>IF(OR(F966="",G966=""),"",IF(F966=G966,"Agree","Disagree"))</x:f>
      </x:c>
      <x:c r="I966" s="31"/>
      <x:c r="J966" s="31" t="str">
        <x:v>No</x:v>
      </x:c>
      <x:c r="K966" s="31" t="str"/>
      <x:c r="L966" s="31" t="str"/>
      <x:c r="M966" s="31" t="str"/>
      <x:c r="N966" s="31" t="str"/>
    </x:row>
    <x:row r="967" ht="42" customHeight="1">
      <x:c r="A967" s="35" t="n">
        <x:v>965</x:v>
      </x:c>
      <x:c r="B967" s="31" t="str">
        <x:f>IF('Execution Checklist'!Q967="","",'Execution Checklist'!Q967)</x:f>
      </x:c>
      <x:c r="C967" s="31" t="str">
        <x:v>Place the green pen behind the red block.</x:v>
      </x:c>
      <x:c r="D967" s="31" t="str">
        <x:v>green pen → behind red block</x:v>
      </x:c>
      <x:c r="E967" s="31" t="str">
        <x:v>Binary task success; paired with the main matched-control row.</x:v>
      </x:c>
      <x:c r="F967" s="31"/>
      <x:c r="G967" s="31"/>
      <x:c r="H967" s="31" t="str">
        <x:f>IF(OR(F967="",G967=""),"",IF(F967=G967,"Agree","Disagree"))</x:f>
      </x:c>
      <x:c r="I967" s="31"/>
      <x:c r="J967" s="31" t="str">
        <x:v>No</x:v>
      </x:c>
      <x:c r="K967" s="31" t="str"/>
      <x:c r="L967" s="31" t="str"/>
      <x:c r="M967" s="31" t="str"/>
      <x:c r="N967" s="31" t="str"/>
    </x:row>
    <x:row r="968" ht="42" customHeight="1">
      <x:c r="A968" s="35" t="n">
        <x:v>966</x:v>
      </x:c>
      <x:c r="B968" s="31" t="str">
        <x:f>IF('Execution Checklist'!Q968="","",'Execution Checklist'!Q968)</x:f>
      </x:c>
      <x:c r="C968" s="31" t="str">
        <x:v>Move the red block to the side of the pink marker facing the robot.</x:v>
      </x:c>
      <x:c r="D968" s="31" t="str">
        <x:v>red block</x:v>
      </x:c>
      <x:c r="E968" s="31" t="str">
        <x:v>Binary task success; compare with the seen-language row sharing Pair ID.</x:v>
      </x:c>
      <x:c r="F968" s="31"/>
      <x:c r="G968" s="31"/>
      <x:c r="H968" s="31" t="str">
        <x:f>IF(OR(F968="",G968=""),"",IF(F968=G968,"Agree","Disagree"))</x:f>
      </x:c>
      <x:c r="I968" s="31"/>
      <x:c r="J968" s="31" t="str">
        <x:v>No</x:v>
      </x:c>
      <x:c r="K968" s="31" t="str"/>
      <x:c r="L968" s="31" t="str"/>
      <x:c r="M968" s="31" t="str"/>
      <x:c r="N968" s="31" t="str"/>
    </x:row>
    <x:row r="969" ht="42" customHeight="1">
      <x:c r="A969" s="35" t="n">
        <x:v>967</x:v>
      </x:c>
      <x:c r="B969" s="31" t="str">
        <x:f>IF('Execution Checklist'!Q969="","",'Execution Checklist'!Q969)</x:f>
      </x:c>
      <x:c r="C969" s="31" t="str">
        <x:v>Place the green pen next to the red block.</x:v>
      </x:c>
      <x:c r="D969" s="31" t="str">
        <x:v>green pen near red block</x:v>
      </x:c>
      <x:c r="E969" s="31" t="str">
        <x:v>Binary task success; paired with the main transfer row.</x:v>
      </x:c>
      <x:c r="F969" s="31"/>
      <x:c r="G969" s="31"/>
      <x:c r="H969" s="31" t="str">
        <x:f>IF(OR(F969="",G969=""),"",IF(F969=G969,"Agree","Disagree"))</x:f>
      </x:c>
      <x:c r="I969" s="31"/>
      <x:c r="J969" s="31" t="str">
        <x:v>No</x:v>
      </x:c>
      <x:c r="K969" s="31" t="str"/>
      <x:c r="L969" s="31" t="str"/>
      <x:c r="M969" s="31" t="str"/>
      <x:c r="N969" s="31" t="str"/>
    </x:row>
    <x:row r="970" ht="42" customHeight="1">
      <x:c r="A970" s="35" t="n">
        <x:v>968</x:v>
      </x:c>
      <x:c r="B970" s="31" t="str">
        <x:f>IF('Execution Checklist'!Q970="","",'Execution Checklist'!Q970)</x:f>
      </x:c>
      <x:c r="C970" s="31" t="str">
        <x:v>Place the green pen near the red block.</x:v>
      </x:c>
      <x:c r="D970" s="31" t="str">
        <x:v>green pen near red block</x:v>
      </x:c>
      <x:c r="E970" s="31" t="str">
        <x:v>Binary task success; paired with the main transfer row.</x:v>
      </x:c>
      <x:c r="F970" s="31"/>
      <x:c r="G970" s="31"/>
      <x:c r="H970" s="31" t="str">
        <x:f>IF(OR(F970="",G970=""),"",IF(F970=G970,"Agree","Disagree"))</x:f>
      </x:c>
      <x:c r="I970" s="31"/>
      <x:c r="J970" s="31" t="str">
        <x:v>No</x:v>
      </x:c>
      <x:c r="K970" s="31" t="str"/>
      <x:c r="L970" s="31" t="str"/>
      <x:c r="M970" s="31" t="str"/>
      <x:c r="N970" s="31" t="str"/>
    </x:row>
    <x:row r="971" ht="42" customHeight="1">
      <x:c r="A971" s="35" t="n">
        <x:v>969</x:v>
      </x:c>
      <x:c r="B971" s="31" t="str">
        <x:f>IF('Execution Checklist'!Q971="","",'Execution Checklist'!Q971)</x:f>
      </x:c>
      <x:c r="C971" s="31" t="str">
        <x:v>Place the green pen to the left of the red block.</x:v>
      </x:c>
      <x:c r="D971" s="31" t="str">
        <x:v>green pen → to the left of red block</x:v>
      </x:c>
      <x:c r="E971" s="31" t="str">
        <x:v>Binary success for the counterfactual instruction and paired action-switch analysis versus the parent.</x:v>
      </x:c>
      <x:c r="F971" s="31"/>
      <x:c r="G971" s="31"/>
      <x:c r="H971" s="31" t="str">
        <x:f>IF(OR(F971="",G971=""),"",IF(F971=G971,"Agree","Disagree"))</x:f>
      </x:c>
      <x:c r="I971" s="31"/>
      <x:c r="J971" s="31" t="str">
        <x:v>No</x:v>
      </x:c>
      <x:c r="K971" s="31" t="str"/>
      <x:c r="L971" s="31" t="str"/>
      <x:c r="M971" s="31" t="str"/>
      <x:c r="N971" s="31" t="str"/>
    </x:row>
    <x:row r="972" ht="42" customHeight="1">
      <x:c r="A972" s="35" t="n">
        <x:v>970</x:v>
      </x:c>
      <x:c r="B972" s="31" t="str">
        <x:f>IF('Execution Checklist'!Q972="","",'Execution Checklist'!Q972)</x:f>
      </x:c>
      <x:c r="C972" s="31" t="str">
        <x:v>Place the red block in front of the green pen.</x:v>
      </x:c>
      <x:c r="D972" s="31" t="str">
        <x:v>red block → in front of green pen</x:v>
      </x:c>
      <x:c r="E972" s="31" t="str">
        <x:v>Binary task success; paired with the main matched-control row.</x:v>
      </x:c>
      <x:c r="F972" s="31"/>
      <x:c r="G972" s="31"/>
      <x:c r="H972" s="31" t="str">
        <x:f>IF(OR(F972="",G972=""),"",IF(F972=G972,"Agree","Disagree"))</x:f>
      </x:c>
      <x:c r="I972" s="31"/>
      <x:c r="J972" s="31" t="str">
        <x:v>No</x:v>
      </x:c>
      <x:c r="K972" s="31" t="str"/>
      <x:c r="L972" s="31" t="str"/>
      <x:c r="M972" s="31" t="str"/>
      <x:c r="N972" s="31" t="str"/>
    </x:row>
    <x:row r="973" ht="42" customHeight="1">
      <x:c r="A973" s="35" t="n">
        <x:v>971</x:v>
      </x:c>
      <x:c r="B973" s="31" t="str">
        <x:f>IF('Execution Checklist'!Q973="","",'Execution Checklist'!Q973)</x:f>
      </x:c>
      <x:c r="C973" s="31" t="str">
        <x:v>Place the red block near the green pen.</x:v>
      </x:c>
      <x:c r="D973" s="31" t="str">
        <x:v>red block near green pen</x:v>
      </x:c>
      <x:c r="E973" s="31" t="str">
        <x:v>Binary task success; paired with the main transfer row.</x:v>
      </x:c>
      <x:c r="F973" s="31"/>
      <x:c r="G973" s="31"/>
      <x:c r="H973" s="31" t="str">
        <x:f>IF(OR(F973="",G973=""),"",IF(F973=G973,"Agree","Disagree"))</x:f>
      </x:c>
      <x:c r="I973" s="31"/>
      <x:c r="J973" s="31" t="str">
        <x:v>No</x:v>
      </x:c>
      <x:c r="K973" s="31" t="str"/>
      <x:c r="L973" s="31" t="str"/>
      <x:c r="M973" s="31" t="str"/>
      <x:c r="N973" s="31" t="str"/>
    </x:row>
    <x:row r="974" ht="42" customHeight="1">
      <x:c r="A974" s="35" t="n">
        <x:v>972</x:v>
      </x:c>
      <x:c r="B974" s="31" t="str">
        <x:f>IF('Execution Checklist'!Q974="","",'Execution Checklist'!Q974)</x:f>
      </x:c>
      <x:c r="C974" s="31" t="str">
        <x:v>Place the red block near the green pen.</x:v>
      </x:c>
      <x:c r="D974" s="31" t="str">
        <x:v>red block near green pen</x:v>
      </x:c>
      <x:c r="E974" s="31" t="str">
        <x:v>Binary task success; paired with the main transfer row.</x:v>
      </x:c>
      <x:c r="F974" s="31"/>
      <x:c r="G974" s="31"/>
      <x:c r="H974" s="31" t="str">
        <x:f>IF(OR(F974="",G974=""),"",IF(F974=G974,"Agree","Disagree"))</x:f>
      </x:c>
      <x:c r="I974" s="31"/>
      <x:c r="J974" s="31" t="str">
        <x:v>No</x:v>
      </x:c>
      <x:c r="K974" s="31" t="str"/>
      <x:c r="L974" s="31" t="str"/>
      <x:c r="M974" s="31" t="str"/>
      <x:c r="N974" s="31" t="str"/>
    </x:row>
    <x:row r="975" ht="42" customHeight="1">
      <x:c r="A975" s="35" t="n">
        <x:v>973</x:v>
      </x:c>
      <x:c r="B975" s="31" t="str">
        <x:f>IF('Execution Checklist'!Q975="","",'Execution Checklist'!Q975)</x:f>
      </x:c>
      <x:c r="C975" s="31" t="str">
        <x:v>Place the green pen to the right of the red block.</x:v>
      </x:c>
      <x:c r="D975" s="31" t="str">
        <x:v>No prespecified task success under blank language; record any action/selected target.</x:v>
      </x:c>
      <x:c r="E975" s="31" t="str">
        <x:v>Do not score ordinary task success. Record action occurrence and agreement with the parent correct-prompt rollout.</x:v>
      </x:c>
      <x:c r="F975" s="31"/>
      <x:c r="G975" s="31"/>
      <x:c r="H975" s="31" t="str">
        <x:f>IF(OR(F975="",G975=""),"",IF(F975=G975,"Agree","Disagree"))</x:f>
      </x:c>
      <x:c r="I975" s="31"/>
      <x:c r="J975" s="31" t="str">
        <x:v>No</x:v>
      </x:c>
      <x:c r="K975" s="31" t="str"/>
      <x:c r="L975" s="31" t="str"/>
      <x:c r="M975" s="31" t="str"/>
      <x:c r="N975" s="31" t="str"/>
    </x:row>
    <x:row r="976" ht="42" customHeight="1">
      <x:c r="A976" s="35" t="n">
        <x:v>974</x:v>
      </x:c>
      <x:c r="B976" s="31" t="str">
        <x:f>IF('Execution Checklist'!Q976="","",'Execution Checklist'!Q976)</x:f>
      </x:c>
      <x:c r="C976" s="31" t="str">
        <x:v>Place the green pen behind the red block.</x:v>
      </x:c>
      <x:c r="D976" s="31" t="str">
        <x:v>green pen → behind red block</x:v>
      </x:c>
      <x:c r="E976" s="31" t="str">
        <x:v>Binary success for the counterfactual instruction and paired action-switch analysis versus the parent.</x:v>
      </x:c>
      <x:c r="F976" s="31"/>
      <x:c r="G976" s="31"/>
      <x:c r="H976" s="31" t="str">
        <x:f>IF(OR(F976="",G976=""),"",IF(F976=G976,"Agree","Disagree"))</x:f>
      </x:c>
      <x:c r="I976" s="31"/>
      <x:c r="J976" s="31" t="str">
        <x:v>No</x:v>
      </x:c>
      <x:c r="K976" s="31" t="str"/>
      <x:c r="L976" s="31" t="str"/>
      <x:c r="M976" s="31" t="str"/>
      <x:c r="N976" s="31" t="str"/>
    </x:row>
    <x:row r="977" ht="42" customHeight="1">
      <x:c r="A977" s="35" t="n">
        <x:v>975</x:v>
      </x:c>
      <x:c r="B977" s="31" t="str">
        <x:f>IF('Execution Checklist'!Q977="","",'Execution Checklist'!Q977)</x:f>
      </x:c>
      <x:c r="C977" s="31" t="str">
        <x:v>Place the green pen beside the red block.</x:v>
      </x:c>
      <x:c r="D977" s="31" t="str">
        <x:v>green pen near red block</x:v>
      </x:c>
      <x:c r="E977" s="31" t="str">
        <x:v>Binary task success; paired with the main transfer row.</x:v>
      </x:c>
      <x:c r="F977" s="31"/>
      <x:c r="G977" s="31"/>
      <x:c r="H977" s="31" t="str">
        <x:f>IF(OR(F977="",G977=""),"",IF(F977=G977,"Agree","Disagree"))</x:f>
      </x:c>
      <x:c r="I977" s="31"/>
      <x:c r="J977" s="31" t="str">
        <x:v>No</x:v>
      </x:c>
      <x:c r="K977" s="31" t="str"/>
      <x:c r="L977" s="31" t="str"/>
      <x:c r="M977" s="31" t="str"/>
      <x:c r="N977" s="31" t="str"/>
    </x:row>
    <x:row r="978" ht="42" customHeight="1">
      <x:c r="A978" s="35" t="n">
        <x:v>976</x:v>
      </x:c>
      <x:c r="B978" s="31" t="str">
        <x:f>IF('Execution Checklist'!Q978="","",'Execution Checklist'!Q978)</x:f>
      </x:c>
      <x:c r="C978" s="31" t="str">
        <x:v>Place the green pen to the left of the red block.</x:v>
      </x:c>
      <x:c r="D978" s="31" t="str">
        <x:v>green pen → to the left of red block</x:v>
      </x:c>
      <x:c r="E978" s="31" t="str">
        <x:v>Binary task success; paired with the main matched-control row.</x:v>
      </x:c>
      <x:c r="F978" s="31"/>
      <x:c r="G978" s="31"/>
      <x:c r="H978" s="31" t="str">
        <x:f>IF(OR(F978="",G978=""),"",IF(F978=G978,"Agree","Disagree"))</x:f>
      </x:c>
      <x:c r="I978" s="31"/>
      <x:c r="J978" s="31" t="str">
        <x:v>No</x:v>
      </x:c>
      <x:c r="K978" s="31" t="str"/>
      <x:c r="L978" s="31" t="str"/>
      <x:c r="M978" s="31" t="str"/>
      <x:c r="N978" s="31" t="str"/>
    </x:row>
    <x:row r="979" ht="42" customHeight="1">
      <x:c r="A979" s="35" t="n">
        <x:v>977</x:v>
      </x:c>
      <x:c r="B979" s="31" t="str">
        <x:f>IF('Execution Checklist'!Q979="","",'Execution Checklist'!Q979)</x:f>
      </x:c>
      <x:c r="C979" s="31" t="str">
        <x:v>Place the red block to the right of the blue block.</x:v>
      </x:c>
      <x:c r="D979" s="31" t="str">
        <x:v>red block</x:v>
      </x:c>
      <x:c r="E979" s="31" t="str">
        <x:v>Binary task success using the task-specific rubric.</x:v>
      </x:c>
      <x:c r="F979" s="31"/>
      <x:c r="G979" s="31"/>
      <x:c r="H979" s="31" t="str">
        <x:f>IF(OR(F979="",G979=""),"",IF(F979=G979,"Agree","Disagree"))</x:f>
      </x:c>
      <x:c r="I979" s="31"/>
      <x:c r="J979" s="31" t="str">
        <x:v>No</x:v>
      </x:c>
      <x:c r="K979" s="31" t="str"/>
      <x:c r="L979" s="31" t="str"/>
      <x:c r="M979" s="31" t="str"/>
      <x:c r="N979" s="31" t="str"/>
    </x:row>
    <x:row r="980" ht="42" customHeight="1">
      <x:c r="A980" s="35" t="n">
        <x:v>978</x:v>
      </x:c>
      <x:c r="B980" s="31" t="str">
        <x:f>IF('Execution Checklist'!Q980="","",'Execution Checklist'!Q980)</x:f>
      </x:c>
      <x:c r="C980" s="31" t="str">
        <x:v>Place the red block next to the green pen.</x:v>
      </x:c>
      <x:c r="D980" s="31" t="str">
        <x:v>red block near green pen</x:v>
      </x:c>
      <x:c r="E980" s="31" t="str">
        <x:v>Binary task success; paired with the main transfer row.</x:v>
      </x:c>
      <x:c r="F980" s="31"/>
      <x:c r="G980" s="31"/>
      <x:c r="H980" s="31" t="str">
        <x:f>IF(OR(F980="",G980=""),"",IF(F980=G980,"Agree","Disagree"))</x:f>
      </x:c>
      <x:c r="I980" s="31"/>
      <x:c r="J980" s="31" t="str">
        <x:v>No</x:v>
      </x:c>
      <x:c r="K980" s="31" t="str"/>
      <x:c r="L980" s="31" t="str"/>
      <x:c r="M980" s="31" t="str"/>
      <x:c r="N980" s="31" t="str"/>
    </x:row>
    <x:row r="981" ht="42" customHeight="1">
      <x:c r="A981" s="35" t="n">
        <x:v>979</x:v>
      </x:c>
      <x:c r="B981" s="31" t="str">
        <x:f>IF('Execution Checklist'!Q981="","",'Execution Checklist'!Q981)</x:f>
      </x:c>
      <x:c r="C981" s="31" t="str">
        <x:v>Place the green pen behind the red block.</x:v>
      </x:c>
      <x:c r="D981" s="31" t="str">
        <x:v>No prespecified task success under blank language; record any action/selected target.</x:v>
      </x:c>
      <x:c r="E981" s="31" t="str">
        <x:v>Do not score ordinary task success. Record action occurrence and agreement with the parent correct-prompt rollout.</x:v>
      </x:c>
      <x:c r="F981" s="31"/>
      <x:c r="G981" s="31"/>
      <x:c r="H981" s="31" t="str">
        <x:f>IF(OR(F981="",G981=""),"",IF(F981=G981,"Agree","Disagree"))</x:f>
      </x:c>
      <x:c r="I981" s="31"/>
      <x:c r="J981" s="31" t="str">
        <x:v>No</x:v>
      </x:c>
      <x:c r="K981" s="31" t="str"/>
      <x:c r="L981" s="31" t="str"/>
      <x:c r="M981" s="31" t="str"/>
      <x:c r="N981" s="31" t="str"/>
    </x:row>
    <x:row r="982" ht="42" customHeight="1">
      <x:c r="A982" s="35" t="n">
        <x:v>980</x:v>
      </x:c>
      <x:c r="B982" s="31" t="str">
        <x:f>IF('Execution Checklist'!Q982="","",'Execution Checklist'!Q982)</x:f>
      </x:c>
      <x:c r="C982" s="31" t="str">
        <x:v>Place the green pen to the right of the pink marker.</x:v>
      </x:c>
      <x:c r="D982" s="31" t="str">
        <x:v>green pen</x:v>
      </x:c>
      <x:c r="E982" s="31" t="str">
        <x:v>Binary task success using the task-specific rubric.</x:v>
      </x:c>
      <x:c r="F982" s="31"/>
      <x:c r="G982" s="31"/>
      <x:c r="H982" s="31" t="str">
        <x:f>IF(OR(F982="",G982=""),"",IF(F982=G982,"Agree","Disagree"))</x:f>
      </x:c>
      <x:c r="I982" s="31"/>
      <x:c r="J982" s="31" t="str">
        <x:v>No</x:v>
      </x:c>
      <x:c r="K982" s="31" t="str"/>
      <x:c r="L982" s="31" t="str"/>
      <x:c r="M982" s="31" t="str"/>
      <x:c r="N982" s="31" t="str"/>
    </x:row>
    <x:row r="983" ht="42" customHeight="1">
      <x:c r="A983" s="35" t="n">
        <x:v>981</x:v>
      </x:c>
      <x:c r="B983" s="31" t="str">
        <x:f>IF('Execution Checklist'!Q983="","",'Execution Checklist'!Q983)</x:f>
      </x:c>
      <x:c r="C983" s="31" t="str">
        <x:v>Place the red block to the left of the blue block.</x:v>
      </x:c>
      <x:c r="D983" s="31" t="str">
        <x:v>red block</x:v>
      </x:c>
      <x:c r="E983" s="31" t="str">
        <x:v>Binary task success using the task-specific rubric.</x:v>
      </x:c>
      <x:c r="F983" s="31"/>
      <x:c r="G983" s="31"/>
      <x:c r="H983" s="31" t="str">
        <x:f>IF(OR(F983="",G983=""),"",IF(F983=G983,"Agree","Disagree"))</x:f>
      </x:c>
      <x:c r="I983" s="31"/>
      <x:c r="J983" s="31" t="str">
        <x:v>No</x:v>
      </x:c>
      <x:c r="K983" s="31" t="str"/>
      <x:c r="L983" s="31" t="str"/>
      <x:c r="M983" s="31" t="str"/>
      <x:c r="N983" s="31" t="str"/>
    </x:row>
    <x:row r="984" ht="42" customHeight="1">
      <x:c r="A984" s="35" t="n">
        <x:v>982</x:v>
      </x:c>
      <x:c r="B984" s="31" t="str">
        <x:f>IF('Execution Checklist'!Q984="","",'Execution Checklist'!Q984)</x:f>
      </x:c>
      <x:c r="C984" s="31" t="str">
        <x:v>Move the red block to the side of the pink marker facing the robot.</x:v>
      </x:c>
      <x:c r="D984" s="31" t="str">
        <x:v>red block</x:v>
      </x:c>
      <x:c r="E984" s="31" t="str">
        <x:v>Binary task success; compare with the seen-language row sharing Pair ID.</x:v>
      </x:c>
      <x:c r="F984" s="31"/>
      <x:c r="G984" s="31"/>
      <x:c r="H984" s="31" t="str">
        <x:f>IF(OR(F984="",G984=""),"",IF(F984=G984,"Agree","Disagree"))</x:f>
      </x:c>
      <x:c r="I984" s="31"/>
      <x:c r="J984" s="31" t="str">
        <x:v>No</x:v>
      </x:c>
      <x:c r="K984" s="31" t="str"/>
      <x:c r="L984" s="31" t="str"/>
      <x:c r="M984" s="31" t="str"/>
      <x:c r="N984" s="31" t="str"/>
    </x:row>
    <x:row r="985" ht="42" customHeight="1">
      <x:c r="A985" s="35" t="n">
        <x:v>983</x:v>
      </x:c>
      <x:c r="B985" s="31" t="str">
        <x:f>IF('Execution Checklist'!Q985="","",'Execution Checklist'!Q985)</x:f>
      </x:c>
      <x:c r="C985" s="31" t="str">
        <x:v>Place the red block near the green pen.</x:v>
      </x:c>
      <x:c r="D985" s="31" t="str">
        <x:v>red block near green pen</x:v>
      </x:c>
      <x:c r="E985" s="31" t="str">
        <x:v>Binary task success; paired with the main transfer row.</x:v>
      </x:c>
      <x:c r="F985" s="31"/>
      <x:c r="G985" s="31"/>
      <x:c r="H985" s="31" t="str">
        <x:f>IF(OR(F985="",G985=""),"",IF(F985=G985,"Agree","Disagree"))</x:f>
      </x:c>
      <x:c r="I985" s="31"/>
      <x:c r="J985" s="31" t="str">
        <x:v>No</x:v>
      </x:c>
      <x:c r="K985" s="31" t="str"/>
      <x:c r="L985" s="31" t="str"/>
      <x:c r="M985" s="31" t="str"/>
      <x:c r="N985" s="31" t="str"/>
    </x:row>
    <x:row r="986" ht="42" customHeight="1">
      <x:c r="A986" s="35" t="n">
        <x:v>984</x:v>
      </x:c>
      <x:c r="B986" s="31" t="str">
        <x:f>IF('Execution Checklist'!Q986="","",'Execution Checklist'!Q986)</x:f>
      </x:c>
      <x:c r="C986" s="31" t="str">
        <x:v>Place the red block to the left of the green pen.</x:v>
      </x:c>
      <x:c r="D986" s="31" t="str">
        <x:v>red block → to the left of green pen</x:v>
      </x:c>
      <x:c r="E986" s="31" t="str">
        <x:v>Binary task success; paired with the main matched-control row.</x:v>
      </x:c>
      <x:c r="F986" s="31"/>
      <x:c r="G986" s="31"/>
      <x:c r="H986" s="31" t="str">
        <x:f>IF(OR(F986="",G986=""),"",IF(F986=G986,"Agree","Disagree"))</x:f>
      </x:c>
      <x:c r="I986" s="31"/>
      <x:c r="J986" s="31" t="str">
        <x:v>No</x:v>
      </x:c>
      <x:c r="K986" s="31" t="str"/>
      <x:c r="L986" s="31" t="str"/>
      <x:c r="M986" s="31" t="str"/>
      <x:c r="N986" s="31" t="str"/>
    </x:row>
    <x:row r="987" ht="42" customHeight="1">
      <x:c r="A987" s="35" t="n">
        <x:v>985</x:v>
      </x:c>
      <x:c r="B987" s="31" t="str">
        <x:f>IF('Execution Checklist'!Q987="","",'Execution Checklist'!Q987)</x:f>
      </x:c>
      <x:c r="C987" s="31" t="str">
        <x:v>Place the green pen to the left of the pink marker.</x:v>
      </x:c>
      <x:c r="D987" s="31" t="str">
        <x:v>green pen</x:v>
      </x:c>
      <x:c r="E987" s="31" t="str">
        <x:v>Binary task success using the task-specific rubric.</x:v>
      </x:c>
      <x:c r="F987" s="31"/>
      <x:c r="G987" s="31"/>
      <x:c r="H987" s="31" t="str">
        <x:f>IF(OR(F987="",G987=""),"",IF(F987=G987,"Agree","Disagree"))</x:f>
      </x:c>
      <x:c r="I987" s="31"/>
      <x:c r="J987" s="31" t="str">
        <x:v>No</x:v>
      </x:c>
      <x:c r="K987" s="31" t="str"/>
      <x:c r="L987" s="31" t="str"/>
      <x:c r="M987" s="31" t="str"/>
      <x:c r="N987" s="31" t="str"/>
    </x:row>
    <x:row r="988" ht="42" customHeight="1">
      <x:c r="A988" s="35" t="n">
        <x:v>986</x:v>
      </x:c>
      <x:c r="B988" s="31" t="str">
        <x:f>IF('Execution Checklist'!Q988="","",'Execution Checklist'!Q988)</x:f>
      </x:c>
      <x:c r="C988" s="31" t="str">
        <x:v>Place the red block in front of the green pen.</x:v>
      </x:c>
      <x:c r="D988" s="31" t="str">
        <x:v>red block → in front of green pen</x:v>
      </x:c>
      <x:c r="E988" s="31" t="str">
        <x:v>Binary task success; paired with the main matched-control row.</x:v>
      </x:c>
      <x:c r="F988" s="31"/>
      <x:c r="G988" s="31"/>
      <x:c r="H988" s="31" t="str">
        <x:f>IF(OR(F988="",G988=""),"",IF(F988=G988,"Agree","Disagree"))</x:f>
      </x:c>
      <x:c r="I988" s="31"/>
      <x:c r="J988" s="31" t="str">
        <x:v>No</x:v>
      </x:c>
      <x:c r="K988" s="31" t="str"/>
      <x:c r="L988" s="31" t="str"/>
      <x:c r="M988" s="31" t="str"/>
      <x:c r="N988" s="31" t="str"/>
    </x:row>
    <x:row r="989" ht="42" customHeight="1">
      <x:c r="A989" s="35" t="n">
        <x:v>987</x:v>
      </x:c>
      <x:c r="B989" s="31" t="str">
        <x:f>IF('Execution Checklist'!Q989="","",'Execution Checklist'!Q989)</x:f>
      </x:c>
      <x:c r="C989" s="31" t="str">
        <x:v>Place the green pen in front of the red block.</x:v>
      </x:c>
      <x:c r="D989" s="31" t="str">
        <x:v>green pen → in front of red block</x:v>
      </x:c>
      <x:c r="E989" s="31" t="str">
        <x:v>Binary success for the counterfactual instruction and paired action-switch analysis versus the parent.</x:v>
      </x:c>
      <x:c r="F989" s="31"/>
      <x:c r="G989" s="31"/>
      <x:c r="H989" s="31" t="str">
        <x:f>IF(OR(F989="",G989=""),"",IF(F989=G989,"Agree","Disagree"))</x:f>
      </x:c>
      <x:c r="I989" s="31"/>
      <x:c r="J989" s="31" t="str">
        <x:v>No</x:v>
      </x:c>
      <x:c r="K989" s="31" t="str"/>
      <x:c r="L989" s="31" t="str"/>
      <x:c r="M989" s="31" t="str"/>
      <x:c r="N989" s="31" t="str"/>
    </x:row>
    <x:row r="990" ht="42" customHeight="1">
      <x:c r="A990" s="35" t="n">
        <x:v>988</x:v>
      </x:c>
      <x:c r="B990" s="31" t="str">
        <x:f>IF('Execution Checklist'!Q990="","",'Execution Checklist'!Q990)</x:f>
      </x:c>
      <x:c r="C990" s="31" t="str">
        <x:v>Place the blue block in front of the green pen.</x:v>
      </x:c>
      <x:c r="D990" s="31" t="str">
        <x:v>blue block</x:v>
      </x:c>
      <x:c r="E990" s="31" t="str">
        <x:v>Binary task success using the task-specific rubric.</x:v>
      </x:c>
      <x:c r="F990" s="31"/>
      <x:c r="G990" s="31"/>
      <x:c r="H990" s="31" t="str">
        <x:f>IF(OR(F990="",G990=""),"",IF(F990=G990,"Agree","Disagree"))</x:f>
      </x:c>
      <x:c r="I990" s="31"/>
      <x:c r="J990" s="31" t="str">
        <x:v>No</x:v>
      </x:c>
      <x:c r="K990" s="31" t="str"/>
      <x:c r="L990" s="31" t="str"/>
      <x:c r="M990" s="31" t="str"/>
      <x:c r="N990" s="31" t="str"/>
    </x:row>
    <x:row r="991" ht="42" customHeight="1">
      <x:c r="A991" s="35" t="n">
        <x:v>989</x:v>
      </x:c>
      <x:c r="B991" s="31" t="str">
        <x:f>IF('Execution Checklist'!Q991="","",'Execution Checklist'!Q991)</x:f>
      </x:c>
      <x:c r="C991" s="31" t="str">
        <x:v>Place the green pen in front of the pink marker.</x:v>
      </x:c>
      <x:c r="D991" s="31" t="str">
        <x:v>green pen</x:v>
      </x:c>
      <x:c r="E991" s="31" t="str">
        <x:v>Binary task success using the task-specific rubric.</x:v>
      </x:c>
      <x:c r="F991" s="31"/>
      <x:c r="G991" s="31"/>
      <x:c r="H991" s="31" t="str">
        <x:f>IF(OR(F991="",G991=""),"",IF(F991=G991,"Agree","Disagree"))</x:f>
      </x:c>
      <x:c r="I991" s="31"/>
      <x:c r="J991" s="31" t="str">
        <x:v>No</x:v>
      </x:c>
      <x:c r="K991" s="31" t="str"/>
      <x:c r="L991" s="31" t="str"/>
      <x:c r="M991" s="31" t="str"/>
      <x:c r="N991" s="31" t="str"/>
    </x:row>
    <x:row r="992" ht="42" customHeight="1">
      <x:c r="A992" s="35" t="n">
        <x:v>990</x:v>
      </x:c>
      <x:c r="B992" s="31" t="str">
        <x:f>IF('Execution Checklist'!Q992="","",'Execution Checklist'!Q992)</x:f>
      </x:c>
      <x:c r="C992" s="31" t="str">
        <x:v>Place the green pen behind the pink marker.</x:v>
      </x:c>
      <x:c r="D992" s="31" t="str">
        <x:v>green pen</x:v>
      </x:c>
      <x:c r="E992" s="31" t="str">
        <x:v>Binary task success using the task-specific rubric.</x:v>
      </x:c>
      <x:c r="F992" s="31"/>
      <x:c r="G992" s="31"/>
      <x:c r="H992" s="31" t="str">
        <x:f>IF(OR(F992="",G992=""),"",IF(F992=G992,"Agree","Disagree"))</x:f>
      </x:c>
      <x:c r="I992" s="31"/>
      <x:c r="J992" s="31" t="str">
        <x:v>No</x:v>
      </x:c>
      <x:c r="K992" s="31" t="str"/>
      <x:c r="L992" s="31" t="str"/>
      <x:c r="M992" s="31" t="str"/>
      <x:c r="N992" s="31" t="str"/>
    </x:row>
    <x:row r="993" ht="42" customHeight="1">
      <x:c r="A993" s="35" t="n">
        <x:v>991</x:v>
      </x:c>
      <x:c r="B993" s="31" t="str">
        <x:f>IF('Execution Checklist'!Q993="","",'Execution Checklist'!Q993)</x:f>
      </x:c>
      <x:c r="C993" s="31" t="str">
        <x:v>Move the red block to the side of the pink marker facing the robot.</x:v>
      </x:c>
      <x:c r="D993" s="31" t="str">
        <x:v>red block</x:v>
      </x:c>
      <x:c r="E993" s="31" t="str">
        <x:v>Binary task success; compare with the seen-language row sharing Pair ID.</x:v>
      </x:c>
      <x:c r="F993" s="31"/>
      <x:c r="G993" s="31"/>
      <x:c r="H993" s="31" t="str">
        <x:f>IF(OR(F993="",G993=""),"",IF(F993=G993,"Agree","Disagree"))</x:f>
      </x:c>
      <x:c r="I993" s="31"/>
      <x:c r="J993" s="31" t="str">
        <x:v>No</x:v>
      </x:c>
      <x:c r="K993" s="31" t="str"/>
      <x:c r="L993" s="31" t="str"/>
      <x:c r="M993" s="31" t="str"/>
      <x:c r="N993" s="31" t="str"/>
    </x:row>
    <x:row r="994" ht="42" customHeight="1">
      <x:c r="A994" s="35" t="n">
        <x:v>992</x:v>
      </x:c>
      <x:c r="B994" s="31" t="str">
        <x:f>IF('Execution Checklist'!Q994="","",'Execution Checklist'!Q994)</x:f>
      </x:c>
      <x:c r="C994" s="31" t="str">
        <x:v>Adjust the bowl so that it contains zero objects.</x:v>
      </x:c>
      <x:c r="D994" s="31" t="str"/>
      <x:c r="E994" s="31" t="str">
        <x:v>Binary task success using the task-specific rubric.</x:v>
      </x:c>
      <x:c r="F994" s="31"/>
      <x:c r="G994" s="31"/>
      <x:c r="H994" s="31" t="str">
        <x:f>IF(OR(F994="",G994=""),"",IF(F994=G994,"Agree","Disagree"))</x:f>
      </x:c>
      <x:c r="I994" s="31"/>
      <x:c r="J994" s="31" t="str">
        <x:v>No</x:v>
      </x:c>
      <x:c r="K994" s="31" t="str"/>
      <x:c r="L994" s="31" t="str"/>
      <x:c r="M994" s="31" t="str"/>
      <x:c r="N994" s="31" t="str"/>
    </x:row>
    <x:row r="995" ht="42" customHeight="1">
      <x:c r="A995" s="35" t="n">
        <x:v>993</x:v>
      </x:c>
      <x:c r="B995" s="31" t="str">
        <x:f>IF('Execution Checklist'!Q995="","",'Execution Checklist'!Q995)</x:f>
      </x:c>
      <x:c r="C995" s="31" t="str">
        <x:v>Remove the green pencil sharpener from the bowl.</x:v>
      </x:c>
      <x:c r="D995" s="31" t="str">
        <x:v>REMOVE green pencil sharpener</x:v>
      </x:c>
      <x:c r="E995" s="31" t="str">
        <x:v>Binary task success; paired with the main transfer row.</x:v>
      </x:c>
      <x:c r="F995" s="31"/>
      <x:c r="G995" s="31"/>
      <x:c r="H995" s="31" t="str">
        <x:f>IF(OR(F995="",G995=""),"",IF(F995=G995,"Agree","Disagree"))</x:f>
      </x:c>
      <x:c r="I995" s="31"/>
      <x:c r="J995" s="31" t="str">
        <x:v>No</x:v>
      </x:c>
      <x:c r="K995" s="31" t="str"/>
      <x:c r="L995" s="31" t="str"/>
      <x:c r="M995" s="31" t="str"/>
      <x:c r="N995" s="31" t="str"/>
    </x:row>
    <x:row r="996" ht="42" customHeight="1">
      <x:c r="A996" s="35" t="n">
        <x:v>994</x:v>
      </x:c>
      <x:c r="B996" s="31" t="str">
        <x:f>IF('Execution Checklist'!Q996="","",'Execution Checklist'!Q996)</x:f>
      </x:c>
      <x:c r="C996" s="31" t="str">
        <x:v>Remove the blue pen from the bowl.</x:v>
      </x:c>
      <x:c r="D996" s="31" t="str">
        <x:v>REMOVE blue pen</x:v>
      </x:c>
      <x:c r="E996" s="31" t="str">
        <x:v>Binary task success; paired with the main transfer row.</x:v>
      </x:c>
      <x:c r="F996" s="31"/>
      <x:c r="G996" s="31"/>
      <x:c r="H996" s="31" t="str">
        <x:f>IF(OR(F996="",G996=""),"",IF(F996=G996,"Agree","Disagree"))</x:f>
      </x:c>
      <x:c r="I996" s="31"/>
      <x:c r="J996" s="31" t="str">
        <x:v>No</x:v>
      </x:c>
      <x:c r="K996" s="31" t="str"/>
      <x:c r="L996" s="31" t="str"/>
      <x:c r="M996" s="31" t="str"/>
      <x:c r="N996" s="31" t="str"/>
    </x:row>
    <x:row r="997" ht="42" customHeight="1">
      <x:c r="A997" s="35" t="n">
        <x:v>995</x:v>
      </x:c>
      <x:c r="B997" s="31" t="str">
        <x:f>IF('Execution Checklist'!Q997="","",'Execution Checklist'!Q997)</x:f>
      </x:c>
      <x:c r="C997" s="31" t="str">
        <x:v>Put the green pencil sharpener in the bowl.</x:v>
      </x:c>
      <x:c r="D997" s="31" t="str">
        <x:v>ADD green pencil sharpener</x:v>
      </x:c>
      <x:c r="E997" s="31" t="str">
        <x:v>Binary task success; paired with the main transfer row.</x:v>
      </x:c>
      <x:c r="F997" s="31"/>
      <x:c r="G997" s="31"/>
      <x:c r="H997" s="31" t="str">
        <x:f>IF(OR(F997="",G997=""),"",IF(F997=G997,"Agree","Disagree"))</x:f>
      </x:c>
      <x:c r="I997" s="31"/>
      <x:c r="J997" s="31" t="str">
        <x:v>No</x:v>
      </x:c>
      <x:c r="K997" s="31" t="str"/>
      <x:c r="L997" s="31" t="str"/>
      <x:c r="M997" s="31" t="str"/>
      <x:c r="N997" s="31" t="str"/>
    </x:row>
    <x:row r="998" ht="42" customHeight="1">
      <x:c r="A998" s="35" t="n">
        <x:v>996</x:v>
      </x:c>
      <x:c r="B998" s="31" t="str">
        <x:f>IF('Execution Checklist'!Q998="","",'Execution Checklist'!Q998)</x:f>
      </x:c>
      <x:c r="C998" s="31" t="str">
        <x:v>Remove the airplane toy without propellers from the bowl.</x:v>
      </x:c>
      <x:c r="D998" s="31" t="str">
        <x:v>REMOVE airplane toy without propellers</x:v>
      </x:c>
      <x:c r="E998" s="31" t="str">
        <x:v>Binary task success; paired with the main transfer row.</x:v>
      </x:c>
      <x:c r="F998" s="31"/>
      <x:c r="G998" s="31"/>
      <x:c r="H998" s="31" t="str">
        <x:f>IF(OR(F998="",G998=""),"",IF(F998=G998,"Agree","Disagree"))</x:f>
      </x:c>
      <x:c r="I998" s="31"/>
      <x:c r="J998" s="31" t="str">
        <x:v>No</x:v>
      </x:c>
      <x:c r="K998" s="31" t="str"/>
      <x:c r="L998" s="31" t="str"/>
      <x:c r="M998" s="31" t="str"/>
      <x:c r="N998" s="31" t="str"/>
    </x:row>
    <x:row r="999" ht="42" customHeight="1">
      <x:c r="A999" s="35" t="n">
        <x:v>997</x:v>
      </x:c>
      <x:c r="B999" s="31" t="str">
        <x:f>IF('Execution Checklist'!Q999="","",'Execution Checklist'!Q999)</x:f>
      </x:c>
      <x:c r="C999" s="31" t="str">
        <x:v>Leave exactly one object in the bowl.</x:v>
      </x:c>
      <x:c r="D999" s="31" t="str">
        <x:v>REMOVE one bowl object</x:v>
      </x:c>
      <x:c r="E999" s="31" t="str">
        <x:v>Binary success for the counterfactual instruction and paired action-switch analysis versus the parent.</x:v>
      </x:c>
      <x:c r="F999" s="31"/>
      <x:c r="G999" s="31"/>
      <x:c r="H999" s="31" t="str">
        <x:f>IF(OR(F999="",G999=""),"",IF(F999=G999,"Agree","Disagree"))</x:f>
      </x:c>
      <x:c r="I999" s="31"/>
      <x:c r="J999" s="31" t="str">
        <x:v>No</x:v>
      </x:c>
      <x:c r="K999" s="31" t="str"/>
      <x:c r="L999" s="31" t="str"/>
      <x:c r="M999" s="31" t="str"/>
      <x:c r="N999" s="31" t="str"/>
    </x:row>
    <x:row r="1000" ht="42" customHeight="1">
      <x:c r="A1000" s="35" t="n">
        <x:v>998</x:v>
      </x:c>
      <x:c r="B1000" s="31" t="str">
        <x:f>IF('Execution Checklist'!Q1000="","",'Execution Checklist'!Q1000)</x:f>
      </x:c>
      <x:c r="C1000" s="31" t="str">
        <x:v>Put the airplane toy without propellers in the bowl.</x:v>
      </x:c>
      <x:c r="D1000" s="31" t="str">
        <x:v>ADD airplane toy without propellers</x:v>
      </x:c>
      <x:c r="E1000" s="31" t="str">
        <x:v>Binary task success; paired with the main transfer row.</x:v>
      </x:c>
      <x:c r="F1000" s="31"/>
      <x:c r="G1000" s="31"/>
      <x:c r="H1000" s="31" t="str">
        <x:f>IF(OR(F1000="",G1000=""),"",IF(F1000=G1000,"Agree","Disagree"))</x:f>
      </x:c>
      <x:c r="I1000" s="31"/>
      <x:c r="J1000" s="31" t="str">
        <x:v>No</x:v>
      </x:c>
      <x:c r="K1000" s="31" t="str"/>
      <x:c r="L1000" s="31" t="str"/>
      <x:c r="M1000" s="31" t="str"/>
      <x:c r="N1000" s="31" t="str"/>
    </x:row>
    <x:row r="1001" ht="42" customHeight="1">
      <x:c r="A1001" s="35" t="n">
        <x:v>999</x:v>
      </x:c>
      <x:c r="B1001" s="31" t="str">
        <x:f>IF('Execution Checklist'!Q1001="","",'Execution Checklist'!Q1001)</x:f>
      </x:c>
      <x:c r="C1001" s="31" t="str">
        <x:v>Leave exactly three objects in the bowl.</x:v>
      </x:c>
      <x:c r="D1001" s="31" t="str">
        <x:v>ADD one table object</x:v>
      </x:c>
      <x:c r="E1001" s="31" t="str">
        <x:v>Binary task success; paired with the main matched-control row.</x:v>
      </x:c>
      <x:c r="F1001" s="31"/>
      <x:c r="G1001" s="31"/>
      <x:c r="H1001" s="31" t="str">
        <x:f>IF(OR(F1001="",G1001=""),"",IF(F1001=G1001,"Agree","Disagree"))</x:f>
      </x:c>
      <x:c r="I1001" s="31"/>
      <x:c r="J1001" s="31" t="str">
        <x:v>No</x:v>
      </x:c>
      <x:c r="K1001" s="31" t="str"/>
      <x:c r="L1001" s="31" t="str"/>
      <x:c r="M1001" s="31" t="str"/>
      <x:c r="N1001" s="31" t="str"/>
    </x:row>
    <x:row r="1002" ht="42" customHeight="1">
      <x:c r="A1002" s="35" t="n">
        <x:v>1000</x:v>
      </x:c>
      <x:c r="B1002" s="31" t="str">
        <x:f>IF('Execution Checklist'!Q1002="","",'Execution Checklist'!Q1002)</x:f>
      </x:c>
      <x:c r="C1002" s="31" t="str">
        <x:v>Make the bowl contain exactly two objects.</x:v>
      </x:c>
      <x:c r="D1002" s="31" t="str"/>
      <x:c r="E1002" s="31" t="str">
        <x:v>Binary task success using the task-specific rubric.</x:v>
      </x:c>
      <x:c r="F1002" s="31"/>
      <x:c r="G1002" s="31"/>
      <x:c r="H1002" s="31" t="str">
        <x:f>IF(OR(F1002="",G1002=""),"",IF(F1002=G1002,"Agree","Disagree"))</x:f>
      </x:c>
      <x:c r="I1002" s="31"/>
      <x:c r="J1002" s="31" t="str">
        <x:v>No</x:v>
      </x:c>
      <x:c r="K1002" s="31" t="str"/>
      <x:c r="L1002" s="31" t="str"/>
      <x:c r="M1002" s="31" t="str"/>
      <x:c r="N1002" s="31" t="str"/>
    </x:row>
    <x:row r="1003" ht="42" customHeight="1">
      <x:c r="A1003" s="35" t="n">
        <x:v>1001</x:v>
      </x:c>
      <x:c r="B1003" s="31" t="str">
        <x:f>IF('Execution Checklist'!Q1003="","",'Execution Checklist'!Q1003)</x:f>
      </x:c>
      <x:c r="C1003" s="31" t="str">
        <x:v>Adjust the bowl so that it contains two objects.</x:v>
      </x:c>
      <x:c r="D1003" s="31" t="str"/>
      <x:c r="E1003" s="31" t="str">
        <x:v>Binary task success using the task-specific rubric.</x:v>
      </x:c>
      <x:c r="F1003" s="31"/>
      <x:c r="G1003" s="31"/>
      <x:c r="H1003" s="31" t="str">
        <x:f>IF(OR(F1003="",G1003=""),"",IF(F1003=G1003,"Agree","Disagree"))</x:f>
      </x:c>
      <x:c r="I1003" s="31"/>
      <x:c r="J1003" s="31" t="str">
        <x:v>No</x:v>
      </x:c>
      <x:c r="K1003" s="31" t="str"/>
      <x:c r="L1003" s="31" t="str"/>
      <x:c r="M1003" s="31" t="str"/>
      <x:c r="N1003" s="31" t="str"/>
    </x:row>
    <x:row r="1004" ht="42" customHeight="1">
      <x:c r="A1004" s="35" t="n">
        <x:v>1002</x:v>
      </x:c>
      <x:c r="B1004" s="31" t="str">
        <x:f>IF('Execution Checklist'!Q1004="","",'Execution Checklist'!Q1004)</x:f>
      </x:c>
      <x:c r="C1004" s="31" t="str">
        <x:v>Remove the blue pen from the bowl.</x:v>
      </x:c>
      <x:c r="D1004" s="31" t="str">
        <x:v>REMOVE blue pen</x:v>
      </x:c>
      <x:c r="E1004" s="31" t="str">
        <x:v>Binary task success; paired with the main transfer row.</x:v>
      </x:c>
      <x:c r="F1004" s="31"/>
      <x:c r="G1004" s="31"/>
      <x:c r="H1004" s="31" t="str">
        <x:f>IF(OR(F1004="",G1004=""),"",IF(F1004=G1004,"Agree","Disagree"))</x:f>
      </x:c>
      <x:c r="I1004" s="31"/>
      <x:c r="J1004" s="31" t="str">
        <x:v>No</x:v>
      </x:c>
      <x:c r="K1004" s="31" t="str"/>
      <x:c r="L1004" s="31" t="str"/>
      <x:c r="M1004" s="31" t="str"/>
      <x:c r="N1004" s="31" t="str"/>
    </x:row>
    <x:row r="1005" ht="42" customHeight="1">
      <x:c r="A1005" s="35" t="n">
        <x:v>1003</x:v>
      </x:c>
      <x:c r="B1005" s="31" t="str">
        <x:f>IF('Execution Checklist'!Q1005="","",'Execution Checklist'!Q1005)</x:f>
      </x:c>
      <x:c r="C1005" s="31" t="str">
        <x:v>Leave exactly three objects in the bowl.</x:v>
      </x:c>
      <x:c r="D1005" s="31" t="str">
        <x:v>ADD one table object</x:v>
      </x:c>
      <x:c r="E1005" s="31" t="str">
        <x:v>Binary task success; paired with the main matched-control row.</x:v>
      </x:c>
      <x:c r="F1005" s="31"/>
      <x:c r="G1005" s="31"/>
      <x:c r="H1005" s="31" t="str">
        <x:f>IF(OR(F1005="",G1005=""),"",IF(F1005=G1005,"Agree","Disagree"))</x:f>
      </x:c>
      <x:c r="I1005" s="31"/>
      <x:c r="J1005" s="31" t="str">
        <x:v>No</x:v>
      </x:c>
      <x:c r="K1005" s="31" t="str"/>
      <x:c r="L1005" s="31" t="str"/>
      <x:c r="M1005" s="31" t="str"/>
      <x:c r="N1005" s="31" t="str"/>
    </x:row>
    <x:row r="1006" ht="42" customHeight="1">
      <x:c r="A1006" s="35" t="n">
        <x:v>1004</x:v>
      </x:c>
      <x:c r="B1006" s="31" t="str">
        <x:f>IF('Execution Checklist'!Q1006="","",'Execution Checklist'!Q1006)</x:f>
      </x:c>
      <x:c r="C1006" s="31" t="str">
        <x:v>Leave exactly one object in the bowl.</x:v>
      </x:c>
      <x:c r="D1006" s="31" t="str">
        <x:v>REMOVE one bowl object</x:v>
      </x:c>
      <x:c r="E1006" s="31" t="str">
        <x:v>Binary success for the counterfactual instruction and paired action-switch analysis versus the parent.</x:v>
      </x:c>
      <x:c r="F1006" s="31"/>
      <x:c r="G1006" s="31"/>
      <x:c r="H1006" s="31" t="str">
        <x:f>IF(OR(F1006="",G1006=""),"",IF(F1006=G1006,"Agree","Disagree"))</x:f>
      </x:c>
      <x:c r="I1006" s="31"/>
      <x:c r="J1006" s="31" t="str">
        <x:v>No</x:v>
      </x:c>
      <x:c r="K1006" s="31" t="str"/>
      <x:c r="L1006" s="31" t="str"/>
      <x:c r="M1006" s="31" t="str"/>
      <x:c r="N1006" s="31" t="str"/>
    </x:row>
    <x:row r="1007" ht="42" customHeight="1">
      <x:c r="A1007" s="35" t="n">
        <x:v>1005</x:v>
      </x:c>
      <x:c r="B1007" s="31" t="str">
        <x:f>IF('Execution Checklist'!Q1007="","",'Execution Checklist'!Q1007)</x:f>
      </x:c>
      <x:c r="C1007" s="31" t="str">
        <x:v>Leave exactly one object in the bowl.</x:v>
      </x:c>
      <x:c r="D1007" s="31" t="str">
        <x:v>REMOVE one bowl object</x:v>
      </x:c>
      <x:c r="E1007" s="31" t="str">
        <x:v>Binary task success; paired with the main matched-control row.</x:v>
      </x:c>
      <x:c r="F1007" s="31"/>
      <x:c r="G1007" s="31"/>
      <x:c r="H1007" s="31" t="str">
        <x:f>IF(OR(F1007="",G1007=""),"",IF(F1007=G1007,"Agree","Disagree"))</x:f>
      </x:c>
      <x:c r="I1007" s="31"/>
      <x:c r="J1007" s="31" t="str">
        <x:v>No</x:v>
      </x:c>
      <x:c r="K1007" s="31" t="str"/>
      <x:c r="L1007" s="31" t="str"/>
      <x:c r="M1007" s="31" t="str"/>
      <x:c r="N1007" s="31" t="str"/>
    </x:row>
    <x:row r="1008" ht="42" customHeight="1">
      <x:c r="A1008" s="35" t="n">
        <x:v>1006</x:v>
      </x:c>
      <x:c r="B1008" s="31" t="str">
        <x:f>IF('Execution Checklist'!Q1008="","",'Execution Checklist'!Q1008)</x:f>
      </x:c>
      <x:c r="C1008" s="31" t="str">
        <x:v>Move the blue pen into the bowl.</x:v>
      </x:c>
      <x:c r="D1008" s="31" t="str">
        <x:v>blue pen</x:v>
      </x:c>
      <x:c r="E1008" s="31" t="str">
        <x:v>Binary task success using the task-specific rubric.</x:v>
      </x:c>
      <x:c r="F1008" s="31"/>
      <x:c r="G1008" s="31"/>
      <x:c r="H1008" s="31" t="str">
        <x:f>IF(OR(F1008="",G1008=""),"",IF(F1008=G1008,"Agree","Disagree"))</x:f>
      </x:c>
      <x:c r="I1008" s="31"/>
      <x:c r="J1008" s="31" t="str">
        <x:v>No</x:v>
      </x:c>
      <x:c r="K1008" s="31" t="str"/>
      <x:c r="L1008" s="31" t="str"/>
      <x:c r="M1008" s="31" t="str"/>
      <x:c r="N1008" s="31" t="str"/>
    </x:row>
    <x:row r="1009" ht="42" customHeight="1">
      <x:c r="A1009" s="35" t="n">
        <x:v>1007</x:v>
      </x:c>
      <x:c r="B1009" s="31" t="str">
        <x:f>IF('Execution Checklist'!Q1009="","",'Execution Checklist'!Q1009)</x:f>
      </x:c>
      <x:c r="C1009" s="31" t="str">
        <x:v>Make the bowl contain exactly zero objects.</x:v>
      </x:c>
      <x:c r="D1009" s="31" t="str"/>
      <x:c r="E1009" s="31" t="str">
        <x:v>Binary task success using the task-specific rubric.</x:v>
      </x:c>
      <x:c r="F1009" s="31"/>
      <x:c r="G1009" s="31"/>
      <x:c r="H1009" s="31" t="str">
        <x:f>IF(OR(F1009="",G1009=""),"",IF(F1009=G1009,"Agree","Disagree"))</x:f>
      </x:c>
      <x:c r="I1009" s="31"/>
      <x:c r="J1009" s="31" t="str">
        <x:v>No</x:v>
      </x:c>
      <x:c r="K1009" s="31" t="str"/>
      <x:c r="L1009" s="31" t="str"/>
      <x:c r="M1009" s="31" t="str"/>
      <x:c r="N1009" s="31" t="str"/>
    </x:row>
    <x:row r="1010" ht="42" customHeight="1">
      <x:c r="A1010" s="35" t="n">
        <x:v>1008</x:v>
      </x:c>
      <x:c r="B1010" s="31" t="str">
        <x:f>IF('Execution Checklist'!Q1010="","",'Execution Checklist'!Q1010)</x:f>
      </x:c>
      <x:c r="C1010" s="31" t="str">
        <x:v>Move the yellow block into the bowl.</x:v>
      </x:c>
      <x:c r="D1010" s="31" t="str">
        <x:v>yellow block</x:v>
      </x:c>
      <x:c r="E1010" s="31" t="str">
        <x:v>Binary task success using the task-specific rubric.</x:v>
      </x:c>
      <x:c r="F1010" s="31"/>
      <x:c r="G1010" s="31"/>
      <x:c r="H1010" s="31" t="str">
        <x:f>IF(OR(F1010="",G1010=""),"",IF(F1010=G1010,"Agree","Disagree"))</x:f>
      </x:c>
      <x:c r="I1010" s="31"/>
      <x:c r="J1010" s="31" t="str">
        <x:v>No</x:v>
      </x:c>
      <x:c r="K1010" s="31" t="str"/>
      <x:c r="L1010" s="31" t="str"/>
      <x:c r="M1010" s="31" t="str"/>
      <x:c r="N1010" s="31" t="str"/>
    </x:row>
    <x:row r="1011" ht="42" customHeight="1">
      <x:c r="A1011" s="35" t="n">
        <x:v>1009</x:v>
      </x:c>
      <x:c r="B1011" s="31" t="str">
        <x:f>IF('Execution Checklist'!Q1011="","",'Execution Checklist'!Q1011)</x:f>
      </x:c>
      <x:c r="C1011" s="31" t="str">
        <x:v>Leave exactly one object in the bowl.</x:v>
      </x:c>
      <x:c r="D1011" s="31" t="str">
        <x:v>REMOVE one bowl object</x:v>
      </x:c>
      <x:c r="E1011" s="31" t="str">
        <x:v>Binary task success; paired with the main matched-control row.</x:v>
      </x:c>
      <x:c r="F1011" s="31"/>
      <x:c r="G1011" s="31"/>
      <x:c r="H1011" s="31" t="str">
        <x:f>IF(OR(F1011="",G1011=""),"",IF(F1011=G1011,"Agree","Disagree"))</x:f>
      </x:c>
      <x:c r="I1011" s="31"/>
      <x:c r="J1011" s="31" t="str">
        <x:v>No</x:v>
      </x:c>
      <x:c r="K1011" s="31" t="str"/>
      <x:c r="L1011" s="31" t="str"/>
      <x:c r="M1011" s="31" t="str"/>
      <x:c r="N1011" s="31" t="str"/>
    </x:row>
    <x:row r="1012" ht="42" customHeight="1">
      <x:c r="A1012" s="35" t="n">
        <x:v>1010</x:v>
      </x:c>
      <x:c r="B1012" s="31" t="str">
        <x:f>IF('Execution Checklist'!Q1012="","",'Execution Checklist'!Q1012)</x:f>
      </x:c>
      <x:c r="C1012" s="31" t="str">
        <x:v>Leave exactly three objects in the bowl.</x:v>
      </x:c>
      <x:c r="D1012" s="31" t="str">
        <x:v>No prespecified task success under blank language; record any action/selected target.</x:v>
      </x:c>
      <x:c r="E1012" s="31" t="str">
        <x:v>Do not score ordinary task success. Record action occurrence and agreement with the parent correct-prompt rollout.</x:v>
      </x:c>
      <x:c r="F1012" s="31"/>
      <x:c r="G1012" s="31"/>
      <x:c r="H1012" s="31" t="str">
        <x:f>IF(OR(F1012="",G1012=""),"",IF(F1012=G1012,"Agree","Disagree"))</x:f>
      </x:c>
      <x:c r="I1012" s="31"/>
      <x:c r="J1012" s="31" t="str">
        <x:v>No</x:v>
      </x:c>
      <x:c r="K1012" s="31" t="str"/>
      <x:c r="L1012" s="31" t="str"/>
      <x:c r="M1012" s="31" t="str"/>
      <x:c r="N1012" s="31" t="str"/>
    </x:row>
    <x:row r="1013" ht="42" customHeight="1">
      <x:c r="A1013" s="35" t="n">
        <x:v>1011</x:v>
      </x:c>
      <x:c r="B1013" s="31" t="str">
        <x:f>IF('Execution Checklist'!Q1013="","",'Execution Checklist'!Q1013)</x:f>
      </x:c>
      <x:c r="C1013" s="31" t="str">
        <x:v>Put the airplane toy without propellers in the bowl.</x:v>
      </x:c>
      <x:c r="D1013" s="31" t="str">
        <x:v>ADD airplane toy without propellers</x:v>
      </x:c>
      <x:c r="E1013" s="31" t="str">
        <x:v>Binary task success; paired with the main transfer row.</x:v>
      </x:c>
      <x:c r="F1013" s="31"/>
      <x:c r="G1013" s="31"/>
      <x:c r="H1013" s="31" t="str">
        <x:f>IF(OR(F1013="",G1013=""),"",IF(F1013=G1013,"Agree","Disagree"))</x:f>
      </x:c>
      <x:c r="I1013" s="31"/>
      <x:c r="J1013" s="31" t="str">
        <x:v>No</x:v>
      </x:c>
      <x:c r="K1013" s="31" t="str"/>
      <x:c r="L1013" s="31" t="str"/>
      <x:c r="M1013" s="31" t="str"/>
      <x:c r="N1013" s="31" t="str"/>
    </x:row>
    <x:row r="1014" ht="42" customHeight="1">
      <x:c r="A1014" s="35" t="n">
        <x:v>1012</x:v>
      </x:c>
      <x:c r="B1014" s="31" t="str">
        <x:f>IF('Execution Checklist'!Q1014="","",'Execution Checklist'!Q1014)</x:f>
      </x:c>
      <x:c r="C1014" s="31" t="str">
        <x:v>Adjust the bowl so that it contains two objects.</x:v>
      </x:c>
      <x:c r="D1014" s="31" t="str"/>
      <x:c r="E1014" s="31" t="str">
        <x:v>Binary task success using the task-specific rubric.</x:v>
      </x:c>
      <x:c r="F1014" s="31"/>
      <x:c r="G1014" s="31"/>
      <x:c r="H1014" s="31" t="str">
        <x:f>IF(OR(F1014="",G1014=""),"",IF(F1014=G1014,"Agree","Disagree"))</x:f>
      </x:c>
      <x:c r="I1014" s="31"/>
      <x:c r="J1014" s="31" t="str">
        <x:v>No</x:v>
      </x:c>
      <x:c r="K1014" s="31" t="str"/>
      <x:c r="L1014" s="31" t="str"/>
      <x:c r="M1014" s="31" t="str"/>
      <x:c r="N1014" s="31" t="str"/>
    </x:row>
    <x:row r="1015" ht="42" customHeight="1">
      <x:c r="A1015" s="35" t="n">
        <x:v>1013</x:v>
      </x:c>
      <x:c r="B1015" s="31" t="str">
        <x:f>IF('Execution Checklist'!Q1015="","",'Execution Checklist'!Q1015)</x:f>
      </x:c>
      <x:c r="C1015" s="31" t="str">
        <x:v>Make the bowl contain exactly zero objects.</x:v>
      </x:c>
      <x:c r="D1015" s="31" t="str"/>
      <x:c r="E1015" s="31" t="str">
        <x:v>Binary task success using the task-specific rubric.</x:v>
      </x:c>
      <x:c r="F1015" s="31"/>
      <x:c r="G1015" s="31"/>
      <x:c r="H1015" s="31" t="str">
        <x:f>IF(OR(F1015="",G1015=""),"",IF(F1015=G1015,"Agree","Disagree"))</x:f>
      </x:c>
      <x:c r="I1015" s="31"/>
      <x:c r="J1015" s="31" t="str">
        <x:v>No</x:v>
      </x:c>
      <x:c r="K1015" s="31" t="str"/>
      <x:c r="L1015" s="31" t="str"/>
      <x:c r="M1015" s="31" t="str"/>
      <x:c r="N1015" s="31" t="str"/>
    </x:row>
    <x:row r="1016" ht="42" customHeight="1">
      <x:c r="A1016" s="35" t="n">
        <x:v>1014</x:v>
      </x:c>
      <x:c r="B1016" s="31" t="str">
        <x:f>IF('Execution Checklist'!Q1016="","",'Execution Checklist'!Q1016)</x:f>
      </x:c>
      <x:c r="C1016" s="31" t="str">
        <x:v>Leave exactly one object in the bowl.</x:v>
      </x:c>
      <x:c r="D1016" s="31" t="str">
        <x:v>REMOVE one bowl object</x:v>
      </x:c>
      <x:c r="E1016" s="31" t="str">
        <x:v>Binary task success; paired with the main matched-control row.</x:v>
      </x:c>
      <x:c r="F1016" s="31"/>
      <x:c r="G1016" s="31"/>
      <x:c r="H1016" s="31" t="str">
        <x:f>IF(OR(F1016="",G1016=""),"",IF(F1016=G1016,"Agree","Disagree"))</x:f>
      </x:c>
      <x:c r="I1016" s="31"/>
      <x:c r="J1016" s="31" t="str">
        <x:v>No</x:v>
      </x:c>
      <x:c r="K1016" s="31" t="str"/>
      <x:c r="L1016" s="31" t="str"/>
      <x:c r="M1016" s="31" t="str"/>
      <x:c r="N1016" s="31" t="str"/>
    </x:row>
    <x:row r="1017" ht="42" customHeight="1">
      <x:c r="A1017" s="35" t="n">
        <x:v>1015</x:v>
      </x:c>
      <x:c r="B1017" s="31" t="str">
        <x:f>IF('Execution Checklist'!Q1017="","",'Execution Checklist'!Q1017)</x:f>
      </x:c>
      <x:c r="C1017" s="31" t="str">
        <x:v>Remove the yellow block from the bowl.</x:v>
      </x:c>
      <x:c r="D1017" s="31" t="str">
        <x:v>REMOVE yellow block</x:v>
      </x:c>
      <x:c r="E1017" s="31" t="str">
        <x:v>Binary task success; paired with the main transfer row.</x:v>
      </x:c>
      <x:c r="F1017" s="31"/>
      <x:c r="G1017" s="31"/>
      <x:c r="H1017" s="31" t="str">
        <x:f>IF(OR(F1017="",G1017=""),"",IF(F1017=G1017,"Agree","Disagree"))</x:f>
      </x:c>
      <x:c r="I1017" s="31"/>
      <x:c r="J1017" s="31" t="str">
        <x:v>No</x:v>
      </x:c>
      <x:c r="K1017" s="31" t="str"/>
      <x:c r="L1017" s="31" t="str"/>
      <x:c r="M1017" s="31" t="str"/>
      <x:c r="N1017" s="31" t="str"/>
    </x:row>
    <x:row r="1018" ht="42" customHeight="1">
      <x:c r="A1018" s="35" t="n">
        <x:v>1016</x:v>
      </x:c>
      <x:c r="B1018" s="31" t="str">
        <x:f>IF('Execution Checklist'!Q1018="","",'Execution Checklist'!Q1018)</x:f>
      </x:c>
      <x:c r="C1018" s="31" t="str">
        <x:v>Put the blue pen in the bowl.</x:v>
      </x:c>
      <x:c r="D1018" s="31" t="str">
        <x:v>ADD blue pen</x:v>
      </x:c>
      <x:c r="E1018" s="31" t="str">
        <x:v>Binary task success; paired with the main transfer row.</x:v>
      </x:c>
      <x:c r="F1018" s="31"/>
      <x:c r="G1018" s="31"/>
      <x:c r="H1018" s="31" t="str">
        <x:f>IF(OR(F1018="",G1018=""),"",IF(F1018=G1018,"Agree","Disagree"))</x:f>
      </x:c>
      <x:c r="I1018" s="31"/>
      <x:c r="J1018" s="31" t="str">
        <x:v>No</x:v>
      </x:c>
      <x:c r="K1018" s="31" t="str"/>
      <x:c r="L1018" s="31" t="str"/>
      <x:c r="M1018" s="31" t="str"/>
      <x:c r="N1018" s="31" t="str"/>
    </x:row>
    <x:row r="1019" ht="42" customHeight="1">
      <x:c r="A1019" s="35" t="n">
        <x:v>1017</x:v>
      </x:c>
      <x:c r="B1019" s="31" t="str">
        <x:f>IF('Execution Checklist'!Q1019="","",'Execution Checklist'!Q1019)</x:f>
      </x:c>
      <x:c r="C1019" s="31" t="str">
        <x:v>Leave exactly three objects in the bowl.</x:v>
      </x:c>
      <x:c r="D1019" s="31" t="str">
        <x:v>ADD one table object</x:v>
      </x:c>
      <x:c r="E1019" s="31" t="str">
        <x:v>Binary task success; paired with the main matched-control row.</x:v>
      </x:c>
      <x:c r="F1019" s="31"/>
      <x:c r="G1019" s="31"/>
      <x:c r="H1019" s="31" t="str">
        <x:f>IF(OR(F1019="",G1019=""),"",IF(F1019=G1019,"Agree","Disagree"))</x:f>
      </x:c>
      <x:c r="I1019" s="31"/>
      <x:c r="J1019" s="31" t="str">
        <x:v>No</x:v>
      </x:c>
      <x:c r="K1019" s="31" t="str"/>
      <x:c r="L1019" s="31" t="str"/>
      <x:c r="M1019" s="31" t="str"/>
      <x:c r="N1019" s="31" t="str"/>
    </x:row>
    <x:row r="1020" ht="42" customHeight="1">
      <x:c r="A1020" s="35" t="n">
        <x:v>1018</x:v>
      </x:c>
      <x:c r="B1020" s="31" t="str">
        <x:f>IF('Execution Checklist'!Q1020="","",'Execution Checklist'!Q1020)</x:f>
      </x:c>
      <x:c r="C1020" s="31" t="str">
        <x:v>Adjust the bowl so that it contains zero objects.</x:v>
      </x:c>
      <x:c r="D1020" s="31" t="str"/>
      <x:c r="E1020" s="31" t="str">
        <x:v>Binary task success using the task-specific rubric.</x:v>
      </x:c>
      <x:c r="F1020" s="31"/>
      <x:c r="G1020" s="31"/>
      <x:c r="H1020" s="31" t="str">
        <x:f>IF(OR(F1020="",G1020=""),"",IF(F1020=G1020,"Agree","Disagree"))</x:f>
      </x:c>
      <x:c r="I1020" s="31"/>
      <x:c r="J1020" s="31" t="str">
        <x:v>No</x:v>
      </x:c>
      <x:c r="K1020" s="31" t="str"/>
      <x:c r="L1020" s="31" t="str"/>
      <x:c r="M1020" s="31" t="str"/>
      <x:c r="N1020" s="31" t="str"/>
    </x:row>
    <x:row r="1021" ht="42" customHeight="1">
      <x:c r="A1021" s="35" t="n">
        <x:v>1019</x:v>
      </x:c>
      <x:c r="B1021" s="31" t="str">
        <x:f>IF('Execution Checklist'!Q1021="","",'Execution Checklist'!Q1021)</x:f>
      </x:c>
      <x:c r="C1021" s="31" t="str">
        <x:v>Leave exactly three objects in the bowl.</x:v>
      </x:c>
      <x:c r="D1021" s="31" t="str">
        <x:v>ADD one table object</x:v>
      </x:c>
      <x:c r="E1021" s="31" t="str">
        <x:v>Binary task success; paired with the main matched-control row.</x:v>
      </x:c>
      <x:c r="F1021" s="31"/>
      <x:c r="G1021" s="31"/>
      <x:c r="H1021" s="31" t="str">
        <x:f>IF(OR(F1021="",G1021=""),"",IF(F1021=G1021,"Agree","Disagree"))</x:f>
      </x:c>
      <x:c r="I1021" s="31"/>
      <x:c r="J1021" s="31" t="str">
        <x:v>No</x:v>
      </x:c>
      <x:c r="K1021" s="31" t="str"/>
      <x:c r="L1021" s="31" t="str"/>
      <x:c r="M1021" s="31" t="str"/>
      <x:c r="N1021" s="31" t="str"/>
    </x:row>
    <x:row r="1022" ht="42" customHeight="1">
      <x:c r="A1022" s="35" t="n">
        <x:v>1020</x:v>
      </x:c>
      <x:c r="B1022" s="31" t="str">
        <x:f>IF('Execution Checklist'!Q1022="","",'Execution Checklist'!Q1022)</x:f>
      </x:c>
      <x:c r="C1022" s="31" t="str">
        <x:v>Leave exactly one object in the bowl.</x:v>
      </x:c>
      <x:c r="D1022" s="31" t="str">
        <x:v>REMOVE one bowl object</x:v>
      </x:c>
      <x:c r="E1022" s="31" t="str">
        <x:v>Binary task success; paired with the main matched-control row.</x:v>
      </x:c>
      <x:c r="F1022" s="31"/>
      <x:c r="G1022" s="31"/>
      <x:c r="H1022" s="31" t="str">
        <x:f>IF(OR(F1022="",G1022=""),"",IF(F1022=G1022,"Agree","Disagree"))</x:f>
      </x:c>
      <x:c r="I1022" s="31"/>
      <x:c r="J1022" s="31" t="str">
        <x:v>No</x:v>
      </x:c>
      <x:c r="K1022" s="31" t="str"/>
      <x:c r="L1022" s="31" t="str"/>
      <x:c r="M1022" s="31" t="str"/>
      <x:c r="N1022" s="31" t="str"/>
    </x:row>
    <x:row r="1023" ht="42" customHeight="1">
      <x:c r="A1023" s="35" t="n">
        <x:v>1021</x:v>
      </x:c>
      <x:c r="B1023" s="31" t="str">
        <x:f>IF('Execution Checklist'!Q1023="","",'Execution Checklist'!Q1023)</x:f>
      </x:c>
      <x:c r="C1023" s="31" t="str">
        <x:v>Leave exactly three objects in the bowl.</x:v>
      </x:c>
      <x:c r="D1023" s="31" t="str">
        <x:v>ADD one table object</x:v>
      </x:c>
      <x:c r="E1023" s="31" t="str">
        <x:v>Binary task success; paired with the main matched-control row.</x:v>
      </x:c>
      <x:c r="F1023" s="31"/>
      <x:c r="G1023" s="31"/>
      <x:c r="H1023" s="31" t="str">
        <x:f>IF(OR(F1023="",G1023=""),"",IF(F1023=G1023,"Agree","Disagree"))</x:f>
      </x:c>
      <x:c r="I1023" s="31"/>
      <x:c r="J1023" s="31" t="str">
        <x:v>No</x:v>
      </x:c>
      <x:c r="K1023" s="31" t="str"/>
      <x:c r="L1023" s="31" t="str"/>
      <x:c r="M1023" s="31" t="str"/>
      <x:c r="N1023" s="31" t="str"/>
    </x:row>
    <x:row r="1024" ht="42" customHeight="1">
      <x:c r="A1024" s="35" t="n">
        <x:v>1022</x:v>
      </x:c>
      <x:c r="B1024" s="31" t="str">
        <x:f>IF('Execution Checklist'!Q1024="","",'Execution Checklist'!Q1024)</x:f>
      </x:c>
      <x:c r="C1024" s="31" t="str">
        <x:v>Leave exactly two objects in the bowl.</x:v>
      </x:c>
      <x:c r="D1024" s="31" t="str">
        <x:v>yellow block</x:v>
      </x:c>
      <x:c r="E1024" s="31" t="str">
        <x:v>Binary task success using the task-specific rubric.</x:v>
      </x:c>
      <x:c r="F1024" s="31"/>
      <x:c r="G1024" s="31"/>
      <x:c r="H1024" s="31" t="str">
        <x:f>IF(OR(F1024="",G1024=""),"",IF(F1024=G1024,"Agree","Disagree"))</x:f>
      </x:c>
      <x:c r="I1024" s="31"/>
      <x:c r="J1024" s="31" t="str">
        <x:v>No</x:v>
      </x:c>
      <x:c r="K1024" s="31" t="str"/>
      <x:c r="L1024" s="31" t="str"/>
      <x:c r="M1024" s="31" t="str"/>
      <x:c r="N1024" s="31" t="str"/>
    </x:row>
    <x:row r="1025" ht="42" customHeight="1">
      <x:c r="A1025" s="35" t="n">
        <x:v>1023</x:v>
      </x:c>
      <x:c r="B1025" s="31" t="str">
        <x:f>IF('Execution Checklist'!Q1025="","",'Execution Checklist'!Q1025)</x:f>
      </x:c>
      <x:c r="C1025" s="31" t="str">
        <x:v>Finish with two objects in the bowl.</x:v>
      </x:c>
      <x:c r="D1025" s="31" t="str"/>
      <x:c r="E1025" s="31" t="str">
        <x:v>Binary task success; compare with the seen-language row sharing Pair ID.</x:v>
      </x:c>
      <x:c r="F1025" s="31"/>
      <x:c r="G1025" s="31"/>
      <x:c r="H1025" s="31" t="str">
        <x:f>IF(OR(F1025="",G1025=""),"",IF(F1025=G1025,"Agree","Disagree"))</x:f>
      </x:c>
      <x:c r="I1025" s="31"/>
      <x:c r="J1025" s="31" t="str">
        <x:v>No</x:v>
      </x:c>
      <x:c r="K1025" s="31" t="str"/>
      <x:c r="L1025" s="31" t="str"/>
      <x:c r="M1025" s="31" t="str"/>
      <x:c r="N1025" s="31" t="str"/>
    </x:row>
    <x:row r="1026" ht="42" customHeight="1">
      <x:c r="A1026" s="35" t="n">
        <x:v>1024</x:v>
      </x:c>
      <x:c r="B1026" s="31" t="str">
        <x:f>IF('Execution Checklist'!Q1026="","",'Execution Checklist'!Q1026)</x:f>
      </x:c>
      <x:c r="C1026" s="31" t="str">
        <x:v>Remove the green pencil sharpener from the bowl.</x:v>
      </x:c>
      <x:c r="D1026" s="31" t="str">
        <x:v>REMOVE green pencil sharpener</x:v>
      </x:c>
      <x:c r="E1026" s="31" t="str">
        <x:v>Binary task success; paired with the main transfer row.</x:v>
      </x:c>
      <x:c r="F1026" s="31"/>
      <x:c r="G1026" s="31"/>
      <x:c r="H1026" s="31" t="str">
        <x:f>IF(OR(F1026="",G1026=""),"",IF(F1026=G1026,"Agree","Disagree"))</x:f>
      </x:c>
      <x:c r="I1026" s="31"/>
      <x:c r="J1026" s="31" t="str">
        <x:v>No</x:v>
      </x:c>
      <x:c r="K1026" s="31" t="str"/>
      <x:c r="L1026" s="31" t="str"/>
      <x:c r="M1026" s="31" t="str"/>
      <x:c r="N1026" s="31" t="str"/>
    </x:row>
    <x:row r="1027" ht="42" customHeight="1">
      <x:c r="A1027" s="35" t="n">
        <x:v>1025</x:v>
      </x:c>
      <x:c r="B1027" s="31" t="str">
        <x:f>IF('Execution Checklist'!Q1027="","",'Execution Checklist'!Q1027)</x:f>
      </x:c>
      <x:c r="C1027" s="31" t="str">
        <x:v>Finish with two objects in the bowl.</x:v>
      </x:c>
      <x:c r="D1027" s="31" t="str"/>
      <x:c r="E1027" s="31" t="str">
        <x:v>Binary task success; compare with the seen-language row sharing Pair ID.</x:v>
      </x:c>
      <x:c r="F1027" s="31"/>
      <x:c r="G1027" s="31"/>
      <x:c r="H1027" s="31" t="str">
        <x:f>IF(OR(F1027="",G1027=""),"",IF(F1027=G1027,"Agree","Disagree"))</x:f>
      </x:c>
      <x:c r="I1027" s="31"/>
      <x:c r="J1027" s="31" t="str">
        <x:v>No</x:v>
      </x:c>
      <x:c r="K1027" s="31" t="str"/>
      <x:c r="L1027" s="31" t="str"/>
      <x:c r="M1027" s="31" t="str"/>
      <x:c r="N1027" s="31" t="str"/>
    </x:row>
    <x:row r="1028" ht="42" customHeight="1">
      <x:c r="A1028" s="35" t="n">
        <x:v>1026</x:v>
      </x:c>
      <x:c r="B1028" s="31" t="str">
        <x:f>IF('Execution Checklist'!Q1028="","",'Execution Checklist'!Q1028)</x:f>
      </x:c>
      <x:c r="C1028" s="31" t="str">
        <x:v>Leave exactly one object in the bowl.</x:v>
      </x:c>
      <x:c r="D1028" s="31" t="str">
        <x:v>REMOVE one bowl object</x:v>
      </x:c>
      <x:c r="E1028" s="31" t="str">
        <x:v>Binary task success; paired with the main matched-control row.</x:v>
      </x:c>
      <x:c r="F1028" s="31"/>
      <x:c r="G1028" s="31"/>
      <x:c r="H1028" s="31" t="str">
        <x:f>IF(OR(F1028="",G1028=""),"",IF(F1028=G1028,"Agree","Disagree"))</x:f>
      </x:c>
      <x:c r="I1028" s="31"/>
      <x:c r="J1028" s="31" t="str">
        <x:v>No</x:v>
      </x:c>
      <x:c r="K1028" s="31" t="str"/>
      <x:c r="L1028" s="31" t="str"/>
      <x:c r="M1028" s="31" t="str"/>
      <x:c r="N1028" s="31" t="str"/>
    </x:row>
    <x:row r="1029" ht="42" customHeight="1">
      <x:c r="A1029" s="35" t="n">
        <x:v>1027</x:v>
      </x:c>
      <x:c r="B1029" s="31" t="str">
        <x:f>IF('Execution Checklist'!Q1029="","",'Execution Checklist'!Q1029)</x:f>
      </x:c>
      <x:c r="C1029" s="31" t="str">
        <x:v>Finish with two objects in the bowl.</x:v>
      </x:c>
      <x:c r="D1029" s="31" t="str"/>
      <x:c r="E1029" s="31" t="str">
        <x:v>Binary task success; compare with the seen-language row sharing Pair ID.</x:v>
      </x:c>
      <x:c r="F1029" s="31"/>
      <x:c r="G1029" s="31"/>
      <x:c r="H1029" s="31" t="str">
        <x:f>IF(OR(F1029="",G1029=""),"",IF(F1029=G1029,"Agree","Disagree"))</x:f>
      </x:c>
      <x:c r="I1029" s="31"/>
      <x:c r="J1029" s="31" t="str">
        <x:v>No</x:v>
      </x:c>
      <x:c r="K1029" s="31" t="str"/>
      <x:c r="L1029" s="31" t="str"/>
      <x:c r="M1029" s="31" t="str"/>
      <x:c r="N1029" s="31" t="str"/>
    </x:row>
    <x:row r="1030" ht="42" customHeight="1">
      <x:c r="A1030" s="35" t="n">
        <x:v>1028</x:v>
      </x:c>
      <x:c r="B1030" s="31" t="str">
        <x:f>IF('Execution Checklist'!Q1030="","",'Execution Checklist'!Q1030)</x:f>
      </x:c>
      <x:c r="C1030" s="31" t="str">
        <x:v>Remove the yellow block from the bowl.</x:v>
      </x:c>
      <x:c r="D1030" s="31" t="str">
        <x:v>REMOVE yellow block</x:v>
      </x:c>
      <x:c r="E1030" s="31" t="str">
        <x:v>Binary task success; paired with the main transfer row.</x:v>
      </x:c>
      <x:c r="F1030" s="31"/>
      <x:c r="G1030" s="31"/>
      <x:c r="H1030" s="31" t="str">
        <x:f>IF(OR(F1030="",G1030=""),"",IF(F1030=G1030,"Agree","Disagree"))</x:f>
      </x:c>
      <x:c r="I1030" s="31"/>
      <x:c r="J1030" s="31" t="str">
        <x:v>No</x:v>
      </x:c>
      <x:c r="K1030" s="31" t="str"/>
      <x:c r="L1030" s="31" t="str"/>
      <x:c r="M1030" s="31" t="str"/>
      <x:c r="N1030" s="31" t="str"/>
    </x:row>
    <x:row r="1031" ht="42" customHeight="1">
      <x:c r="A1031" s="35" t="n">
        <x:v>1029</x:v>
      </x:c>
      <x:c r="B1031" s="31" t="str">
        <x:f>IF('Execution Checklist'!Q1031="","",'Execution Checklist'!Q1031)</x:f>
      </x:c>
      <x:c r="C1031" s="31" t="str">
        <x:v>Finish with two objects in the bowl.</x:v>
      </x:c>
      <x:c r="D1031" s="31" t="str"/>
      <x:c r="E1031" s="31" t="str">
        <x:v>Binary task success; compare with the seen-language row sharing Pair ID.</x:v>
      </x:c>
      <x:c r="F1031" s="31"/>
      <x:c r="G1031" s="31"/>
      <x:c r="H1031" s="31" t="str">
        <x:f>IF(OR(F1031="",G1031=""),"",IF(F1031=G1031,"Agree","Disagree"))</x:f>
      </x:c>
      <x:c r="I1031" s="31"/>
      <x:c r="J1031" s="31" t="str">
        <x:v>No</x:v>
      </x:c>
      <x:c r="K1031" s="31" t="str"/>
      <x:c r="L1031" s="31" t="str"/>
      <x:c r="M1031" s="31" t="str"/>
      <x:c r="N1031" s="31" t="str"/>
    </x:row>
    <x:row r="1032" ht="42" customHeight="1">
      <x:c r="A1032" s="35" t="n">
        <x:v>1030</x:v>
      </x:c>
      <x:c r="B1032" s="31" t="str">
        <x:f>IF('Execution Checklist'!Q1032="","",'Execution Checklist'!Q1032)</x:f>
      </x:c>
      <x:c r="C1032" s="31" t="str">
        <x:v>Move the airplane toy without propellers into the bowl.</x:v>
      </x:c>
      <x:c r="D1032" s="31" t="str">
        <x:v>airplane toy without propellers</x:v>
      </x:c>
      <x:c r="E1032" s="31" t="str">
        <x:v>Binary task success using the task-specific rubric.</x:v>
      </x:c>
      <x:c r="F1032" s="31"/>
      <x:c r="G1032" s="31"/>
      <x:c r="H1032" s="31" t="str">
        <x:f>IF(OR(F1032="",G1032=""),"",IF(F1032=G1032,"Agree","Disagree"))</x:f>
      </x:c>
      <x:c r="I1032" s="31"/>
      <x:c r="J1032" s="31" t="str">
        <x:v>No</x:v>
      </x:c>
      <x:c r="K1032" s="31" t="str"/>
      <x:c r="L1032" s="31" t="str"/>
      <x:c r="M1032" s="31" t="str"/>
      <x:c r="N1032" s="31" t="str"/>
    </x:row>
    <x:row r="1033" ht="42" customHeight="1">
      <x:c r="A1033" s="35" t="n">
        <x:v>1031</x:v>
      </x:c>
      <x:c r="B1033" s="31" t="str">
        <x:f>IF('Execution Checklist'!Q1033="","",'Execution Checklist'!Q1033)</x:f>
      </x:c>
      <x:c r="C1033" s="31" t="str">
        <x:v>Leave exactly three objects in the bowl.</x:v>
      </x:c>
      <x:c r="D1033" s="31" t="str">
        <x:v>ADD one table object</x:v>
      </x:c>
      <x:c r="E1033" s="31" t="str">
        <x:v>Binary task success; paired with the main matched-control row.</x:v>
      </x:c>
      <x:c r="F1033" s="31"/>
      <x:c r="G1033" s="31"/>
      <x:c r="H1033" s="31" t="str">
        <x:f>IF(OR(F1033="",G1033=""),"",IF(F1033=G1033,"Agree","Disagree"))</x:f>
      </x:c>
      <x:c r="I1033" s="31"/>
      <x:c r="J1033" s="31" t="str">
        <x:v>No</x:v>
      </x:c>
      <x:c r="K1033" s="31" t="str"/>
      <x:c r="L1033" s="31" t="str"/>
      <x:c r="M1033" s="31" t="str"/>
      <x:c r="N1033" s="31" t="str"/>
    </x:row>
    <x:row r="1034" ht="42" customHeight="1">
      <x:c r="A1034" s="35" t="n">
        <x:v>1032</x:v>
      </x:c>
      <x:c r="B1034" s="31" t="str">
        <x:f>IF('Execution Checklist'!Q1034="","",'Execution Checklist'!Q1034)</x:f>
      </x:c>
      <x:c r="C1034" s="31" t="str">
        <x:v>Leave exactly one object in the bowl.</x:v>
      </x:c>
      <x:c r="D1034" s="31" t="str">
        <x:v>No prespecified task success under blank language; record any action/selected target.</x:v>
      </x:c>
      <x:c r="E1034" s="31" t="str">
        <x:v>Do not score ordinary task success. Record action occurrence and agreement with the parent correct-prompt rollout.</x:v>
      </x:c>
      <x:c r="F1034" s="31"/>
      <x:c r="G1034" s="31"/>
      <x:c r="H1034" s="31" t="str">
        <x:f>IF(OR(F1034="",G1034=""),"",IF(F1034=G1034,"Agree","Disagree"))</x:f>
      </x:c>
      <x:c r="I1034" s="31"/>
      <x:c r="J1034" s="31" t="str">
        <x:v>No</x:v>
      </x:c>
      <x:c r="K1034" s="31" t="str"/>
      <x:c r="L1034" s="31" t="str"/>
      <x:c r="M1034" s="31" t="str"/>
      <x:c r="N1034" s="31" t="str"/>
    </x:row>
    <x:row r="1035" ht="42" customHeight="1">
      <x:c r="A1035" s="35" t="n">
        <x:v>1033</x:v>
      </x:c>
      <x:c r="B1035" s="31" t="str">
        <x:f>IF('Execution Checklist'!Q1035="","",'Execution Checklist'!Q1035)</x:f>
      </x:c>
      <x:c r="C1035" s="31" t="str">
        <x:v>Finish with two objects in the bowl.</x:v>
      </x:c>
      <x:c r="D1035" s="31" t="str"/>
      <x:c r="E1035" s="31" t="str">
        <x:v>Binary task success; compare with the seen-language row sharing Pair ID.</x:v>
      </x:c>
      <x:c r="F1035" s="31"/>
      <x:c r="G1035" s="31"/>
      <x:c r="H1035" s="31" t="str">
        <x:f>IF(OR(F1035="",G1035=""),"",IF(F1035=G1035,"Agree","Disagree"))</x:f>
      </x:c>
      <x:c r="I1035" s="31"/>
      <x:c r="J1035" s="31" t="str">
        <x:v>No</x:v>
      </x:c>
      <x:c r="K1035" s="31" t="str"/>
      <x:c r="L1035" s="31" t="str"/>
      <x:c r="M1035" s="31" t="str"/>
      <x:c r="N1035" s="31" t="str"/>
    </x:row>
    <x:row r="1036" ht="42" customHeight="1">
      <x:c r="A1036" s="35" t="n">
        <x:v>1034</x:v>
      </x:c>
      <x:c r="B1036" s="31" t="str">
        <x:f>IF('Execution Checklist'!Q1036="","",'Execution Checklist'!Q1036)</x:f>
      </x:c>
      <x:c r="C1036" s="31" t="str">
        <x:v>Leave no objects in the bowl.</x:v>
      </x:c>
      <x:c r="D1036" s="31" t="str">
        <x:v>blue pen</x:v>
      </x:c>
      <x:c r="E1036" s="31" t="str">
        <x:v>Binary task success using the task-specific rubric.</x:v>
      </x:c>
      <x:c r="F1036" s="31"/>
      <x:c r="G1036" s="31"/>
      <x:c r="H1036" s="31" t="str">
        <x:f>IF(OR(F1036="",G1036=""),"",IF(F1036=G1036,"Agree","Disagree"))</x:f>
      </x:c>
      <x:c r="I1036" s="31"/>
      <x:c r="J1036" s="31" t="str">
        <x:v>No</x:v>
      </x:c>
      <x:c r="K1036" s="31" t="str"/>
      <x:c r="L1036" s="31" t="str"/>
      <x:c r="M1036" s="31" t="str"/>
      <x:c r="N1036" s="31" t="str"/>
    </x:row>
    <x:row r="1037" ht="42" customHeight="1">
      <x:c r="A1037" s="35" t="n">
        <x:v>1035</x:v>
      </x:c>
      <x:c r="B1037" s="31" t="str">
        <x:f>IF('Execution Checklist'!Q1037="","",'Execution Checklist'!Q1037)</x:f>
      </x:c>
      <x:c r="C1037" s="31" t="str">
        <x:v>Leave exactly one object in the bowl.</x:v>
      </x:c>
      <x:c r="D1037" s="31" t="str">
        <x:v>REMOVE one bowl object</x:v>
      </x:c>
      <x:c r="E1037" s="31" t="str">
        <x:v>Binary task success; paired with the main matched-control row.</x:v>
      </x:c>
      <x:c r="F1037" s="31"/>
      <x:c r="G1037" s="31"/>
      <x:c r="H1037" s="31" t="str">
        <x:f>IF(OR(F1037="",G1037=""),"",IF(F1037=G1037,"Agree","Disagree"))</x:f>
      </x:c>
      <x:c r="I1037" s="31"/>
      <x:c r="J1037" s="31" t="str">
        <x:v>No</x:v>
      </x:c>
      <x:c r="K1037" s="31" t="str"/>
      <x:c r="L1037" s="31" t="str"/>
      <x:c r="M1037" s="31" t="str"/>
      <x:c r="N1037" s="31" t="str"/>
    </x:row>
    <x:row r="1038" ht="42" customHeight="1">
      <x:c r="A1038" s="35" t="n">
        <x:v>1036</x:v>
      </x:c>
      <x:c r="B1038" s="31" t="str">
        <x:f>IF('Execution Checklist'!Q1038="","",'Execution Checklist'!Q1038)</x:f>
      </x:c>
      <x:c r="C1038" s="31" t="str">
        <x:v>Put the blue pen in the bowl.</x:v>
      </x:c>
      <x:c r="D1038" s="31" t="str">
        <x:v>ADD blue pen</x:v>
      </x:c>
      <x:c r="E1038" s="31" t="str">
        <x:v>Binary task success; paired with the main transfer row.</x:v>
      </x:c>
      <x:c r="F1038" s="31"/>
      <x:c r="G1038" s="31"/>
      <x:c r="H1038" s="31" t="str">
        <x:f>IF(OR(F1038="",G1038=""),"",IF(F1038=G1038,"Agree","Disagree"))</x:f>
      </x:c>
      <x:c r="I1038" s="31"/>
      <x:c r="J1038" s="31" t="str">
        <x:v>No</x:v>
      </x:c>
      <x:c r="K1038" s="31" t="str"/>
      <x:c r="L1038" s="31" t="str"/>
      <x:c r="M1038" s="31" t="str"/>
      <x:c r="N1038" s="31" t="str"/>
    </x:row>
    <x:row r="1039" ht="42" customHeight="1">
      <x:c r="A1039" s="35" t="n">
        <x:v>1037</x:v>
      </x:c>
      <x:c r="B1039" s="31" t="str">
        <x:f>IF('Execution Checklist'!Q1039="","",'Execution Checklist'!Q1039)</x:f>
      </x:c>
      <x:c r="C1039" s="31" t="str">
        <x:v>Remove the airplane toy without propellers from the bowl.</x:v>
      </x:c>
      <x:c r="D1039" s="31" t="str">
        <x:v>REMOVE airplane toy without propellers</x:v>
      </x:c>
      <x:c r="E1039" s="31" t="str">
        <x:v>Binary task success; paired with the main transfer row.</x:v>
      </x:c>
      <x:c r="F1039" s="31"/>
      <x:c r="G1039" s="31"/>
      <x:c r="H1039" s="31" t="str">
        <x:f>IF(OR(F1039="",G1039=""),"",IF(F1039=G1039,"Agree","Disagree"))</x:f>
      </x:c>
      <x:c r="I1039" s="31"/>
      <x:c r="J1039" s="31" t="str">
        <x:v>No</x:v>
      </x:c>
      <x:c r="K1039" s="31" t="str"/>
      <x:c r="L1039" s="31" t="str"/>
      <x:c r="M1039" s="31" t="str"/>
      <x:c r="N1039" s="31" t="str"/>
    </x:row>
    <x:row r="1040" ht="42" customHeight="1">
      <x:c r="A1040" s="35" t="n">
        <x:v>1038</x:v>
      </x:c>
      <x:c r="B1040" s="31" t="str">
        <x:f>IF('Execution Checklist'!Q1040="","",'Execution Checklist'!Q1040)</x:f>
      </x:c>
      <x:c r="C1040" s="31" t="str">
        <x:v>Leave exactly three objects in the bowl.</x:v>
      </x:c>
      <x:c r="D1040" s="31" t="str">
        <x:v>ADD one table object</x:v>
      </x:c>
      <x:c r="E1040" s="31" t="str">
        <x:v>Binary success for the counterfactual instruction and paired action-switch analysis versus the parent.</x:v>
      </x:c>
      <x:c r="F1040" s="31"/>
      <x:c r="G1040" s="31"/>
      <x:c r="H1040" s="31" t="str">
        <x:f>IF(OR(F1040="",G1040=""),"",IF(F1040=G1040,"Agree","Disagree"))</x:f>
      </x:c>
      <x:c r="I1040" s="31"/>
      <x:c r="J1040" s="31" t="str">
        <x:v>No</x:v>
      </x:c>
      <x:c r="K1040" s="31" t="str"/>
      <x:c r="L1040" s="31" t="str"/>
      <x:c r="M1040" s="31" t="str"/>
      <x:c r="N1040" s="31" t="str"/>
    </x:row>
    <x:row r="1041" ht="42" customHeight="1">
      <x:c r="A1041" s="35" t="n">
        <x:v>1039</x:v>
      </x:c>
      <x:c r="B1041" s="31" t="str">
        <x:f>IF('Execution Checklist'!Q1041="","",'Execution Checklist'!Q1041)</x:f>
      </x:c>
      <x:c r="C1041" s="31" t="str">
        <x:v>Put the green pencil sharpener in the bowl.</x:v>
      </x:c>
      <x:c r="D1041" s="31" t="str">
        <x:v>ADD green pencil sharpener</x:v>
      </x:c>
      <x:c r="E1041" s="31" t="str">
        <x:v>Binary task success; paired with the main transfer row.</x:v>
      </x:c>
      <x:c r="F1041" s="31"/>
      <x:c r="G1041" s="31"/>
      <x:c r="H1041" s="31" t="str">
        <x:f>IF(OR(F1041="",G1041=""),"",IF(F1041=G1041,"Agree","Disagree"))</x:f>
      </x:c>
      <x:c r="I1041" s="31"/>
      <x:c r="J1041" s="31" t="str">
        <x:v>No</x:v>
      </x:c>
      <x:c r="K1041" s="31" t="str"/>
      <x:c r="L1041" s="31" t="str"/>
      <x:c r="M1041" s="31" t="str"/>
      <x:c r="N1041" s="31" t="str"/>
    </x:row>
    <x:row r="1042" ht="42" customHeight="1">
      <x:c r="A1042" s="35" t="n">
        <x:v>1040</x:v>
      </x:c>
      <x:c r="B1042" s="31" t="str">
        <x:f>IF('Execution Checklist'!Q1042="","",'Execution Checklist'!Q1042)</x:f>
      </x:c>
      <x:c r="C1042" s="31" t="str">
        <x:v>Leave exactly three objects in the bowl.</x:v>
      </x:c>
      <x:c r="D1042" s="31" t="str">
        <x:v>ADD one table object</x:v>
      </x:c>
      <x:c r="E1042" s="31" t="str">
        <x:v>Binary task success; paired with the main matched-control row.</x:v>
      </x:c>
      <x:c r="F1042" s="31"/>
      <x:c r="G1042" s="31"/>
      <x:c r="H1042" s="31" t="str">
        <x:f>IF(OR(F1042="",G1042=""),"",IF(F1042=G1042,"Agree","Disagree"))</x:f>
      </x:c>
      <x:c r="I1042" s="31"/>
      <x:c r="J1042" s="31" t="str">
        <x:v>No</x:v>
      </x:c>
      <x:c r="K1042" s="31" t="str"/>
      <x:c r="L1042" s="31" t="str"/>
      <x:c r="M1042" s="31" t="str"/>
      <x:c r="N1042" s="31" t="str"/>
    </x:row>
    <x:row r="1043" ht="42" customHeight="1">
      <x:c r="A1043" s="35" t="n">
        <x:v>1041</x:v>
      </x:c>
      <x:c r="B1043" s="31" t="str">
        <x:f>IF('Execution Checklist'!Q1043="","",'Execution Checklist'!Q1043)</x:f>
      </x:c>
      <x:c r="C1043" s="31" t="str">
        <x:v>Leave exactly one object in the bowl.</x:v>
      </x:c>
      <x:c r="D1043" s="31" t="str">
        <x:v>No prespecified task success under blank language; record any action/selected target.</x:v>
      </x:c>
      <x:c r="E1043" s="31" t="str">
        <x:v>Do not score ordinary task success. Record action occurrence and agreement with the parent correct-prompt rollout.</x:v>
      </x:c>
      <x:c r="F1043" s="31"/>
      <x:c r="G1043" s="31"/>
      <x:c r="H1043" s="31" t="str">
        <x:f>IF(OR(F1043="",G1043=""),"",IF(F1043=G1043,"Agree","Disagree"))</x:f>
      </x:c>
      <x:c r="I1043" s="31"/>
      <x:c r="J1043" s="31" t="str">
        <x:v>No</x:v>
      </x:c>
      <x:c r="K1043" s="31" t="str"/>
      <x:c r="L1043" s="31" t="str"/>
      <x:c r="M1043" s="31" t="str"/>
      <x:c r="N1043" s="31" t="str"/>
    </x:row>
    <x:row r="1044" ht="42" customHeight="1">
      <x:c r="A1044" s="35" t="n">
        <x:v>1042</x:v>
      </x:c>
      <x:c r="B1044" s="31" t="str">
        <x:f>IF('Execution Checklist'!Q1044="","",'Execution Checklist'!Q1044)</x:f>
      </x:c>
      <x:c r="C1044" s="31" t="str">
        <x:v>Put the yellow block in the bowl.</x:v>
      </x:c>
      <x:c r="D1044" s="31" t="str">
        <x:v>ADD yellow block</x:v>
      </x:c>
      <x:c r="E1044" s="31" t="str">
        <x:v>Binary task success; paired with the main transfer row.</x:v>
      </x:c>
      <x:c r="F1044" s="31"/>
      <x:c r="G1044" s="31"/>
      <x:c r="H1044" s="31" t="str">
        <x:f>IF(OR(F1044="",G1044=""),"",IF(F1044=G1044,"Agree","Disagree"))</x:f>
      </x:c>
      <x:c r="I1044" s="31"/>
      <x:c r="J1044" s="31" t="str">
        <x:v>No</x:v>
      </x:c>
      <x:c r="K1044" s="31" t="str"/>
      <x:c r="L1044" s="31" t="str"/>
      <x:c r="M1044" s="31" t="str"/>
      <x:c r="N1044" s="31" t="str"/>
    </x:row>
    <x:row r="1045" ht="42" customHeight="1">
      <x:c r="A1045" s="35" t="n">
        <x:v>1043</x:v>
      </x:c>
      <x:c r="B1045" s="31" t="str">
        <x:f>IF('Execution Checklist'!Q1045="","",'Execution Checklist'!Q1045)</x:f>
      </x:c>
      <x:c r="C1045" s="31" t="str">
        <x:v>Leave exactly three objects in the bowl.</x:v>
      </x:c>
      <x:c r="D1045" s="31" t="str">
        <x:v>ADD one table object</x:v>
      </x:c>
      <x:c r="E1045" s="31" t="str">
        <x:v>Binary success for the counterfactual instruction and paired action-switch analysis versus the parent.</x:v>
      </x:c>
      <x:c r="F1045" s="31"/>
      <x:c r="G1045" s="31"/>
      <x:c r="H1045" s="31" t="str">
        <x:f>IF(OR(F1045="",G1045=""),"",IF(F1045=G1045,"Agree","Disagree"))</x:f>
      </x:c>
      <x:c r="I1045" s="31"/>
      <x:c r="J1045" s="31" t="str">
        <x:v>No</x:v>
      </x:c>
      <x:c r="K1045" s="31" t="str"/>
      <x:c r="L1045" s="31" t="str"/>
      <x:c r="M1045" s="31" t="str"/>
      <x:c r="N1045" s="31" t="str"/>
    </x:row>
    <x:row r="1046" ht="42" customHeight="1">
      <x:c r="A1046" s="35" t="n">
        <x:v>1044</x:v>
      </x:c>
      <x:c r="B1046" s="31" t="str">
        <x:f>IF('Execution Checklist'!Q1046="","",'Execution Checklist'!Q1046)</x:f>
      </x:c>
      <x:c r="C1046" s="31" t="str">
        <x:v>Finish with two objects in the bowl.</x:v>
      </x:c>
      <x:c r="D1046" s="31" t="str"/>
      <x:c r="E1046" s="31" t="str">
        <x:v>Binary task success; compare with the seen-language row sharing Pair ID.</x:v>
      </x:c>
      <x:c r="F1046" s="31"/>
      <x:c r="G1046" s="31"/>
      <x:c r="H1046" s="31" t="str">
        <x:f>IF(OR(F1046="",G1046=""),"",IF(F1046=G1046,"Agree","Disagree"))</x:f>
      </x:c>
      <x:c r="I1046" s="31"/>
      <x:c r="J1046" s="31" t="str">
        <x:v>No</x:v>
      </x:c>
      <x:c r="K1046" s="31" t="str"/>
      <x:c r="L1046" s="31" t="str"/>
      <x:c r="M1046" s="31" t="str"/>
      <x:c r="N1046" s="31" t="str"/>
    </x:row>
    <x:row r="1047" ht="42" customHeight="1">
      <x:c r="A1047" s="35" t="n">
        <x:v>1045</x:v>
      </x:c>
      <x:c r="B1047" s="31" t="str">
        <x:f>IF('Execution Checklist'!Q1047="","",'Execution Checklist'!Q1047)</x:f>
      </x:c>
      <x:c r="C1047" s="31" t="str">
        <x:v>Finish with two objects in the bowl.</x:v>
      </x:c>
      <x:c r="D1047" s="31" t="str"/>
      <x:c r="E1047" s="31" t="str">
        <x:v>Binary task success; compare with the seen-language row sharing Pair ID.</x:v>
      </x:c>
      <x:c r="F1047" s="31"/>
      <x:c r="G1047" s="31"/>
      <x:c r="H1047" s="31" t="str">
        <x:f>IF(OR(F1047="",G1047=""),"",IF(F1047=G1047,"Agree","Disagree"))</x:f>
      </x:c>
      <x:c r="I1047" s="31"/>
      <x:c r="J1047" s="31" t="str">
        <x:v>No</x:v>
      </x:c>
      <x:c r="K1047" s="31" t="str"/>
      <x:c r="L1047" s="31" t="str"/>
      <x:c r="M1047" s="31" t="str"/>
      <x:c r="N1047" s="31" t="str"/>
    </x:row>
    <x:row r="1048" ht="42" customHeight="1">
      <x:c r="A1048" s="35" t="n">
        <x:v>1046</x:v>
      </x:c>
      <x:c r="B1048" s="31" t="str">
        <x:f>IF('Execution Checklist'!Q1048="","",'Execution Checklist'!Q1048)</x:f>
      </x:c>
      <x:c r="C1048" s="31" t="str">
        <x:v>Leave exactly three objects in the bowl.</x:v>
      </x:c>
      <x:c r="D1048" s="31" t="str">
        <x:v>ADD one table object</x:v>
      </x:c>
      <x:c r="E1048" s="31" t="str">
        <x:v>Binary task success; paired with the main matched-control row.</x:v>
      </x:c>
      <x:c r="F1048" s="31"/>
      <x:c r="G1048" s="31"/>
      <x:c r="H1048" s="31" t="str">
        <x:f>IF(OR(F1048="",G1048=""),"",IF(F1048=G1048,"Agree","Disagree"))</x:f>
      </x:c>
      <x:c r="I1048" s="31"/>
      <x:c r="J1048" s="31" t="str">
        <x:v>No</x:v>
      </x:c>
      <x:c r="K1048" s="31" t="str"/>
      <x:c r="L1048" s="31" t="str"/>
      <x:c r="M1048" s="31" t="str"/>
      <x:c r="N1048" s="31" t="str"/>
    </x:row>
    <x:row r="1049" ht="42" customHeight="1">
      <x:c r="A1049" s="35" t="n">
        <x:v>1047</x:v>
      </x:c>
      <x:c r="B1049" s="31" t="str">
        <x:f>IF('Execution Checklist'!Q1049="","",'Execution Checklist'!Q1049)</x:f>
      </x:c>
      <x:c r="C1049" s="31" t="str">
        <x:v>Leave exactly one object in the bowl.</x:v>
      </x:c>
      <x:c r="D1049" s="31" t="str">
        <x:v>REMOVE one bowl object</x:v>
      </x:c>
      <x:c r="E1049" s="31" t="str">
        <x:v>Binary task success; paired with the main matched-control row.</x:v>
      </x:c>
      <x:c r="F1049" s="31"/>
      <x:c r="G1049" s="31"/>
      <x:c r="H1049" s="31" t="str">
        <x:f>IF(OR(F1049="",G1049=""),"",IF(F1049=G1049,"Agree","Disagree"))</x:f>
      </x:c>
      <x:c r="I1049" s="31"/>
      <x:c r="J1049" s="31" t="str">
        <x:v>No</x:v>
      </x:c>
      <x:c r="K1049" s="31" t="str"/>
      <x:c r="L1049" s="31" t="str"/>
      <x:c r="M1049" s="31" t="str"/>
      <x:c r="N1049" s="31" t="str"/>
    </x:row>
    <x:row r="1050" ht="42" customHeight="1">
      <x:c r="A1050" s="35" t="n">
        <x:v>1048</x:v>
      </x:c>
      <x:c r="B1050" s="31" t="str">
        <x:f>IF('Execution Checklist'!Q1050="","",'Execution Checklist'!Q1050)</x:f>
      </x:c>
      <x:c r="C1050" s="31" t="str">
        <x:v>Put the yellow block in the bowl.</x:v>
      </x:c>
      <x:c r="D1050" s="31" t="str">
        <x:v>ADD yellow block</x:v>
      </x:c>
      <x:c r="E1050" s="31" t="str">
        <x:v>Binary task success; paired with the main transfer row.</x:v>
      </x:c>
      <x:c r="F1050" s="31"/>
      <x:c r="G1050" s="31"/>
      <x:c r="H1050" s="31" t="str">
        <x:f>IF(OR(F1050="",G1050=""),"",IF(F1050=G1050,"Agree","Disagree"))</x:f>
      </x:c>
      <x:c r="I1050" s="31"/>
      <x:c r="J1050" s="31" t="str">
        <x:v>No</x:v>
      </x:c>
      <x:c r="K1050" s="31" t="str"/>
      <x:c r="L1050" s="31" t="str"/>
      <x:c r="M1050" s="31" t="str"/>
      <x:c r="N1050" s="31" t="str"/>
    </x:row>
    <x:row r="1051" ht="42" customHeight="1">
      <x:c r="A1051" s="35" t="n">
        <x:v>1049</x:v>
      </x:c>
      <x:c r="B1051" s="31" t="str">
        <x:f>IF('Execution Checklist'!Q1051="","",'Execution Checklist'!Q1051)</x:f>
      </x:c>
      <x:c r="C1051" s="31" t="str">
        <x:v>Leave exactly one object in the bowl.</x:v>
      </x:c>
      <x:c r="D1051" s="31" t="str">
        <x:v>REMOVE one bowl object</x:v>
      </x:c>
      <x:c r="E1051" s="31" t="str">
        <x:v>Binary task success; paired with the main matched-control row.</x:v>
      </x:c>
      <x:c r="F1051" s="31"/>
      <x:c r="G1051" s="31"/>
      <x:c r="H1051" s="31" t="str">
        <x:f>IF(OR(F1051="",G1051=""),"",IF(F1051=G1051,"Agree","Disagree"))</x:f>
      </x:c>
      <x:c r="I1051" s="31"/>
      <x:c r="J1051" s="31" t="str">
        <x:v>No</x:v>
      </x:c>
      <x:c r="K1051" s="31" t="str"/>
      <x:c r="L1051" s="31" t="str"/>
      <x:c r="M1051" s="31" t="str"/>
      <x:c r="N1051" s="31" t="str"/>
    </x:row>
    <x:row r="1052" ht="42" customHeight="1">
      <x:c r="A1052" s="35" t="n">
        <x:v>1050</x:v>
      </x:c>
      <x:c r="B1052" s="31" t="str">
        <x:f>IF('Execution Checklist'!Q1052="","",'Execution Checklist'!Q1052)</x:f>
      </x:c>
      <x:c r="C1052" s="31" t="str">
        <x:v>Remove the yellow block from the bowl.</x:v>
      </x:c>
      <x:c r="D1052" s="31" t="str">
        <x:v>yellow block</x:v>
      </x:c>
      <x:c r="E1052" s="31" t="str">
        <x:v>Binary task success using the task-specific rubric.</x:v>
      </x:c>
      <x:c r="F1052" s="31"/>
      <x:c r="G1052" s="31"/>
      <x:c r="H1052" s="31" t="str">
        <x:f>IF(OR(F1052="",G1052=""),"",IF(F1052=G1052,"Agree","Disagree"))</x:f>
      </x:c>
      <x:c r="I1052" s="31"/>
      <x:c r="J1052" s="31" t="str">
        <x:v>No</x:v>
      </x:c>
      <x:c r="K1052" s="31" t="str"/>
      <x:c r="L1052" s="31" t="str"/>
      <x:c r="M1052" s="31" t="str"/>
      <x:c r="N1052" s="31" t="str"/>
    </x:row>
    <x:row r="1053" ht="42" customHeight="1">
      <x:c r="A1053" s="35" t="n">
        <x:v>1051</x:v>
      </x:c>
      <x:c r="B1053" s="31" t="str">
        <x:f>IF('Execution Checklist'!Q1053="","",'Execution Checklist'!Q1053)</x:f>
      </x:c>
      <x:c r="C1053" s="31" t="str">
        <x:v>Make the bowl contain exactly two objects.</x:v>
      </x:c>
      <x:c r="D1053" s="31" t="str"/>
      <x:c r="E1053" s="31" t="str">
        <x:v>Binary task success using the task-specific rubric.</x:v>
      </x:c>
      <x:c r="F1053" s="31"/>
      <x:c r="G1053" s="31"/>
      <x:c r="H1053" s="31" t="str">
        <x:f>IF(OR(F1053="",G1053=""),"",IF(F1053=G1053,"Agree","Disagree"))</x:f>
      </x:c>
      <x:c r="I1053" s="31"/>
      <x:c r="J1053" s="31" t="str">
        <x:v>No</x:v>
      </x:c>
      <x:c r="K1053" s="31" t="str"/>
      <x:c r="L1053" s="31" t="str"/>
      <x:c r="M1053" s="31" t="str"/>
      <x:c r="N1053" s="31" t="str"/>
    </x:row>
    <x:row r="1054" ht="42" customHeight="1">
      <x:c r="A1054" s="35" t="n">
        <x:v>1052</x:v>
      </x:c>
      <x:c r="B1054" s="31" t="str">
        <x:f>IF('Execution Checklist'!Q1054="","",'Execution Checklist'!Q1054)</x:f>
      </x:c>
      <x:c r="C1054" s="31" t="str">
        <x:v>Leave exactly three objects in the bowl.</x:v>
      </x:c>
      <x:c r="D1054" s="31" t="str">
        <x:v>No prespecified task success under blank language; record any action/selected target.</x:v>
      </x:c>
      <x:c r="E1054" s="31" t="str">
        <x:v>Do not score ordinary task success. Record action occurrence and agreement with the parent correct-prompt rollout.</x:v>
      </x:c>
      <x:c r="F1054" s="31"/>
      <x:c r="G1054" s="31"/>
      <x:c r="H1054" s="31" t="str">
        <x:f>IF(OR(F1054="",G1054=""),"",IF(F1054=G1054,"Agree","Disagree"))</x:f>
      </x:c>
      <x:c r="I1054" s="31"/>
      <x:c r="J1054" s="31" t="str">
        <x:v>No</x:v>
      </x:c>
      <x:c r="K1054" s="31" t="str"/>
      <x:c r="L1054" s="31" t="str"/>
      <x:c r="M1054" s="31" t="str"/>
      <x:c r="N1054" s="31" t="str"/>
    </x:row>
    <x:row r="1055" ht="42" customHeight="1">
      <x:c r="A1055" s="35" t="n">
        <x:v>1053</x:v>
      </x:c>
      <x:c r="B1055" s="31" t="str">
        <x:f>IF('Execution Checklist'!Q1055="","",'Execution Checklist'!Q1055)</x:f>
      </x:c>
      <x:c r="C1055" s="31" t="str">
        <x:v>Finish with two objects in the bowl.</x:v>
      </x:c>
      <x:c r="D1055" s="31" t="str"/>
      <x:c r="E1055" s="31" t="str">
        <x:v>Binary task success; compare with the seen-language row sharing Pair ID.</x:v>
      </x:c>
      <x:c r="F1055" s="31"/>
      <x:c r="G1055" s="31"/>
      <x:c r="H1055" s="31" t="str">
        <x:f>IF(OR(F1055="",G1055=""),"",IF(F1055=G1055,"Agree","Disagree"))</x:f>
      </x:c>
      <x:c r="I1055" s="31"/>
      <x:c r="J1055" s="31" t="str">
        <x:v>No</x:v>
      </x:c>
      <x:c r="K1055" s="31" t="str"/>
      <x:c r="L1055" s="31" t="str"/>
      <x:c r="M1055" s="31" t="str"/>
      <x:c r="N1055" s="31" t="str"/>
    </x:row>
    <x:row r="1056" ht="42" customHeight="1">
      <x:c r="A1056" s="35" t="n">
        <x:v>1054</x:v>
      </x:c>
      <x:c r="B1056" s="31" t="str">
        <x:f>IF('Execution Checklist'!Q1056="","",'Execution Checklist'!Q1056)</x:f>
      </x:c>
      <x:c r="C1056" s="31" t="str">
        <x:v>Place the closed yellow-white striped cup in the bowl.</x:v>
      </x:c>
      <x:c r="D1056" s="31" t="str">
        <x:v>yellow-white striped cup A</x:v>
      </x:c>
      <x:c r="E1056" s="31" t="str">
        <x:v>Binary task success; paired with the main matched-control row.</x:v>
      </x:c>
      <x:c r="F1056" s="31"/>
      <x:c r="G1056" s="31"/>
      <x:c r="H1056" s="31" t="str">
        <x:f>IF(OR(F1056="",G1056=""),"",IF(F1056=G1056,"Agree","Disagree"))</x:f>
      </x:c>
      <x:c r="I1056" s="31"/>
      <x:c r="J1056" s="31" t="str">
        <x:v>No</x:v>
      </x:c>
      <x:c r="K1056" s="31" t="str"/>
      <x:c r="L1056" s="31" t="str"/>
      <x:c r="M1056" s="31" t="str"/>
      <x:c r="N1056" s="31" t="str"/>
    </x:row>
    <x:row r="1057" ht="42" customHeight="1">
      <x:c r="A1057" s="35" t="n">
        <x:v>1055</x:v>
      </x:c>
      <x:c r="B1057" s="31" t="str">
        <x:f>IF('Execution Checklist'!Q1057="","",'Execution Checklist'!Q1057)</x:f>
      </x:c>
      <x:c r="C1057" s="31" t="str">
        <x:v>Place a yellow-white striped cup in the bowl.</x:v>
      </x:c>
      <x:c r="D1057" s="31" t="str">
        <x:v>yellow-white striped cup A</x:v>
      </x:c>
      <x:c r="E1057" s="31" t="str">
        <x:v>Binary task success; paired with the main transfer row.</x:v>
      </x:c>
      <x:c r="F1057" s="31"/>
      <x:c r="G1057" s="31"/>
      <x:c r="H1057" s="31" t="str">
        <x:f>IF(OR(F1057="",G1057=""),"",IF(F1057=G1057,"Agree","Disagree"))</x:f>
      </x:c>
      <x:c r="I1057" s="31"/>
      <x:c r="J1057" s="31" t="str">
        <x:v>No</x:v>
      </x:c>
      <x:c r="K1057" s="31" t="str"/>
      <x:c r="L1057" s="31" t="str"/>
      <x:c r="M1057" s="31" t="str"/>
      <x:c r="N1057" s="31" t="str"/>
    </x:row>
    <x:row r="1058" ht="42" customHeight="1">
      <x:c r="A1058" s="35" t="n">
        <x:v>1056</x:v>
      </x:c>
      <x:c r="B1058" s="31" t="str">
        <x:f>IF('Execution Checklist'!Q1058="","",'Execution Checklist'!Q1058)</x:f>
      </x:c>
      <x:c r="C1058" s="31" t="str">
        <x:v>Place the upright brown cup in the bowl.</x:v>
      </x:c>
      <x:c r="D1058" s="31" t="str">
        <x:v>brown cup B</x:v>
      </x:c>
      <x:c r="E1058" s="31" t="str">
        <x:v>Binary task success; paired with the main matched-control row.</x:v>
      </x:c>
      <x:c r="F1058" s="31"/>
      <x:c r="G1058" s="31"/>
      <x:c r="H1058" s="31" t="str">
        <x:f>IF(OR(F1058="",G1058=""),"",IF(F1058=G1058,"Agree","Disagree"))</x:f>
      </x:c>
      <x:c r="I1058" s="31"/>
      <x:c r="J1058" s="31" t="str">
        <x:v>No</x:v>
      </x:c>
      <x:c r="K1058" s="31" t="str"/>
      <x:c r="L1058" s="31" t="str"/>
      <x:c r="M1058" s="31" t="str"/>
      <x:c r="N1058" s="31" t="str"/>
    </x:row>
    <x:row r="1059" ht="42" customHeight="1">
      <x:c r="A1059" s="35" t="n">
        <x:v>1057</x:v>
      </x:c>
      <x:c r="B1059" s="31" t="str">
        <x:f>IF('Execution Checklist'!Q1059="","",'Execution Checklist'!Q1059)</x:f>
      </x:c>
      <x:c r="C1059" s="31" t="str">
        <x:v>Place a white cup in the bowl.</x:v>
      </x:c>
      <x:c r="D1059" s="31" t="str">
        <x:v>white cup A</x:v>
      </x:c>
      <x:c r="E1059" s="31" t="str">
        <x:v>Binary task success; paired with the main transfer row.</x:v>
      </x:c>
      <x:c r="F1059" s="31"/>
      <x:c r="G1059" s="31"/>
      <x:c r="H1059" s="31" t="str">
        <x:f>IF(OR(F1059="",G1059=""),"",IF(F1059=G1059,"Agree","Disagree"))</x:f>
      </x:c>
      <x:c r="I1059" s="31"/>
      <x:c r="J1059" s="31" t="str">
        <x:v>No</x:v>
      </x:c>
      <x:c r="K1059" s="31" t="str"/>
      <x:c r="L1059" s="31" t="str"/>
      <x:c r="M1059" s="31" t="str"/>
      <x:c r="N1059" s="31" t="str"/>
    </x:row>
    <x:row r="1060" ht="42" customHeight="1">
      <x:c r="A1060" s="35" t="n">
        <x:v>1058</x:v>
      </x:c>
      <x:c r="B1060" s="31" t="str">
        <x:f>IF('Execution Checklist'!Q1060="","",'Execution Checklist'!Q1060)</x:f>
      </x:c>
      <x:c r="C1060" s="31" t="str">
        <x:v>Put the open glass spice container in the bowl.</x:v>
      </x:c>
      <x:c r="D1060" s="31" t="str">
        <x:v>glass spice container B</x:v>
      </x:c>
      <x:c r="E1060" s="31" t="str">
        <x:v>Binary task success using the task-specific rubric.</x:v>
      </x:c>
      <x:c r="F1060" s="31"/>
      <x:c r="G1060" s="31"/>
      <x:c r="H1060" s="31" t="str">
        <x:f>IF(OR(F1060="",G1060=""),"",IF(F1060=G1060,"Agree","Disagree"))</x:f>
      </x:c>
      <x:c r="I1060" s="31"/>
      <x:c r="J1060" s="31" t="str">
        <x:v>No</x:v>
      </x:c>
      <x:c r="K1060" s="31" t="str"/>
      <x:c r="L1060" s="31" t="str"/>
      <x:c r="M1060" s="31" t="str"/>
      <x:c r="N1060" s="31" t="str"/>
    </x:row>
    <x:row r="1061" ht="42" customHeight="1">
      <x:c r="A1061" s="35" t="n">
        <x:v>1059</x:v>
      </x:c>
      <x:c r="B1061" s="31" t="str">
        <x:f>IF('Execution Checklist'!Q1061="","",'Execution Checklist'!Q1061)</x:f>
      </x:c>
      <x:c r="C1061" s="31" t="str">
        <x:v>Place the upright brown cup in the bowl.</x:v>
      </x:c>
      <x:c r="D1061" s="31" t="str">
        <x:v>brown cup B</x:v>
      </x:c>
      <x:c r="E1061" s="31" t="str">
        <x:v>Binary task success; paired with the main matched-control row.</x:v>
      </x:c>
      <x:c r="F1061" s="31"/>
      <x:c r="G1061" s="31"/>
      <x:c r="H1061" s="31" t="str">
        <x:f>IF(OR(F1061="",G1061=""),"",IF(F1061=G1061,"Agree","Disagree"))</x:f>
      </x:c>
      <x:c r="I1061" s="31"/>
      <x:c r="J1061" s="31" t="str">
        <x:v>No</x:v>
      </x:c>
      <x:c r="K1061" s="31" t="str"/>
      <x:c r="L1061" s="31" t="str"/>
      <x:c r="M1061" s="31" t="str"/>
      <x:c r="N1061" s="31" t="str"/>
    </x:row>
    <x:row r="1062" ht="42" customHeight="1">
      <x:c r="A1062" s="35" t="n">
        <x:v>1060</x:v>
      </x:c>
      <x:c r="B1062" s="31" t="str">
        <x:f>IF('Execution Checklist'!Q1062="","",'Execution Checklist'!Q1062)</x:f>
      </x:c>
      <x:c r="C1062" s="31" t="str">
        <x:v>Put a yellow-white striped cup in the bowl.</x:v>
      </x:c>
      <x:c r="D1062" s="31" t="str">
        <x:v>yellow-white striped cup A</x:v>
      </x:c>
      <x:c r="E1062" s="31" t="str">
        <x:v>Binary task success using the task-specific rubric.</x:v>
      </x:c>
      <x:c r="F1062" s="31"/>
      <x:c r="G1062" s="31"/>
      <x:c r="H1062" s="31" t="str">
        <x:f>IF(OR(F1062="",G1062=""),"",IF(F1062=G1062,"Agree","Disagree"))</x:f>
      </x:c>
      <x:c r="I1062" s="31"/>
      <x:c r="J1062" s="31" t="str">
        <x:v>No</x:v>
      </x:c>
      <x:c r="K1062" s="31" t="str"/>
      <x:c r="L1062" s="31" t="str"/>
      <x:c r="M1062" s="31" t="str"/>
      <x:c r="N1062" s="31" t="str"/>
    </x:row>
    <x:row r="1063" ht="42" customHeight="1">
      <x:c r="A1063" s="35" t="n">
        <x:v>1061</x:v>
      </x:c>
      <x:c r="B1063" s="31" t="str">
        <x:f>IF('Execution Checklist'!Q1063="","",'Execution Checklist'!Q1063)</x:f>
      </x:c>
      <x:c r="C1063" s="31" t="str">
        <x:v>Place the closed brown cup in the bowl.</x:v>
      </x:c>
      <x:c r="D1063" s="31" t="str">
        <x:v>brown cup A</x:v>
      </x:c>
      <x:c r="E1063" s="31" t="str">
        <x:v>Binary task success; paired with the main matched-control row.</x:v>
      </x:c>
      <x:c r="F1063" s="31"/>
      <x:c r="G1063" s="31"/>
      <x:c r="H1063" s="31" t="str">
        <x:f>IF(OR(F1063="",G1063=""),"",IF(F1063=G1063,"Agree","Disagree"))</x:f>
      </x:c>
      <x:c r="I1063" s="31"/>
      <x:c r="J1063" s="31" t="str">
        <x:v>No</x:v>
      </x:c>
      <x:c r="K1063" s="31" t="str"/>
      <x:c r="L1063" s="31" t="str"/>
      <x:c r="M1063" s="31" t="str"/>
      <x:c r="N1063" s="31" t="str"/>
    </x:row>
    <x:row r="1064" ht="42" customHeight="1">
      <x:c r="A1064" s="35" t="n">
        <x:v>1062</x:v>
      </x:c>
      <x:c r="B1064" s="31" t="str">
        <x:f>IF('Execution Checklist'!Q1064="","",'Execution Checklist'!Q1064)</x:f>
      </x:c>
      <x:c r="C1064" s="31" t="str">
        <x:v>Move the overturned glass spice container into the bowl.</x:v>
      </x:c>
      <x:c r="D1064" s="31" t="str">
        <x:v>glass spice container B</x:v>
      </x:c>
      <x:c r="E1064" s="31" t="str">
        <x:v>Binary task success; compare with the seen-language row sharing Pair ID.</x:v>
      </x:c>
      <x:c r="F1064" s="31"/>
      <x:c r="G1064" s="31"/>
      <x:c r="H1064" s="31" t="str">
        <x:f>IF(OR(F1064="",G1064=""),"",IF(F1064=G1064,"Agree","Disagree"))</x:f>
      </x:c>
      <x:c r="I1064" s="31"/>
      <x:c r="J1064" s="31" t="str">
        <x:v>No</x:v>
      </x:c>
      <x:c r="K1064" s="31" t="str"/>
      <x:c r="L1064" s="31" t="str"/>
      <x:c r="M1064" s="31" t="str"/>
      <x:c r="N1064" s="31" t="str"/>
    </x:row>
    <x:row r="1065" ht="42" customHeight="1">
      <x:c r="A1065" s="35" t="n">
        <x:v>1063</x:v>
      </x:c>
      <x:c r="B1065" s="31" t="str">
        <x:f>IF('Execution Checklist'!Q1065="","",'Execution Checklist'!Q1065)</x:f>
      </x:c>
      <x:c r="C1065" s="31" t="str">
        <x:v>Find the white cup with its opening uncovered and move it into the bowl.</x:v>
      </x:c>
      <x:c r="D1065" s="31" t="str">
        <x:v>white cup B</x:v>
      </x:c>
      <x:c r="E1065" s="31" t="str">
        <x:v>Binary task success; compare with the seen-language row sharing Pair ID.</x:v>
      </x:c>
      <x:c r="F1065" s="31"/>
      <x:c r="G1065" s="31"/>
      <x:c r="H1065" s="31" t="str">
        <x:f>IF(OR(F1065="",G1065=""),"",IF(F1065=G1065,"Agree","Disagree"))</x:f>
      </x:c>
      <x:c r="I1065" s="31"/>
      <x:c r="J1065" s="31" t="str">
        <x:v>No</x:v>
      </x:c>
      <x:c r="K1065" s="31" t="str"/>
      <x:c r="L1065" s="31" t="str"/>
      <x:c r="M1065" s="31" t="str"/>
      <x:c r="N1065" s="31" t="str"/>
    </x:row>
    <x:row r="1066" ht="42" customHeight="1">
      <x:c r="A1066" s="35" t="n">
        <x:v>1064</x:v>
      </x:c>
      <x:c r="B1066" s="31" t="str">
        <x:f>IF('Execution Checklist'!Q1066="","",'Execution Checklist'!Q1066)</x:f>
      </x:c>
      <x:c r="C1066" s="31" t="str">
        <x:v>Place the closed white cup in the bowl.</x:v>
      </x:c>
      <x:c r="D1066" s="31" t="str">
        <x:v>white cup A</x:v>
      </x:c>
      <x:c r="E1066" s="31" t="str">
        <x:v>Binary task success; paired with the main matched-control row.</x:v>
      </x:c>
      <x:c r="F1066" s="31"/>
      <x:c r="G1066" s="31"/>
      <x:c r="H1066" s="31" t="str">
        <x:f>IF(OR(F1066="",G1066=""),"",IF(F1066=G1066,"Agree","Disagree"))</x:f>
      </x:c>
      <x:c r="I1066" s="31"/>
      <x:c r="J1066" s="31" t="str">
        <x:v>No</x:v>
      </x:c>
      <x:c r="K1066" s="31" t="str"/>
      <x:c r="L1066" s="31" t="str"/>
      <x:c r="M1066" s="31" t="str"/>
      <x:c r="N1066" s="31" t="str"/>
    </x:row>
    <x:row r="1067" ht="42" customHeight="1">
      <x:c r="A1067" s="35" t="n">
        <x:v>1065</x:v>
      </x:c>
      <x:c r="B1067" s="31" t="str">
        <x:f>IF('Execution Checklist'!Q1067="","",'Execution Checklist'!Q1067)</x:f>
      </x:c>
      <x:c r="C1067" s="31" t="str">
        <x:v>Place the open white cup in the bowl.</x:v>
      </x:c>
      <x:c r="D1067" s="31" t="str">
        <x:v>white cup B</x:v>
      </x:c>
      <x:c r="E1067" s="31" t="str">
        <x:v>Binary task success using the task-specific rubric.</x:v>
      </x:c>
      <x:c r="F1067" s="31"/>
      <x:c r="G1067" s="31"/>
      <x:c r="H1067" s="31" t="str">
        <x:f>IF(OR(F1067="",G1067=""),"",IF(F1067=G1067,"Agree","Disagree"))</x:f>
      </x:c>
      <x:c r="I1067" s="31"/>
      <x:c r="J1067" s="31" t="str">
        <x:v>No</x:v>
      </x:c>
      <x:c r="K1067" s="31" t="str"/>
      <x:c r="L1067" s="31" t="str"/>
      <x:c r="M1067" s="31" t="str"/>
      <x:c r="N1067" s="31" t="str"/>
    </x:row>
    <x:row r="1068" ht="42" customHeight="1">
      <x:c r="A1068" s="35" t="n">
        <x:v>1066</x:v>
      </x:c>
      <x:c r="B1068" s="31" t="str">
        <x:f>IF('Execution Checklist'!Q1068="","",'Execution Checklist'!Q1068)</x:f>
      </x:c>
      <x:c r="C1068" s="31" t="str">
        <x:v>Place a brown cup in the bowl.</x:v>
      </x:c>
      <x:c r="D1068" s="31" t="str">
        <x:v>brown cup B</x:v>
      </x:c>
      <x:c r="E1068" s="31" t="str">
        <x:v>Binary task success; paired with the main transfer row.</x:v>
      </x:c>
      <x:c r="F1068" s="31"/>
      <x:c r="G1068" s="31"/>
      <x:c r="H1068" s="31" t="str">
        <x:f>IF(OR(F1068="",G1068=""),"",IF(F1068=G1068,"Agree","Disagree"))</x:f>
      </x:c>
      <x:c r="I1068" s="31"/>
      <x:c r="J1068" s="31" t="str">
        <x:v>No</x:v>
      </x:c>
      <x:c r="K1068" s="31" t="str"/>
      <x:c r="L1068" s="31" t="str"/>
      <x:c r="M1068" s="31" t="str"/>
      <x:c r="N1068" s="31" t="str"/>
    </x:row>
    <x:row r="1069" ht="42" customHeight="1">
      <x:c r="A1069" s="35" t="n">
        <x:v>1067</x:v>
      </x:c>
      <x:c r="B1069" s="31" t="str">
        <x:f>IF('Execution Checklist'!Q1069="","",'Execution Checklist'!Q1069)</x:f>
      </x:c>
      <x:c r="C1069" s="31" t="str">
        <x:v>Move a glass spice container into the bowl.</x:v>
      </x:c>
      <x:c r="D1069" s="31" t="str">
        <x:v>glass spice container A</x:v>
      </x:c>
      <x:c r="E1069" s="31" t="str">
        <x:v>Binary task success using the task-specific rubric.</x:v>
      </x:c>
      <x:c r="F1069" s="31"/>
      <x:c r="G1069" s="31"/>
      <x:c r="H1069" s="31" t="str">
        <x:f>IF(OR(F1069="",G1069=""),"",IF(F1069=G1069,"Agree","Disagree"))</x:f>
      </x:c>
      <x:c r="I1069" s="31"/>
      <x:c r="J1069" s="31" t="str">
        <x:v>No</x:v>
      </x:c>
      <x:c r="K1069" s="31" t="str"/>
      <x:c r="L1069" s="31" t="str"/>
      <x:c r="M1069" s="31" t="str"/>
      <x:c r="N1069" s="31" t="str"/>
    </x:row>
    <x:row r="1070" ht="42" customHeight="1">
      <x:c r="A1070" s="35" t="n">
        <x:v>1068</x:v>
      </x:c>
      <x:c r="B1070" s="31" t="str">
        <x:f>IF('Execution Checklist'!Q1070="","",'Execution Checklist'!Q1070)</x:f>
      </x:c>
      <x:c r="C1070" s="31" t="str">
        <x:v>Place the closed glass spice container in the bowl.</x:v>
      </x:c>
      <x:c r="D1070" s="31" t="str">
        <x:v>glass spice container B</x:v>
      </x:c>
      <x:c r="E1070" s="31" t="str">
        <x:v>Binary task success; paired with the main matched-control row.</x:v>
      </x:c>
      <x:c r="F1070" s="31"/>
      <x:c r="G1070" s="31"/>
      <x:c r="H1070" s="31" t="str">
        <x:f>IF(OR(F1070="",G1070=""),"",IF(F1070=G1070,"Agree","Disagree"))</x:f>
      </x:c>
      <x:c r="I1070" s="31"/>
      <x:c r="J1070" s="31" t="str">
        <x:v>No</x:v>
      </x:c>
      <x:c r="K1070" s="31" t="str"/>
      <x:c r="L1070" s="31" t="str"/>
      <x:c r="M1070" s="31" t="str"/>
      <x:c r="N1070" s="31" t="str"/>
    </x:row>
    <x:row r="1071" ht="42" customHeight="1">
      <x:c r="A1071" s="35" t="n">
        <x:v>1069</x:v>
      </x:c>
      <x:c r="B1071" s="31" t="str">
        <x:f>IF('Execution Checklist'!Q1071="","",'Execution Checklist'!Q1071)</x:f>
      </x:c>
      <x:c r="C1071" s="31" t="str">
        <x:v>Place the closed white cup in the bowl.</x:v>
      </x:c>
      <x:c r="D1071" s="31" t="str">
        <x:v>white cup A</x:v>
      </x:c>
      <x:c r="E1071" s="31" t="str">
        <x:v>Binary task success; paired with the main matched-control row.</x:v>
      </x:c>
      <x:c r="F1071" s="31"/>
      <x:c r="G1071" s="31"/>
      <x:c r="H1071" s="31" t="str">
        <x:f>IF(OR(F1071="",G1071=""),"",IF(F1071=G1071,"Agree","Disagree"))</x:f>
      </x:c>
      <x:c r="I1071" s="31"/>
      <x:c r="J1071" s="31" t="str">
        <x:v>No</x:v>
      </x:c>
      <x:c r="K1071" s="31" t="str"/>
      <x:c r="L1071" s="31" t="str"/>
      <x:c r="M1071" s="31" t="str"/>
      <x:c r="N1071" s="31" t="str"/>
    </x:row>
    <x:row r="1072" ht="42" customHeight="1">
      <x:c r="A1072" s="35" t="n">
        <x:v>1070</x:v>
      </x:c>
      <x:c r="B1072" s="31" t="str">
        <x:f>IF('Execution Checklist'!Q1072="","",'Execution Checklist'!Q1072)</x:f>
      </x:c>
      <x:c r="C1072" s="31" t="str">
        <x:v>Move the open white cup into the bowl.</x:v>
      </x:c>
      <x:c r="D1072" s="31" t="str">
        <x:v>white cup A</x:v>
      </x:c>
      <x:c r="E1072" s="31" t="str">
        <x:v>Binary task success using the task-specific rubric.</x:v>
      </x:c>
      <x:c r="F1072" s="31"/>
      <x:c r="G1072" s="31"/>
      <x:c r="H1072" s="31" t="str">
        <x:f>IF(OR(F1072="",G1072=""),"",IF(F1072=G1072,"Agree","Disagree"))</x:f>
      </x:c>
      <x:c r="I1072" s="31"/>
      <x:c r="J1072" s="31" t="str">
        <x:v>No</x:v>
      </x:c>
      <x:c r="K1072" s="31" t="str"/>
      <x:c r="L1072" s="31" t="str"/>
      <x:c r="M1072" s="31" t="str"/>
      <x:c r="N1072" s="31" t="str"/>
    </x:row>
    <x:row r="1073" ht="42" customHeight="1">
      <x:c r="A1073" s="35" t="n">
        <x:v>1071</x:v>
      </x:c>
      <x:c r="B1073" s="31" t="str">
        <x:f>IF('Execution Checklist'!Q1073="","",'Execution Checklist'!Q1073)</x:f>
      </x:c>
      <x:c r="C1073" s="31" t="str">
        <x:v>Place the upright glass spice container in the bowl.</x:v>
      </x:c>
      <x:c r="D1073" s="31" t="str">
        <x:v>glass spice container A</x:v>
      </x:c>
      <x:c r="E1073" s="31" t="str">
        <x:v>Binary task success; paired with the main matched-control row.</x:v>
      </x:c>
      <x:c r="F1073" s="31"/>
      <x:c r="G1073" s="31"/>
      <x:c r="H1073" s="31" t="str">
        <x:f>IF(OR(F1073="",G1073=""),"",IF(F1073=G1073,"Agree","Disagree"))</x:f>
      </x:c>
      <x:c r="I1073" s="31"/>
      <x:c r="J1073" s="31" t="str">
        <x:v>No</x:v>
      </x:c>
      <x:c r="K1073" s="31" t="str"/>
      <x:c r="L1073" s="31" t="str"/>
      <x:c r="M1073" s="31" t="str"/>
      <x:c r="N1073" s="31" t="str"/>
    </x:row>
    <x:row r="1074" ht="42" customHeight="1">
      <x:c r="A1074" s="35" t="n">
        <x:v>1072</x:v>
      </x:c>
      <x:c r="B1074" s="31" t="str">
        <x:f>IF('Execution Checklist'!Q1074="","",'Execution Checklist'!Q1074)</x:f>
      </x:c>
      <x:c r="C1074" s="31" t="str">
        <x:v>Place a brown cup in the bowl.</x:v>
      </x:c>
      <x:c r="D1074" s="31" t="str">
        <x:v>brown cup B</x:v>
      </x:c>
      <x:c r="E1074" s="31" t="str">
        <x:v>Binary task success; paired with the main transfer row.</x:v>
      </x:c>
      <x:c r="F1074" s="31"/>
      <x:c r="G1074" s="31"/>
      <x:c r="H1074" s="31" t="str">
        <x:f>IF(OR(F1074="",G1074=""),"",IF(F1074=G1074,"Agree","Disagree"))</x:f>
      </x:c>
      <x:c r="I1074" s="31"/>
      <x:c r="J1074" s="31" t="str">
        <x:v>No</x:v>
      </x:c>
      <x:c r="K1074" s="31" t="str"/>
      <x:c r="L1074" s="31" t="str"/>
      <x:c r="M1074" s="31" t="str"/>
      <x:c r="N1074" s="31" t="str"/>
    </x:row>
    <x:row r="1075" ht="42" customHeight="1">
      <x:c r="A1075" s="35" t="n">
        <x:v>1073</x:v>
      </x:c>
      <x:c r="B1075" s="31" t="str">
        <x:f>IF('Execution Checklist'!Q1075="","",'Execution Checklist'!Q1075)</x:f>
      </x:c>
      <x:c r="C1075" s="31" t="str">
        <x:v>Place the closed glass spice container in the bowl.</x:v>
      </x:c>
      <x:c r="D1075" s="31" t="str">
        <x:v>No prespecified task success under blank language; record any action/selected target.</x:v>
      </x:c>
      <x:c r="E1075" s="31" t="str">
        <x:v>Do not score ordinary task success. Record action occurrence and agreement with the parent correct-prompt rollout.</x:v>
      </x:c>
      <x:c r="F1075" s="31"/>
      <x:c r="G1075" s="31"/>
      <x:c r="H1075" s="31" t="str">
        <x:f>IF(OR(F1075="",G1075=""),"",IF(F1075=G1075,"Agree","Disagree"))</x:f>
      </x:c>
      <x:c r="I1075" s="31"/>
      <x:c r="J1075" s="31" t="str">
        <x:v>No</x:v>
      </x:c>
      <x:c r="K1075" s="31" t="str"/>
      <x:c r="L1075" s="31" t="str"/>
      <x:c r="M1075" s="31" t="str"/>
      <x:c r="N1075" s="31" t="str"/>
    </x:row>
    <x:row r="1076" ht="42" customHeight="1">
      <x:c r="A1076" s="35" t="n">
        <x:v>1074</x:v>
      </x:c>
      <x:c r="B1076" s="31" t="str">
        <x:f>IF('Execution Checklist'!Q1076="","",'Execution Checklist'!Q1076)</x:f>
      </x:c>
      <x:c r="C1076" s="31" t="str">
        <x:v>Place the open yellow-white striped cup in the bowl.</x:v>
      </x:c>
      <x:c r="D1076" s="31" t="str">
        <x:v>yellow-white striped cup B</x:v>
      </x:c>
      <x:c r="E1076" s="31" t="str">
        <x:v>Binary task success using the task-specific rubric.</x:v>
      </x:c>
      <x:c r="F1076" s="31"/>
      <x:c r="G1076" s="31"/>
      <x:c r="H1076" s="31" t="str">
        <x:f>IF(OR(F1076="",G1076=""),"",IF(F1076=G1076,"Agree","Disagree"))</x:f>
      </x:c>
      <x:c r="I1076" s="31"/>
      <x:c r="J1076" s="31" t="str">
        <x:v>No</x:v>
      </x:c>
      <x:c r="K1076" s="31" t="str"/>
      <x:c r="L1076" s="31" t="str"/>
      <x:c r="M1076" s="31" t="str"/>
      <x:c r="N1076" s="31" t="str"/>
    </x:row>
    <x:row r="1077" ht="42" customHeight="1">
      <x:c r="A1077" s="35" t="n">
        <x:v>1075</x:v>
      </x:c>
      <x:c r="B1077" s="31" t="str">
        <x:f>IF('Execution Checklist'!Q1077="","",'Execution Checklist'!Q1077)</x:f>
      </x:c>
      <x:c r="C1077" s="31" t="str">
        <x:v>Place the upside-down white cup in the bowl.</x:v>
      </x:c>
      <x:c r="D1077" s="31" t="str">
        <x:v>white cup A</x:v>
      </x:c>
      <x:c r="E1077" s="31" t="str">
        <x:v>Binary task success using the task-specific rubric.</x:v>
      </x:c>
      <x:c r="F1077" s="31"/>
      <x:c r="G1077" s="31"/>
      <x:c r="H1077" s="31" t="str">
        <x:f>IF(OR(F1077="",G1077=""),"",IF(F1077=G1077,"Agree","Disagree"))</x:f>
      </x:c>
      <x:c r="I1077" s="31"/>
      <x:c r="J1077" s="31" t="str">
        <x:v>No</x:v>
      </x:c>
      <x:c r="K1077" s="31" t="str"/>
      <x:c r="L1077" s="31" t="str"/>
      <x:c r="M1077" s="31" t="str"/>
      <x:c r="N1077" s="31" t="str"/>
    </x:row>
    <x:row r="1078" ht="42" customHeight="1">
      <x:c r="A1078" s="35" t="n">
        <x:v>1076</x:v>
      </x:c>
      <x:c r="B1078" s="31" t="str">
        <x:f>IF('Execution Checklist'!Q1078="","",'Execution Checklist'!Q1078)</x:f>
      </x:c>
      <x:c r="C1078" s="31" t="str">
        <x:v>Put the inverted white cup into the bowl.</x:v>
      </x:c>
      <x:c r="D1078" s="31" t="str">
        <x:v>white cup A</x:v>
      </x:c>
      <x:c r="E1078" s="31" t="str">
        <x:v>Binary task success; compare with the seen-language row sharing Pair ID.</x:v>
      </x:c>
      <x:c r="F1078" s="31"/>
      <x:c r="G1078" s="31"/>
      <x:c r="H1078" s="31" t="str">
        <x:f>IF(OR(F1078="",G1078=""),"",IF(F1078=G1078,"Agree","Disagree"))</x:f>
      </x:c>
      <x:c r="I1078" s="31"/>
      <x:c r="J1078" s="31" t="str">
        <x:v>No</x:v>
      </x:c>
      <x:c r="K1078" s="31" t="str"/>
      <x:c r="L1078" s="31" t="str"/>
      <x:c r="M1078" s="31" t="str"/>
      <x:c r="N1078" s="31" t="str"/>
    </x:row>
    <x:row r="1079" ht="42" customHeight="1">
      <x:c r="A1079" s="35" t="n">
        <x:v>1077</x:v>
      </x:c>
      <x:c r="B1079" s="31" t="str">
        <x:f>IF('Execution Checklist'!Q1079="","",'Execution Checklist'!Q1079)</x:f>
      </x:c>
      <x:c r="C1079" s="31" t="str">
        <x:v>Move the yellow-white striped cup that is open into the bowl.</x:v>
      </x:c>
      <x:c r="D1079" s="31" t="str">
        <x:v>yellow-white striped cup B</x:v>
      </x:c>
      <x:c r="E1079" s="31" t="str">
        <x:v>Binary task success; compare with the seen-language row sharing Pair ID.</x:v>
      </x:c>
      <x:c r="F1079" s="31"/>
      <x:c r="G1079" s="31"/>
      <x:c r="H1079" s="31" t="str">
        <x:f>IF(OR(F1079="",G1079=""),"",IF(F1079=G1079,"Agree","Disagree"))</x:f>
      </x:c>
      <x:c r="I1079" s="31"/>
      <x:c r="J1079" s="31" t="str">
        <x:v>No</x:v>
      </x:c>
      <x:c r="K1079" s="31" t="str"/>
      <x:c r="L1079" s="31" t="str"/>
      <x:c r="M1079" s="31" t="str"/>
      <x:c r="N1079" s="31" t="str"/>
    </x:row>
    <x:row r="1080" ht="42" customHeight="1">
      <x:c r="A1080" s="35" t="n">
        <x:v>1078</x:v>
      </x:c>
      <x:c r="B1080" s="31" t="str">
        <x:f>IF('Execution Checklist'!Q1080="","",'Execution Checklist'!Q1080)</x:f>
      </x:c>
      <x:c r="C1080" s="31" t="str">
        <x:v>Place the upside-down white cup in the bowl.</x:v>
      </x:c>
      <x:c r="D1080" s="31" t="str">
        <x:v>white cup A</x:v>
      </x:c>
      <x:c r="E1080" s="31" t="str">
        <x:v>Binary task success using the task-specific rubric.</x:v>
      </x:c>
      <x:c r="F1080" s="31"/>
      <x:c r="G1080" s="31"/>
      <x:c r="H1080" s="31" t="str">
        <x:f>IF(OR(F1080="",G1080=""),"",IF(F1080=G1080,"Agree","Disagree"))</x:f>
      </x:c>
      <x:c r="I1080" s="31"/>
      <x:c r="J1080" s="31" t="str">
        <x:v>No</x:v>
      </x:c>
      <x:c r="K1080" s="31" t="str"/>
      <x:c r="L1080" s="31" t="str"/>
      <x:c r="M1080" s="31" t="str"/>
      <x:c r="N1080" s="31" t="str"/>
    </x:row>
    <x:row r="1081" ht="42" customHeight="1">
      <x:c r="A1081" s="35" t="n">
        <x:v>1079</x:v>
      </x:c>
      <x:c r="B1081" s="31" t="str">
        <x:f>IF('Execution Checklist'!Q1081="","",'Execution Checklist'!Q1081)</x:f>
      </x:c>
      <x:c r="C1081" s="31" t="str">
        <x:v>Place the upright white cup in the bowl.</x:v>
      </x:c>
      <x:c r="D1081" s="31" t="str">
        <x:v>white cup B</x:v>
      </x:c>
      <x:c r="E1081" s="31" t="str">
        <x:v>Binary task success; paired with the main matched-control row.</x:v>
      </x:c>
      <x:c r="F1081" s="31"/>
      <x:c r="G1081" s="31"/>
      <x:c r="H1081" s="31" t="str">
        <x:f>IF(OR(F1081="",G1081=""),"",IF(F1081=G1081,"Agree","Disagree"))</x:f>
      </x:c>
      <x:c r="I1081" s="31"/>
      <x:c r="J1081" s="31" t="str">
        <x:v>No</x:v>
      </x:c>
      <x:c r="K1081" s="31" t="str"/>
      <x:c r="L1081" s="31" t="str"/>
      <x:c r="M1081" s="31" t="str"/>
      <x:c r="N1081" s="31" t="str"/>
    </x:row>
    <x:row r="1082" ht="42" customHeight="1">
      <x:c r="A1082" s="35" t="n">
        <x:v>1080</x:v>
      </x:c>
      <x:c r="B1082" s="31" t="str">
        <x:f>IF('Execution Checklist'!Q1082="","",'Execution Checklist'!Q1082)</x:f>
      </x:c>
      <x:c r="C1082" s="31" t="str">
        <x:v>Place the open white cup in the bowl.</x:v>
      </x:c>
      <x:c r="D1082" s="31" t="str">
        <x:v>white cup B</x:v>
      </x:c>
      <x:c r="E1082" s="31" t="str">
        <x:v>Binary task success using the task-specific rubric.</x:v>
      </x:c>
      <x:c r="F1082" s="31"/>
      <x:c r="G1082" s="31"/>
      <x:c r="H1082" s="31" t="str">
        <x:f>IF(OR(F1082="",G1082=""),"",IF(F1082=G1082,"Agree","Disagree"))</x:f>
      </x:c>
      <x:c r="I1082" s="31"/>
      <x:c r="J1082" s="31" t="str">
        <x:v>No</x:v>
      </x:c>
      <x:c r="K1082" s="31" t="str"/>
      <x:c r="L1082" s="31" t="str"/>
      <x:c r="M1082" s="31" t="str"/>
      <x:c r="N1082" s="31" t="str"/>
    </x:row>
    <x:row r="1083" ht="42" customHeight="1">
      <x:c r="A1083" s="35" t="n">
        <x:v>1081</x:v>
      </x:c>
      <x:c r="B1083" s="31" t="str">
        <x:f>IF('Execution Checklist'!Q1083="","",'Execution Checklist'!Q1083)</x:f>
      </x:c>
      <x:c r="C1083" s="31" t="str">
        <x:v>Place a glass spice container in the bowl.</x:v>
      </x:c>
      <x:c r="D1083" s="31" t="str">
        <x:v>glass spice container B</x:v>
      </x:c>
      <x:c r="E1083" s="31" t="str">
        <x:v>Binary task success; paired with the main transfer row.</x:v>
      </x:c>
      <x:c r="F1083" s="31"/>
      <x:c r="G1083" s="31"/>
      <x:c r="H1083" s="31" t="str">
        <x:f>IF(OR(F1083="",G1083=""),"",IF(F1083=G1083,"Agree","Disagree"))</x:f>
      </x:c>
      <x:c r="I1083" s="31"/>
      <x:c r="J1083" s="31" t="str">
        <x:v>No</x:v>
      </x:c>
      <x:c r="K1083" s="31" t="str"/>
      <x:c r="L1083" s="31" t="str"/>
      <x:c r="M1083" s="31" t="str"/>
      <x:c r="N1083" s="31" t="str"/>
    </x:row>
    <x:row r="1084" ht="42" customHeight="1">
      <x:c r="A1084" s="35" t="n">
        <x:v>1082</x:v>
      </x:c>
      <x:c r="B1084" s="31" t="str">
        <x:f>IF('Execution Checklist'!Q1084="","",'Execution Checklist'!Q1084)</x:f>
      </x:c>
      <x:c r="C1084" s="31" t="str">
        <x:v>Place the open yellow-white striped cup in the bowl.</x:v>
      </x:c>
      <x:c r="D1084" s="31" t="str">
        <x:v>yellow-white striped cup B</x:v>
      </x:c>
      <x:c r="E1084" s="31" t="str">
        <x:v>Binary success for the counterfactual instruction and paired action-switch analysis versus the parent.</x:v>
      </x:c>
      <x:c r="F1084" s="31"/>
      <x:c r="G1084" s="31"/>
      <x:c r="H1084" s="31" t="str">
        <x:f>IF(OR(F1084="",G1084=""),"",IF(F1084=G1084,"Agree","Disagree"))</x:f>
      </x:c>
      <x:c r="I1084" s="31"/>
      <x:c r="J1084" s="31" t="str">
        <x:v>No</x:v>
      </x:c>
      <x:c r="K1084" s="31" t="str"/>
      <x:c r="L1084" s="31" t="str"/>
      <x:c r="M1084" s="31" t="str"/>
      <x:c r="N1084" s="31" t="str"/>
    </x:row>
    <x:row r="1085" ht="42" customHeight="1">
      <x:c r="A1085" s="35" t="n">
        <x:v>1083</x:v>
      </x:c>
      <x:c r="B1085" s="31" t="str">
        <x:f>IF('Execution Checklist'!Q1085="","",'Execution Checklist'!Q1085)</x:f>
      </x:c>
      <x:c r="C1085" s="31" t="str">
        <x:v>Place the open white cup in the bowl.</x:v>
      </x:c>
      <x:c r="D1085" s="31" t="str">
        <x:v>white cup B</x:v>
      </x:c>
      <x:c r="E1085" s="31" t="str">
        <x:v>Binary success for the counterfactual instruction and paired action-switch analysis versus the parent.</x:v>
      </x:c>
      <x:c r="F1085" s="31"/>
      <x:c r="G1085" s="31"/>
      <x:c r="H1085" s="31" t="str">
        <x:f>IF(OR(F1085="",G1085=""),"",IF(F1085=G1085,"Agree","Disagree"))</x:f>
      </x:c>
      <x:c r="I1085" s="31"/>
      <x:c r="J1085" s="31" t="str">
        <x:v>No</x:v>
      </x:c>
      <x:c r="K1085" s="31" t="str"/>
      <x:c r="L1085" s="31" t="str"/>
      <x:c r="M1085" s="31" t="str"/>
      <x:c r="N1085" s="31" t="str"/>
    </x:row>
    <x:row r="1086" ht="42" customHeight="1">
      <x:c r="A1086" s="35" t="n">
        <x:v>1084</x:v>
      </x:c>
      <x:c r="B1086" s="31" t="str">
        <x:f>IF('Execution Checklist'!Q1086="","",'Execution Checklist'!Q1086)</x:f>
      </x:c>
      <x:c r="C1086" s="31" t="str">
        <x:v>Put a brown cup in the bowl.</x:v>
      </x:c>
      <x:c r="D1086" s="31" t="str">
        <x:v>brown cup B</x:v>
      </x:c>
      <x:c r="E1086" s="31" t="str">
        <x:v>Binary task success using the task-specific rubric.</x:v>
      </x:c>
      <x:c r="F1086" s="31"/>
      <x:c r="G1086" s="31"/>
      <x:c r="H1086" s="31" t="str">
        <x:f>IF(OR(F1086="",G1086=""),"",IF(F1086=G1086,"Agree","Disagree"))</x:f>
      </x:c>
      <x:c r="I1086" s="31"/>
      <x:c r="J1086" s="31" t="str">
        <x:v>No</x:v>
      </x:c>
      <x:c r="K1086" s="31" t="str"/>
      <x:c r="L1086" s="31" t="str"/>
      <x:c r="M1086" s="31" t="str"/>
      <x:c r="N1086" s="31" t="str"/>
    </x:row>
    <x:row r="1087" ht="42" customHeight="1">
      <x:c r="A1087" s="35" t="n">
        <x:v>1085</x:v>
      </x:c>
      <x:c r="B1087" s="31" t="str">
        <x:f>IF('Execution Checklist'!Q1087="","",'Execution Checklist'!Q1087)</x:f>
      </x:c>
      <x:c r="C1087" s="31" t="str">
        <x:v>Place the upright yellow-white striped cup in the bowl.</x:v>
      </x:c>
      <x:c r="D1087" s="31" t="str">
        <x:v>yellow-white striped cup B</x:v>
      </x:c>
      <x:c r="E1087" s="31" t="str">
        <x:v>Binary task success; paired with the main matched-control row.</x:v>
      </x:c>
      <x:c r="F1087" s="31"/>
      <x:c r="G1087" s="31"/>
      <x:c r="H1087" s="31" t="str">
        <x:f>IF(OR(F1087="",G1087=""),"",IF(F1087=G1087,"Agree","Disagree"))</x:f>
      </x:c>
      <x:c r="I1087" s="31"/>
      <x:c r="J1087" s="31" t="str">
        <x:v>No</x:v>
      </x:c>
      <x:c r="K1087" s="31" t="str"/>
      <x:c r="L1087" s="31" t="str"/>
      <x:c r="M1087" s="31" t="str"/>
      <x:c r="N1087" s="31" t="str"/>
    </x:row>
    <x:row r="1088" ht="42" customHeight="1">
      <x:c r="A1088" s="35" t="n">
        <x:v>1086</x:v>
      </x:c>
      <x:c r="B1088" s="31" t="str">
        <x:f>IF('Execution Checklist'!Q1088="","",'Execution Checklist'!Q1088)</x:f>
      </x:c>
      <x:c r="C1088" s="31" t="str">
        <x:v>Place the open white cup in the bowl.</x:v>
      </x:c>
      <x:c r="D1088" s="31" t="str">
        <x:v>white cup B</x:v>
      </x:c>
      <x:c r="E1088" s="31" t="str">
        <x:v>Binary task success using the task-specific rubric.</x:v>
      </x:c>
      <x:c r="F1088" s="31"/>
      <x:c r="G1088" s="31"/>
      <x:c r="H1088" s="31" t="str">
        <x:f>IF(OR(F1088="",G1088=""),"",IF(F1088=G1088,"Agree","Disagree"))</x:f>
      </x:c>
      <x:c r="I1088" s="31"/>
      <x:c r="J1088" s="31" t="str">
        <x:v>No</x:v>
      </x:c>
      <x:c r="K1088" s="31" t="str"/>
      <x:c r="L1088" s="31" t="str"/>
      <x:c r="M1088" s="31" t="str"/>
      <x:c r="N1088" s="31" t="str"/>
    </x:row>
    <x:row r="1089" ht="42" customHeight="1">
      <x:c r="A1089" s="35" t="n">
        <x:v>1087</x:v>
      </x:c>
      <x:c r="B1089" s="31" t="str">
        <x:f>IF('Execution Checklist'!Q1089="","",'Execution Checklist'!Q1089)</x:f>
      </x:c>
      <x:c r="C1089" s="31" t="str">
        <x:v>Place the closed glass spice container in the bowl.</x:v>
      </x:c>
      <x:c r="D1089" s="31" t="str">
        <x:v>glass spice container B</x:v>
      </x:c>
      <x:c r="E1089" s="31" t="str">
        <x:v>Binary task success; paired with the main matched-control row.</x:v>
      </x:c>
      <x:c r="F1089" s="31"/>
      <x:c r="G1089" s="31"/>
      <x:c r="H1089" s="31" t="str">
        <x:f>IF(OR(F1089="",G1089=""),"",IF(F1089=G1089,"Agree","Disagree"))</x:f>
      </x:c>
      <x:c r="I1089" s="31"/>
      <x:c r="J1089" s="31" t="str">
        <x:v>No</x:v>
      </x:c>
      <x:c r="K1089" s="31" t="str"/>
      <x:c r="L1089" s="31" t="str"/>
      <x:c r="M1089" s="31" t="str"/>
      <x:c r="N1089" s="31" t="str"/>
    </x:row>
    <x:row r="1090" ht="42" customHeight="1">
      <x:c r="A1090" s="35" t="n">
        <x:v>1088</x:v>
      </x:c>
      <x:c r="B1090" s="31" t="str">
        <x:f>IF('Execution Checklist'!Q1090="","",'Execution Checklist'!Q1090)</x:f>
      </x:c>
      <x:c r="C1090" s="31" t="str">
        <x:v>Place a yellow-white striped cup in the bowl.</x:v>
      </x:c>
      <x:c r="D1090" s="31" t="str">
        <x:v>yellow-white striped cup B</x:v>
      </x:c>
      <x:c r="E1090" s="31" t="str">
        <x:v>Binary task success; paired with the main transfer row.</x:v>
      </x:c>
      <x:c r="F1090" s="31"/>
      <x:c r="G1090" s="31"/>
      <x:c r="H1090" s="31" t="str">
        <x:f>IF(OR(F1090="",G1090=""),"",IF(F1090=G1090,"Agree","Disagree"))</x:f>
      </x:c>
      <x:c r="I1090" s="31"/>
      <x:c r="J1090" s="31" t="str">
        <x:v>No</x:v>
      </x:c>
      <x:c r="K1090" s="31" t="str"/>
      <x:c r="L1090" s="31" t="str"/>
      <x:c r="M1090" s="31" t="str"/>
      <x:c r="N1090" s="31" t="str"/>
    </x:row>
    <x:row r="1091" ht="42" customHeight="1">
      <x:c r="A1091" s="35" t="n">
        <x:v>1089</x:v>
      </x:c>
      <x:c r="B1091" s="31" t="str">
        <x:f>IF('Execution Checklist'!Q1091="","",'Execution Checklist'!Q1091)</x:f>
      </x:c>
      <x:c r="C1091" s="31" t="str">
        <x:v>Place the closed brown cup in the bowl.</x:v>
      </x:c>
      <x:c r="D1091" s="31" t="str">
        <x:v>No prespecified task success under blank language; record any action/selected target.</x:v>
      </x:c>
      <x:c r="E1091" s="31" t="str">
        <x:v>Do not score ordinary task success. Record action occurrence and agreement with the parent correct-prompt rollout.</x:v>
      </x:c>
      <x:c r="F1091" s="31"/>
      <x:c r="G1091" s="31"/>
      <x:c r="H1091" s="31" t="str">
        <x:f>IF(OR(F1091="",G1091=""),"",IF(F1091=G1091,"Agree","Disagree"))</x:f>
      </x:c>
      <x:c r="I1091" s="31"/>
      <x:c r="J1091" s="31" t="str">
        <x:v>No</x:v>
      </x:c>
      <x:c r="K1091" s="31" t="str"/>
      <x:c r="L1091" s="31" t="str"/>
      <x:c r="M1091" s="31" t="str"/>
      <x:c r="N1091" s="31" t="str"/>
    </x:row>
    <x:row r="1092" ht="42" customHeight="1">
      <x:c r="A1092" s="35" t="n">
        <x:v>1090</x:v>
      </x:c>
      <x:c r="B1092" s="31" t="str">
        <x:f>IF('Execution Checklist'!Q1092="","",'Execution Checklist'!Q1092)</x:f>
      </x:c>
      <x:c r="C1092" s="31" t="str">
        <x:v>Put the open white cup in the bowl.</x:v>
      </x:c>
      <x:c r="D1092" s="31" t="str">
        <x:v>white cup B</x:v>
      </x:c>
      <x:c r="E1092" s="31" t="str">
        <x:v>Binary task success; compare with the seen-language row sharing Pair ID.</x:v>
      </x:c>
      <x:c r="F1092" s="31"/>
      <x:c r="G1092" s="31"/>
      <x:c r="H1092" s="31" t="str">
        <x:f>IF(OR(F1092="",G1092=""),"",IF(F1092=G1092,"Agree","Disagree"))</x:f>
      </x:c>
      <x:c r="I1092" s="31"/>
      <x:c r="J1092" s="31" t="str">
        <x:v>No</x:v>
      </x:c>
      <x:c r="K1092" s="31" t="str"/>
      <x:c r="L1092" s="31" t="str"/>
      <x:c r="M1092" s="31" t="str"/>
      <x:c r="N1092" s="31" t="str"/>
    </x:row>
    <x:row r="1093" ht="42" customHeight="1">
      <x:c r="A1093" s="35" t="n">
        <x:v>1091</x:v>
      </x:c>
      <x:c r="B1093" s="31" t="str">
        <x:f>IF('Execution Checklist'!Q1093="","",'Execution Checklist'!Q1093)</x:f>
      </x:c>
      <x:c r="C1093" s="31" t="str">
        <x:v>Place the open glass spice container in the bowl.</x:v>
      </x:c>
      <x:c r="D1093" s="31" t="str">
        <x:v>glass spice container A</x:v>
      </x:c>
      <x:c r="E1093" s="31" t="str">
        <x:v>Binary success for the counterfactual instruction and paired action-switch analysis versus the parent.</x:v>
      </x:c>
      <x:c r="F1093" s="31"/>
      <x:c r="G1093" s="31"/>
      <x:c r="H1093" s="31" t="str">
        <x:f>IF(OR(F1093="",G1093=""),"",IF(F1093=G1093,"Agree","Disagree"))</x:f>
      </x:c>
      <x:c r="I1093" s="31"/>
      <x:c r="J1093" s="31" t="str">
        <x:v>No</x:v>
      </x:c>
      <x:c r="K1093" s="31" t="str"/>
      <x:c r="L1093" s="31" t="str"/>
      <x:c r="M1093" s="31" t="str"/>
      <x:c r="N1093" s="31" t="str"/>
    </x:row>
    <x:row r="1094" ht="42" customHeight="1">
      <x:c r="A1094" s="35" t="n">
        <x:v>1092</x:v>
      </x:c>
      <x:c r="B1094" s="31" t="str">
        <x:f>IF('Execution Checklist'!Q1094="","",'Execution Checklist'!Q1094)</x:f>
      </x:c>
      <x:c r="C1094" s="31" t="str">
        <x:v>Place a white cup in the bowl.</x:v>
      </x:c>
      <x:c r="D1094" s="31" t="str">
        <x:v>white cup A</x:v>
      </x:c>
      <x:c r="E1094" s="31" t="str">
        <x:v>Binary task success; paired with the main transfer row.</x:v>
      </x:c>
      <x:c r="F1094" s="31"/>
      <x:c r="G1094" s="31"/>
      <x:c r="H1094" s="31" t="str">
        <x:f>IF(OR(F1094="",G1094=""),"",IF(F1094=G1094,"Agree","Disagree"))</x:f>
      </x:c>
      <x:c r="I1094" s="31"/>
      <x:c r="J1094" s="31" t="str">
        <x:v>No</x:v>
      </x:c>
      <x:c r="K1094" s="31" t="str"/>
      <x:c r="L1094" s="31" t="str"/>
      <x:c r="M1094" s="31" t="str"/>
      <x:c r="N1094" s="31" t="str"/>
    </x:row>
    <x:row r="1095" ht="42" customHeight="1">
      <x:c r="A1095" s="35" t="n">
        <x:v>1093</x:v>
      </x:c>
      <x:c r="B1095" s="31" t="str">
        <x:f>IF('Execution Checklist'!Q1095="","",'Execution Checklist'!Q1095)</x:f>
      </x:c>
      <x:c r="C1095" s="31" t="str">
        <x:v>Place the closed white cup in the bowl.</x:v>
      </x:c>
      <x:c r="D1095" s="31" t="str">
        <x:v>No prespecified task success under blank language; record any action/selected target.</x:v>
      </x:c>
      <x:c r="E1095" s="31" t="str">
        <x:v>Do not score ordinary task success. Record action occurrence and agreement with the parent correct-prompt rollout.</x:v>
      </x:c>
      <x:c r="F1095" s="31"/>
      <x:c r="G1095" s="31"/>
      <x:c r="H1095" s="31" t="str">
        <x:f>IF(OR(F1095="",G1095=""),"",IF(F1095=G1095,"Agree","Disagree"))</x:f>
      </x:c>
      <x:c r="I1095" s="31"/>
      <x:c r="J1095" s="31" t="str">
        <x:v>No</x:v>
      </x:c>
      <x:c r="K1095" s="31" t="str"/>
      <x:c r="L1095" s="31" t="str"/>
      <x:c r="M1095" s="31" t="str"/>
      <x:c r="N1095" s="31" t="str"/>
    </x:row>
    <x:row r="1096" ht="42" customHeight="1">
      <x:c r="A1096" s="35" t="n">
        <x:v>1094</x:v>
      </x:c>
      <x:c r="B1096" s="31" t="str">
        <x:f>IF('Execution Checklist'!Q1096="","",'Execution Checklist'!Q1096)</x:f>
      </x:c>
      <x:c r="C1096" s="31" t="str">
        <x:v>Find the white cup that is turned upside down and move it into the bowl.</x:v>
      </x:c>
      <x:c r="D1096" s="31" t="str">
        <x:v>white cup A</x:v>
      </x:c>
      <x:c r="E1096" s="31" t="str">
        <x:v>Binary task success; compare with the seen-language row sharing Pair ID.</x:v>
      </x:c>
      <x:c r="F1096" s="31"/>
      <x:c r="G1096" s="31"/>
      <x:c r="H1096" s="31" t="str">
        <x:f>IF(OR(F1096="",G1096=""),"",IF(F1096=G1096,"Agree","Disagree"))</x:f>
      </x:c>
      <x:c r="I1096" s="31"/>
      <x:c r="J1096" s="31" t="str">
        <x:v>No</x:v>
      </x:c>
      <x:c r="K1096" s="31" t="str"/>
      <x:c r="L1096" s="31" t="str"/>
      <x:c r="M1096" s="31" t="str"/>
      <x:c r="N1096" s="31" t="str"/>
    </x:row>
    <x:row r="1097" ht="42" customHeight="1">
      <x:c r="A1097" s="35" t="n">
        <x:v>1095</x:v>
      </x:c>
      <x:c r="B1097" s="31" t="str">
        <x:f>IF('Execution Checklist'!Q1097="","",'Execution Checklist'!Q1097)</x:f>
      </x:c>
      <x:c r="C1097" s="31" t="str">
        <x:v>Place a glass spice container in the bowl.</x:v>
      </x:c>
      <x:c r="D1097" s="31" t="str">
        <x:v>glass spice container B</x:v>
      </x:c>
      <x:c r="E1097" s="31" t="str">
        <x:v>Binary task success; paired with the main transfer row.</x:v>
      </x:c>
      <x:c r="F1097" s="31"/>
      <x:c r="G1097" s="31"/>
      <x:c r="H1097" s="31" t="str">
        <x:f>IF(OR(F1097="",G1097=""),"",IF(F1097=G1097,"Agree","Disagree"))</x:f>
      </x:c>
      <x:c r="I1097" s="31"/>
      <x:c r="J1097" s="31" t="str">
        <x:v>No</x:v>
      </x:c>
      <x:c r="K1097" s="31" t="str"/>
      <x:c r="L1097" s="31" t="str"/>
      <x:c r="M1097" s="31" t="str"/>
      <x:c r="N1097" s="31" t="str"/>
    </x:row>
    <x:row r="1098" ht="42" customHeight="1">
      <x:c r="A1098" s="35" t="n">
        <x:v>1096</x:v>
      </x:c>
      <x:c r="B1098" s="31" t="str">
        <x:f>IF('Execution Checklist'!Q1098="","",'Execution Checklist'!Q1098)</x:f>
      </x:c>
      <x:c r="C1098" s="31" t="str">
        <x:v>Place a brown cup in the bowl.</x:v>
      </x:c>
      <x:c r="D1098" s="31" t="str">
        <x:v>brown cup A</x:v>
      </x:c>
      <x:c r="E1098" s="31" t="str">
        <x:v>Binary task success; paired with the main transfer row.</x:v>
      </x:c>
      <x:c r="F1098" s="31"/>
      <x:c r="G1098" s="31"/>
      <x:c r="H1098" s="31" t="str">
        <x:f>IF(OR(F1098="",G1098=""),"",IF(F1098=G1098,"Agree","Disagree"))</x:f>
      </x:c>
      <x:c r="I1098" s="31"/>
      <x:c r="J1098" s="31" t="str">
        <x:v>No</x:v>
      </x:c>
      <x:c r="K1098" s="31" t="str"/>
      <x:c r="L1098" s="31" t="str"/>
      <x:c r="M1098" s="31" t="str"/>
      <x:c r="N1098" s="31" t="str"/>
    </x:row>
    <x:row r="1099" ht="42" customHeight="1">
      <x:c r="A1099" s="35" t="n">
        <x:v>1097</x:v>
      </x:c>
      <x:c r="B1099" s="31" t="str">
        <x:f>IF('Execution Checklist'!Q1099="","",'Execution Checklist'!Q1099)</x:f>
      </x:c>
      <x:c r="C1099" s="31" t="str">
        <x:v>Place the upright white cup in the bowl.</x:v>
      </x:c>
      <x:c r="D1099" s="31" t="str">
        <x:v>white cup B</x:v>
      </x:c>
      <x:c r="E1099" s="31" t="str">
        <x:v>Binary task success; paired with the main matched-control row.</x:v>
      </x:c>
      <x:c r="F1099" s="31"/>
      <x:c r="G1099" s="31"/>
      <x:c r="H1099" s="31" t="str">
        <x:f>IF(OR(F1099="",G1099=""),"",IF(F1099=G1099,"Agree","Disagree"))</x:f>
      </x:c>
      <x:c r="I1099" s="31"/>
      <x:c r="J1099" s="31" t="str">
        <x:v>No</x:v>
      </x:c>
      <x:c r="K1099" s="31" t="str"/>
      <x:c r="L1099" s="31" t="str"/>
      <x:c r="M1099" s="31" t="str"/>
      <x:c r="N1099" s="31" t="str"/>
    </x:row>
    <x:row r="1100" ht="42" customHeight="1">
      <x:c r="A1100" s="35" t="n">
        <x:v>1098</x:v>
      </x:c>
      <x:c r="B1100" s="31" t="str">
        <x:f>IF('Execution Checklist'!Q1100="","",'Execution Checklist'!Q1100)</x:f>
      </x:c>
      <x:c r="C1100" s="31" t="str">
        <x:v>Move the white cup that is open into the bowl.</x:v>
      </x:c>
      <x:c r="D1100" s="31" t="str">
        <x:v>white cup B</x:v>
      </x:c>
      <x:c r="E1100" s="31" t="str">
        <x:v>Binary task success; compare with the seen-language row sharing Pair ID.</x:v>
      </x:c>
      <x:c r="F1100" s="31"/>
      <x:c r="G1100" s="31"/>
      <x:c r="H1100" s="31" t="str">
        <x:f>IF(OR(F1100="",G1100=""),"",IF(F1100=G1100,"Agree","Disagree"))</x:f>
      </x:c>
      <x:c r="I1100" s="31"/>
      <x:c r="J1100" s="31" t="str">
        <x:v>No</x:v>
      </x:c>
      <x:c r="K1100" s="31" t="str"/>
      <x:c r="L1100" s="31" t="str"/>
      <x:c r="M1100" s="31" t="str"/>
      <x:c r="N1100" s="31" t="str"/>
    </x:row>
    <x:row r="1101" ht="42" customHeight="1">
      <x:c r="A1101" s="35" t="n">
        <x:v>1099</x:v>
      </x:c>
      <x:c r="B1101" s="31" t="str">
        <x:f>IF('Execution Checklist'!Q1101="","",'Execution Checklist'!Q1101)</x:f>
      </x:c>
      <x:c r="C1101" s="31" t="str">
        <x:v>Place the open brown cup in the bowl.</x:v>
      </x:c>
      <x:c r="D1101" s="31" t="str">
        <x:v>brown cup B</x:v>
      </x:c>
      <x:c r="E1101" s="31" t="str">
        <x:v>Binary success for the counterfactual instruction and paired action-switch analysis versus the parent.</x:v>
      </x:c>
      <x:c r="F1101" s="31"/>
      <x:c r="G1101" s="31"/>
      <x:c r="H1101" s="31" t="str">
        <x:f>IF(OR(F1101="",G1101=""),"",IF(F1101=G1101,"Agree","Disagree"))</x:f>
      </x:c>
      <x:c r="I1101" s="31"/>
      <x:c r="J1101" s="31" t="str">
        <x:v>No</x:v>
      </x:c>
      <x:c r="K1101" s="31" t="str"/>
      <x:c r="L1101" s="31" t="str"/>
      <x:c r="M1101" s="31" t="str"/>
      <x:c r="N1101" s="31" t="str"/>
    </x:row>
    <x:row r="1102" ht="42" customHeight="1">
      <x:c r="A1102" s="35" t="n">
        <x:v>1100</x:v>
      </x:c>
      <x:c r="B1102" s="31" t="str">
        <x:f>IF('Execution Checklist'!Q1102="","",'Execution Checklist'!Q1102)</x:f>
      </x:c>
      <x:c r="C1102" s="31" t="str">
        <x:v>Place a white cup in the bowl.</x:v>
      </x:c>
      <x:c r="D1102" s="31" t="str">
        <x:v>white cup B</x:v>
      </x:c>
      <x:c r="E1102" s="31" t="str">
        <x:v>Binary task success; paired with the main transfer row.</x:v>
      </x:c>
      <x:c r="F1102" s="31"/>
      <x:c r="G1102" s="31"/>
      <x:c r="H1102" s="31" t="str">
        <x:f>IF(OR(F1102="",G1102=""),"",IF(F1102=G1102,"Agree","Disagree"))</x:f>
      </x:c>
      <x:c r="I1102" s="31"/>
      <x:c r="J1102" s="31" t="str">
        <x:v>No</x:v>
      </x:c>
      <x:c r="K1102" s="31" t="str"/>
      <x:c r="L1102" s="31" t="str"/>
      <x:c r="M1102" s="31" t="str"/>
      <x:c r="N1102" s="31" t="str"/>
    </x:row>
    <x:row r="1103" ht="42" customHeight="1">
      <x:c r="A1103" s="35" t="n">
        <x:v>1101</x:v>
      </x:c>
      <x:c r="B1103" s="31" t="str">
        <x:f>IF('Execution Checklist'!Q1103="","",'Execution Checklist'!Q1103)</x:f>
      </x:c>
      <x:c r="C1103" s="31" t="str">
        <x:v>Place the closed brown cup in the bowl.</x:v>
      </x:c>
      <x:c r="D1103" s="31" t="str">
        <x:v>brown cup A</x:v>
      </x:c>
      <x:c r="E1103" s="31" t="str">
        <x:v>Binary task success; paired with the main matched-control row.</x:v>
      </x:c>
      <x:c r="F1103" s="31"/>
      <x:c r="G1103" s="31"/>
      <x:c r="H1103" s="31" t="str">
        <x:f>IF(OR(F1103="",G1103=""),"",IF(F1103=G1103,"Agree","Disagree"))</x:f>
      </x:c>
      <x:c r="I1103" s="31"/>
      <x:c r="J1103" s="31" t="str">
        <x:v>No</x:v>
      </x:c>
      <x:c r="K1103" s="31" t="str"/>
      <x:c r="L1103" s="31" t="str"/>
      <x:c r="M1103" s="31" t="str"/>
      <x:c r="N1103" s="31" t="str"/>
    </x:row>
    <x:row r="1104" ht="42" customHeight="1">
      <x:c r="A1104" s="35" t="n">
        <x:v>1102</x:v>
      </x:c>
      <x:c r="B1104" s="31" t="str">
        <x:f>IF('Execution Checklist'!Q1104="","",'Execution Checklist'!Q1104)</x:f>
      </x:c>
      <x:c r="C1104" s="31" t="str">
        <x:v>Place a glass spice container in the bowl.</x:v>
      </x:c>
      <x:c r="D1104" s="31" t="str">
        <x:v>glass spice container A</x:v>
      </x:c>
      <x:c r="E1104" s="31" t="str">
        <x:v>Binary task success; paired with the main transfer row.</x:v>
      </x:c>
      <x:c r="F1104" s="31"/>
      <x:c r="G1104" s="31"/>
      <x:c r="H1104" s="31" t="str">
        <x:f>IF(OR(F1104="",G1104=""),"",IF(F1104=G1104,"Agree","Disagree"))</x:f>
      </x:c>
      <x:c r="I1104" s="31"/>
      <x:c r="J1104" s="31" t="str">
        <x:v>No</x:v>
      </x:c>
      <x:c r="K1104" s="31" t="str"/>
      <x:c r="L1104" s="31" t="str"/>
      <x:c r="M1104" s="31" t="str"/>
      <x:c r="N1104" s="31" t="str"/>
    </x:row>
    <x:row r="1105" ht="42" customHeight="1">
      <x:c r="A1105" s="35" t="n">
        <x:v>1103</x:v>
      </x:c>
      <x:c r="B1105" s="31" t="str">
        <x:f>IF('Execution Checklist'!Q1105="","",'Execution Checklist'!Q1105)</x:f>
      </x:c>
      <x:c r="C1105" s="31" t="str">
        <x:v>Place a glass spice container in the bowl.</x:v>
      </x:c>
      <x:c r="D1105" s="31" t="str">
        <x:v>glass spice container A</x:v>
      </x:c>
      <x:c r="E1105" s="31" t="str">
        <x:v>Binary task success; paired with the main transfer row.</x:v>
      </x:c>
      <x:c r="F1105" s="31"/>
      <x:c r="G1105" s="31"/>
      <x:c r="H1105" s="31" t="str">
        <x:f>IF(OR(F1105="",G1105=""),"",IF(F1105=G1105,"Agree","Disagree"))</x:f>
      </x:c>
      <x:c r="I1105" s="31"/>
      <x:c r="J1105" s="31" t="str">
        <x:v>No</x:v>
      </x:c>
      <x:c r="K1105" s="31" t="str"/>
      <x:c r="L1105" s="31" t="str"/>
      <x:c r="M1105" s="31" t="str"/>
      <x:c r="N1105" s="31" t="str"/>
    </x:row>
    <x:row r="1106" ht="42" customHeight="1">
      <x:c r="A1106" s="35" t="n">
        <x:v>1104</x:v>
      </x:c>
      <x:c r="B1106" s="31" t="str">
        <x:f>IF('Execution Checklist'!Q1106="","",'Execution Checklist'!Q1106)</x:f>
      </x:c>
      <x:c r="C1106" s="31" t="str">
        <x:v>Place the upside-down glass spice container in the bowl.</x:v>
      </x:c>
      <x:c r="D1106" s="31" t="str">
        <x:v>glass spice container B</x:v>
      </x:c>
      <x:c r="E1106" s="31" t="str">
        <x:v>Binary task success using the task-specific rubric.</x:v>
      </x:c>
      <x:c r="F1106" s="31"/>
      <x:c r="G1106" s="31"/>
      <x:c r="H1106" s="31" t="str">
        <x:f>IF(OR(F1106="",G1106=""),"",IF(F1106=G1106,"Agree","Disagree"))</x:f>
      </x:c>
      <x:c r="I1106" s="31"/>
      <x:c r="J1106" s="31" t="str">
        <x:v>No</x:v>
      </x:c>
      <x:c r="K1106" s="31" t="str"/>
      <x:c r="L1106" s="31" t="str"/>
      <x:c r="M1106" s="31" t="str"/>
      <x:c r="N1106" s="31" t="str"/>
    </x:row>
    <x:row r="1107" ht="42" customHeight="1">
      <x:c r="A1107" s="35" t="n">
        <x:v>1105</x:v>
      </x:c>
      <x:c r="B1107" s="31" t="str">
        <x:f>IF('Execution Checklist'!Q1107="","",'Execution Checklist'!Q1107)</x:f>
      </x:c>
      <x:c r="C1107" s="31" t="str">
        <x:v>Place a yellow-white striped cup in the bowl.</x:v>
      </x:c>
      <x:c r="D1107" s="31" t="str">
        <x:v>yellow-white striped cup A</x:v>
      </x:c>
      <x:c r="E1107" s="31" t="str">
        <x:v>Binary task success; paired with the main transfer row.</x:v>
      </x:c>
      <x:c r="F1107" s="31"/>
      <x:c r="G1107" s="31"/>
      <x:c r="H1107" s="31" t="str">
        <x:f>IF(OR(F1107="",G1107=""),"",IF(F1107=G1107,"Agree","Disagree"))</x:f>
      </x:c>
      <x:c r="I1107" s="31"/>
      <x:c r="J1107" s="31" t="str">
        <x:v>No</x:v>
      </x:c>
      <x:c r="K1107" s="31" t="str"/>
      <x:c r="L1107" s="31" t="str"/>
      <x:c r="M1107" s="31" t="str"/>
      <x:c r="N1107" s="31" t="str"/>
    </x:row>
    <x:row r="1108" ht="42" customHeight="1">
      <x:c r="A1108" s="35" t="n">
        <x:v>1106</x:v>
      </x:c>
      <x:c r="B1108" s="31" t="str">
        <x:f>IF('Execution Checklist'!Q1108="","",'Execution Checklist'!Q1108)</x:f>
      </x:c>
      <x:c r="C1108" s="31" t="str">
        <x:v>Place the upside-down white cup in the bowl.</x:v>
      </x:c>
      <x:c r="D1108" s="31" t="str">
        <x:v>white cup A</x:v>
      </x:c>
      <x:c r="E1108" s="31" t="str">
        <x:v>Binary task success using the task-specific rubric.</x:v>
      </x:c>
      <x:c r="F1108" s="31"/>
      <x:c r="G1108" s="31"/>
      <x:c r="H1108" s="31" t="str">
        <x:f>IF(OR(F1108="",G1108=""),"",IF(F1108=G1108,"Agree","Disagree"))</x:f>
      </x:c>
      <x:c r="I1108" s="31"/>
      <x:c r="J1108" s="31" t="str">
        <x:v>No</x:v>
      </x:c>
      <x:c r="K1108" s="31" t="str"/>
      <x:c r="L1108" s="31" t="str"/>
      <x:c r="M1108" s="31" t="str"/>
      <x:c r="N1108" s="31" t="str"/>
    </x:row>
    <x:row r="1109" ht="42" customHeight="1">
      <x:c r="A1109" s="35" t="n">
        <x:v>1107</x:v>
      </x:c>
      <x:c r="B1109" s="31" t="str">
        <x:f>IF('Execution Checklist'!Q1109="","",'Execution Checklist'!Q1109)</x:f>
      </x:c>
      <x:c r="C1109" s="31" t="str">
        <x:v>Move the open brown cup into the bowl.</x:v>
      </x:c>
      <x:c r="D1109" s="31" t="str">
        <x:v>brown cup B</x:v>
      </x:c>
      <x:c r="E1109" s="31" t="str">
        <x:v>Binary task success using the task-specific rubric.</x:v>
      </x:c>
      <x:c r="F1109" s="31"/>
      <x:c r="G1109" s="31"/>
      <x:c r="H1109" s="31" t="str">
        <x:f>IF(OR(F1109="",G1109=""),"",IF(F1109=G1109,"Agree","Disagree"))</x:f>
      </x:c>
      <x:c r="I1109" s="31"/>
      <x:c r="J1109" s="31" t="str">
        <x:v>No</x:v>
      </x:c>
      <x:c r="K1109" s="31" t="str"/>
      <x:c r="L1109" s="31" t="str"/>
      <x:c r="M1109" s="31" t="str"/>
      <x:c r="N1109" s="31" t="str"/>
    </x:row>
    <x:row r="1110" ht="42" customHeight="1">
      <x:c r="A1110" s="35" t="n">
        <x:v>1108</x:v>
      </x:c>
      <x:c r="B1110" s="31" t="str">
        <x:f>IF('Execution Checklist'!Q1110="","",'Execution Checklist'!Q1110)</x:f>
      </x:c>
      <x:c r="C1110" s="31" t="str">
        <x:v>Place the closed yellow-white striped cup in the bowl.</x:v>
      </x:c>
      <x:c r="D1110" s="31" t="str">
        <x:v>No prespecified task success under blank language; record any action/selected target.</x:v>
      </x:c>
      <x:c r="E1110" s="31" t="str">
        <x:v>Do not score ordinary task success. Record action occurrence and agreement with the parent correct-prompt rollout.</x:v>
      </x:c>
      <x:c r="F1110" s="31"/>
      <x:c r="G1110" s="31"/>
      <x:c r="H1110" s="31" t="str">
        <x:f>IF(OR(F1110="",G1110=""),"",IF(F1110=G1110,"Agree","Disagree"))</x:f>
      </x:c>
      <x:c r="I1110" s="31"/>
      <x:c r="J1110" s="31" t="str">
        <x:v>No</x:v>
      </x:c>
      <x:c r="K1110" s="31" t="str"/>
      <x:c r="L1110" s="31" t="str"/>
      <x:c r="M1110" s="31" t="str"/>
      <x:c r="N1110" s="31" t="str"/>
    </x:row>
    <x:row r="1111" ht="42" customHeight="1">
      <x:c r="A1111" s="35" t="n">
        <x:v>1109</x:v>
      </x:c>
      <x:c r="B1111" s="31" t="str">
        <x:f>IF('Execution Checklist'!Q1111="","",'Execution Checklist'!Q1111)</x:f>
      </x:c>
      <x:c r="C1111" s="31" t="str">
        <x:v>Place the upright glass spice container in the bowl.</x:v>
      </x:c>
      <x:c r="D1111" s="31" t="str">
        <x:v>glass spice container A</x:v>
      </x:c>
      <x:c r="E1111" s="31" t="str">
        <x:v>Binary task success; paired with the main matched-control row.</x:v>
      </x:c>
      <x:c r="F1111" s="31"/>
      <x:c r="G1111" s="31"/>
      <x:c r="H1111" s="31" t="str">
        <x:f>IF(OR(F1111="",G1111=""),"",IF(F1111=G1111,"Agree","Disagree"))</x:f>
      </x:c>
      <x:c r="I1111" s="31"/>
      <x:c r="J1111" s="31" t="str">
        <x:v>No</x:v>
      </x:c>
      <x:c r="K1111" s="31" t="str"/>
      <x:c r="L1111" s="31" t="str"/>
      <x:c r="M1111" s="31" t="str"/>
      <x:c r="N1111" s="31" t="str"/>
    </x:row>
    <x:row r="1112" ht="42" customHeight="1">
      <x:c r="A1112" s="35" t="n">
        <x:v>1110</x:v>
      </x:c>
      <x:c r="B1112" s="31" t="str">
        <x:f>IF('Execution Checklist'!Q1112="","",'Execution Checklist'!Q1112)</x:f>
      </x:c>
      <x:c r="C1112" s="31" t="str">
        <x:v>Place a white cup in the bowl.</x:v>
      </x:c>
      <x:c r="D1112" s="31" t="str">
        <x:v>white cup B</x:v>
      </x:c>
      <x:c r="E1112" s="31" t="str">
        <x:v>Binary task success; paired with the main transfer row.</x:v>
      </x:c>
      <x:c r="F1112" s="31"/>
      <x:c r="G1112" s="31"/>
      <x:c r="H1112" s="31" t="str">
        <x:f>IF(OR(F1112="",G1112=""),"",IF(F1112=G1112,"Agree","Disagree"))</x:f>
      </x:c>
      <x:c r="I1112" s="31"/>
      <x:c r="J1112" s="31" t="str">
        <x:v>No</x:v>
      </x:c>
      <x:c r="K1112" s="31" t="str"/>
      <x:c r="L1112" s="31" t="str"/>
      <x:c r="M1112" s="31" t="str"/>
      <x:c r="N1112" s="31" t="str"/>
    </x:row>
    <x:row r="1113" ht="42" customHeight="1">
      <x:c r="A1113" s="35" t="n">
        <x:v>1111</x:v>
      </x:c>
      <x:c r="B1113" s="31" t="str">
        <x:f>IF('Execution Checklist'!Q1113="","",'Execution Checklist'!Q1113)</x:f>
      </x:c>
      <x:c r="C1113" s="31" t="str">
        <x:v>Move the overturned white cup into the bowl.</x:v>
      </x:c>
      <x:c r="D1113" s="31" t="str">
        <x:v>white cup A</x:v>
      </x:c>
      <x:c r="E1113" s="31" t="str">
        <x:v>Binary task success; compare with the seen-language row sharing Pair ID.</x:v>
      </x:c>
      <x:c r="F1113" s="31"/>
      <x:c r="G1113" s="31"/>
      <x:c r="H1113" s="31" t="str">
        <x:f>IF(OR(F1113="",G1113=""),"",IF(F1113=G1113,"Agree","Disagree"))</x:f>
      </x:c>
      <x:c r="I1113" s="31"/>
      <x:c r="J1113" s="31" t="str">
        <x:v>No</x:v>
      </x:c>
      <x:c r="K1113" s="31" t="str"/>
      <x:c r="L1113" s="31" t="str"/>
      <x:c r="M1113" s="31" t="str"/>
      <x:c r="N1113" s="31" t="str"/>
    </x:row>
    <x:row r="1114" ht="42" customHeight="1">
      <x:c r="A1114" s="35" t="n">
        <x:v>1112</x:v>
      </x:c>
      <x:c r="B1114" s="31" t="str">
        <x:f>IF('Execution Checklist'!Q1114="","",'Execution Checklist'!Q1114)</x:f>
      </x:c>
      <x:c r="C1114" s="31" t="str">
        <x:v>Place a yellow-white striped cup in the bowl.</x:v>
      </x:c>
      <x:c r="D1114" s="31" t="str">
        <x:v>yellow-white striped cup B</x:v>
      </x:c>
      <x:c r="E1114" s="31" t="str">
        <x:v>Binary task success; paired with the main transfer row.</x:v>
      </x:c>
      <x:c r="F1114" s="31"/>
      <x:c r="G1114" s="31"/>
      <x:c r="H1114" s="31" t="str">
        <x:f>IF(OR(F1114="",G1114=""),"",IF(F1114=G1114,"Agree","Disagree"))</x:f>
      </x:c>
      <x:c r="I1114" s="31"/>
      <x:c r="J1114" s="31" t="str">
        <x:v>No</x:v>
      </x:c>
      <x:c r="K1114" s="31" t="str"/>
      <x:c r="L1114" s="31" t="str"/>
      <x:c r="M1114" s="31" t="str"/>
      <x:c r="N1114" s="31" t="str"/>
    </x:row>
    <x:row r="1115" ht="42" customHeight="1">
      <x:c r="A1115" s="35" t="n">
        <x:v>1113</x:v>
      </x:c>
      <x:c r="B1115" s="31" t="str">
        <x:f>IF('Execution Checklist'!Q1115="","",'Execution Checklist'!Q1115)</x:f>
      </x:c>
      <x:c r="C1115" s="31" t="str">
        <x:v>Place a brown cup in the bowl.</x:v>
      </x:c>
      <x:c r="D1115" s="31" t="str">
        <x:v>brown cup A</x:v>
      </x:c>
      <x:c r="E1115" s="31" t="str">
        <x:v>Binary task success; paired with the main transfer row.</x:v>
      </x:c>
      <x:c r="F1115" s="31"/>
      <x:c r="G1115" s="31"/>
      <x:c r="H1115" s="31" t="str">
        <x:f>IF(OR(F1115="",G1115=""),"",IF(F1115=G1115,"Agree","Disagree"))</x:f>
      </x:c>
      <x:c r="I1115" s="31"/>
      <x:c r="J1115" s="31" t="str">
        <x:v>No</x:v>
      </x:c>
      <x:c r="K1115" s="31" t="str"/>
      <x:c r="L1115" s="31" t="str"/>
      <x:c r="M1115" s="31" t="str"/>
      <x:c r="N1115" s="31" t="str"/>
    </x:row>
    <x:row r="1116" ht="42" customHeight="1">
      <x:c r="A1116" s="35" t="n">
        <x:v>1114</x:v>
      </x:c>
      <x:c r="B1116" s="31" t="str">
        <x:f>IF('Execution Checklist'!Q1116="","",'Execution Checklist'!Q1116)</x:f>
      </x:c>
      <x:c r="C1116" s="31" t="str">
        <x:v>Place the upright yellow-white striped cup in the bowl.</x:v>
      </x:c>
      <x:c r="D1116" s="31" t="str">
        <x:v>yellow-white striped cup B</x:v>
      </x:c>
      <x:c r="E1116" s="31" t="str">
        <x:v>Binary task success; paired with the main matched-control row.</x:v>
      </x:c>
      <x:c r="F1116" s="31"/>
      <x:c r="G1116" s="31"/>
      <x:c r="H1116" s="31" t="str">
        <x:f>IF(OR(F1116="",G1116=""),"",IF(F1116=G1116,"Agree","Disagree"))</x:f>
      </x:c>
      <x:c r="I1116" s="31"/>
      <x:c r="J1116" s="31" t="str">
        <x:v>No</x:v>
      </x:c>
      <x:c r="K1116" s="31" t="str"/>
      <x:c r="L1116" s="31" t="str"/>
      <x:c r="M1116" s="31" t="str"/>
      <x:c r="N1116" s="31" t="str"/>
    </x:row>
    <x:row r="1117" ht="42" customHeight="1">
      <x:c r="A1117" s="35" t="n">
        <x:v>1115</x:v>
      </x:c>
      <x:c r="B1117" s="31" t="str">
        <x:f>IF('Execution Checklist'!Q1117="","",'Execution Checklist'!Q1117)</x:f>
      </x:c>
      <x:c r="C1117" s="31" t="str">
        <x:v>Place the closed yellow-white striped cup in the bowl.</x:v>
      </x:c>
      <x:c r="D1117" s="31" t="str">
        <x:v>yellow-white striped cup A</x:v>
      </x:c>
      <x:c r="E1117" s="31" t="str">
        <x:v>Binary task success; paired with the main matched-control row.</x:v>
      </x:c>
      <x:c r="F1117" s="31"/>
      <x:c r="G1117" s="31"/>
      <x:c r="H1117" s="31" t="str">
        <x:f>IF(OR(F1117="",G1117=""),"",IF(F1117=G1117,"Agree","Disagree"))</x:f>
      </x:c>
      <x:c r="I1117" s="31"/>
      <x:c r="J1117" s="31" t="str">
        <x:v>No</x:v>
      </x:c>
      <x:c r="K1117" s="31" t="str"/>
      <x:c r="L1117" s="31" t="str"/>
      <x:c r="M1117" s="31" t="str"/>
      <x:c r="N1117" s="31" t="str"/>
    </x:row>
    <x:row r="1118" ht="42" customHeight="1">
      <x:c r="A1118" s="35" t="n">
        <x:v>1116</x:v>
      </x:c>
      <x:c r="B1118" s="31" t="str">
        <x:f>IF('Execution Checklist'!Q1118="","",'Execution Checklist'!Q1118)</x:f>
      </x:c>
      <x:c r="C1118" s="31" t="str">
        <x:v>Place the green pen to the right of the red block.</x:v>
      </x:c>
      <x:c r="D1118" s="31" t="str">
        <x:v>No prespecified task success under blank language; record any action/selected target.</x:v>
      </x:c>
      <x:c r="E1118" s="31" t="str">
        <x:v>Do not score ordinary task success. Record action occurrence and agreement with the parent correct-prompt rollout.</x:v>
      </x:c>
      <x:c r="F1118" s="31"/>
      <x:c r="G1118" s="31"/>
      <x:c r="H1118" s="31" t="str">
        <x:f>IF(OR(F1118="",G1118=""),"",IF(F1118=G1118,"Agree","Disagree"))</x:f>
      </x:c>
      <x:c r="I1118" s="31"/>
      <x:c r="J1118" s="31" t="str">
        <x:v>No</x:v>
      </x:c>
      <x:c r="K1118" s="31" t="str"/>
      <x:c r="L1118" s="31" t="str"/>
      <x:c r="M1118" s="31" t="str"/>
      <x:c r="N1118" s="31" t="str"/>
    </x:row>
    <x:row r="1119" ht="42" customHeight="1">
      <x:c r="A1119" s="35" t="n">
        <x:v>1117</x:v>
      </x:c>
      <x:c r="B1119" s="31" t="str">
        <x:f>IF('Execution Checklist'!Q1119="","",'Execution Checklist'!Q1119)</x:f>
      </x:c>
      <x:c r="C1119" s="31" t="str">
        <x:v>Place the blue block behind the green pen.</x:v>
      </x:c>
      <x:c r="D1119" s="31" t="str">
        <x:v>blue block</x:v>
      </x:c>
      <x:c r="E1119" s="31" t="str">
        <x:v>Binary task success using the task-specific rubric.</x:v>
      </x:c>
      <x:c r="F1119" s="31"/>
      <x:c r="G1119" s="31"/>
      <x:c r="H1119" s="31" t="str">
        <x:f>IF(OR(F1119="",G1119=""),"",IF(F1119=G1119,"Agree","Disagree"))</x:f>
      </x:c>
      <x:c r="I1119" s="31"/>
      <x:c r="J1119" s="31" t="str">
        <x:v>No</x:v>
      </x:c>
      <x:c r="K1119" s="31" t="str"/>
      <x:c r="L1119" s="31" t="str"/>
      <x:c r="M1119" s="31" t="str"/>
      <x:c r="N1119" s="31" t="str"/>
    </x:row>
    <x:row r="1120" ht="42" customHeight="1">
      <x:c r="A1120" s="35" t="n">
        <x:v>1118</x:v>
      </x:c>
      <x:c r="B1120" s="31" t="str">
        <x:f>IF('Execution Checklist'!Q1120="","",'Execution Checklist'!Q1120)</x:f>
      </x:c>
      <x:c r="C1120" s="31" t="str">
        <x:v>Place the red block beside the green pen.</x:v>
      </x:c>
      <x:c r="D1120" s="31" t="str">
        <x:v>red block near green pen</x:v>
      </x:c>
      <x:c r="E1120" s="31" t="str">
        <x:v>Binary task success; paired with the main transfer row.</x:v>
      </x:c>
      <x:c r="F1120" s="31"/>
      <x:c r="G1120" s="31"/>
      <x:c r="H1120" s="31" t="str">
        <x:f>IF(OR(F1120="",G1120=""),"",IF(F1120=G1120,"Agree","Disagree"))</x:f>
      </x:c>
      <x:c r="I1120" s="31"/>
      <x:c r="J1120" s="31" t="str">
        <x:v>No</x:v>
      </x:c>
      <x:c r="K1120" s="31" t="str"/>
      <x:c r="L1120" s="31" t="str"/>
      <x:c r="M1120" s="31" t="str"/>
      <x:c r="N1120" s="31" t="str"/>
    </x:row>
    <x:row r="1121" ht="42" customHeight="1">
      <x:c r="A1121" s="35" t="n">
        <x:v>1119</x:v>
      </x:c>
      <x:c r="B1121" s="31" t="str">
        <x:f>IF('Execution Checklist'!Q1121="","",'Execution Checklist'!Q1121)</x:f>
      </x:c>
      <x:c r="C1121" s="31" t="str">
        <x:v>Place the green pen behind the red block.</x:v>
      </x:c>
      <x:c r="D1121" s="31" t="str">
        <x:v>green pen → behind red block</x:v>
      </x:c>
      <x:c r="E1121" s="31" t="str">
        <x:v>Binary task success; paired with the main matched-control row.</x:v>
      </x:c>
      <x:c r="F1121" s="31"/>
      <x:c r="G1121" s="31"/>
      <x:c r="H1121" s="31" t="str">
        <x:f>IF(OR(F1121="",G1121=""),"",IF(F1121=G1121,"Agree","Disagree"))</x:f>
      </x:c>
      <x:c r="I1121" s="31"/>
      <x:c r="J1121" s="31" t="str">
        <x:v>No</x:v>
      </x:c>
      <x:c r="K1121" s="31" t="str"/>
      <x:c r="L1121" s="31" t="str"/>
      <x:c r="M1121" s="31" t="str"/>
      <x:c r="N1121" s="31" t="str"/>
    </x:row>
    <x:row r="1122" ht="42" customHeight="1">
      <x:c r="A1122" s="35" t="n">
        <x:v>1120</x:v>
      </x:c>
      <x:c r="B1122" s="31" t="str">
        <x:f>IF('Execution Checklist'!Q1122="","",'Execution Checklist'!Q1122)</x:f>
      </x:c>
      <x:c r="C1122" s="31" t="str">
        <x:v>Place the red block behind the green pen.</x:v>
      </x:c>
      <x:c r="D1122" s="31" t="str">
        <x:v>red block → behind green pen</x:v>
      </x:c>
      <x:c r="E1122" s="31" t="str">
        <x:v>Binary task success; paired with the main matched-control row.</x:v>
      </x:c>
      <x:c r="F1122" s="31"/>
      <x:c r="G1122" s="31"/>
      <x:c r="H1122" s="31" t="str">
        <x:f>IF(OR(F1122="",G1122=""),"",IF(F1122=G1122,"Agree","Disagree"))</x:f>
      </x:c>
      <x:c r="I1122" s="31"/>
      <x:c r="J1122" s="31" t="str">
        <x:v>No</x:v>
      </x:c>
      <x:c r="K1122" s="31" t="str"/>
      <x:c r="L1122" s="31" t="str"/>
      <x:c r="M1122" s="31" t="str"/>
      <x:c r="N1122" s="31" t="str"/>
    </x:row>
    <x:row r="1123" ht="42" customHeight="1">
      <x:c r="A1123" s="35" t="n">
        <x:v>1121</x:v>
      </x:c>
      <x:c r="B1123" s="31" t="str">
        <x:f>IF('Execution Checklist'!Q1123="","",'Execution Checklist'!Q1123)</x:f>
      </x:c>
      <x:c r="C1123" s="31" t="str">
        <x:v>Place the green pen beside the red block.</x:v>
      </x:c>
      <x:c r="D1123" s="31" t="str">
        <x:v>green pen near red block</x:v>
      </x:c>
      <x:c r="E1123" s="31" t="str">
        <x:v>Binary task success; paired with the main transfer row.</x:v>
      </x:c>
      <x:c r="F1123" s="31"/>
      <x:c r="G1123" s="31"/>
      <x:c r="H1123" s="31" t="str">
        <x:f>IF(OR(F1123="",G1123=""),"",IF(F1123=G1123,"Agree","Disagree"))</x:f>
      </x:c>
      <x:c r="I1123" s="31"/>
      <x:c r="J1123" s="31" t="str">
        <x:v>No</x:v>
      </x:c>
      <x:c r="K1123" s="31" t="str"/>
      <x:c r="L1123" s="31" t="str"/>
      <x:c r="M1123" s="31" t="str"/>
      <x:c r="N1123" s="31" t="str"/>
    </x:row>
    <x:row r="1124" ht="42" customHeight="1">
      <x:c r="A1124" s="35" t="n">
        <x:v>1122</x:v>
      </x:c>
      <x:c r="B1124" s="31" t="str">
        <x:f>IF('Execution Checklist'!Q1124="","",'Execution Checklist'!Q1124)</x:f>
      </x:c>
      <x:c r="C1124" s="31" t="str">
        <x:v>Put the green pen on the table in front of the pink marker.</x:v>
      </x:c>
      <x:c r="D1124" s="31" t="str">
        <x:v>green pen</x:v>
      </x:c>
      <x:c r="E1124" s="31" t="str">
        <x:v>Binary task success using the task-specific rubric.</x:v>
      </x:c>
      <x:c r="F1124" s="31"/>
      <x:c r="G1124" s="31"/>
      <x:c r="H1124" s="31" t="str">
        <x:f>IF(OR(F1124="",G1124=""),"",IF(F1124=G1124,"Agree","Disagree"))</x:f>
      </x:c>
      <x:c r="I1124" s="31"/>
      <x:c r="J1124" s="31" t="str">
        <x:v>No</x:v>
      </x:c>
      <x:c r="K1124" s="31" t="str"/>
      <x:c r="L1124" s="31" t="str"/>
      <x:c r="M1124" s="31" t="str"/>
      <x:c r="N1124" s="31" t="str"/>
    </x:row>
    <x:row r="1125" ht="42" customHeight="1">
      <x:c r="A1125" s="35" t="n">
        <x:v>1123</x:v>
      </x:c>
      <x:c r="B1125" s="31" t="str">
        <x:f>IF('Execution Checklist'!Q1125="","",'Execution Checklist'!Q1125)</x:f>
      </x:c>
      <x:c r="C1125" s="31" t="str">
        <x:v>Place the green pen near the red block.</x:v>
      </x:c>
      <x:c r="D1125" s="31" t="str">
        <x:v>green pen near red block</x:v>
      </x:c>
      <x:c r="E1125" s="31" t="str">
        <x:v>Binary task success; paired with the main transfer row.</x:v>
      </x:c>
      <x:c r="F1125" s="31"/>
      <x:c r="G1125" s="31"/>
      <x:c r="H1125" s="31" t="str">
        <x:f>IF(OR(F1125="",G1125=""),"",IF(F1125=G1125,"Agree","Disagree"))</x:f>
      </x:c>
      <x:c r="I1125" s="31"/>
      <x:c r="J1125" s="31" t="str">
        <x:v>No</x:v>
      </x:c>
      <x:c r="K1125" s="31" t="str"/>
      <x:c r="L1125" s="31" t="str"/>
      <x:c r="M1125" s="31" t="str"/>
      <x:c r="N1125" s="31" t="str"/>
    </x:row>
    <x:row r="1126" ht="42" customHeight="1">
      <x:c r="A1126" s="35" t="n">
        <x:v>1124</x:v>
      </x:c>
      <x:c r="B1126" s="31" t="str">
        <x:f>IF('Execution Checklist'!Q1126="","",'Execution Checklist'!Q1126)</x:f>
      </x:c>
      <x:c r="C1126" s="31" t="str">
        <x:v>Move the red block to the side of the pink marker facing the robot.</x:v>
      </x:c>
      <x:c r="D1126" s="31" t="str">
        <x:v>red block</x:v>
      </x:c>
      <x:c r="E1126" s="31" t="str">
        <x:v>Binary task success; compare with the seen-language row sharing Pair ID.</x:v>
      </x:c>
      <x:c r="F1126" s="31"/>
      <x:c r="G1126" s="31"/>
      <x:c r="H1126" s="31" t="str">
        <x:f>IF(OR(F1126="",G1126=""),"",IF(F1126=G1126,"Agree","Disagree"))</x:f>
      </x:c>
      <x:c r="I1126" s="31"/>
      <x:c r="J1126" s="31" t="str">
        <x:v>No</x:v>
      </x:c>
      <x:c r="K1126" s="31" t="str"/>
      <x:c r="L1126" s="31" t="str"/>
      <x:c r="M1126" s="31" t="str"/>
      <x:c r="N1126" s="31" t="str"/>
    </x:row>
    <x:row r="1127" ht="42" customHeight="1">
      <x:c r="A1127" s="35" t="n">
        <x:v>1125</x:v>
      </x:c>
      <x:c r="B1127" s="31" t="str">
        <x:f>IF('Execution Checklist'!Q1127="","",'Execution Checklist'!Q1127)</x:f>
      </x:c>
      <x:c r="C1127" s="31" t="str">
        <x:v>Place the red block to the right of the blue block.</x:v>
      </x:c>
      <x:c r="D1127" s="31" t="str">
        <x:v>red block</x:v>
      </x:c>
      <x:c r="E1127" s="31" t="str">
        <x:v>Binary task success using the task-specific rubric.</x:v>
      </x:c>
      <x:c r="F1127" s="31"/>
      <x:c r="G1127" s="31"/>
      <x:c r="H1127" s="31" t="str">
        <x:f>IF(OR(F1127="",G1127=""),"",IF(F1127=G1127,"Agree","Disagree"))</x:f>
      </x:c>
      <x:c r="I1127" s="31"/>
      <x:c r="J1127" s="31" t="str">
        <x:v>No</x:v>
      </x:c>
      <x:c r="K1127" s="31" t="str"/>
      <x:c r="L1127" s="31" t="str"/>
      <x:c r="M1127" s="31" t="str"/>
      <x:c r="N1127" s="31" t="str"/>
    </x:row>
    <x:row r="1128" ht="42" customHeight="1">
      <x:c r="A1128" s="35" t="n">
        <x:v>1126</x:v>
      </x:c>
      <x:c r="B1128" s="31" t="str">
        <x:f>IF('Execution Checklist'!Q1128="","",'Execution Checklist'!Q1128)</x:f>
      </x:c>
      <x:c r="C1128" s="31" t="str">
        <x:v>Place the red block in front of the green pen.</x:v>
      </x:c>
      <x:c r="D1128" s="31" t="str">
        <x:v>red block → in front of green pen</x:v>
      </x:c>
      <x:c r="E1128" s="31" t="str">
        <x:v>Binary task success; paired with the main matched-control row.</x:v>
      </x:c>
      <x:c r="F1128" s="31"/>
      <x:c r="G1128" s="31"/>
      <x:c r="H1128" s="31" t="str">
        <x:f>IF(OR(F1128="",G1128=""),"",IF(F1128=G1128,"Agree","Disagree"))</x:f>
      </x:c>
      <x:c r="I1128" s="31"/>
      <x:c r="J1128" s="31" t="str">
        <x:v>No</x:v>
      </x:c>
      <x:c r="K1128" s="31" t="str"/>
      <x:c r="L1128" s="31" t="str"/>
      <x:c r="M1128" s="31" t="str"/>
      <x:c r="N1128" s="31" t="str"/>
    </x:row>
    <x:row r="1129" ht="42" customHeight="1">
      <x:c r="A1129" s="35" t="n">
        <x:v>1127</x:v>
      </x:c>
      <x:c r="B1129" s="31" t="str">
        <x:f>IF('Execution Checklist'!Q1129="","",'Execution Checklist'!Q1129)</x:f>
      </x:c>
      <x:c r="C1129" s="31" t="str">
        <x:v>Place the green pen to the left of the red block.</x:v>
      </x:c>
      <x:c r="D1129" s="31" t="str">
        <x:v>green pen → to the left of red block</x:v>
      </x:c>
      <x:c r="E1129" s="31" t="str">
        <x:v>Binary task success; paired with the main matched-control row.</x:v>
      </x:c>
      <x:c r="F1129" s="31"/>
      <x:c r="G1129" s="31"/>
      <x:c r="H1129" s="31" t="str">
        <x:f>IF(OR(F1129="",G1129=""),"",IF(F1129=G1129,"Agree","Disagree"))</x:f>
      </x:c>
      <x:c r="I1129" s="31"/>
      <x:c r="J1129" s="31" t="str">
        <x:v>No</x:v>
      </x:c>
      <x:c r="K1129" s="31" t="str"/>
      <x:c r="L1129" s="31" t="str"/>
      <x:c r="M1129" s="31" t="str"/>
      <x:c r="N1129" s="31" t="str"/>
    </x:row>
    <x:row r="1130" ht="42" customHeight="1">
      <x:c r="A1130" s="35" t="n">
        <x:v>1128</x:v>
      </x:c>
      <x:c r="B1130" s="31" t="str">
        <x:f>IF('Execution Checklist'!Q1130="","",'Execution Checklist'!Q1130)</x:f>
      </x:c>
      <x:c r="C1130" s="31" t="str">
        <x:v>Place the red block to the left of the green pen.</x:v>
      </x:c>
      <x:c r="D1130" s="31" t="str">
        <x:v>red block → to the left of green pen</x:v>
      </x:c>
      <x:c r="E1130" s="31" t="str">
        <x:v>Binary task success; paired with the main matched-control row.</x:v>
      </x:c>
      <x:c r="F1130" s="31"/>
      <x:c r="G1130" s="31"/>
      <x:c r="H1130" s="31" t="str">
        <x:f>IF(OR(F1130="",G1130=""),"",IF(F1130=G1130,"Agree","Disagree"))</x:f>
      </x:c>
      <x:c r="I1130" s="31"/>
      <x:c r="J1130" s="31" t="str">
        <x:v>No</x:v>
      </x:c>
      <x:c r="K1130" s="31" t="str"/>
      <x:c r="L1130" s="31" t="str"/>
      <x:c r="M1130" s="31" t="str"/>
      <x:c r="N1130" s="31" t="str"/>
    </x:row>
    <x:row r="1131" ht="42" customHeight="1">
      <x:c r="A1131" s="35" t="n">
        <x:v>1129</x:v>
      </x:c>
      <x:c r="B1131" s="31" t="str">
        <x:f>IF('Execution Checklist'!Q1131="","",'Execution Checklist'!Q1131)</x:f>
      </x:c>
      <x:c r="C1131" s="31" t="str">
        <x:v>Place the green pen to the left of the red block.</x:v>
      </x:c>
      <x:c r="D1131" s="31" t="str">
        <x:v>green pen → to the left of red block</x:v>
      </x:c>
      <x:c r="E1131" s="31" t="str">
        <x:v>Binary task success; paired with the main matched-control row.</x:v>
      </x:c>
      <x:c r="F1131" s="31"/>
      <x:c r="G1131" s="31"/>
      <x:c r="H1131" s="31" t="str">
        <x:f>IF(OR(F1131="",G1131=""),"",IF(F1131=G1131,"Agree","Disagree"))</x:f>
      </x:c>
      <x:c r="I1131" s="31"/>
      <x:c r="J1131" s="31" t="str">
        <x:v>No</x:v>
      </x:c>
      <x:c r="K1131" s="31" t="str"/>
      <x:c r="L1131" s="31" t="str"/>
      <x:c r="M1131" s="31" t="str"/>
      <x:c r="N1131" s="31" t="str"/>
    </x:row>
    <x:row r="1132" ht="42" customHeight="1">
      <x:c r="A1132" s="35" t="n">
        <x:v>1130</x:v>
      </x:c>
      <x:c r="B1132" s="31" t="str">
        <x:f>IF('Execution Checklist'!Q1132="","",'Execution Checklist'!Q1132)</x:f>
      </x:c>
      <x:c r="C1132" s="31" t="str">
        <x:v>Place the green pen behind the pink marker.</x:v>
      </x:c>
      <x:c r="D1132" s="31" t="str">
        <x:v>green pen</x:v>
      </x:c>
      <x:c r="E1132" s="31" t="str">
        <x:v>Binary task success using the task-specific rubric.</x:v>
      </x:c>
      <x:c r="F1132" s="31"/>
      <x:c r="G1132" s="31"/>
      <x:c r="H1132" s="31" t="str">
        <x:f>IF(OR(F1132="",G1132=""),"",IF(F1132=G1132,"Agree","Disagree"))</x:f>
      </x:c>
      <x:c r="I1132" s="31"/>
      <x:c r="J1132" s="31" t="str">
        <x:v>No</x:v>
      </x:c>
      <x:c r="K1132" s="31" t="str"/>
      <x:c r="L1132" s="31" t="str"/>
      <x:c r="M1132" s="31" t="str"/>
      <x:c r="N1132" s="31" t="str"/>
    </x:row>
    <x:row r="1133" ht="42" customHeight="1">
      <x:c r="A1133" s="35" t="n">
        <x:v>1131</x:v>
      </x:c>
      <x:c r="B1133" s="31" t="str">
        <x:f>IF('Execution Checklist'!Q1133="","",'Execution Checklist'!Q1133)</x:f>
      </x:c>
      <x:c r="C1133" s="31" t="str">
        <x:v>Place the green pen near the red block.</x:v>
      </x:c>
      <x:c r="D1133" s="31" t="str">
        <x:v>green pen near red block</x:v>
      </x:c>
      <x:c r="E1133" s="31" t="str">
        <x:v>Binary task success; paired with the main transfer row.</x:v>
      </x:c>
      <x:c r="F1133" s="31"/>
      <x:c r="G1133" s="31"/>
      <x:c r="H1133" s="31" t="str">
        <x:f>IF(OR(F1133="",G1133=""),"",IF(F1133=G1133,"Agree","Disagree"))</x:f>
      </x:c>
      <x:c r="I1133" s="31"/>
      <x:c r="J1133" s="31" t="str">
        <x:v>No</x:v>
      </x:c>
      <x:c r="K1133" s="31" t="str"/>
      <x:c r="L1133" s="31" t="str"/>
      <x:c r="M1133" s="31" t="str"/>
      <x:c r="N1133" s="31" t="str"/>
    </x:row>
    <x:row r="1134" ht="42" customHeight="1">
      <x:c r="A1134" s="35" t="n">
        <x:v>1132</x:v>
      </x:c>
      <x:c r="B1134" s="31" t="str">
        <x:f>IF('Execution Checklist'!Q1134="","",'Execution Checklist'!Q1134)</x:f>
      </x:c>
      <x:c r="C1134" s="31" t="str">
        <x:v>Place the blue block in front of the green pen.</x:v>
      </x:c>
      <x:c r="D1134" s="31" t="str">
        <x:v>blue block</x:v>
      </x:c>
      <x:c r="E1134" s="31" t="str">
        <x:v>Binary task success using the task-specific rubric.</x:v>
      </x:c>
      <x:c r="F1134" s="31"/>
      <x:c r="G1134" s="31"/>
      <x:c r="H1134" s="31" t="str">
        <x:f>IF(OR(F1134="",G1134=""),"",IF(F1134=G1134,"Agree","Disagree"))</x:f>
      </x:c>
      <x:c r="I1134" s="31"/>
      <x:c r="J1134" s="31" t="str">
        <x:v>No</x:v>
      </x:c>
      <x:c r="K1134" s="31" t="str"/>
      <x:c r="L1134" s="31" t="str"/>
      <x:c r="M1134" s="31" t="str"/>
      <x:c r="N1134" s="31" t="str"/>
    </x:row>
    <x:row r="1135" ht="42" customHeight="1">
      <x:c r="A1135" s="35" t="n">
        <x:v>1133</x:v>
      </x:c>
      <x:c r="B1135" s="31" t="str">
        <x:f>IF('Execution Checklist'!Q1135="","",'Execution Checklist'!Q1135)</x:f>
      </x:c>
      <x:c r="C1135" s="31" t="str">
        <x:v>Place the green pen behind the red block.</x:v>
      </x:c>
      <x:c r="D1135" s="31" t="str">
        <x:v>green pen → behind red block</x:v>
      </x:c>
      <x:c r="E1135" s="31" t="str">
        <x:v>Binary success for the counterfactual instruction and paired action-switch analysis versus the parent.</x:v>
      </x:c>
      <x:c r="F1135" s="31"/>
      <x:c r="G1135" s="31"/>
      <x:c r="H1135" s="31" t="str">
        <x:f>IF(OR(F1135="",G1135=""),"",IF(F1135=G1135,"Agree","Disagree"))</x:f>
      </x:c>
      <x:c r="I1135" s="31"/>
      <x:c r="J1135" s="31" t="str">
        <x:v>No</x:v>
      </x:c>
      <x:c r="K1135" s="31" t="str"/>
      <x:c r="L1135" s="31" t="str"/>
      <x:c r="M1135" s="31" t="str"/>
      <x:c r="N1135" s="31" t="str"/>
    </x:row>
    <x:row r="1136" ht="42" customHeight="1">
      <x:c r="A1136" s="35" t="n">
        <x:v>1134</x:v>
      </x:c>
      <x:c r="B1136" s="31" t="str">
        <x:f>IF('Execution Checklist'!Q1136="","",'Execution Checklist'!Q1136)</x:f>
      </x:c>
      <x:c r="C1136" s="31" t="str">
        <x:v>Move the red block to the side of the pink marker facing the robot.</x:v>
      </x:c>
      <x:c r="D1136" s="31" t="str">
        <x:v>red block</x:v>
      </x:c>
      <x:c r="E1136" s="31" t="str">
        <x:v>Binary task success; compare with the seen-language row sharing Pair ID.</x:v>
      </x:c>
      <x:c r="F1136" s="31"/>
      <x:c r="G1136" s="31"/>
      <x:c r="H1136" s="31" t="str">
        <x:f>IF(OR(F1136="",G1136=""),"",IF(F1136=G1136,"Agree","Disagree"))</x:f>
      </x:c>
      <x:c r="I1136" s="31"/>
      <x:c r="J1136" s="31" t="str">
        <x:v>No</x:v>
      </x:c>
      <x:c r="K1136" s="31" t="str"/>
      <x:c r="L1136" s="31" t="str"/>
      <x:c r="M1136" s="31" t="str"/>
      <x:c r="N1136" s="31" t="str"/>
    </x:row>
    <x:row r="1137" ht="42" customHeight="1">
      <x:c r="A1137" s="35" t="n">
        <x:v>1135</x:v>
      </x:c>
      <x:c r="B1137" s="31" t="str">
        <x:f>IF('Execution Checklist'!Q1137="","",'Execution Checklist'!Q1137)</x:f>
      </x:c>
      <x:c r="C1137" s="31" t="str">
        <x:v>Place the green pen behind the red block.</x:v>
      </x:c>
      <x:c r="D1137" s="31" t="str">
        <x:v>No prespecified task success under blank language; record any action/selected target.</x:v>
      </x:c>
      <x:c r="E1137" s="31" t="str">
        <x:v>Do not score ordinary task success. Record action occurrence and agreement with the parent correct-prompt rollout.</x:v>
      </x:c>
      <x:c r="F1137" s="31"/>
      <x:c r="G1137" s="31"/>
      <x:c r="H1137" s="31" t="str">
        <x:f>IF(OR(F1137="",G1137=""),"",IF(F1137=G1137,"Agree","Disagree"))</x:f>
      </x:c>
      <x:c r="I1137" s="31"/>
      <x:c r="J1137" s="31" t="str">
        <x:v>No</x:v>
      </x:c>
      <x:c r="K1137" s="31" t="str"/>
      <x:c r="L1137" s="31" t="str"/>
      <x:c r="M1137" s="31" t="str"/>
      <x:c r="N1137" s="31" t="str"/>
    </x:row>
    <x:row r="1138" ht="42" customHeight="1">
      <x:c r="A1138" s="35" t="n">
        <x:v>1136</x:v>
      </x:c>
      <x:c r="B1138" s="31" t="str">
        <x:f>IF('Execution Checklist'!Q1138="","",'Execution Checklist'!Q1138)</x:f>
      </x:c>
      <x:c r="C1138" s="31" t="str">
        <x:v>Place the red block behind the green pen.</x:v>
      </x:c>
      <x:c r="D1138" s="31" t="str">
        <x:v>red block → behind green pen</x:v>
      </x:c>
      <x:c r="E1138" s="31" t="str">
        <x:v>Binary task success; paired with the main matched-control row.</x:v>
      </x:c>
      <x:c r="F1138" s="31"/>
      <x:c r="G1138" s="31"/>
      <x:c r="H1138" s="31" t="str">
        <x:f>IF(OR(F1138="",G1138=""),"",IF(F1138=G1138,"Agree","Disagree"))</x:f>
      </x:c>
      <x:c r="I1138" s="31"/>
      <x:c r="J1138" s="31" t="str">
        <x:v>No</x:v>
      </x:c>
      <x:c r="K1138" s="31" t="str"/>
      <x:c r="L1138" s="31" t="str"/>
      <x:c r="M1138" s="31" t="str"/>
      <x:c r="N1138" s="31" t="str"/>
    </x:row>
    <x:row r="1139" ht="42" customHeight="1">
      <x:c r="A1139" s="35" t="n">
        <x:v>1137</x:v>
      </x:c>
      <x:c r="B1139" s="31" t="str">
        <x:f>IF('Execution Checklist'!Q1139="","",'Execution Checklist'!Q1139)</x:f>
      </x:c>
      <x:c r="C1139" s="31" t="str">
        <x:v>Place the pink marker in front of the blue block.</x:v>
      </x:c>
      <x:c r="D1139" s="31" t="str">
        <x:v>pink marker</x:v>
      </x:c>
      <x:c r="E1139" s="31" t="str">
        <x:v>Binary task success using the task-specific rubric.</x:v>
      </x:c>
      <x:c r="F1139" s="31"/>
      <x:c r="G1139" s="31"/>
      <x:c r="H1139" s="31" t="str">
        <x:f>IF(OR(F1139="",G1139=""),"",IF(F1139=G1139,"Agree","Disagree"))</x:f>
      </x:c>
      <x:c r="I1139" s="31"/>
      <x:c r="J1139" s="31" t="str">
        <x:v>No</x:v>
      </x:c>
      <x:c r="K1139" s="31" t="str"/>
      <x:c r="L1139" s="31" t="str"/>
      <x:c r="M1139" s="31" t="str"/>
      <x:c r="N1139" s="31" t="str"/>
    </x:row>
    <x:row r="1140" ht="42" customHeight="1">
      <x:c r="A1140" s="35" t="n">
        <x:v>1138</x:v>
      </x:c>
      <x:c r="B1140" s="31" t="str">
        <x:f>IF('Execution Checklist'!Q1140="","",'Execution Checklist'!Q1140)</x:f>
      </x:c>
      <x:c r="C1140" s="31" t="str">
        <x:v>Place the red block in front of the green pen.</x:v>
      </x:c>
      <x:c r="D1140" s="31" t="str">
        <x:v>red block → in front of green pen</x:v>
      </x:c>
      <x:c r="E1140" s="31" t="str">
        <x:v>Binary task success; paired with the main matched-control row.</x:v>
      </x:c>
      <x:c r="F1140" s="31"/>
      <x:c r="G1140" s="31"/>
      <x:c r="H1140" s="31" t="str">
        <x:f>IF(OR(F1140="",G1140=""),"",IF(F1140=G1140,"Agree","Disagree"))</x:f>
      </x:c>
      <x:c r="I1140" s="31"/>
      <x:c r="J1140" s="31" t="str">
        <x:v>No</x:v>
      </x:c>
      <x:c r="K1140" s="31" t="str"/>
      <x:c r="L1140" s="31" t="str"/>
      <x:c r="M1140" s="31" t="str"/>
      <x:c r="N1140" s="31" t="str"/>
    </x:row>
    <x:row r="1141" ht="42" customHeight="1">
      <x:c r="A1141" s="35" t="n">
        <x:v>1139</x:v>
      </x:c>
      <x:c r="B1141" s="31" t="str">
        <x:f>IF('Execution Checklist'!Q1141="","",'Execution Checklist'!Q1141)</x:f>
      </x:c>
      <x:c r="C1141" s="31" t="str">
        <x:v>Move the green pen to the front of the pink marker.</x:v>
      </x:c>
      <x:c r="D1141" s="31" t="str">
        <x:v>green pen</x:v>
      </x:c>
      <x:c r="E1141" s="31" t="str">
        <x:v>Binary task success using the task-specific rubric.</x:v>
      </x:c>
      <x:c r="F1141" s="31"/>
      <x:c r="G1141" s="31"/>
      <x:c r="H1141" s="31" t="str">
        <x:f>IF(OR(F1141="",G1141=""),"",IF(F1141=G1141,"Agree","Disagree"))</x:f>
      </x:c>
      <x:c r="I1141" s="31"/>
      <x:c r="J1141" s="31" t="str">
        <x:v>No</x:v>
      </x:c>
      <x:c r="K1141" s="31" t="str"/>
      <x:c r="L1141" s="31" t="str"/>
      <x:c r="M1141" s="31" t="str"/>
      <x:c r="N1141" s="31" t="str"/>
    </x:row>
    <x:row r="1142" ht="42" customHeight="1">
      <x:c r="A1142" s="35" t="n">
        <x:v>1140</x:v>
      </x:c>
      <x:c r="B1142" s="31" t="str">
        <x:f>IF('Execution Checklist'!Q1142="","",'Execution Checklist'!Q1142)</x:f>
      </x:c>
      <x:c r="C1142" s="31" t="str">
        <x:v>Place the red block beside the green pen.</x:v>
      </x:c>
      <x:c r="D1142" s="31" t="str">
        <x:v>red block near green pen</x:v>
      </x:c>
      <x:c r="E1142" s="31" t="str">
        <x:v>Binary task success; paired with the main transfer row.</x:v>
      </x:c>
      <x:c r="F1142" s="31"/>
      <x:c r="G1142" s="31"/>
      <x:c r="H1142" s="31" t="str">
        <x:f>IF(OR(F1142="",G1142=""),"",IF(F1142=G1142,"Agree","Disagree"))</x:f>
      </x:c>
      <x:c r="I1142" s="31"/>
      <x:c r="J1142" s="31" t="str">
        <x:v>No</x:v>
      </x:c>
      <x:c r="K1142" s="31" t="str"/>
      <x:c r="L1142" s="31" t="str"/>
      <x:c r="M1142" s="31" t="str"/>
      <x:c r="N1142" s="31" t="str"/>
    </x:row>
    <x:row r="1143" ht="42" customHeight="1">
      <x:c r="A1143" s="35" t="n">
        <x:v>1141</x:v>
      </x:c>
      <x:c r="B1143" s="31" t="str">
        <x:f>IF('Execution Checklist'!Q1143="","",'Execution Checklist'!Q1143)</x:f>
      </x:c>
      <x:c r="C1143" s="31" t="str">
        <x:v>Place the green pen next to the red block.</x:v>
      </x:c>
      <x:c r="D1143" s="31" t="str">
        <x:v>green pen near red block</x:v>
      </x:c>
      <x:c r="E1143" s="31" t="str">
        <x:v>Binary task success; paired with the main transfer row.</x:v>
      </x:c>
      <x:c r="F1143" s="31"/>
      <x:c r="G1143" s="31"/>
      <x:c r="H1143" s="31" t="str">
        <x:f>IF(OR(F1143="",G1143=""),"",IF(F1143=G1143,"Agree","Disagree"))</x:f>
      </x:c>
      <x:c r="I1143" s="31"/>
      <x:c r="J1143" s="31" t="str">
        <x:v>No</x:v>
      </x:c>
      <x:c r="K1143" s="31" t="str"/>
      <x:c r="L1143" s="31" t="str"/>
      <x:c r="M1143" s="31" t="str"/>
      <x:c r="N1143" s="31" t="str"/>
    </x:row>
    <x:row r="1144" ht="42" customHeight="1">
      <x:c r="A1144" s="35" t="n">
        <x:v>1142</x:v>
      </x:c>
      <x:c r="B1144" s="31" t="str">
        <x:f>IF('Execution Checklist'!Q1144="","",'Execution Checklist'!Q1144)</x:f>
      </x:c>
      <x:c r="C1144" s="31" t="str">
        <x:v>Place the green pen in front of the red block.</x:v>
      </x:c>
      <x:c r="D1144" s="31" t="str">
        <x:v>green pen → in front of red block</x:v>
      </x:c>
      <x:c r="E1144" s="31" t="str">
        <x:v>Binary task success; paired with the main matched-control row.</x:v>
      </x:c>
      <x:c r="F1144" s="31"/>
      <x:c r="G1144" s="31"/>
      <x:c r="H1144" s="31" t="str">
        <x:f>IF(OR(F1144="",G1144=""),"",IF(F1144=G1144,"Agree","Disagree"))</x:f>
      </x:c>
      <x:c r="I1144" s="31"/>
      <x:c r="J1144" s="31" t="str">
        <x:v>No</x:v>
      </x:c>
      <x:c r="K1144" s="31" t="str"/>
      <x:c r="L1144" s="31" t="str"/>
      <x:c r="M1144" s="31" t="str"/>
      <x:c r="N1144" s="31" t="str"/>
    </x:row>
    <x:row r="1145" ht="42" customHeight="1">
      <x:c r="A1145" s="35" t="n">
        <x:v>1143</x:v>
      </x:c>
      <x:c r="B1145" s="31" t="str">
        <x:f>IF('Execution Checklist'!Q1145="","",'Execution Checklist'!Q1145)</x:f>
      </x:c>
      <x:c r="C1145" s="31" t="str">
        <x:v>Place the green pen in front of the red block.</x:v>
      </x:c>
      <x:c r="D1145" s="31" t="str">
        <x:v>No prespecified task success under blank language; record any action/selected target.</x:v>
      </x:c>
      <x:c r="E1145" s="31" t="str">
        <x:v>Do not score ordinary task success. Record action occurrence and agreement with the parent correct-prompt rollout.</x:v>
      </x:c>
      <x:c r="F1145" s="31"/>
      <x:c r="G1145" s="31"/>
      <x:c r="H1145" s="31" t="str">
        <x:f>IF(OR(F1145="",G1145=""),"",IF(F1145=G1145,"Agree","Disagree"))</x:f>
      </x:c>
      <x:c r="I1145" s="31"/>
      <x:c r="J1145" s="31" t="str">
        <x:v>No</x:v>
      </x:c>
      <x:c r="K1145" s="31" t="str"/>
      <x:c r="L1145" s="31" t="str"/>
      <x:c r="M1145" s="31" t="str"/>
      <x:c r="N1145" s="31" t="str"/>
    </x:row>
    <x:row r="1146" ht="42" customHeight="1">
      <x:c r="A1146" s="35" t="n">
        <x:v>1144</x:v>
      </x:c>
      <x:c r="B1146" s="31" t="str">
        <x:f>IF('Execution Checklist'!Q1146="","",'Execution Checklist'!Q1146)</x:f>
      </x:c>
      <x:c r="C1146" s="31" t="str">
        <x:v>Move the red block to the side of the pink marker facing the robot.</x:v>
      </x:c>
      <x:c r="D1146" s="31" t="str">
        <x:v>red block</x:v>
      </x:c>
      <x:c r="E1146" s="31" t="str">
        <x:v>Binary task success; compare with the seen-language row sharing Pair ID.</x:v>
      </x:c>
      <x:c r="F1146" s="31"/>
      <x:c r="G1146" s="31"/>
      <x:c r="H1146" s="31" t="str">
        <x:f>IF(OR(F1146="",G1146=""),"",IF(F1146=G1146,"Agree","Disagree"))</x:f>
      </x:c>
      <x:c r="I1146" s="31"/>
      <x:c r="J1146" s="31" t="str">
        <x:v>No</x:v>
      </x:c>
      <x:c r="K1146" s="31" t="str"/>
      <x:c r="L1146" s="31" t="str"/>
      <x:c r="M1146" s="31" t="str"/>
      <x:c r="N1146" s="31" t="str"/>
    </x:row>
    <x:row r="1147" ht="42" customHeight="1">
      <x:c r="A1147" s="35" t="n">
        <x:v>1145</x:v>
      </x:c>
      <x:c r="B1147" s="31" t="str">
        <x:f>IF('Execution Checklist'!Q1147="","",'Execution Checklist'!Q1147)</x:f>
      </x:c>
      <x:c r="C1147" s="31" t="str">
        <x:v>Place the green pen near the red block.</x:v>
      </x:c>
      <x:c r="D1147" s="31" t="str">
        <x:v>green pen near red block</x:v>
      </x:c>
      <x:c r="E1147" s="31" t="str">
        <x:v>Binary task success; paired with the main transfer row.</x:v>
      </x:c>
      <x:c r="F1147" s="31"/>
      <x:c r="G1147" s="31"/>
      <x:c r="H1147" s="31" t="str">
        <x:f>IF(OR(F1147="",G1147=""),"",IF(F1147=G1147,"Agree","Disagree"))</x:f>
      </x:c>
      <x:c r="I1147" s="31"/>
      <x:c r="J1147" s="31" t="str">
        <x:v>No</x:v>
      </x:c>
      <x:c r="K1147" s="31" t="str"/>
      <x:c r="L1147" s="31" t="str"/>
      <x:c r="M1147" s="31" t="str"/>
      <x:c r="N1147" s="31" t="str"/>
    </x:row>
    <x:row r="1148" ht="42" customHeight="1">
      <x:c r="A1148" s="35" t="n">
        <x:v>1146</x:v>
      </x:c>
      <x:c r="B1148" s="31" t="str">
        <x:f>IF('Execution Checklist'!Q1148="","",'Execution Checklist'!Q1148)</x:f>
      </x:c>
      <x:c r="C1148" s="31" t="str">
        <x:v>Place the green pen next to the red block.</x:v>
      </x:c>
      <x:c r="D1148" s="31" t="str">
        <x:v>green pen near red block</x:v>
      </x:c>
      <x:c r="E1148" s="31" t="str">
        <x:v>Binary task success; paired with the main transfer row.</x:v>
      </x:c>
      <x:c r="F1148" s="31"/>
      <x:c r="G1148" s="31"/>
      <x:c r="H1148" s="31" t="str">
        <x:f>IF(OR(F1148="",G1148=""),"",IF(F1148=G1148,"Agree","Disagree"))</x:f>
      </x:c>
      <x:c r="I1148" s="31"/>
      <x:c r="J1148" s="31" t="str">
        <x:v>No</x:v>
      </x:c>
      <x:c r="K1148" s="31" t="str"/>
      <x:c r="L1148" s="31" t="str"/>
      <x:c r="M1148" s="31" t="str"/>
      <x:c r="N1148" s="31" t="str"/>
    </x:row>
    <x:row r="1149" ht="42" customHeight="1">
      <x:c r="A1149" s="35" t="n">
        <x:v>1147</x:v>
      </x:c>
      <x:c r="B1149" s="31" t="str">
        <x:f>IF('Execution Checklist'!Q1149="","",'Execution Checklist'!Q1149)</x:f>
      </x:c>
      <x:c r="C1149" s="31" t="str">
        <x:v>Place the red block near the green pen.</x:v>
      </x:c>
      <x:c r="D1149" s="31" t="str">
        <x:v>red block near green pen</x:v>
      </x:c>
      <x:c r="E1149" s="31" t="str">
        <x:v>Binary task success; paired with the main transfer row.</x:v>
      </x:c>
      <x:c r="F1149" s="31"/>
      <x:c r="G1149" s="31"/>
      <x:c r="H1149" s="31" t="str">
        <x:f>IF(OR(F1149="",G1149=""),"",IF(F1149=G1149,"Agree","Disagree"))</x:f>
      </x:c>
      <x:c r="I1149" s="31"/>
      <x:c r="J1149" s="31" t="str">
        <x:v>No</x:v>
      </x:c>
      <x:c r="K1149" s="31" t="str"/>
      <x:c r="L1149" s="31" t="str"/>
      <x:c r="M1149" s="31" t="str"/>
      <x:c r="N1149" s="31" t="str"/>
    </x:row>
    <x:row r="1150" ht="42" customHeight="1">
      <x:c r="A1150" s="35" t="n">
        <x:v>1148</x:v>
      </x:c>
      <x:c r="B1150" s="31" t="str">
        <x:f>IF('Execution Checklist'!Q1150="","",'Execution Checklist'!Q1150)</x:f>
      </x:c>
      <x:c r="C1150" s="31" t="str">
        <x:v>Place the green pen beside the red block.</x:v>
      </x:c>
      <x:c r="D1150" s="31" t="str">
        <x:v>green pen near red block</x:v>
      </x:c>
      <x:c r="E1150" s="31" t="str">
        <x:v>Binary task success; paired with the main transfer row.</x:v>
      </x:c>
      <x:c r="F1150" s="31"/>
      <x:c r="G1150" s="31"/>
      <x:c r="H1150" s="31" t="str">
        <x:f>IF(OR(F1150="",G1150=""),"",IF(F1150=G1150,"Agree","Disagree"))</x:f>
      </x:c>
      <x:c r="I1150" s="31"/>
      <x:c r="J1150" s="31" t="str">
        <x:v>No</x:v>
      </x:c>
      <x:c r="K1150" s="31" t="str"/>
      <x:c r="L1150" s="31" t="str"/>
      <x:c r="M1150" s="31" t="str"/>
      <x:c r="N1150" s="31" t="str"/>
    </x:row>
    <x:row r="1151" ht="42" customHeight="1">
      <x:c r="A1151" s="35" t="n">
        <x:v>1149</x:v>
      </x:c>
      <x:c r="B1151" s="31" t="str">
        <x:f>IF('Execution Checklist'!Q1151="","",'Execution Checklist'!Q1151)</x:f>
      </x:c>
      <x:c r="C1151" s="31" t="str">
        <x:v>Place the green pen to the right of the red block.</x:v>
      </x:c>
      <x:c r="D1151" s="31" t="str">
        <x:v>green pen → to the right of red block</x:v>
      </x:c>
      <x:c r="E1151" s="31" t="str">
        <x:v>Binary task success; paired with the main matched-control row.</x:v>
      </x:c>
      <x:c r="F1151" s="31"/>
      <x:c r="G1151" s="31"/>
      <x:c r="H1151" s="31" t="str">
        <x:f>IF(OR(F1151="",G1151=""),"",IF(F1151=G1151,"Agree","Disagree"))</x:f>
      </x:c>
      <x:c r="I1151" s="31"/>
      <x:c r="J1151" s="31" t="str">
        <x:v>No</x:v>
      </x:c>
      <x:c r="K1151" s="31" t="str"/>
      <x:c r="L1151" s="31" t="str"/>
      <x:c r="M1151" s="31" t="str"/>
      <x:c r="N1151" s="31" t="str"/>
    </x:row>
    <x:row r="1152" ht="42" customHeight="1">
      <x:c r="A1152" s="35" t="n">
        <x:v>1150</x:v>
      </x:c>
      <x:c r="B1152" s="31" t="str">
        <x:f>IF('Execution Checklist'!Q1152="","",'Execution Checklist'!Q1152)</x:f>
      </x:c>
      <x:c r="C1152" s="31" t="str">
        <x:v>Place the green pen to the left of the red block.</x:v>
      </x:c>
      <x:c r="D1152" s="31" t="str">
        <x:v>green pen → to the left of red block</x:v>
      </x:c>
      <x:c r="E1152" s="31" t="str">
        <x:v>Binary success for the counterfactual instruction and paired action-switch analysis versus the parent.</x:v>
      </x:c>
      <x:c r="F1152" s="31"/>
      <x:c r="G1152" s="31"/>
      <x:c r="H1152" s="31" t="str">
        <x:f>IF(OR(F1152="",G1152=""),"",IF(F1152=G1152,"Agree","Disagree"))</x:f>
      </x:c>
      <x:c r="I1152" s="31"/>
      <x:c r="J1152" s="31" t="str">
        <x:v>No</x:v>
      </x:c>
      <x:c r="K1152" s="31" t="str"/>
      <x:c r="L1152" s="31" t="str"/>
      <x:c r="M1152" s="31" t="str"/>
      <x:c r="N1152" s="31" t="str"/>
    </x:row>
    <x:row r="1153" ht="42" customHeight="1">
      <x:c r="A1153" s="35" t="n">
        <x:v>1151</x:v>
      </x:c>
      <x:c r="B1153" s="31" t="str">
        <x:f>IF('Execution Checklist'!Q1153="","",'Execution Checklist'!Q1153)</x:f>
      </x:c>
      <x:c r="C1153" s="31" t="str">
        <x:v>Place the red block to the right of the green pen.</x:v>
      </x:c>
      <x:c r="D1153" s="31" t="str">
        <x:v>red block → to the right of green pen</x:v>
      </x:c>
      <x:c r="E1153" s="31" t="str">
        <x:v>Binary task success; paired with the main matched-control row.</x:v>
      </x:c>
      <x:c r="F1153" s="31"/>
      <x:c r="G1153" s="31"/>
      <x:c r="H1153" s="31" t="str">
        <x:f>IF(OR(F1153="",G1153=""),"",IF(F1153=G1153,"Agree","Disagree"))</x:f>
      </x:c>
      <x:c r="I1153" s="31"/>
      <x:c r="J1153" s="31" t="str">
        <x:v>No</x:v>
      </x:c>
      <x:c r="K1153" s="31" t="str"/>
      <x:c r="L1153" s="31" t="str"/>
      <x:c r="M1153" s="31" t="str"/>
      <x:c r="N1153" s="31" t="str"/>
    </x:row>
    <x:row r="1154" ht="42" customHeight="1">
      <x:c r="A1154" s="35" t="n">
        <x:v>1152</x:v>
      </x:c>
      <x:c r="B1154" s="31" t="str">
        <x:f>IF('Execution Checklist'!Q1154="","",'Execution Checklist'!Q1154)</x:f>
      </x:c>
      <x:c r="C1154" s="31" t="str">
        <x:v>Place the green pen behind the red block.</x:v>
      </x:c>
      <x:c r="D1154" s="31" t="str">
        <x:v>green pen → behind red block</x:v>
      </x:c>
      <x:c r="E1154" s="31" t="str">
        <x:v>Binary task success; paired with the main matched-control row.</x:v>
      </x:c>
      <x:c r="F1154" s="31"/>
      <x:c r="G1154" s="31"/>
      <x:c r="H1154" s="31" t="str">
        <x:f>IF(OR(F1154="",G1154=""),"",IF(F1154=G1154,"Agree","Disagree"))</x:f>
      </x:c>
      <x:c r="I1154" s="31"/>
      <x:c r="J1154" s="31" t="str">
        <x:v>No</x:v>
      </x:c>
      <x:c r="K1154" s="31" t="str"/>
      <x:c r="L1154" s="31" t="str"/>
      <x:c r="M1154" s="31" t="str"/>
      <x:c r="N1154" s="31" t="str"/>
    </x:row>
    <x:row r="1155" ht="42" customHeight="1">
      <x:c r="A1155" s="35" t="n">
        <x:v>1153</x:v>
      </x:c>
      <x:c r="B1155" s="31" t="str">
        <x:f>IF('Execution Checklist'!Q1155="","",'Execution Checklist'!Q1155)</x:f>
      </x:c>
      <x:c r="C1155" s="31" t="str">
        <x:v>Place the green pen in front of the red block.</x:v>
      </x:c>
      <x:c r="D1155" s="31" t="str">
        <x:v>green pen → in front of red block</x:v>
      </x:c>
      <x:c r="E1155" s="31" t="str">
        <x:v>Binary success for the counterfactual instruction and paired action-switch analysis versus the parent.</x:v>
      </x:c>
      <x:c r="F1155" s="31"/>
      <x:c r="G1155" s="31"/>
      <x:c r="H1155" s="31" t="str">
        <x:f>IF(OR(F1155="",G1155=""),"",IF(F1155=G1155,"Agree","Disagree"))</x:f>
      </x:c>
      <x:c r="I1155" s="31"/>
      <x:c r="J1155" s="31" t="str">
        <x:v>No</x:v>
      </x:c>
      <x:c r="K1155" s="31" t="str"/>
      <x:c r="L1155" s="31" t="str"/>
      <x:c r="M1155" s="31" t="str"/>
      <x:c r="N1155" s="31" t="str"/>
    </x:row>
    <x:row r="1156" ht="42" customHeight="1">
      <x:c r="A1156" s="35" t="n">
        <x:v>1154</x:v>
      </x:c>
      <x:c r="B1156" s="31" t="str">
        <x:f>IF('Execution Checklist'!Q1156="","",'Execution Checklist'!Q1156)</x:f>
      </x:c>
      <x:c r="C1156" s="31" t="str">
        <x:v>Place the pink marker to the right of the blue block.</x:v>
      </x:c>
      <x:c r="D1156" s="31" t="str">
        <x:v>pink marker</x:v>
      </x:c>
      <x:c r="E1156" s="31" t="str">
        <x:v>Binary task success using the task-specific rubric.</x:v>
      </x:c>
      <x:c r="F1156" s="31"/>
      <x:c r="G1156" s="31"/>
      <x:c r="H1156" s="31" t="str">
        <x:f>IF(OR(F1156="",G1156=""),"",IF(F1156=G1156,"Agree","Disagree"))</x:f>
      </x:c>
      <x:c r="I1156" s="31"/>
      <x:c r="J1156" s="31" t="str">
        <x:v>No</x:v>
      </x:c>
      <x:c r="K1156" s="31" t="str"/>
      <x:c r="L1156" s="31" t="str"/>
      <x:c r="M1156" s="31" t="str"/>
      <x:c r="N1156" s="31" t="str"/>
    </x:row>
    <x:row r="1157" ht="42" customHeight="1">
      <x:c r="A1157" s="35" t="n">
        <x:v>1155</x:v>
      </x:c>
      <x:c r="B1157" s="31" t="str">
        <x:f>IF('Execution Checklist'!Q1157="","",'Execution Checklist'!Q1157)</x:f>
      </x:c>
      <x:c r="C1157" s="31" t="str">
        <x:v>Move the red block to the side of the pink marker facing the robot.</x:v>
      </x:c>
      <x:c r="D1157" s="31" t="str">
        <x:v>red block</x:v>
      </x:c>
      <x:c r="E1157" s="31" t="str">
        <x:v>Binary task success; compare with the seen-language row sharing Pair ID.</x:v>
      </x:c>
      <x:c r="F1157" s="31"/>
      <x:c r="G1157" s="31"/>
      <x:c r="H1157" s="31" t="str">
        <x:f>IF(OR(F1157="",G1157=""),"",IF(F1157=G1157,"Agree","Disagree"))</x:f>
      </x:c>
      <x:c r="I1157" s="31"/>
      <x:c r="J1157" s="31" t="str">
        <x:v>No</x:v>
      </x:c>
      <x:c r="K1157" s="31" t="str"/>
      <x:c r="L1157" s="31" t="str"/>
      <x:c r="M1157" s="31" t="str"/>
      <x:c r="N1157" s="31" t="str"/>
    </x:row>
    <x:row r="1158" ht="42" customHeight="1">
      <x:c r="A1158" s="35" t="n">
        <x:v>1156</x:v>
      </x:c>
      <x:c r="B1158" s="31" t="str">
        <x:f>IF('Execution Checklist'!Q1158="","",'Execution Checklist'!Q1158)</x:f>
      </x:c>
      <x:c r="C1158" s="31" t="str">
        <x:v>Place the red block to the right of the green pen.</x:v>
      </x:c>
      <x:c r="D1158" s="31" t="str">
        <x:v>red block → to the right of green pen</x:v>
      </x:c>
      <x:c r="E1158" s="31" t="str">
        <x:v>Binary task success; paired with the main matched-control row.</x:v>
      </x:c>
      <x:c r="F1158" s="31"/>
      <x:c r="G1158" s="31"/>
      <x:c r="H1158" s="31" t="str">
        <x:f>IF(OR(F1158="",G1158=""),"",IF(F1158=G1158,"Agree","Disagree"))</x:f>
      </x:c>
      <x:c r="I1158" s="31"/>
      <x:c r="J1158" s="31" t="str">
        <x:v>No</x:v>
      </x:c>
      <x:c r="K1158" s="31" t="str"/>
      <x:c r="L1158" s="31" t="str"/>
      <x:c r="M1158" s="31" t="str"/>
      <x:c r="N1158" s="31" t="str"/>
    </x:row>
    <x:row r="1159" ht="42" customHeight="1">
      <x:c r="A1159" s="35" t="n">
        <x:v>1157</x:v>
      </x:c>
      <x:c r="B1159" s="31" t="str">
        <x:f>IF('Execution Checklist'!Q1159="","",'Execution Checklist'!Q1159)</x:f>
      </x:c>
      <x:c r="C1159" s="31" t="str">
        <x:v>Place the red block to the left of the blue block.</x:v>
      </x:c>
      <x:c r="D1159" s="31" t="str">
        <x:v>red block</x:v>
      </x:c>
      <x:c r="E1159" s="31" t="str">
        <x:v>Binary task success using the task-specific rubric.</x:v>
      </x:c>
      <x:c r="F1159" s="31"/>
      <x:c r="G1159" s="31"/>
      <x:c r="H1159" s="31" t="str">
        <x:f>IF(OR(F1159="",G1159=""),"",IF(F1159=G1159,"Agree","Disagree"))</x:f>
      </x:c>
      <x:c r="I1159" s="31"/>
      <x:c r="J1159" s="31" t="str">
        <x:v>No</x:v>
      </x:c>
      <x:c r="K1159" s="31" t="str"/>
      <x:c r="L1159" s="31" t="str"/>
      <x:c r="M1159" s="31" t="str"/>
      <x:c r="N1159" s="31" t="str"/>
    </x:row>
    <x:row r="1160" ht="42" customHeight="1">
      <x:c r="A1160" s="35" t="n">
        <x:v>1158</x:v>
      </x:c>
      <x:c r="B1160" s="31" t="str">
        <x:f>IF('Execution Checklist'!Q1160="","",'Execution Checklist'!Q1160)</x:f>
      </x:c>
      <x:c r="C1160" s="31" t="str">
        <x:v>Place the green pen in front of the red block.</x:v>
      </x:c>
      <x:c r="D1160" s="31" t="str">
        <x:v>green pen → in front of red block</x:v>
      </x:c>
      <x:c r="E1160" s="31" t="str">
        <x:v>Binary task success; paired with the main matched-control row.</x:v>
      </x:c>
      <x:c r="F1160" s="31"/>
      <x:c r="G1160" s="31"/>
      <x:c r="H1160" s="31" t="str">
        <x:f>IF(OR(F1160="",G1160=""),"",IF(F1160=G1160,"Agree","Disagree"))</x:f>
      </x:c>
      <x:c r="I1160" s="31"/>
      <x:c r="J1160" s="31" t="str">
        <x:v>No</x:v>
      </x:c>
      <x:c r="K1160" s="31" t="str"/>
      <x:c r="L1160" s="31" t="str"/>
      <x:c r="M1160" s="31" t="str"/>
      <x:c r="N1160" s="31" t="str"/>
    </x:row>
    <x:row r="1161" ht="42" customHeight="1">
      <x:c r="A1161" s="35" t="n">
        <x:v>1159</x:v>
      </x:c>
      <x:c r="B1161" s="31" t="str">
        <x:f>IF('Execution Checklist'!Q1161="","",'Execution Checklist'!Q1161)</x:f>
      </x:c>
      <x:c r="C1161" s="31" t="str">
        <x:v>Place the red block next to the green pen.</x:v>
      </x:c>
      <x:c r="D1161" s="31" t="str">
        <x:v>red block near green pen</x:v>
      </x:c>
      <x:c r="E1161" s="31" t="str">
        <x:v>Binary task success; paired with the main transfer row.</x:v>
      </x:c>
      <x:c r="F1161" s="31"/>
      <x:c r="G1161" s="31"/>
      <x:c r="H1161" s="31" t="str">
        <x:f>IF(OR(F1161="",G1161=""),"",IF(F1161=G1161,"Agree","Disagree"))</x:f>
      </x:c>
      <x:c r="I1161" s="31"/>
      <x:c r="J1161" s="31" t="str">
        <x:v>No</x:v>
      </x:c>
      <x:c r="K1161" s="31" t="str"/>
      <x:c r="L1161" s="31" t="str"/>
      <x:c r="M1161" s="31" t="str"/>
      <x:c r="N1161" s="31" t="str"/>
    </x:row>
    <x:row r="1162" ht="42" customHeight="1">
      <x:c r="A1162" s="35" t="n">
        <x:v>1160</x:v>
      </x:c>
      <x:c r="B1162" s="31" t="str">
        <x:f>IF('Execution Checklist'!Q1162="","",'Execution Checklist'!Q1162)</x:f>
      </x:c>
      <x:c r="C1162" s="31" t="str">
        <x:v>Move the red block to the side of the pink marker facing the robot.</x:v>
      </x:c>
      <x:c r="D1162" s="31" t="str">
        <x:v>red block</x:v>
      </x:c>
      <x:c r="E1162" s="31" t="str">
        <x:v>Binary task success; compare with the seen-language row sharing Pair ID.</x:v>
      </x:c>
      <x:c r="F1162" s="31"/>
      <x:c r="G1162" s="31"/>
      <x:c r="H1162" s="31" t="str">
        <x:f>IF(OR(F1162="",G1162=""),"",IF(F1162=G1162,"Agree","Disagree"))</x:f>
      </x:c>
      <x:c r="I1162" s="31"/>
      <x:c r="J1162" s="31" t="str">
        <x:v>No</x:v>
      </x:c>
      <x:c r="K1162" s="31" t="str"/>
      <x:c r="L1162" s="31" t="str"/>
      <x:c r="M1162" s="31" t="str"/>
      <x:c r="N1162" s="31" t="str"/>
    </x:row>
    <x:row r="1163" ht="42" customHeight="1">
      <x:c r="A1163" s="35" t="n">
        <x:v>1161</x:v>
      </x:c>
      <x:c r="B1163" s="31" t="str">
        <x:f>IF('Execution Checklist'!Q1163="","",'Execution Checklist'!Q1163)</x:f>
      </x:c>
      <x:c r="C1163" s="31" t="str">
        <x:v>Place the red block near the green pen.</x:v>
      </x:c>
      <x:c r="D1163" s="31" t="str">
        <x:v>red block near green pen</x:v>
      </x:c>
      <x:c r="E1163" s="31" t="str">
        <x:v>Binary task success; paired with the main transfer row.</x:v>
      </x:c>
      <x:c r="F1163" s="31"/>
      <x:c r="G1163" s="31"/>
      <x:c r="H1163" s="31" t="str">
        <x:f>IF(OR(F1163="",G1163=""),"",IF(F1163=G1163,"Agree","Disagree"))</x:f>
      </x:c>
      <x:c r="I1163" s="31"/>
      <x:c r="J1163" s="31" t="str">
        <x:v>No</x:v>
      </x:c>
      <x:c r="K1163" s="31" t="str"/>
      <x:c r="L1163" s="31" t="str"/>
      <x:c r="M1163" s="31" t="str"/>
      <x:c r="N1163" s="31" t="str"/>
    </x:row>
    <x:row r="1164" ht="42" customHeight="1">
      <x:c r="A1164" s="35" t="n">
        <x:v>1162</x:v>
      </x:c>
      <x:c r="B1164" s="31" t="str">
        <x:f>IF('Execution Checklist'!Q1164="","",'Execution Checklist'!Q1164)</x:f>
      </x:c>
      <x:c r="C1164" s="31" t="str">
        <x:v>Place the green pen beside the red block.</x:v>
      </x:c>
      <x:c r="D1164" s="31" t="str">
        <x:v>green pen near red block</x:v>
      </x:c>
      <x:c r="E1164" s="31" t="str">
        <x:v>Binary task success; paired with the main transfer row.</x:v>
      </x:c>
      <x:c r="F1164" s="31"/>
      <x:c r="G1164" s="31"/>
      <x:c r="H1164" s="31" t="str">
        <x:f>IF(OR(F1164="",G1164=""),"",IF(F1164=G1164,"Agree","Disagree"))</x:f>
      </x:c>
      <x:c r="I1164" s="31"/>
      <x:c r="J1164" s="31" t="str">
        <x:v>No</x:v>
      </x:c>
      <x:c r="K1164" s="31" t="str"/>
      <x:c r="L1164" s="31" t="str"/>
      <x:c r="M1164" s="31" t="str"/>
      <x:c r="N1164" s="31" t="str"/>
    </x:row>
    <x:row r="1165" ht="42" customHeight="1">
      <x:c r="A1165" s="35" t="n">
        <x:v>1163</x:v>
      </x:c>
      <x:c r="B1165" s="31" t="str">
        <x:f>IF('Execution Checklist'!Q1165="","",'Execution Checklist'!Q1165)</x:f>
      </x:c>
      <x:c r="C1165" s="31" t="str">
        <x:v>Place the green pen to the left of the pink marker.</x:v>
      </x:c>
      <x:c r="D1165" s="31" t="str">
        <x:v>green pen</x:v>
      </x:c>
      <x:c r="E1165" s="31" t="str">
        <x:v>Binary task success using the task-specific rubric.</x:v>
      </x:c>
      <x:c r="F1165" s="31"/>
      <x:c r="G1165" s="31"/>
      <x:c r="H1165" s="31" t="str">
        <x:f>IF(OR(F1165="",G1165=""),"",IF(F1165=G1165,"Agree","Disagree"))</x:f>
      </x:c>
      <x:c r="I1165" s="31"/>
      <x:c r="J1165" s="31" t="str">
        <x:v>No</x:v>
      </x:c>
      <x:c r="K1165" s="31" t="str"/>
      <x:c r="L1165" s="31" t="str"/>
      <x:c r="M1165" s="31" t="str"/>
      <x:c r="N1165" s="31" t="str"/>
    </x:row>
    <x:row r="1166" ht="42" customHeight="1">
      <x:c r="A1166" s="35" t="n">
        <x:v>1164</x:v>
      </x:c>
      <x:c r="B1166" s="31" t="str">
        <x:f>IF('Execution Checklist'!Q1166="","",'Execution Checklist'!Q1166)</x:f>
      </x:c>
      <x:c r="C1166" s="31" t="str">
        <x:v>Place the red block beside the green pen.</x:v>
      </x:c>
      <x:c r="D1166" s="31" t="str">
        <x:v>red block near green pen</x:v>
      </x:c>
      <x:c r="E1166" s="31" t="str">
        <x:v>Binary task success; paired with the main transfer row.</x:v>
      </x:c>
      <x:c r="F1166" s="31"/>
      <x:c r="G1166" s="31"/>
      <x:c r="H1166" s="31" t="str">
        <x:f>IF(OR(F1166="",G1166=""),"",IF(F1166=G1166,"Agree","Disagree"))</x:f>
      </x:c>
      <x:c r="I1166" s="31"/>
      <x:c r="J1166" s="31" t="str">
        <x:v>No</x:v>
      </x:c>
      <x:c r="K1166" s="31" t="str"/>
      <x:c r="L1166" s="31" t="str"/>
      <x:c r="M1166" s="31" t="str"/>
      <x:c r="N1166" s="31" t="str"/>
    </x:row>
    <x:row r="1167" ht="42" customHeight="1">
      <x:c r="A1167" s="35" t="n">
        <x:v>1165</x:v>
      </x:c>
      <x:c r="B1167" s="31" t="str">
        <x:f>IF('Execution Checklist'!Q1167="","",'Execution Checklist'!Q1167)</x:f>
      </x:c>
      <x:c r="C1167" s="31" t="str">
        <x:v>Move the red block to the side of the pink marker facing the robot.</x:v>
      </x:c>
      <x:c r="D1167" s="31" t="str">
        <x:v>red block</x:v>
      </x:c>
      <x:c r="E1167" s="31" t="str">
        <x:v>Binary task success; compare with the seen-language row sharing Pair ID.</x:v>
      </x:c>
      <x:c r="F1167" s="31"/>
      <x:c r="G1167" s="31"/>
      <x:c r="H1167" s="31" t="str">
        <x:f>IF(OR(F1167="",G1167=""),"",IF(F1167=G1167,"Agree","Disagree"))</x:f>
      </x:c>
      <x:c r="I1167" s="31"/>
      <x:c r="J1167" s="31" t="str">
        <x:v>No</x:v>
      </x:c>
      <x:c r="K1167" s="31" t="str"/>
      <x:c r="L1167" s="31" t="str"/>
      <x:c r="M1167" s="31" t="str"/>
      <x:c r="N1167" s="31" t="str"/>
    </x:row>
    <x:row r="1168" ht="42" customHeight="1">
      <x:c r="A1168" s="35" t="n">
        <x:v>1166</x:v>
      </x:c>
      <x:c r="B1168" s="31" t="str">
        <x:f>IF('Execution Checklist'!Q1168="","",'Execution Checklist'!Q1168)</x:f>
      </x:c>
      <x:c r="C1168" s="31" t="str">
        <x:v>Place the green pen in front of the pink marker.</x:v>
      </x:c>
      <x:c r="D1168" s="31" t="str">
        <x:v>green pen</x:v>
      </x:c>
      <x:c r="E1168" s="31" t="str">
        <x:v>Binary task success using the task-specific rubric.</x:v>
      </x:c>
      <x:c r="F1168" s="31"/>
      <x:c r="G1168" s="31"/>
      <x:c r="H1168" s="31" t="str">
        <x:f>IF(OR(F1168="",G1168=""),"",IF(F1168=G1168,"Agree","Disagree"))</x:f>
      </x:c>
      <x:c r="I1168" s="31"/>
      <x:c r="J1168" s="31" t="str">
        <x:v>No</x:v>
      </x:c>
      <x:c r="K1168" s="31" t="str"/>
      <x:c r="L1168" s="31" t="str"/>
      <x:c r="M1168" s="31" t="str"/>
      <x:c r="N1168" s="31" t="str"/>
    </x:row>
    <x:row r="1169" ht="42" customHeight="1">
      <x:c r="A1169" s="35" t="n">
        <x:v>1167</x:v>
      </x:c>
      <x:c r="B1169" s="31" t="str">
        <x:f>IF('Execution Checklist'!Q1169="","",'Execution Checklist'!Q1169)</x:f>
      </x:c>
      <x:c r="C1169" s="31" t="str">
        <x:v>Place the green pen to the right of the pink marker.</x:v>
      </x:c>
      <x:c r="D1169" s="31" t="str">
        <x:v>green pen</x:v>
      </x:c>
      <x:c r="E1169" s="31" t="str">
        <x:v>Binary task success using the task-specific rubric.</x:v>
      </x:c>
      <x:c r="F1169" s="31"/>
      <x:c r="G1169" s="31"/>
      <x:c r="H1169" s="31" t="str">
        <x:f>IF(OR(F1169="",G1169=""),"",IF(F1169=G1169,"Agree","Disagree"))</x:f>
      </x:c>
      <x:c r="I1169" s="31"/>
      <x:c r="J1169" s="31" t="str">
        <x:v>No</x:v>
      </x:c>
      <x:c r="K1169" s="31" t="str"/>
      <x:c r="L1169" s="31" t="str"/>
      <x:c r="M1169" s="31" t="str"/>
      <x:c r="N1169" s="31" t="str"/>
    </x:row>
    <x:row r="1170" ht="42" customHeight="1">
      <x:c r="A1170" s="35" t="n">
        <x:v>1168</x:v>
      </x:c>
      <x:c r="B1170" s="31" t="str">
        <x:f>IF('Execution Checklist'!Q1170="","",'Execution Checklist'!Q1170)</x:f>
      </x:c>
      <x:c r="C1170" s="31" t="str">
        <x:v>Place the green pen to the right of the pink marker.</x:v>
      </x:c>
      <x:c r="D1170" s="31" t="str">
        <x:v>green pen</x:v>
      </x:c>
      <x:c r="E1170" s="31" t="str">
        <x:v>Binary task success using the task-specific rubric.</x:v>
      </x:c>
      <x:c r="F1170" s="31"/>
      <x:c r="G1170" s="31"/>
      <x:c r="H1170" s="31" t="str">
        <x:f>IF(OR(F1170="",G1170=""),"",IF(F1170=G1170,"Agree","Disagree"))</x:f>
      </x:c>
      <x:c r="I1170" s="31"/>
      <x:c r="J1170" s="31" t="str">
        <x:v>No</x:v>
      </x:c>
      <x:c r="K1170" s="31" t="str"/>
      <x:c r="L1170" s="31" t="str"/>
      <x:c r="M1170" s="31" t="str"/>
      <x:c r="N1170" s="31" t="str"/>
    </x:row>
    <x:row r="1171" ht="42" customHeight="1">
      <x:c r="A1171" s="35" t="n">
        <x:v>1169</x:v>
      </x:c>
      <x:c r="B1171" s="31" t="str">
        <x:f>IF('Execution Checklist'!Q1171="","",'Execution Checklist'!Q1171)</x:f>
      </x:c>
      <x:c r="C1171" s="31" t="str">
        <x:v>Place the green pen behind the pink marker.</x:v>
      </x:c>
      <x:c r="D1171" s="31" t="str">
        <x:v>green pen</x:v>
      </x:c>
      <x:c r="E1171" s="31" t="str">
        <x:v>Binary task success using the task-specific rubric.</x:v>
      </x:c>
      <x:c r="F1171" s="31"/>
      <x:c r="G1171" s="31"/>
      <x:c r="H1171" s="31" t="str">
        <x:f>IF(OR(F1171="",G1171=""),"",IF(F1171=G1171,"Agree","Disagree"))</x:f>
      </x:c>
      <x:c r="I1171" s="31"/>
      <x:c r="J1171" s="31" t="str">
        <x:v>No</x:v>
      </x:c>
      <x:c r="K1171" s="31" t="str"/>
      <x:c r="L1171" s="31" t="str"/>
      <x:c r="M1171" s="31" t="str"/>
      <x:c r="N1171" s="31" t="str"/>
    </x:row>
    <x:row r="1172" ht="42" customHeight="1">
      <x:c r="A1172" s="35" t="n">
        <x:v>1170</x:v>
      </x:c>
      <x:c r="B1172" s="31" t="str">
        <x:f>IF('Execution Checklist'!Q1172="","",'Execution Checklist'!Q1172)</x:f>
      </x:c>
      <x:c r="C1172" s="31" t="str">
        <x:v>Place the green pen to the left of the red block.</x:v>
      </x:c>
      <x:c r="D1172" s="31" t="str">
        <x:v>No prespecified task success under blank language; record any action/selected target.</x:v>
      </x:c>
      <x:c r="E1172" s="31" t="str">
        <x:v>Do not score ordinary task success. Record action occurrence and agreement with the parent correct-prompt rollout.</x:v>
      </x:c>
      <x:c r="F1172" s="31"/>
      <x:c r="G1172" s="31"/>
      <x:c r="H1172" s="31" t="str">
        <x:f>IF(OR(F1172="",G1172=""),"",IF(F1172=G1172,"Agree","Disagree"))</x:f>
      </x:c>
      <x:c r="I1172" s="31"/>
      <x:c r="J1172" s="31" t="str">
        <x:v>No</x:v>
      </x:c>
      <x:c r="K1172" s="31" t="str"/>
      <x:c r="L1172" s="31" t="str"/>
      <x:c r="M1172" s="31" t="str"/>
      <x:c r="N1172" s="31" t="str"/>
    </x:row>
    <x:row r="1173" ht="42" customHeight="1">
      <x:c r="A1173" s="35" t="n">
        <x:v>1171</x:v>
      </x:c>
      <x:c r="B1173" s="31" t="str">
        <x:f>IF('Execution Checklist'!Q1173="","",'Execution Checklist'!Q1173)</x:f>
      </x:c>
      <x:c r="C1173" s="31" t="str">
        <x:v>Place the red block next to the green pen.</x:v>
      </x:c>
      <x:c r="D1173" s="31" t="str">
        <x:v>red block near green pen</x:v>
      </x:c>
      <x:c r="E1173" s="31" t="str">
        <x:v>Binary task success; paired with the main transfer row.</x:v>
      </x:c>
      <x:c r="F1173" s="31"/>
      <x:c r="G1173" s="31"/>
      <x:c r="H1173" s="31" t="str">
        <x:f>IF(OR(F1173="",G1173=""),"",IF(F1173=G1173,"Agree","Disagree"))</x:f>
      </x:c>
      <x:c r="I1173" s="31"/>
      <x:c r="J1173" s="31" t="str">
        <x:v>No</x:v>
      </x:c>
      <x:c r="K1173" s="31" t="str"/>
      <x:c r="L1173" s="31" t="str"/>
      <x:c r="M1173" s="31" t="str"/>
      <x:c r="N1173" s="31" t="str"/>
    </x:row>
    <x:row r="1174" ht="42" customHeight="1">
      <x:c r="A1174" s="35" t="n">
        <x:v>1172</x:v>
      </x:c>
      <x:c r="B1174" s="31" t="str">
        <x:f>IF('Execution Checklist'!Q1174="","",'Execution Checklist'!Q1174)</x:f>
      </x:c>
      <x:c r="C1174" s="31" t="str">
        <x:v>Move the red block to the side of the pink marker facing the robot.</x:v>
      </x:c>
      <x:c r="D1174" s="31" t="str">
        <x:v>red block</x:v>
      </x:c>
      <x:c r="E1174" s="31" t="str">
        <x:v>Binary task success; compare with the seen-language row sharing Pair ID.</x:v>
      </x:c>
      <x:c r="F1174" s="31"/>
      <x:c r="G1174" s="31"/>
      <x:c r="H1174" s="31" t="str">
        <x:f>IF(OR(F1174="",G1174=""),"",IF(F1174=G1174,"Agree","Disagree"))</x:f>
      </x:c>
      <x:c r="I1174" s="31"/>
      <x:c r="J1174" s="31" t="str">
        <x:v>No</x:v>
      </x:c>
      <x:c r="K1174" s="31" t="str"/>
      <x:c r="L1174" s="31" t="str"/>
      <x:c r="M1174" s="31" t="str"/>
      <x:c r="N1174" s="31" t="str"/>
    </x:row>
    <x:row r="1175" ht="42" customHeight="1">
      <x:c r="A1175" s="35" t="n">
        <x:v>1173</x:v>
      </x:c>
      <x:c r="B1175" s="31" t="str">
        <x:f>IF('Execution Checklist'!Q1175="","",'Execution Checklist'!Q1175)</x:f>
      </x:c>
      <x:c r="C1175" s="31" t="str">
        <x:v>Place the green pen to the right of the red block.</x:v>
      </x:c>
      <x:c r="D1175" s="31" t="str">
        <x:v>green pen → to the right of red block</x:v>
      </x:c>
      <x:c r="E1175" s="31" t="str">
        <x:v>Binary success for the counterfactual instruction and paired action-switch analysis versus the parent.</x:v>
      </x:c>
      <x:c r="F1175" s="31"/>
      <x:c r="G1175" s="31"/>
      <x:c r="H1175" s="31" t="str">
        <x:f>IF(OR(F1175="",G1175=""),"",IF(F1175=G1175,"Agree","Disagree"))</x:f>
      </x:c>
      <x:c r="I1175" s="31"/>
      <x:c r="J1175" s="31" t="str">
        <x:v>No</x:v>
      </x:c>
      <x:c r="K1175" s="31" t="str"/>
      <x:c r="L1175" s="31" t="str"/>
      <x:c r="M1175" s="31" t="str"/>
      <x:c r="N1175" s="31" t="str"/>
    </x:row>
    <x:row r="1176" ht="42" customHeight="1">
      <x:c r="A1176" s="35" t="n">
        <x:v>1174</x:v>
      </x:c>
      <x:c r="B1176" s="31" t="str">
        <x:f>IF('Execution Checklist'!Q1176="","",'Execution Checklist'!Q1176)</x:f>
      </x:c>
      <x:c r="C1176" s="31" t="str">
        <x:v>Place the red block near the green pen.</x:v>
      </x:c>
      <x:c r="D1176" s="31" t="str">
        <x:v>red block near green pen</x:v>
      </x:c>
      <x:c r="E1176" s="31" t="str">
        <x:v>Binary task success; paired with the main transfer row.</x:v>
      </x:c>
      <x:c r="F1176" s="31"/>
      <x:c r="G1176" s="31"/>
      <x:c r="H1176" s="31" t="str">
        <x:f>IF(OR(F1176="",G1176=""),"",IF(F1176=G1176,"Agree","Disagree"))</x:f>
      </x:c>
      <x:c r="I1176" s="31"/>
      <x:c r="J1176" s="31" t="str">
        <x:v>No</x:v>
      </x:c>
      <x:c r="K1176" s="31" t="str"/>
      <x:c r="L1176" s="31" t="str"/>
      <x:c r="M1176" s="31" t="str"/>
      <x:c r="N1176" s="31" t="str"/>
    </x:row>
    <x:row r="1177" ht="42" customHeight="1">
      <x:c r="A1177" s="35" t="n">
        <x:v>1175</x:v>
      </x:c>
      <x:c r="B1177" s="31" t="str">
        <x:f>IF('Execution Checklist'!Q1177="","",'Execution Checklist'!Q1177)</x:f>
      </x:c>
      <x:c r="C1177" s="31" t="str">
        <x:v>Place the green pen to the right of the red block.</x:v>
      </x:c>
      <x:c r="D1177" s="31" t="str">
        <x:v>green pen → to the right of red block</x:v>
      </x:c>
      <x:c r="E1177" s="31" t="str">
        <x:v>Binary task success; paired with the main matched-control row.</x:v>
      </x:c>
      <x:c r="F1177" s="31"/>
      <x:c r="G1177" s="31"/>
      <x:c r="H1177" s="31" t="str">
        <x:f>IF(OR(F1177="",G1177=""),"",IF(F1177=G1177,"Agree","Disagree"))</x:f>
      </x:c>
      <x:c r="I1177" s="31"/>
      <x:c r="J1177" s="31" t="str">
        <x:v>No</x:v>
      </x:c>
      <x:c r="K1177" s="31" t="str"/>
      <x:c r="L1177" s="31" t="str"/>
      <x:c r="M1177" s="31" t="str"/>
      <x:c r="N1177" s="31" t="str"/>
    </x:row>
    <x:row r="1178" ht="42" customHeight="1">
      <x:c r="A1178" s="35" t="n">
        <x:v>1176</x:v>
      </x:c>
      <x:c r="B1178" s="31" t="str">
        <x:f>IF('Execution Checklist'!Q1178="","",'Execution Checklist'!Q1178)</x:f>
      </x:c>
      <x:c r="C1178" s="31" t="str">
        <x:v>Place the red block to the left of the green pen.</x:v>
      </x:c>
      <x:c r="D1178" s="31" t="str">
        <x:v>red block → to the left of green pen</x:v>
      </x:c>
      <x:c r="E1178" s="31" t="str">
        <x:v>Binary task success; paired with the main matched-control row.</x:v>
      </x:c>
      <x:c r="F1178" s="31"/>
      <x:c r="G1178" s="31"/>
      <x:c r="H1178" s="31" t="str">
        <x:f>IF(OR(F1178="",G1178=""),"",IF(F1178=G1178,"Agree","Disagree"))</x:f>
      </x:c>
      <x:c r="I1178" s="31"/>
      <x:c r="J1178" s="31" t="str">
        <x:v>No</x:v>
      </x:c>
      <x:c r="K1178" s="31" t="str"/>
      <x:c r="L1178" s="31" t="str"/>
      <x:c r="M1178" s="31" t="str"/>
      <x:c r="N1178" s="31" t="str"/>
    </x:row>
    <x:row r="1179" ht="42" customHeight="1">
      <x:c r="A1179" s="35" t="n">
        <x:v>1177</x:v>
      </x:c>
      <x:c r="B1179" s="31" t="str">
        <x:f>IF('Execution Checklist'!Q1179="","",'Execution Checklist'!Q1179)</x:f>
      </x:c>
      <x:c r="C1179" s="31" t="str">
        <x:v>Move the red block to the side of the pink marker facing the robot.</x:v>
      </x:c>
      <x:c r="D1179" s="31" t="str">
        <x:v>red block</x:v>
      </x:c>
      <x:c r="E1179" s="31" t="str">
        <x:v>Binary task success; compare with the seen-language row sharing Pair ID.</x:v>
      </x:c>
      <x:c r="F1179" s="31"/>
      <x:c r="G1179" s="31"/>
      <x:c r="H1179" s="31" t="str">
        <x:f>IF(OR(F1179="",G1179=""),"",IF(F1179=G1179,"Agree","Disagree"))</x:f>
      </x:c>
      <x:c r="I1179" s="31"/>
      <x:c r="J1179" s="31" t="str">
        <x:v>No</x:v>
      </x:c>
      <x:c r="K1179" s="31" t="str"/>
      <x:c r="L1179" s="31" t="str"/>
      <x:c r="M1179" s="31" t="str"/>
      <x:c r="N1179" s="31" t="str"/>
    </x:row>
    <x:row r="1180" ht="42" customHeight="1">
      <x:c r="A1180" s="35" t="n">
        <x:v>1178</x:v>
      </x:c>
      <x:c r="B1180" s="31" t="str">
        <x:f>IF('Execution Checklist'!Q1180="","",'Execution Checklist'!Q1180)</x:f>
      </x:c>
      <x:c r="C1180" s="31" t="str">
        <x:v>Leave exactly one object in the bowl.</x:v>
      </x:c>
      <x:c r="D1180" s="31" t="str">
        <x:v>REMOVE one bowl object</x:v>
      </x:c>
      <x:c r="E1180" s="31" t="str">
        <x:v>Binary task success; paired with the main matched-control row.</x:v>
      </x:c>
      <x:c r="F1180" s="31"/>
      <x:c r="G1180" s="31"/>
      <x:c r="H1180" s="31" t="str">
        <x:f>IF(OR(F1180="",G1180=""),"",IF(F1180=G1180,"Agree","Disagree"))</x:f>
      </x:c>
      <x:c r="I1180" s="31"/>
      <x:c r="J1180" s="31" t="str">
        <x:v>No</x:v>
      </x:c>
      <x:c r="K1180" s="31" t="str"/>
      <x:c r="L1180" s="31" t="str"/>
      <x:c r="M1180" s="31" t="str"/>
      <x:c r="N1180" s="31" t="str"/>
    </x:row>
    <x:row r="1181" ht="42" customHeight="1">
      <x:c r="A1181" s="35" t="n">
        <x:v>1179</x:v>
      </x:c>
      <x:c r="B1181" s="31" t="str">
        <x:f>IF('Execution Checklist'!Q1181="","",'Execution Checklist'!Q1181)</x:f>
      </x:c>
      <x:c r="C1181" s="31" t="str">
        <x:v>Leave exactly one object in the bowl.</x:v>
      </x:c>
      <x:c r="D1181" s="31" t="str">
        <x:v>No prespecified task success under blank language; record any action/selected target.</x:v>
      </x:c>
      <x:c r="E1181" s="31" t="str">
        <x:v>Do not score ordinary task success. Record action occurrence and agreement with the parent correct-prompt rollout.</x:v>
      </x:c>
      <x:c r="F1181" s="31"/>
      <x:c r="G1181" s="31"/>
      <x:c r="H1181" s="31" t="str">
        <x:f>IF(OR(F1181="",G1181=""),"",IF(F1181=G1181,"Agree","Disagree"))</x:f>
      </x:c>
      <x:c r="I1181" s="31"/>
      <x:c r="J1181" s="31" t="str">
        <x:v>No</x:v>
      </x:c>
      <x:c r="K1181" s="31" t="str"/>
      <x:c r="L1181" s="31" t="str"/>
      <x:c r="M1181" s="31" t="str"/>
      <x:c r="N1181" s="31" t="str"/>
    </x:row>
    <x:row r="1182" ht="42" customHeight="1">
      <x:c r="A1182" s="35" t="n">
        <x:v>1180</x:v>
      </x:c>
      <x:c r="B1182" s="31" t="str">
        <x:f>IF('Execution Checklist'!Q1182="","",'Execution Checklist'!Q1182)</x:f>
      </x:c>
      <x:c r="C1182" s="31" t="str">
        <x:v>Remove the green pencil sharpener from the bowl.</x:v>
      </x:c>
      <x:c r="D1182" s="31" t="str">
        <x:v>REMOVE green pencil sharpener</x:v>
      </x:c>
      <x:c r="E1182" s="31" t="str">
        <x:v>Binary task success; paired with the main transfer row.</x:v>
      </x:c>
      <x:c r="F1182" s="31"/>
      <x:c r="G1182" s="31"/>
      <x:c r="H1182" s="31" t="str">
        <x:f>IF(OR(F1182="",G1182=""),"",IF(F1182=G1182,"Agree","Disagree"))</x:f>
      </x:c>
      <x:c r="I1182" s="31"/>
      <x:c r="J1182" s="31" t="str">
        <x:v>No</x:v>
      </x:c>
      <x:c r="K1182" s="31" t="str"/>
      <x:c r="L1182" s="31" t="str"/>
      <x:c r="M1182" s="31" t="str"/>
      <x:c r="N1182" s="31" t="str"/>
    </x:row>
    <x:row r="1183" ht="42" customHeight="1">
      <x:c r="A1183" s="35" t="n">
        <x:v>1181</x:v>
      </x:c>
      <x:c r="B1183" s="31" t="str">
        <x:f>IF('Execution Checklist'!Q1183="","",'Execution Checklist'!Q1183)</x:f>
      </x:c>
      <x:c r="C1183" s="31" t="str">
        <x:v>Finish with two objects in the bowl.</x:v>
      </x:c>
      <x:c r="D1183" s="31" t="str"/>
      <x:c r="E1183" s="31" t="str">
        <x:v>Binary task success; compare with the seen-language row sharing Pair ID.</x:v>
      </x:c>
      <x:c r="F1183" s="31"/>
      <x:c r="G1183" s="31"/>
      <x:c r="H1183" s="31" t="str">
        <x:f>IF(OR(F1183="",G1183=""),"",IF(F1183=G1183,"Agree","Disagree"))</x:f>
      </x:c>
      <x:c r="I1183" s="31"/>
      <x:c r="J1183" s="31" t="str">
        <x:v>No</x:v>
      </x:c>
      <x:c r="K1183" s="31" t="str"/>
      <x:c r="L1183" s="31" t="str"/>
      <x:c r="M1183" s="31" t="str"/>
      <x:c r="N1183" s="31" t="str"/>
    </x:row>
    <x:row r="1184" ht="42" customHeight="1">
      <x:c r="A1184" s="35" t="n">
        <x:v>1182</x:v>
      </x:c>
      <x:c r="B1184" s="31" t="str">
        <x:f>IF('Execution Checklist'!Q1184="","",'Execution Checklist'!Q1184)</x:f>
      </x:c>
      <x:c r="C1184" s="31" t="str">
        <x:v>Leave exactly one object in the bowl.</x:v>
      </x:c>
      <x:c r="D1184" s="31" t="str">
        <x:v>REMOVE one bowl object</x:v>
      </x:c>
      <x:c r="E1184" s="31" t="str">
        <x:v>Binary task success; paired with the main matched-control row.</x:v>
      </x:c>
      <x:c r="F1184" s="31"/>
      <x:c r="G1184" s="31"/>
      <x:c r="H1184" s="31" t="str">
        <x:f>IF(OR(F1184="",G1184=""),"",IF(F1184=G1184,"Agree","Disagree"))</x:f>
      </x:c>
      <x:c r="I1184" s="31"/>
      <x:c r="J1184" s="31" t="str">
        <x:v>No</x:v>
      </x:c>
      <x:c r="K1184" s="31" t="str"/>
      <x:c r="L1184" s="31" t="str"/>
      <x:c r="M1184" s="31" t="str"/>
      <x:c r="N1184" s="31" t="str"/>
    </x:row>
    <x:row r="1185" ht="42" customHeight="1">
      <x:c r="A1185" s="35" t="n">
        <x:v>1183</x:v>
      </x:c>
      <x:c r="B1185" s="31" t="str">
        <x:f>IF('Execution Checklist'!Q1185="","",'Execution Checklist'!Q1185)</x:f>
      </x:c>
      <x:c r="C1185" s="31" t="str">
        <x:v>Leave exactly three objects in the bowl.</x:v>
      </x:c>
      <x:c r="D1185" s="31" t="str">
        <x:v>ADD one table object</x:v>
      </x:c>
      <x:c r="E1185" s="31" t="str">
        <x:v>Binary task success; paired with the main matched-control row.</x:v>
      </x:c>
      <x:c r="F1185" s="31"/>
      <x:c r="G1185" s="31"/>
      <x:c r="H1185" s="31" t="str">
        <x:f>IF(OR(F1185="",G1185=""),"",IF(F1185=G1185,"Agree","Disagree"))</x:f>
      </x:c>
      <x:c r="I1185" s="31"/>
      <x:c r="J1185" s="31" t="str">
        <x:v>No</x:v>
      </x:c>
      <x:c r="K1185" s="31" t="str"/>
      <x:c r="L1185" s="31" t="str"/>
      <x:c r="M1185" s="31" t="str"/>
      <x:c r="N1185" s="31" t="str"/>
    </x:row>
    <x:row r="1186" ht="42" customHeight="1">
      <x:c r="A1186" s="35" t="n">
        <x:v>1184</x:v>
      </x:c>
      <x:c r="B1186" s="31" t="str">
        <x:f>IF('Execution Checklist'!Q1186="","",'Execution Checklist'!Q1186)</x:f>
      </x:c>
      <x:c r="C1186" s="31" t="str">
        <x:v>Leave exactly one object in the bowl.</x:v>
      </x:c>
      <x:c r="D1186" s="31" t="str">
        <x:v>REMOVE one bowl object</x:v>
      </x:c>
      <x:c r="E1186" s="31" t="str">
        <x:v>Binary task success; paired with the main matched-control row.</x:v>
      </x:c>
      <x:c r="F1186" s="31"/>
      <x:c r="G1186" s="31"/>
      <x:c r="H1186" s="31" t="str">
        <x:f>IF(OR(F1186="",G1186=""),"",IF(F1186=G1186,"Agree","Disagree"))</x:f>
      </x:c>
      <x:c r="I1186" s="31"/>
      <x:c r="J1186" s="31" t="str">
        <x:v>No</x:v>
      </x:c>
      <x:c r="K1186" s="31" t="str"/>
      <x:c r="L1186" s="31" t="str"/>
      <x:c r="M1186" s="31" t="str"/>
      <x:c r="N1186" s="31" t="str"/>
    </x:row>
    <x:row r="1187" ht="42" customHeight="1">
      <x:c r="A1187" s="35" t="n">
        <x:v>1185</x:v>
      </x:c>
      <x:c r="B1187" s="31" t="str">
        <x:f>IF('Execution Checklist'!Q1187="","",'Execution Checklist'!Q1187)</x:f>
      </x:c>
      <x:c r="C1187" s="31" t="str">
        <x:v>Leave exactly one object in the bowl.</x:v>
      </x:c>
      <x:c r="D1187" s="31" t="str">
        <x:v>REMOVE one bowl object</x:v>
      </x:c>
      <x:c r="E1187" s="31" t="str">
        <x:v>Binary task success; paired with the main matched-control row.</x:v>
      </x:c>
      <x:c r="F1187" s="31"/>
      <x:c r="G1187" s="31"/>
      <x:c r="H1187" s="31" t="str">
        <x:f>IF(OR(F1187="",G1187=""),"",IF(F1187=G1187,"Agree","Disagree"))</x:f>
      </x:c>
      <x:c r="I1187" s="31"/>
      <x:c r="J1187" s="31" t="str">
        <x:v>No</x:v>
      </x:c>
      <x:c r="K1187" s="31" t="str"/>
      <x:c r="L1187" s="31" t="str"/>
      <x:c r="M1187" s="31" t="str"/>
      <x:c r="N1187" s="31" t="str"/>
    </x:row>
    <x:row r="1188" ht="42" customHeight="1">
      <x:c r="A1188" s="35" t="n">
        <x:v>1186</x:v>
      </x:c>
      <x:c r="B1188" s="31" t="str">
        <x:f>IF('Execution Checklist'!Q1188="","",'Execution Checklist'!Q1188)</x:f>
      </x:c>
      <x:c r="C1188" s="31" t="str">
        <x:v>Leave exactly one object in the bowl.</x:v>
      </x:c>
      <x:c r="D1188" s="31" t="str">
        <x:v>REMOVE one bowl object</x:v>
      </x:c>
      <x:c r="E1188" s="31" t="str">
        <x:v>Binary task success; paired with the main matched-control row.</x:v>
      </x:c>
      <x:c r="F1188" s="31"/>
      <x:c r="G1188" s="31"/>
      <x:c r="H1188" s="31" t="str">
        <x:f>IF(OR(F1188="",G1188=""),"",IF(F1188=G1188,"Agree","Disagree"))</x:f>
      </x:c>
      <x:c r="I1188" s="31"/>
      <x:c r="J1188" s="31" t="str">
        <x:v>No</x:v>
      </x:c>
      <x:c r="K1188" s="31" t="str"/>
      <x:c r="L1188" s="31" t="str"/>
      <x:c r="M1188" s="31" t="str"/>
      <x:c r="N1188" s="31" t="str"/>
    </x:row>
    <x:row r="1189" ht="42" customHeight="1">
      <x:c r="A1189" s="35" t="n">
        <x:v>1187</x:v>
      </x:c>
      <x:c r="B1189" s="31" t="str">
        <x:f>IF('Execution Checklist'!Q1189="","",'Execution Checklist'!Q1189)</x:f>
      </x:c>
      <x:c r="C1189" s="31" t="str">
        <x:v>Finish with two objects in the bowl.</x:v>
      </x:c>
      <x:c r="D1189" s="31" t="str"/>
      <x:c r="E1189" s="31" t="str">
        <x:v>Binary task success; compare with the seen-language row sharing Pair ID.</x:v>
      </x:c>
      <x:c r="F1189" s="31"/>
      <x:c r="G1189" s="31"/>
      <x:c r="H1189" s="31" t="str">
        <x:f>IF(OR(F1189="",G1189=""),"",IF(F1189=G1189,"Agree","Disagree"))</x:f>
      </x:c>
      <x:c r="I1189" s="31"/>
      <x:c r="J1189" s="31" t="str">
        <x:v>No</x:v>
      </x:c>
      <x:c r="K1189" s="31" t="str"/>
      <x:c r="L1189" s="31" t="str"/>
      <x:c r="M1189" s="31" t="str"/>
      <x:c r="N1189" s="31" t="str"/>
    </x:row>
    <x:row r="1190" ht="42" customHeight="1">
      <x:c r="A1190" s="35" t="n">
        <x:v>1188</x:v>
      </x:c>
      <x:c r="B1190" s="31" t="str">
        <x:f>IF('Execution Checklist'!Q1190="","",'Execution Checklist'!Q1190)</x:f>
      </x:c>
      <x:c r="C1190" s="31" t="str">
        <x:v>Make the bowl contain exactly zero objects.</x:v>
      </x:c>
      <x:c r="D1190" s="31" t="str"/>
      <x:c r="E1190" s="31" t="str">
        <x:v>Binary task success using the task-specific rubric.</x:v>
      </x:c>
      <x:c r="F1190" s="31"/>
      <x:c r="G1190" s="31"/>
      <x:c r="H1190" s="31" t="str">
        <x:f>IF(OR(F1190="",G1190=""),"",IF(F1190=G1190,"Agree","Disagree"))</x:f>
      </x:c>
      <x:c r="I1190" s="31"/>
      <x:c r="J1190" s="31" t="str">
        <x:v>No</x:v>
      </x:c>
      <x:c r="K1190" s="31" t="str"/>
      <x:c r="L1190" s="31" t="str"/>
      <x:c r="M1190" s="31" t="str"/>
      <x:c r="N1190" s="31" t="str"/>
    </x:row>
    <x:row r="1191" ht="42" customHeight="1">
      <x:c r="A1191" s="35" t="n">
        <x:v>1189</x:v>
      </x:c>
      <x:c r="B1191" s="31" t="str">
        <x:f>IF('Execution Checklist'!Q1191="","",'Execution Checklist'!Q1191)</x:f>
      </x:c>
      <x:c r="C1191" s="31" t="str">
        <x:v>Remove the airplane toy without propellers from the bowl.</x:v>
      </x:c>
      <x:c r="D1191" s="31" t="str">
        <x:v>REMOVE airplane toy without propellers</x:v>
      </x:c>
      <x:c r="E1191" s="31" t="str">
        <x:v>Binary task success; paired with the main transfer row.</x:v>
      </x:c>
      <x:c r="F1191" s="31"/>
      <x:c r="G1191" s="31"/>
      <x:c r="H1191" s="31" t="str">
        <x:f>IF(OR(F1191="",G1191=""),"",IF(F1191=G1191,"Agree","Disagree"))</x:f>
      </x:c>
      <x:c r="I1191" s="31"/>
      <x:c r="J1191" s="31" t="str">
        <x:v>No</x:v>
      </x:c>
      <x:c r="K1191" s="31" t="str"/>
      <x:c r="L1191" s="31" t="str"/>
      <x:c r="M1191" s="31" t="str"/>
      <x:c r="N1191" s="31" t="str"/>
    </x:row>
    <x:row r="1192" ht="42" customHeight="1">
      <x:c r="A1192" s="35" t="n">
        <x:v>1190</x:v>
      </x:c>
      <x:c r="B1192" s="31" t="str">
        <x:f>IF('Execution Checklist'!Q1192="","",'Execution Checklist'!Q1192)</x:f>
      </x:c>
      <x:c r="C1192" s="31" t="str">
        <x:v>Make the bowl contain exactly two objects.</x:v>
      </x:c>
      <x:c r="D1192" s="31" t="str"/>
      <x:c r="E1192" s="31" t="str">
        <x:v>Binary task success using the task-specific rubric.</x:v>
      </x:c>
      <x:c r="F1192" s="31"/>
      <x:c r="G1192" s="31"/>
      <x:c r="H1192" s="31" t="str">
        <x:f>IF(OR(F1192="",G1192=""),"",IF(F1192=G1192,"Agree","Disagree"))</x:f>
      </x:c>
      <x:c r="I1192" s="31"/>
      <x:c r="J1192" s="31" t="str">
        <x:v>No</x:v>
      </x:c>
      <x:c r="K1192" s="31" t="str"/>
      <x:c r="L1192" s="31" t="str"/>
      <x:c r="M1192" s="31" t="str"/>
      <x:c r="N1192" s="31" t="str"/>
    </x:row>
    <x:row r="1193" ht="42" customHeight="1">
      <x:c r="A1193" s="35" t="n">
        <x:v>1191</x:v>
      </x:c>
      <x:c r="B1193" s="31" t="str">
        <x:f>IF('Execution Checklist'!Q1193="","",'Execution Checklist'!Q1193)</x:f>
      </x:c>
      <x:c r="C1193" s="31" t="str">
        <x:v>Finish with two objects in the bowl.</x:v>
      </x:c>
      <x:c r="D1193" s="31" t="str"/>
      <x:c r="E1193" s="31" t="str">
        <x:v>Binary task success; compare with the seen-language row sharing Pair ID.</x:v>
      </x:c>
      <x:c r="F1193" s="31"/>
      <x:c r="G1193" s="31"/>
      <x:c r="H1193" s="31" t="str">
        <x:f>IF(OR(F1193="",G1193=""),"",IF(F1193=G1193,"Agree","Disagree"))</x:f>
      </x:c>
      <x:c r="I1193" s="31"/>
      <x:c r="J1193" s="31" t="str">
        <x:v>No</x:v>
      </x:c>
      <x:c r="K1193" s="31" t="str"/>
      <x:c r="L1193" s="31" t="str"/>
      <x:c r="M1193" s="31" t="str"/>
      <x:c r="N1193" s="31" t="str"/>
    </x:row>
    <x:row r="1194" ht="42" customHeight="1">
      <x:c r="A1194" s="35" t="n">
        <x:v>1192</x:v>
      </x:c>
      <x:c r="B1194" s="31" t="str">
        <x:f>IF('Execution Checklist'!Q1194="","",'Execution Checklist'!Q1194)</x:f>
      </x:c>
      <x:c r="C1194" s="31" t="str">
        <x:v>Finish with two objects in the bowl.</x:v>
      </x:c>
      <x:c r="D1194" s="31" t="str"/>
      <x:c r="E1194" s="31" t="str">
        <x:v>Binary task success; compare with the seen-language row sharing Pair ID.</x:v>
      </x:c>
      <x:c r="F1194" s="31"/>
      <x:c r="G1194" s="31"/>
      <x:c r="H1194" s="31" t="str">
        <x:f>IF(OR(F1194="",G1194=""),"",IF(F1194=G1194,"Agree","Disagree"))</x:f>
      </x:c>
      <x:c r="I1194" s="31"/>
      <x:c r="J1194" s="31" t="str">
        <x:v>No</x:v>
      </x:c>
      <x:c r="K1194" s="31" t="str"/>
      <x:c r="L1194" s="31" t="str"/>
      <x:c r="M1194" s="31" t="str"/>
      <x:c r="N1194" s="31" t="str"/>
    </x:row>
    <x:row r="1195" ht="42" customHeight="1">
      <x:c r="A1195" s="35" t="n">
        <x:v>1193</x:v>
      </x:c>
      <x:c r="B1195" s="31" t="str">
        <x:f>IF('Execution Checklist'!Q1195="","",'Execution Checklist'!Q1195)</x:f>
      </x:c>
      <x:c r="C1195" s="31" t="str">
        <x:v>Move the blue pen into the bowl.</x:v>
      </x:c>
      <x:c r="D1195" s="31" t="str">
        <x:v>blue pen</x:v>
      </x:c>
      <x:c r="E1195" s="31" t="str">
        <x:v>Binary task success using the task-specific rubric.</x:v>
      </x:c>
      <x:c r="F1195" s="31"/>
      <x:c r="G1195" s="31"/>
      <x:c r="H1195" s="31" t="str">
        <x:f>IF(OR(F1195="",G1195=""),"",IF(F1195=G1195,"Agree","Disagree"))</x:f>
      </x:c>
      <x:c r="I1195" s="31"/>
      <x:c r="J1195" s="31" t="str">
        <x:v>No</x:v>
      </x:c>
      <x:c r="K1195" s="31" t="str"/>
      <x:c r="L1195" s="31" t="str"/>
      <x:c r="M1195" s="31" t="str"/>
      <x:c r="N1195" s="31" t="str"/>
    </x:row>
    <x:row r="1196" ht="42" customHeight="1">
      <x:c r="A1196" s="35" t="n">
        <x:v>1194</x:v>
      </x:c>
      <x:c r="B1196" s="31" t="str">
        <x:f>IF('Execution Checklist'!Q1196="","",'Execution Checklist'!Q1196)</x:f>
      </x:c>
      <x:c r="C1196" s="31" t="str">
        <x:v>Leave exactly two objects in the bowl.</x:v>
      </x:c>
      <x:c r="D1196" s="31" t="str">
        <x:v>yellow block</x:v>
      </x:c>
      <x:c r="E1196" s="31" t="str">
        <x:v>Binary task success using the task-specific rubric.</x:v>
      </x:c>
      <x:c r="F1196" s="31"/>
      <x:c r="G1196" s="31"/>
      <x:c r="H1196" s="31" t="str">
        <x:f>IF(OR(F1196="",G1196=""),"",IF(F1196=G1196,"Agree","Disagree"))</x:f>
      </x:c>
      <x:c r="I1196" s="31"/>
      <x:c r="J1196" s="31" t="str">
        <x:v>No</x:v>
      </x:c>
      <x:c r="K1196" s="31" t="str"/>
      <x:c r="L1196" s="31" t="str"/>
      <x:c r="M1196" s="31" t="str"/>
      <x:c r="N1196" s="31" t="str"/>
    </x:row>
    <x:row r="1197" ht="42" customHeight="1">
      <x:c r="A1197" s="35" t="n">
        <x:v>1195</x:v>
      </x:c>
      <x:c r="B1197" s="31" t="str">
        <x:f>IF('Execution Checklist'!Q1197="","",'Execution Checklist'!Q1197)</x:f>
      </x:c>
      <x:c r="C1197" s="31" t="str">
        <x:v>Leave exactly three objects in the bowl.</x:v>
      </x:c>
      <x:c r="D1197" s="31" t="str">
        <x:v>ADD one table object</x:v>
      </x:c>
      <x:c r="E1197" s="31" t="str">
        <x:v>Binary task success; paired with the main matched-control row.</x:v>
      </x:c>
      <x:c r="F1197" s="31"/>
      <x:c r="G1197" s="31"/>
      <x:c r="H1197" s="31" t="str">
        <x:f>IF(OR(F1197="",G1197=""),"",IF(F1197=G1197,"Agree","Disagree"))</x:f>
      </x:c>
      <x:c r="I1197" s="31"/>
      <x:c r="J1197" s="31" t="str">
        <x:v>No</x:v>
      </x:c>
      <x:c r="K1197" s="31" t="str"/>
      <x:c r="L1197" s="31" t="str"/>
      <x:c r="M1197" s="31" t="str"/>
      <x:c r="N1197" s="31" t="str"/>
    </x:row>
    <x:row r="1198" ht="42" customHeight="1">
      <x:c r="A1198" s="35" t="n">
        <x:v>1196</x:v>
      </x:c>
      <x:c r="B1198" s="31" t="str">
        <x:f>IF('Execution Checklist'!Q1198="","",'Execution Checklist'!Q1198)</x:f>
      </x:c>
      <x:c r="C1198" s="31" t="str">
        <x:v>Leave exactly three objects in the bowl.</x:v>
      </x:c>
      <x:c r="D1198" s="31" t="str">
        <x:v>ADD one table object</x:v>
      </x:c>
      <x:c r="E1198" s="31" t="str">
        <x:v>Binary task success; paired with the main matched-control row.</x:v>
      </x:c>
      <x:c r="F1198" s="31"/>
      <x:c r="G1198" s="31"/>
      <x:c r="H1198" s="31" t="str">
        <x:f>IF(OR(F1198="",G1198=""),"",IF(F1198=G1198,"Agree","Disagree"))</x:f>
      </x:c>
      <x:c r="I1198" s="31"/>
      <x:c r="J1198" s="31" t="str">
        <x:v>No</x:v>
      </x:c>
      <x:c r="K1198" s="31" t="str"/>
      <x:c r="L1198" s="31" t="str"/>
      <x:c r="M1198" s="31" t="str"/>
      <x:c r="N1198" s="31" t="str"/>
    </x:row>
    <x:row r="1199" ht="42" customHeight="1">
      <x:c r="A1199" s="35" t="n">
        <x:v>1197</x:v>
      </x:c>
      <x:c r="B1199" s="31" t="str">
        <x:f>IF('Execution Checklist'!Q1199="","",'Execution Checklist'!Q1199)</x:f>
      </x:c>
      <x:c r="C1199" s="31" t="str">
        <x:v>Put the blue pen in the bowl.</x:v>
      </x:c>
      <x:c r="D1199" s="31" t="str">
        <x:v>ADD blue pen</x:v>
      </x:c>
      <x:c r="E1199" s="31" t="str">
        <x:v>Binary task success; paired with the main transfer row.</x:v>
      </x:c>
      <x:c r="F1199" s="31"/>
      <x:c r="G1199" s="31"/>
      <x:c r="H1199" s="31" t="str">
        <x:f>IF(OR(F1199="",G1199=""),"",IF(F1199=G1199,"Agree","Disagree"))</x:f>
      </x:c>
      <x:c r="I1199" s="31"/>
      <x:c r="J1199" s="31" t="str">
        <x:v>No</x:v>
      </x:c>
      <x:c r="K1199" s="31" t="str"/>
      <x:c r="L1199" s="31" t="str"/>
      <x:c r="M1199" s="31" t="str"/>
      <x:c r="N1199" s="31" t="str"/>
    </x:row>
    <x:row r="1200" ht="42" customHeight="1">
      <x:c r="A1200" s="35" t="n">
        <x:v>1198</x:v>
      </x:c>
      <x:c r="B1200" s="31" t="str">
        <x:f>IF('Execution Checklist'!Q1200="","",'Execution Checklist'!Q1200)</x:f>
      </x:c>
      <x:c r="C1200" s="31" t="str">
        <x:v>Leave no objects in the bowl.</x:v>
      </x:c>
      <x:c r="D1200" s="31" t="str">
        <x:v>blue pen</x:v>
      </x:c>
      <x:c r="E1200" s="31" t="str">
        <x:v>Binary task success using the task-specific rubric.</x:v>
      </x:c>
      <x:c r="F1200" s="31"/>
      <x:c r="G1200" s="31"/>
      <x:c r="H1200" s="31" t="str">
        <x:f>IF(OR(F1200="",G1200=""),"",IF(F1200=G1200,"Agree","Disagree"))</x:f>
      </x:c>
      <x:c r="I1200" s="31"/>
      <x:c r="J1200" s="31" t="str">
        <x:v>No</x:v>
      </x:c>
      <x:c r="K1200" s="31" t="str"/>
      <x:c r="L1200" s="31" t="str"/>
      <x:c r="M1200" s="31" t="str"/>
      <x:c r="N1200" s="31" t="str"/>
    </x:row>
    <x:row r="1201" ht="42" customHeight="1">
      <x:c r="A1201" s="35" t="n">
        <x:v>1199</x:v>
      </x:c>
      <x:c r="B1201" s="31" t="str">
        <x:f>IF('Execution Checklist'!Q1201="","",'Execution Checklist'!Q1201)</x:f>
      </x:c>
      <x:c r="C1201" s="31" t="str">
        <x:v>Remove the blue pen from the bowl.</x:v>
      </x:c>
      <x:c r="D1201" s="31" t="str">
        <x:v>REMOVE blue pen</x:v>
      </x:c>
      <x:c r="E1201" s="31" t="str">
        <x:v>Binary task success; paired with the main transfer row.</x:v>
      </x:c>
      <x:c r="F1201" s="31"/>
      <x:c r="G1201" s="31"/>
      <x:c r="H1201" s="31" t="str">
        <x:f>IF(OR(F1201="",G1201=""),"",IF(F1201=G1201,"Agree","Disagree"))</x:f>
      </x:c>
      <x:c r="I1201" s="31"/>
      <x:c r="J1201" s="31" t="str">
        <x:v>No</x:v>
      </x:c>
      <x:c r="K1201" s="31" t="str"/>
      <x:c r="L1201" s="31" t="str"/>
      <x:c r="M1201" s="31" t="str"/>
      <x:c r="N1201" s="31" t="str"/>
    </x:row>
    <x:row r="1202" ht="42" customHeight="1">
      <x:c r="A1202" s="35" t="n">
        <x:v>1200</x:v>
      </x:c>
      <x:c r="B1202" s="31" t="str">
        <x:f>IF('Execution Checklist'!Q1202="","",'Execution Checklist'!Q1202)</x:f>
      </x:c>
      <x:c r="C1202" s="31" t="str">
        <x:v>Finish with two objects in the bowl.</x:v>
      </x:c>
      <x:c r="D1202" s="31" t="str"/>
      <x:c r="E1202" s="31" t="str">
        <x:v>Binary task success; compare with the seen-language row sharing Pair ID.</x:v>
      </x:c>
      <x:c r="F1202" s="31"/>
      <x:c r="G1202" s="31"/>
      <x:c r="H1202" s="31" t="str">
        <x:f>IF(OR(F1202="",G1202=""),"",IF(F1202=G1202,"Agree","Disagree"))</x:f>
      </x:c>
      <x:c r="I1202" s="31"/>
      <x:c r="J1202" s="31" t="str">
        <x:v>No</x:v>
      </x:c>
      <x:c r="K1202" s="31" t="str"/>
      <x:c r="L1202" s="31" t="str"/>
      <x:c r="M1202" s="31" t="str"/>
      <x:c r="N1202" s="31" t="str"/>
    </x:row>
    <x:row r="1203" ht="42" customHeight="1">
      <x:c r="A1203" s="35" t="n">
        <x:v>1201</x:v>
      </x:c>
      <x:c r="B1203" s="31" t="str">
        <x:f>IF('Execution Checklist'!Q1203="","",'Execution Checklist'!Q1203)</x:f>
      </x:c>
      <x:c r="C1203" s="31" t="str">
        <x:v>Adjust the bowl so that it contains zero objects.</x:v>
      </x:c>
      <x:c r="D1203" s="31" t="str"/>
      <x:c r="E1203" s="31" t="str">
        <x:v>Binary task success using the task-specific rubric.</x:v>
      </x:c>
      <x:c r="F1203" s="31"/>
      <x:c r="G1203" s="31"/>
      <x:c r="H1203" s="31" t="str">
        <x:f>IF(OR(F1203="",G1203=""),"",IF(F1203=G1203,"Agree","Disagree"))</x:f>
      </x:c>
      <x:c r="I1203" s="31"/>
      <x:c r="J1203" s="31" t="str">
        <x:v>No</x:v>
      </x:c>
      <x:c r="K1203" s="31" t="str"/>
      <x:c r="L1203" s="31" t="str"/>
      <x:c r="M1203" s="31" t="str"/>
      <x:c r="N1203" s="31" t="str"/>
    </x:row>
    <x:row r="1204" ht="42" customHeight="1">
      <x:c r="A1204" s="35" t="n">
        <x:v>1202</x:v>
      </x:c>
      <x:c r="B1204" s="31" t="str">
        <x:f>IF('Execution Checklist'!Q1204="","",'Execution Checklist'!Q1204)</x:f>
      </x:c>
      <x:c r="C1204" s="31" t="str">
        <x:v>Remove the yellow block from the bowl.</x:v>
      </x:c>
      <x:c r="D1204" s="31" t="str">
        <x:v>yellow block</x:v>
      </x:c>
      <x:c r="E1204" s="31" t="str">
        <x:v>Binary task success using the task-specific rubric.</x:v>
      </x:c>
      <x:c r="F1204" s="31"/>
      <x:c r="G1204" s="31"/>
      <x:c r="H1204" s="31" t="str">
        <x:f>IF(OR(F1204="",G1204=""),"",IF(F1204=G1204,"Agree","Disagree"))</x:f>
      </x:c>
      <x:c r="I1204" s="31"/>
      <x:c r="J1204" s="31" t="str">
        <x:v>No</x:v>
      </x:c>
      <x:c r="K1204" s="31" t="str"/>
      <x:c r="L1204" s="31" t="str"/>
      <x:c r="M1204" s="31" t="str"/>
      <x:c r="N1204" s="31" t="str"/>
    </x:row>
    <x:row r="1205" ht="42" customHeight="1">
      <x:c r="A1205" s="35" t="n">
        <x:v>1203</x:v>
      </x:c>
      <x:c r="B1205" s="31" t="str">
        <x:f>IF('Execution Checklist'!Q1205="","",'Execution Checklist'!Q1205)</x:f>
      </x:c>
      <x:c r="C1205" s="31" t="str">
        <x:v>Put the airplane toy without propellers in the bowl.</x:v>
      </x:c>
      <x:c r="D1205" s="31" t="str">
        <x:v>ADD airplane toy without propellers</x:v>
      </x:c>
      <x:c r="E1205" s="31" t="str">
        <x:v>Binary task success; paired with the main transfer row.</x:v>
      </x:c>
      <x:c r="F1205" s="31"/>
      <x:c r="G1205" s="31"/>
      <x:c r="H1205" s="31" t="str">
        <x:f>IF(OR(F1205="",G1205=""),"",IF(F1205=G1205,"Agree","Disagree"))</x:f>
      </x:c>
      <x:c r="I1205" s="31"/>
      <x:c r="J1205" s="31" t="str">
        <x:v>No</x:v>
      </x:c>
      <x:c r="K1205" s="31" t="str"/>
      <x:c r="L1205" s="31" t="str"/>
      <x:c r="M1205" s="31" t="str"/>
      <x:c r="N1205" s="31" t="str"/>
    </x:row>
    <x:row r="1206" ht="42" customHeight="1">
      <x:c r="A1206" s="35" t="n">
        <x:v>1204</x:v>
      </x:c>
      <x:c r="B1206" s="31" t="str">
        <x:f>IF('Execution Checklist'!Q1206="","",'Execution Checklist'!Q1206)</x:f>
      </x:c>
      <x:c r="C1206" s="31" t="str">
        <x:v>Remove the blue pen from the bowl.</x:v>
      </x:c>
      <x:c r="D1206" s="31" t="str">
        <x:v>REMOVE blue pen</x:v>
      </x:c>
      <x:c r="E1206" s="31" t="str">
        <x:v>Binary task success; paired with the main transfer row.</x:v>
      </x:c>
      <x:c r="F1206" s="31"/>
      <x:c r="G1206" s="31"/>
      <x:c r="H1206" s="31" t="str">
        <x:f>IF(OR(F1206="",G1206=""),"",IF(F1206=G1206,"Agree","Disagree"))</x:f>
      </x:c>
      <x:c r="I1206" s="31"/>
      <x:c r="J1206" s="31" t="str">
        <x:v>No</x:v>
      </x:c>
      <x:c r="K1206" s="31" t="str"/>
      <x:c r="L1206" s="31" t="str"/>
      <x:c r="M1206" s="31" t="str"/>
      <x:c r="N1206" s="31" t="str"/>
    </x:row>
    <x:row r="1207" ht="42" customHeight="1">
      <x:c r="A1207" s="35" t="n">
        <x:v>1205</x:v>
      </x:c>
      <x:c r="B1207" s="31" t="str">
        <x:f>IF('Execution Checklist'!Q1207="","",'Execution Checklist'!Q1207)</x:f>
      </x:c>
      <x:c r="C1207" s="31" t="str">
        <x:v>Make the bowl contain exactly two objects.</x:v>
      </x:c>
      <x:c r="D1207" s="31" t="str"/>
      <x:c r="E1207" s="31" t="str">
        <x:v>Binary task success using the task-specific rubric.</x:v>
      </x:c>
      <x:c r="F1207" s="31"/>
      <x:c r="G1207" s="31"/>
      <x:c r="H1207" s="31" t="str">
        <x:f>IF(OR(F1207="",G1207=""),"",IF(F1207=G1207,"Agree","Disagree"))</x:f>
      </x:c>
      <x:c r="I1207" s="31"/>
      <x:c r="J1207" s="31" t="str">
        <x:v>No</x:v>
      </x:c>
      <x:c r="K1207" s="31" t="str"/>
      <x:c r="L1207" s="31" t="str"/>
      <x:c r="M1207" s="31" t="str"/>
      <x:c r="N1207" s="31" t="str"/>
    </x:row>
    <x:row r="1208" ht="42" customHeight="1">
      <x:c r="A1208" s="35" t="n">
        <x:v>1206</x:v>
      </x:c>
      <x:c r="B1208" s="31" t="str">
        <x:f>IF('Execution Checklist'!Q1208="","",'Execution Checklist'!Q1208)</x:f>
      </x:c>
      <x:c r="C1208" s="31" t="str">
        <x:v>Leave exactly one object in the bowl.</x:v>
      </x:c>
      <x:c r="D1208" s="31" t="str">
        <x:v>REMOVE one bowl object</x:v>
      </x:c>
      <x:c r="E1208" s="31" t="str">
        <x:v>Binary task success; paired with the main matched-control row.</x:v>
      </x:c>
      <x:c r="F1208" s="31"/>
      <x:c r="G1208" s="31"/>
      <x:c r="H1208" s="31" t="str">
        <x:f>IF(OR(F1208="",G1208=""),"",IF(F1208=G1208,"Agree","Disagree"))</x:f>
      </x:c>
      <x:c r="I1208" s="31"/>
      <x:c r="J1208" s="31" t="str">
        <x:v>No</x:v>
      </x:c>
      <x:c r="K1208" s="31" t="str"/>
      <x:c r="L1208" s="31" t="str"/>
      <x:c r="M1208" s="31" t="str"/>
      <x:c r="N1208" s="31" t="str"/>
    </x:row>
    <x:row r="1209" ht="42" customHeight="1">
      <x:c r="A1209" s="35" t="n">
        <x:v>1207</x:v>
      </x:c>
      <x:c r="B1209" s="31" t="str">
        <x:f>IF('Execution Checklist'!Q1209="","",'Execution Checklist'!Q1209)</x:f>
      </x:c>
      <x:c r="C1209" s="31" t="str">
        <x:v>Finish with two objects in the bowl.</x:v>
      </x:c>
      <x:c r="D1209" s="31" t="str"/>
      <x:c r="E1209" s="31" t="str">
        <x:v>Binary task success; compare with the seen-language row sharing Pair ID.</x:v>
      </x:c>
      <x:c r="F1209" s="31"/>
      <x:c r="G1209" s="31"/>
      <x:c r="H1209" s="31" t="str">
        <x:f>IF(OR(F1209="",G1209=""),"",IF(F1209=G1209,"Agree","Disagree"))</x:f>
      </x:c>
      <x:c r="I1209" s="31"/>
      <x:c r="J1209" s="31" t="str">
        <x:v>No</x:v>
      </x:c>
      <x:c r="K1209" s="31" t="str"/>
      <x:c r="L1209" s="31" t="str"/>
      <x:c r="M1209" s="31" t="str"/>
      <x:c r="N1209" s="31" t="str"/>
    </x:row>
    <x:row r="1210" ht="42" customHeight="1">
      <x:c r="A1210" s="35" t="n">
        <x:v>1208</x:v>
      </x:c>
      <x:c r="B1210" s="31" t="str">
        <x:f>IF('Execution Checklist'!Q1210="","",'Execution Checklist'!Q1210)</x:f>
      </x:c>
      <x:c r="C1210" s="31" t="str">
        <x:v>Leave exactly three objects in the bowl.</x:v>
      </x:c>
      <x:c r="D1210" s="31" t="str">
        <x:v>ADD one table object</x:v>
      </x:c>
      <x:c r="E1210" s="31" t="str">
        <x:v>Binary success for the counterfactual instruction and paired action-switch analysis versus the parent.</x:v>
      </x:c>
      <x:c r="F1210" s="31"/>
      <x:c r="G1210" s="31"/>
      <x:c r="H1210" s="31" t="str">
        <x:f>IF(OR(F1210="",G1210=""),"",IF(F1210=G1210,"Agree","Disagree"))</x:f>
      </x:c>
      <x:c r="I1210" s="31"/>
      <x:c r="J1210" s="31" t="str">
        <x:v>No</x:v>
      </x:c>
      <x:c r="K1210" s="31" t="str"/>
      <x:c r="L1210" s="31" t="str"/>
      <x:c r="M1210" s="31" t="str"/>
      <x:c r="N1210" s="31" t="str"/>
    </x:row>
    <x:row r="1211" ht="42" customHeight="1">
      <x:c r="A1211" s="35" t="n">
        <x:v>1209</x:v>
      </x:c>
      <x:c r="B1211" s="31" t="str">
        <x:f>IF('Execution Checklist'!Q1211="","",'Execution Checklist'!Q1211)</x:f>
      </x:c>
      <x:c r="C1211" s="31" t="str">
        <x:v>Adjust the bowl so that it contains two objects.</x:v>
      </x:c>
      <x:c r="D1211" s="31" t="str"/>
      <x:c r="E1211" s="31" t="str">
        <x:v>Binary task success using the task-specific rubric.</x:v>
      </x:c>
      <x:c r="F1211" s="31"/>
      <x:c r="G1211" s="31"/>
      <x:c r="H1211" s="31" t="str">
        <x:f>IF(OR(F1211="",G1211=""),"",IF(F1211=G1211,"Agree","Disagree"))</x:f>
      </x:c>
      <x:c r="I1211" s="31"/>
      <x:c r="J1211" s="31" t="str">
        <x:v>No</x:v>
      </x:c>
      <x:c r="K1211" s="31" t="str"/>
      <x:c r="L1211" s="31" t="str"/>
      <x:c r="M1211" s="31" t="str"/>
      <x:c r="N1211" s="31" t="str"/>
    </x:row>
    <x:row r="1212" ht="42" customHeight="1">
      <x:c r="A1212" s="35" t="n">
        <x:v>1210</x:v>
      </x:c>
      <x:c r="B1212" s="31" t="str">
        <x:f>IF('Execution Checklist'!Q1212="","",'Execution Checklist'!Q1212)</x:f>
      </x:c>
      <x:c r="C1212" s="31" t="str">
        <x:v>Remove the green pencil sharpener from the bowl.</x:v>
      </x:c>
      <x:c r="D1212" s="31" t="str">
        <x:v>REMOVE green pencil sharpener</x:v>
      </x:c>
      <x:c r="E1212" s="31" t="str">
        <x:v>Binary task success; paired with the main transfer row.</x:v>
      </x:c>
      <x:c r="F1212" s="31"/>
      <x:c r="G1212" s="31"/>
      <x:c r="H1212" s="31" t="str">
        <x:f>IF(OR(F1212="",G1212=""),"",IF(F1212=G1212,"Agree","Disagree"))</x:f>
      </x:c>
      <x:c r="I1212" s="31"/>
      <x:c r="J1212" s="31" t="str">
        <x:v>No</x:v>
      </x:c>
      <x:c r="K1212" s="31" t="str"/>
      <x:c r="L1212" s="31" t="str"/>
      <x:c r="M1212" s="31" t="str"/>
      <x:c r="N1212" s="31" t="str"/>
    </x:row>
    <x:row r="1213" ht="42" customHeight="1">
      <x:c r="A1213" s="35" t="n">
        <x:v>1211</x:v>
      </x:c>
      <x:c r="B1213" s="31" t="str">
        <x:f>IF('Execution Checklist'!Q1213="","",'Execution Checklist'!Q1213)</x:f>
      </x:c>
      <x:c r="C1213" s="31" t="str">
        <x:v>Put the airplane toy without propellers in the bowl.</x:v>
      </x:c>
      <x:c r="D1213" s="31" t="str">
        <x:v>ADD airplane toy without propellers</x:v>
      </x:c>
      <x:c r="E1213" s="31" t="str">
        <x:v>Binary task success; paired with the main transfer row.</x:v>
      </x:c>
      <x:c r="F1213" s="31"/>
      <x:c r="G1213" s="31"/>
      <x:c r="H1213" s="31" t="str">
        <x:f>IF(OR(F1213="",G1213=""),"",IF(F1213=G1213,"Agree","Disagree"))</x:f>
      </x:c>
      <x:c r="I1213" s="31"/>
      <x:c r="J1213" s="31" t="str">
        <x:v>No</x:v>
      </x:c>
      <x:c r="K1213" s="31" t="str"/>
      <x:c r="L1213" s="31" t="str"/>
      <x:c r="M1213" s="31" t="str"/>
      <x:c r="N1213" s="31" t="str"/>
    </x:row>
    <x:row r="1214" ht="42" customHeight="1">
      <x:c r="A1214" s="35" t="n">
        <x:v>1212</x:v>
      </x:c>
      <x:c r="B1214" s="31" t="str">
        <x:f>IF('Execution Checklist'!Q1214="","",'Execution Checklist'!Q1214)</x:f>
      </x:c>
      <x:c r="C1214" s="31" t="str">
        <x:v>Leave exactly three objects in the bowl.</x:v>
      </x:c>
      <x:c r="D1214" s="31" t="str">
        <x:v>ADD one table object</x:v>
      </x:c>
      <x:c r="E1214" s="31" t="str">
        <x:v>Binary success for the counterfactual instruction and paired action-switch analysis versus the parent.</x:v>
      </x:c>
      <x:c r="F1214" s="31"/>
      <x:c r="G1214" s="31"/>
      <x:c r="H1214" s="31" t="str">
        <x:f>IF(OR(F1214="",G1214=""),"",IF(F1214=G1214,"Agree","Disagree"))</x:f>
      </x:c>
      <x:c r="I1214" s="31"/>
      <x:c r="J1214" s="31" t="str">
        <x:v>No</x:v>
      </x:c>
      <x:c r="K1214" s="31" t="str"/>
      <x:c r="L1214" s="31" t="str"/>
      <x:c r="M1214" s="31" t="str"/>
      <x:c r="N1214" s="31" t="str"/>
    </x:row>
    <x:row r="1215" ht="42" customHeight="1">
      <x:c r="A1215" s="35" t="n">
        <x:v>1213</x:v>
      </x:c>
      <x:c r="B1215" s="31" t="str">
        <x:f>IF('Execution Checklist'!Q1215="","",'Execution Checklist'!Q1215)</x:f>
      </x:c>
      <x:c r="C1215" s="31" t="str">
        <x:v>Finish with two objects in the bowl.</x:v>
      </x:c>
      <x:c r="D1215" s="31" t="str"/>
      <x:c r="E1215" s="31" t="str">
        <x:v>Binary task success; compare with the seen-language row sharing Pair ID.</x:v>
      </x:c>
      <x:c r="F1215" s="31"/>
      <x:c r="G1215" s="31"/>
      <x:c r="H1215" s="31" t="str">
        <x:f>IF(OR(F1215="",G1215=""),"",IF(F1215=G1215,"Agree","Disagree"))</x:f>
      </x:c>
      <x:c r="I1215" s="31"/>
      <x:c r="J1215" s="31" t="str">
        <x:v>No</x:v>
      </x:c>
      <x:c r="K1215" s="31" t="str"/>
      <x:c r="L1215" s="31" t="str"/>
      <x:c r="M1215" s="31" t="str"/>
      <x:c r="N1215" s="31" t="str"/>
    </x:row>
    <x:row r="1216" ht="42" customHeight="1">
      <x:c r="A1216" s="35" t="n">
        <x:v>1214</x:v>
      </x:c>
      <x:c r="B1216" s="31" t="str">
        <x:f>IF('Execution Checklist'!Q1216="","",'Execution Checklist'!Q1216)</x:f>
      </x:c>
      <x:c r="C1216" s="31" t="str">
        <x:v>Leave exactly one object in the bowl.</x:v>
      </x:c>
      <x:c r="D1216" s="31" t="str">
        <x:v>REMOVE one bowl object</x:v>
      </x:c>
      <x:c r="E1216" s="31" t="str">
        <x:v>Binary success for the counterfactual instruction and paired action-switch analysis versus the parent.</x:v>
      </x:c>
      <x:c r="F1216" s="31"/>
      <x:c r="G1216" s="31"/>
      <x:c r="H1216" s="31" t="str">
        <x:f>IF(OR(F1216="",G1216=""),"",IF(F1216=G1216,"Agree","Disagree"))</x:f>
      </x:c>
      <x:c r="I1216" s="31"/>
      <x:c r="J1216" s="31" t="str">
        <x:v>No</x:v>
      </x:c>
      <x:c r="K1216" s="31" t="str"/>
      <x:c r="L1216" s="31" t="str"/>
      <x:c r="M1216" s="31" t="str"/>
      <x:c r="N1216" s="31" t="str"/>
    </x:row>
    <x:row r="1217" ht="42" customHeight="1">
      <x:c r="A1217" s="35" t="n">
        <x:v>1215</x:v>
      </x:c>
      <x:c r="B1217" s="31" t="str">
        <x:f>IF('Execution Checklist'!Q1217="","",'Execution Checklist'!Q1217)</x:f>
      </x:c>
      <x:c r="C1217" s="31" t="str">
        <x:v>Leave exactly one object in the bowl.</x:v>
      </x:c>
      <x:c r="D1217" s="31" t="str">
        <x:v>REMOVE one bowl object</x:v>
      </x:c>
      <x:c r="E1217" s="31" t="str">
        <x:v>Binary task success; paired with the main matched-control row.</x:v>
      </x:c>
      <x:c r="F1217" s="31"/>
      <x:c r="G1217" s="31"/>
      <x:c r="H1217" s="31" t="str">
        <x:f>IF(OR(F1217="",G1217=""),"",IF(F1217=G1217,"Agree","Disagree"))</x:f>
      </x:c>
      <x:c r="I1217" s="31"/>
      <x:c r="J1217" s="31" t="str">
        <x:v>No</x:v>
      </x:c>
      <x:c r="K1217" s="31" t="str"/>
      <x:c r="L1217" s="31" t="str"/>
      <x:c r="M1217" s="31" t="str"/>
      <x:c r="N1217" s="31" t="str"/>
    </x:row>
    <x:row r="1218" ht="42" customHeight="1">
      <x:c r="A1218" s="35" t="n">
        <x:v>1216</x:v>
      </x:c>
      <x:c r="B1218" s="31" t="str">
        <x:f>IF('Execution Checklist'!Q1218="","",'Execution Checklist'!Q1218)</x:f>
      </x:c>
      <x:c r="C1218" s="31" t="str">
        <x:v>Put the green pencil sharpener in the bowl.</x:v>
      </x:c>
      <x:c r="D1218" s="31" t="str">
        <x:v>ADD green pencil sharpener</x:v>
      </x:c>
      <x:c r="E1218" s="31" t="str">
        <x:v>Binary task success; paired with the main transfer row.</x:v>
      </x:c>
      <x:c r="F1218" s="31"/>
      <x:c r="G1218" s="31"/>
      <x:c r="H1218" s="31" t="str">
        <x:f>IF(OR(F1218="",G1218=""),"",IF(F1218=G1218,"Agree","Disagree"))</x:f>
      </x:c>
      <x:c r="I1218" s="31"/>
      <x:c r="J1218" s="31" t="str">
        <x:v>No</x:v>
      </x:c>
      <x:c r="K1218" s="31" t="str"/>
      <x:c r="L1218" s="31" t="str"/>
      <x:c r="M1218" s="31" t="str"/>
      <x:c r="N1218" s="31" t="str"/>
    </x:row>
    <x:row r="1219" ht="42" customHeight="1">
      <x:c r="A1219" s="35" t="n">
        <x:v>1217</x:v>
      </x:c>
      <x:c r="B1219" s="31" t="str">
        <x:f>IF('Execution Checklist'!Q1219="","",'Execution Checklist'!Q1219)</x:f>
      </x:c>
      <x:c r="C1219" s="31" t="str">
        <x:v>Make the bowl contain exactly zero objects.</x:v>
      </x:c>
      <x:c r="D1219" s="31" t="str"/>
      <x:c r="E1219" s="31" t="str">
        <x:v>Binary task success using the task-specific rubric.</x:v>
      </x:c>
      <x:c r="F1219" s="31"/>
      <x:c r="G1219" s="31"/>
      <x:c r="H1219" s="31" t="str">
        <x:f>IF(OR(F1219="",G1219=""),"",IF(F1219=G1219,"Agree","Disagree"))</x:f>
      </x:c>
      <x:c r="I1219" s="31"/>
      <x:c r="J1219" s="31" t="str">
        <x:v>No</x:v>
      </x:c>
      <x:c r="K1219" s="31" t="str"/>
      <x:c r="L1219" s="31" t="str"/>
      <x:c r="M1219" s="31" t="str"/>
      <x:c r="N1219" s="31" t="str"/>
    </x:row>
    <x:row r="1220" ht="42" customHeight="1">
      <x:c r="A1220" s="35" t="n">
        <x:v>1218</x:v>
      </x:c>
      <x:c r="B1220" s="31" t="str">
        <x:f>IF('Execution Checklist'!Q1220="","",'Execution Checklist'!Q1220)</x:f>
      </x:c>
      <x:c r="C1220" s="31" t="str">
        <x:v>Put the blue pen in the bowl.</x:v>
      </x:c>
      <x:c r="D1220" s="31" t="str">
        <x:v>ADD blue pen</x:v>
      </x:c>
      <x:c r="E1220" s="31" t="str">
        <x:v>Binary task success; paired with the main transfer row.</x:v>
      </x:c>
      <x:c r="F1220" s="31"/>
      <x:c r="G1220" s="31"/>
      <x:c r="H1220" s="31" t="str">
        <x:f>IF(OR(F1220="",G1220=""),"",IF(F1220=G1220,"Agree","Disagree"))</x:f>
      </x:c>
      <x:c r="I1220" s="31"/>
      <x:c r="J1220" s="31" t="str">
        <x:v>No</x:v>
      </x:c>
      <x:c r="K1220" s="31" t="str"/>
      <x:c r="L1220" s="31" t="str"/>
      <x:c r="M1220" s="31" t="str"/>
      <x:c r="N1220" s="31" t="str"/>
    </x:row>
    <x:row r="1221" ht="42" customHeight="1">
      <x:c r="A1221" s="35" t="n">
        <x:v>1219</x:v>
      </x:c>
      <x:c r="B1221" s="31" t="str">
        <x:f>IF('Execution Checklist'!Q1221="","",'Execution Checklist'!Q1221)</x:f>
      </x:c>
      <x:c r="C1221" s="31" t="str">
        <x:v>Remove the yellow block from the bowl.</x:v>
      </x:c>
      <x:c r="D1221" s="31" t="str">
        <x:v>REMOVE yellow block</x:v>
      </x:c>
      <x:c r="E1221" s="31" t="str">
        <x:v>Binary task success; paired with the main transfer row.</x:v>
      </x:c>
      <x:c r="F1221" s="31"/>
      <x:c r="G1221" s="31"/>
      <x:c r="H1221" s="31" t="str">
        <x:f>IF(OR(F1221="",G1221=""),"",IF(F1221=G1221,"Agree","Disagree"))</x:f>
      </x:c>
      <x:c r="I1221" s="31"/>
      <x:c r="J1221" s="31" t="str">
        <x:v>No</x:v>
      </x:c>
      <x:c r="K1221" s="31" t="str"/>
      <x:c r="L1221" s="31" t="str"/>
      <x:c r="M1221" s="31" t="str"/>
      <x:c r="N1221" s="31" t="str"/>
    </x:row>
    <x:row r="1222" ht="42" customHeight="1">
      <x:c r="A1222" s="35" t="n">
        <x:v>1220</x:v>
      </x:c>
      <x:c r="B1222" s="31" t="str">
        <x:f>IF('Execution Checklist'!Q1222="","",'Execution Checklist'!Q1222)</x:f>
      </x:c>
      <x:c r="C1222" s="31" t="str">
        <x:v>Put the green pencil sharpener in the bowl.</x:v>
      </x:c>
      <x:c r="D1222" s="31" t="str">
        <x:v>ADD green pencil sharpener</x:v>
      </x:c>
      <x:c r="E1222" s="31" t="str">
        <x:v>Binary task success; paired with the main transfer row.</x:v>
      </x:c>
      <x:c r="F1222" s="31"/>
      <x:c r="G1222" s="31"/>
      <x:c r="H1222" s="31" t="str">
        <x:f>IF(OR(F1222="",G1222=""),"",IF(F1222=G1222,"Agree","Disagree"))</x:f>
      </x:c>
      <x:c r="I1222" s="31"/>
      <x:c r="J1222" s="31" t="str">
        <x:v>No</x:v>
      </x:c>
      <x:c r="K1222" s="31" t="str"/>
      <x:c r="L1222" s="31" t="str"/>
      <x:c r="M1222" s="31" t="str"/>
      <x:c r="N1222" s="31" t="str"/>
    </x:row>
    <x:row r="1223" ht="42" customHeight="1">
      <x:c r="A1223" s="35" t="n">
        <x:v>1221</x:v>
      </x:c>
      <x:c r="B1223" s="31" t="str">
        <x:f>IF('Execution Checklist'!Q1223="","",'Execution Checklist'!Q1223)</x:f>
      </x:c>
      <x:c r="C1223" s="31" t="str">
        <x:v>Put the yellow block in the bowl.</x:v>
      </x:c>
      <x:c r="D1223" s="31" t="str">
        <x:v>ADD yellow block</x:v>
      </x:c>
      <x:c r="E1223" s="31" t="str">
        <x:v>Binary task success; paired with the main transfer row.</x:v>
      </x:c>
      <x:c r="F1223" s="31"/>
      <x:c r="G1223" s="31"/>
      <x:c r="H1223" s="31" t="str">
        <x:f>IF(OR(F1223="",G1223=""),"",IF(F1223=G1223,"Agree","Disagree"))</x:f>
      </x:c>
      <x:c r="I1223" s="31"/>
      <x:c r="J1223" s="31" t="str">
        <x:v>No</x:v>
      </x:c>
      <x:c r="K1223" s="31" t="str"/>
      <x:c r="L1223" s="31" t="str"/>
      <x:c r="M1223" s="31" t="str"/>
      <x:c r="N1223" s="31" t="str"/>
    </x:row>
    <x:row r="1224" ht="42" customHeight="1">
      <x:c r="A1224" s="35" t="n">
        <x:v>1222</x:v>
      </x:c>
      <x:c r="B1224" s="31" t="str">
        <x:f>IF('Execution Checklist'!Q1224="","",'Execution Checklist'!Q1224)</x:f>
      </x:c>
      <x:c r="C1224" s="31" t="str">
        <x:v>Leave exactly three objects in the bowl.</x:v>
      </x:c>
      <x:c r="D1224" s="31" t="str">
        <x:v>ADD one table object</x:v>
      </x:c>
      <x:c r="E1224" s="31" t="str">
        <x:v>Binary task success; paired with the main matched-control row.</x:v>
      </x:c>
      <x:c r="F1224" s="31"/>
      <x:c r="G1224" s="31"/>
      <x:c r="H1224" s="31" t="str">
        <x:f>IF(OR(F1224="",G1224=""),"",IF(F1224=G1224,"Agree","Disagree"))</x:f>
      </x:c>
      <x:c r="I1224" s="31"/>
      <x:c r="J1224" s="31" t="str">
        <x:v>No</x:v>
      </x:c>
      <x:c r="K1224" s="31" t="str"/>
      <x:c r="L1224" s="31" t="str"/>
      <x:c r="M1224" s="31" t="str"/>
      <x:c r="N1224" s="31" t="str"/>
    </x:row>
    <x:row r="1225" ht="42" customHeight="1">
      <x:c r="A1225" s="35" t="n">
        <x:v>1223</x:v>
      </x:c>
      <x:c r="B1225" s="31" t="str">
        <x:f>IF('Execution Checklist'!Q1225="","",'Execution Checklist'!Q1225)</x:f>
      </x:c>
      <x:c r="C1225" s="31" t="str">
        <x:v>Adjust the bowl so that it contains two objects.</x:v>
      </x:c>
      <x:c r="D1225" s="31" t="str"/>
      <x:c r="E1225" s="31" t="str">
        <x:v>Binary task success using the task-specific rubric.</x:v>
      </x:c>
      <x:c r="F1225" s="31"/>
      <x:c r="G1225" s="31"/>
      <x:c r="H1225" s="31" t="str">
        <x:f>IF(OR(F1225="",G1225=""),"",IF(F1225=G1225,"Agree","Disagree"))</x:f>
      </x:c>
      <x:c r="I1225" s="31"/>
      <x:c r="J1225" s="31" t="str">
        <x:v>No</x:v>
      </x:c>
      <x:c r="K1225" s="31" t="str"/>
      <x:c r="L1225" s="31" t="str"/>
      <x:c r="M1225" s="31" t="str"/>
      <x:c r="N1225" s="31" t="str"/>
    </x:row>
    <x:row r="1226" ht="42" customHeight="1">
      <x:c r="A1226" s="35" t="n">
        <x:v>1224</x:v>
      </x:c>
      <x:c r="B1226" s="31" t="str">
        <x:f>IF('Execution Checklist'!Q1226="","",'Execution Checklist'!Q1226)</x:f>
      </x:c>
      <x:c r="C1226" s="31" t="str">
        <x:v>Leave exactly one object in the bowl.</x:v>
      </x:c>
      <x:c r="D1226" s="31" t="str">
        <x:v>REMOVE one bowl object</x:v>
      </x:c>
      <x:c r="E1226" s="31" t="str">
        <x:v>Binary success for the counterfactual instruction and paired action-switch analysis versus the parent.</x:v>
      </x:c>
      <x:c r="F1226" s="31"/>
      <x:c r="G1226" s="31"/>
      <x:c r="H1226" s="31" t="str">
        <x:f>IF(OR(F1226="",G1226=""),"",IF(F1226=G1226,"Agree","Disagree"))</x:f>
      </x:c>
      <x:c r="I1226" s="31"/>
      <x:c r="J1226" s="31" t="str">
        <x:v>No</x:v>
      </x:c>
      <x:c r="K1226" s="31" t="str"/>
      <x:c r="L1226" s="31" t="str"/>
      <x:c r="M1226" s="31" t="str"/>
      <x:c r="N1226" s="31" t="str"/>
    </x:row>
    <x:row r="1227" ht="42" customHeight="1">
      <x:c r="A1227" s="35" t="n">
        <x:v>1225</x:v>
      </x:c>
      <x:c r="B1227" s="31" t="str">
        <x:f>IF('Execution Checklist'!Q1227="","",'Execution Checklist'!Q1227)</x:f>
      </x:c>
      <x:c r="C1227" s="31" t="str">
        <x:v>Finish with two objects in the bowl.</x:v>
      </x:c>
      <x:c r="D1227" s="31" t="str"/>
      <x:c r="E1227" s="31" t="str">
        <x:v>Binary task success; compare with the seen-language row sharing Pair ID.</x:v>
      </x:c>
      <x:c r="F1227" s="31"/>
      <x:c r="G1227" s="31"/>
      <x:c r="H1227" s="31" t="str">
        <x:f>IF(OR(F1227="",G1227=""),"",IF(F1227=G1227,"Agree","Disagree"))</x:f>
      </x:c>
      <x:c r="I1227" s="31"/>
      <x:c r="J1227" s="31" t="str">
        <x:v>No</x:v>
      </x:c>
      <x:c r="K1227" s="31" t="str"/>
      <x:c r="L1227" s="31" t="str"/>
      <x:c r="M1227" s="31" t="str"/>
      <x:c r="N1227" s="31" t="str"/>
    </x:row>
    <x:row r="1228" ht="42" customHeight="1">
      <x:c r="A1228" s="35" t="n">
        <x:v>1226</x:v>
      </x:c>
      <x:c r="B1228" s="31" t="str">
        <x:f>IF('Execution Checklist'!Q1228="","",'Execution Checklist'!Q1228)</x:f>
      </x:c>
      <x:c r="C1228" s="31" t="str">
        <x:v>Put the yellow block in the bowl.</x:v>
      </x:c>
      <x:c r="D1228" s="31" t="str">
        <x:v>ADD yellow block</x:v>
      </x:c>
      <x:c r="E1228" s="31" t="str">
        <x:v>Binary task success; paired with the main transfer row.</x:v>
      </x:c>
      <x:c r="F1228" s="31"/>
      <x:c r="G1228" s="31"/>
      <x:c r="H1228" s="31" t="str">
        <x:f>IF(OR(F1228="",G1228=""),"",IF(F1228=G1228,"Agree","Disagree"))</x:f>
      </x:c>
      <x:c r="I1228" s="31"/>
      <x:c r="J1228" s="31" t="str">
        <x:v>No</x:v>
      </x:c>
      <x:c r="K1228" s="31" t="str"/>
      <x:c r="L1228" s="31" t="str"/>
      <x:c r="M1228" s="31" t="str"/>
      <x:c r="N1228" s="31" t="str"/>
    </x:row>
    <x:row r="1229" ht="42" customHeight="1">
      <x:c r="A1229" s="35" t="n">
        <x:v>1227</x:v>
      </x:c>
      <x:c r="B1229" s="31" t="str">
        <x:f>IF('Execution Checklist'!Q1229="","",'Execution Checklist'!Q1229)</x:f>
      </x:c>
      <x:c r="C1229" s="31" t="str">
        <x:v>Leave exactly three objects in the bowl.</x:v>
      </x:c>
      <x:c r="D1229" s="31" t="str">
        <x:v>ADD one table object</x:v>
      </x:c>
      <x:c r="E1229" s="31" t="str">
        <x:v>Binary task success; paired with the main matched-control row.</x:v>
      </x:c>
      <x:c r="F1229" s="31"/>
      <x:c r="G1229" s="31"/>
      <x:c r="H1229" s="31" t="str">
        <x:f>IF(OR(F1229="",G1229=""),"",IF(F1229=G1229,"Agree","Disagree"))</x:f>
      </x:c>
      <x:c r="I1229" s="31"/>
      <x:c r="J1229" s="31" t="str">
        <x:v>No</x:v>
      </x:c>
      <x:c r="K1229" s="31" t="str"/>
      <x:c r="L1229" s="31" t="str"/>
      <x:c r="M1229" s="31" t="str"/>
      <x:c r="N1229" s="31" t="str"/>
    </x:row>
    <x:row r="1230" ht="42" customHeight="1">
      <x:c r="A1230" s="35" t="n">
        <x:v>1228</x:v>
      </x:c>
      <x:c r="B1230" s="31" t="str">
        <x:f>IF('Execution Checklist'!Q1230="","",'Execution Checklist'!Q1230)</x:f>
      </x:c>
      <x:c r="C1230" s="31" t="str">
        <x:v>Leave exactly one object in the bowl.</x:v>
      </x:c>
      <x:c r="D1230" s="31" t="str">
        <x:v>REMOVE one bowl object</x:v>
      </x:c>
      <x:c r="E1230" s="31" t="str">
        <x:v>Binary task success; paired with the main matched-control row.</x:v>
      </x:c>
      <x:c r="F1230" s="31"/>
      <x:c r="G1230" s="31"/>
      <x:c r="H1230" s="31" t="str">
        <x:f>IF(OR(F1230="",G1230=""),"",IF(F1230=G1230,"Agree","Disagree"))</x:f>
      </x:c>
      <x:c r="I1230" s="31"/>
      <x:c r="J1230" s="31" t="str">
        <x:v>No</x:v>
      </x:c>
      <x:c r="K1230" s="31" t="str"/>
      <x:c r="L1230" s="31" t="str"/>
      <x:c r="M1230" s="31" t="str"/>
      <x:c r="N1230" s="31" t="str"/>
    </x:row>
    <x:row r="1231" ht="42" customHeight="1">
      <x:c r="A1231" s="35" t="n">
        <x:v>1229</x:v>
      </x:c>
      <x:c r="B1231" s="31" t="str">
        <x:f>IF('Execution Checklist'!Q1231="","",'Execution Checklist'!Q1231)</x:f>
      </x:c>
      <x:c r="C1231" s="31" t="str">
        <x:v>Move the yellow block into the bowl.</x:v>
      </x:c>
      <x:c r="D1231" s="31" t="str">
        <x:v>yellow block</x:v>
      </x:c>
      <x:c r="E1231" s="31" t="str">
        <x:v>Binary task success using the task-specific rubric.</x:v>
      </x:c>
      <x:c r="F1231" s="31"/>
      <x:c r="G1231" s="31"/>
      <x:c r="H1231" s="31" t="str">
        <x:f>IF(OR(F1231="",G1231=""),"",IF(F1231=G1231,"Agree","Disagree"))</x:f>
      </x:c>
      <x:c r="I1231" s="31"/>
      <x:c r="J1231" s="31" t="str">
        <x:v>No</x:v>
      </x:c>
      <x:c r="K1231" s="31" t="str"/>
      <x:c r="L1231" s="31" t="str"/>
      <x:c r="M1231" s="31" t="str"/>
      <x:c r="N1231" s="31" t="str"/>
    </x:row>
    <x:row r="1232" ht="42" customHeight="1">
      <x:c r="A1232" s="35" t="n">
        <x:v>1230</x:v>
      </x:c>
      <x:c r="B1232" s="31" t="str">
        <x:f>IF('Execution Checklist'!Q1232="","",'Execution Checklist'!Q1232)</x:f>
      </x:c>
      <x:c r="C1232" s="31" t="str">
        <x:v>Adjust the bowl so that it contains zero objects.</x:v>
      </x:c>
      <x:c r="D1232" s="31" t="str"/>
      <x:c r="E1232" s="31" t="str">
        <x:v>Binary task success using the task-specific rubric.</x:v>
      </x:c>
      <x:c r="F1232" s="31"/>
      <x:c r="G1232" s="31"/>
      <x:c r="H1232" s="31" t="str">
        <x:f>IF(OR(F1232="",G1232=""),"",IF(F1232=G1232,"Agree","Disagree"))</x:f>
      </x:c>
      <x:c r="I1232" s="31"/>
      <x:c r="J1232" s="31" t="str">
        <x:v>No</x:v>
      </x:c>
      <x:c r="K1232" s="31" t="str"/>
      <x:c r="L1232" s="31" t="str"/>
      <x:c r="M1232" s="31" t="str"/>
      <x:c r="N1232" s="31" t="str"/>
    </x:row>
    <x:row r="1233" ht="42" customHeight="1">
      <x:c r="A1233" s="35" t="n">
        <x:v>1231</x:v>
      </x:c>
      <x:c r="B1233" s="31" t="str">
        <x:f>IF('Execution Checklist'!Q1233="","",'Execution Checklist'!Q1233)</x:f>
      </x:c>
      <x:c r="C1233" s="31" t="str">
        <x:v>Leave exactly three objects in the bowl.</x:v>
      </x:c>
      <x:c r="D1233" s="31" t="str">
        <x:v>ADD one table object</x:v>
      </x:c>
      <x:c r="E1233" s="31" t="str">
        <x:v>Binary task success; paired with the main matched-control row.</x:v>
      </x:c>
      <x:c r="F1233" s="31"/>
      <x:c r="G1233" s="31"/>
      <x:c r="H1233" s="31" t="str">
        <x:f>IF(OR(F1233="",G1233=""),"",IF(F1233=G1233,"Agree","Disagree"))</x:f>
      </x:c>
      <x:c r="I1233" s="31"/>
      <x:c r="J1233" s="31" t="str">
        <x:v>No</x:v>
      </x:c>
      <x:c r="K1233" s="31" t="str"/>
      <x:c r="L1233" s="31" t="str"/>
      <x:c r="M1233" s="31" t="str"/>
      <x:c r="N1233" s="31" t="str"/>
    </x:row>
    <x:row r="1234" ht="42" customHeight="1">
      <x:c r="A1234" s="35" t="n">
        <x:v>1232</x:v>
      </x:c>
      <x:c r="B1234" s="31" t="str">
        <x:f>IF('Execution Checklist'!Q1234="","",'Execution Checklist'!Q1234)</x:f>
      </x:c>
      <x:c r="C1234" s="31" t="str">
        <x:v>Move the airplane toy without propellers into the bowl.</x:v>
      </x:c>
      <x:c r="D1234" s="31" t="str">
        <x:v>airplane toy without propellers</x:v>
      </x:c>
      <x:c r="E1234" s="31" t="str">
        <x:v>Binary task success using the task-specific rubric.</x:v>
      </x:c>
      <x:c r="F1234" s="31"/>
      <x:c r="G1234" s="31"/>
      <x:c r="H1234" s="31" t="str">
        <x:f>IF(OR(F1234="",G1234=""),"",IF(F1234=G1234,"Agree","Disagree"))</x:f>
      </x:c>
      <x:c r="I1234" s="31"/>
      <x:c r="J1234" s="31" t="str">
        <x:v>No</x:v>
      </x:c>
      <x:c r="K1234" s="31" t="str"/>
      <x:c r="L1234" s="31" t="str"/>
      <x:c r="M1234" s="31" t="str"/>
      <x:c r="N1234" s="31" t="str"/>
    </x:row>
    <x:row r="1235" ht="42" customHeight="1">
      <x:c r="A1235" s="35" t="n">
        <x:v>1233</x:v>
      </x:c>
      <x:c r="B1235" s="31" t="str">
        <x:f>IF('Execution Checklist'!Q1235="","",'Execution Checklist'!Q1235)</x:f>
      </x:c>
      <x:c r="C1235" s="31" t="str">
        <x:v>Leave exactly three objects in the bowl.</x:v>
      </x:c>
      <x:c r="D1235" s="31" t="str">
        <x:v>ADD one table object</x:v>
      </x:c>
      <x:c r="E1235" s="31" t="str">
        <x:v>Binary task success; paired with the main matched-control row.</x:v>
      </x:c>
      <x:c r="F1235" s="31"/>
      <x:c r="G1235" s="31"/>
      <x:c r="H1235" s="31" t="str">
        <x:f>IF(OR(F1235="",G1235=""),"",IF(F1235=G1235,"Agree","Disagree"))</x:f>
      </x:c>
      <x:c r="I1235" s="31"/>
      <x:c r="J1235" s="31" t="str">
        <x:v>No</x:v>
      </x:c>
      <x:c r="K1235" s="31" t="str"/>
      <x:c r="L1235" s="31" t="str"/>
      <x:c r="M1235" s="31" t="str"/>
      <x:c r="N1235" s="31" t="str"/>
    </x:row>
    <x:row r="1236" ht="42" customHeight="1">
      <x:c r="A1236" s="35" t="n">
        <x:v>1234</x:v>
      </x:c>
      <x:c r="B1236" s="31" t="str">
        <x:f>IF('Execution Checklist'!Q1236="","",'Execution Checklist'!Q1236)</x:f>
      </x:c>
      <x:c r="C1236" s="31" t="str">
        <x:v>Leave exactly three objects in the bowl.</x:v>
      </x:c>
      <x:c r="D1236" s="31" t="str">
        <x:v>No prespecified task success under blank language; record any action/selected target.</x:v>
      </x:c>
      <x:c r="E1236" s="31" t="str">
        <x:v>Do not score ordinary task success. Record action occurrence and agreement with the parent correct-prompt rollout.</x:v>
      </x:c>
      <x:c r="F1236" s="31"/>
      <x:c r="G1236" s="31"/>
      <x:c r="H1236" s="31" t="str">
        <x:f>IF(OR(F1236="",G1236=""),"",IF(F1236=G1236,"Agree","Disagree"))</x:f>
      </x:c>
      <x:c r="I1236" s="31"/>
      <x:c r="J1236" s="31" t="str">
        <x:v>No</x:v>
      </x:c>
      <x:c r="K1236" s="31" t="str"/>
      <x:c r="L1236" s="31" t="str"/>
      <x:c r="M1236" s="31" t="str"/>
      <x:c r="N1236" s="31" t="str"/>
    </x:row>
    <x:row r="1237" ht="42" customHeight="1">
      <x:c r="A1237" s="35" t="n">
        <x:v>1235</x:v>
      </x:c>
      <x:c r="B1237" s="31" t="str">
        <x:f>IF('Execution Checklist'!Q1237="","",'Execution Checklist'!Q1237)</x:f>
      </x:c>
      <x:c r="C1237" s="31" t="str">
        <x:v>Leave exactly three objects in the bowl.</x:v>
      </x:c>
      <x:c r="D1237" s="31" t="str">
        <x:v>No prespecified task success under blank language; record any action/selected target.</x:v>
      </x:c>
      <x:c r="E1237" s="31" t="str">
        <x:v>Do not score ordinary task success. Record action occurrence and agreement with the parent correct-prompt rollout.</x:v>
      </x:c>
      <x:c r="F1237" s="31"/>
      <x:c r="G1237" s="31"/>
      <x:c r="H1237" s="31" t="str">
        <x:f>IF(OR(F1237="",G1237=""),"",IF(F1237=G1237,"Agree","Disagree"))</x:f>
      </x:c>
      <x:c r="I1237" s="31"/>
      <x:c r="J1237" s="31" t="str">
        <x:v>No</x:v>
      </x:c>
      <x:c r="K1237" s="31" t="str"/>
      <x:c r="L1237" s="31" t="str"/>
      <x:c r="M1237" s="31" t="str"/>
      <x:c r="N1237" s="31" t="str"/>
    </x:row>
    <x:row r="1238" ht="42" customHeight="1">
      <x:c r="A1238" s="35" t="n">
        <x:v>1236</x:v>
      </x:c>
      <x:c r="B1238" s="31" t="str">
        <x:f>IF('Execution Checklist'!Q1238="","",'Execution Checklist'!Q1238)</x:f>
      </x:c>
      <x:c r="C1238" s="31" t="str">
        <x:v>Leave exactly three objects in the bowl.</x:v>
      </x:c>
      <x:c r="D1238" s="31" t="str">
        <x:v>ADD one table object</x:v>
      </x:c>
      <x:c r="E1238" s="31" t="str">
        <x:v>Binary task success; paired with the main matched-control row.</x:v>
      </x:c>
      <x:c r="F1238" s="31"/>
      <x:c r="G1238" s="31"/>
      <x:c r="H1238" s="31" t="str">
        <x:f>IF(OR(F1238="",G1238=""),"",IF(F1238=G1238,"Agree","Disagree"))</x:f>
      </x:c>
      <x:c r="I1238" s="31"/>
      <x:c r="J1238" s="31" t="str">
        <x:v>No</x:v>
      </x:c>
      <x:c r="K1238" s="31" t="str"/>
      <x:c r="L1238" s="31" t="str"/>
      <x:c r="M1238" s="31" t="str"/>
      <x:c r="N1238" s="31" t="str"/>
    </x:row>
    <x:row r="1239" ht="42" customHeight="1">
      <x:c r="A1239" s="35" t="n">
        <x:v>1237</x:v>
      </x:c>
      <x:c r="B1239" s="31" t="str">
        <x:f>IF('Execution Checklist'!Q1239="","",'Execution Checklist'!Q1239)</x:f>
      </x:c>
      <x:c r="C1239" s="31" t="str">
        <x:v>Remove the yellow block from the bowl.</x:v>
      </x:c>
      <x:c r="D1239" s="31" t="str">
        <x:v>REMOVE yellow block</x:v>
      </x:c>
      <x:c r="E1239" s="31" t="str">
        <x:v>Binary task success; paired with the main transfer row.</x:v>
      </x:c>
      <x:c r="F1239" s="31"/>
      <x:c r="G1239" s="31"/>
      <x:c r="H1239" s="31" t="str">
        <x:f>IF(OR(F1239="",G1239=""),"",IF(F1239=G1239,"Agree","Disagree"))</x:f>
      </x:c>
      <x:c r="I1239" s="31"/>
      <x:c r="J1239" s="31" t="str">
        <x:v>No</x:v>
      </x:c>
      <x:c r="K1239" s="31" t="str"/>
      <x:c r="L1239" s="31" t="str"/>
      <x:c r="M1239" s="31" t="str"/>
      <x:c r="N1239" s="31" t="str"/>
    </x:row>
    <x:row r="1240" ht="42" customHeight="1">
      <x:c r="A1240" s="35" t="n">
        <x:v>1238</x:v>
      </x:c>
      <x:c r="B1240" s="31" t="str">
        <x:f>IF('Execution Checklist'!Q1240="","",'Execution Checklist'!Q1240)</x:f>
      </x:c>
      <x:c r="C1240" s="31" t="str">
        <x:v>Remove the airplane toy without propellers from the bowl.</x:v>
      </x:c>
      <x:c r="D1240" s="31" t="str">
        <x:v>REMOVE airplane toy without propellers</x:v>
      </x:c>
      <x:c r="E1240" s="31" t="str">
        <x:v>Binary task success; paired with the main transfer row.</x:v>
      </x:c>
      <x:c r="F1240" s="31"/>
      <x:c r="G1240" s="31"/>
      <x:c r="H1240" s="31" t="str">
        <x:f>IF(OR(F1240="",G1240=""),"",IF(F1240=G1240,"Agree","Disagree"))</x:f>
      </x:c>
      <x:c r="I1240" s="31"/>
      <x:c r="J1240" s="31" t="str">
        <x:v>No</x:v>
      </x:c>
      <x:c r="K1240" s="31" t="str"/>
      <x:c r="L1240" s="31" t="str"/>
      <x:c r="M1240" s="31" t="str"/>
      <x:c r="N1240" s="31" t="str"/>
    </x:row>
    <x:row r="1241" ht="42" customHeight="1">
      <x:c r="A1241" s="35" t="n">
        <x:v>1239</x:v>
      </x:c>
      <x:c r="B1241" s="31" t="str">
        <x:f>IF('Execution Checklist'!Q1241="","",'Execution Checklist'!Q1241)</x:f>
      </x:c>
      <x:c r="C1241" s="31" t="str">
        <x:v>Leave exactly one object in the bowl.</x:v>
      </x:c>
      <x:c r="D1241" s="31" t="str">
        <x:v>No prespecified task success under blank language; record any action/selected target.</x:v>
      </x:c>
      <x:c r="E1241" s="31" t="str">
        <x:v>Do not score ordinary task success. Record action occurrence and agreement with the parent correct-prompt rollout.</x:v>
      </x:c>
      <x:c r="F1241" s="31"/>
      <x:c r="G1241" s="31"/>
      <x:c r="H1241" s="31" t="str">
        <x:f>IF(OR(F1241="",G1241=""),"",IF(F1241=G1241,"Agree","Disagree"))</x:f>
      </x:c>
      <x:c r="I1241" s="31"/>
      <x:c r="J1241" s="31" t="str">
        <x:v>No</x:v>
      </x:c>
      <x:c r="K1241" s="31" t="str"/>
      <x:c r="L1241" s="31" t="str"/>
      <x:c r="M1241" s="31" t="str"/>
      <x:c r="N1241" s="31" t="str"/>
    </x:row>
    <x:row r="1242" ht="42" customHeight="1">
      <x:c r="A1242" s="35" t="n">
        <x:v>1240</x:v>
      </x:c>
      <x:c r="B1242" s="31" t="str">
        <x:f>IF('Execution Checklist'!Q1242="","",'Execution Checklist'!Q1242)</x:f>
      </x:c>
      <x:c r="C1242" s="31" t="str">
        <x:v>Place a white cup in the bowl.</x:v>
      </x:c>
      <x:c r="D1242" s="31" t="str">
        <x:v>white cup B</x:v>
      </x:c>
      <x:c r="E1242" s="31" t="str">
        <x:v>Binary task success; paired with the main transfer row.</x:v>
      </x:c>
      <x:c r="F1242" s="31"/>
      <x:c r="G1242" s="31"/>
      <x:c r="H1242" s="31" t="str">
        <x:f>IF(OR(F1242="",G1242=""),"",IF(F1242=G1242,"Agree","Disagree"))</x:f>
      </x:c>
      <x:c r="I1242" s="31"/>
      <x:c r="J1242" s="31" t="str">
        <x:v>No</x:v>
      </x:c>
      <x:c r="K1242" s="31" t="str"/>
      <x:c r="L1242" s="31" t="str"/>
      <x:c r="M1242" s="31" t="str"/>
      <x:c r="N1242" s="31" t="str"/>
    </x:row>
    <x:row r="1243" ht="42" customHeight="1">
      <x:c r="A1243" s="35" t="n">
        <x:v>1241</x:v>
      </x:c>
      <x:c r="B1243" s="31" t="str">
        <x:f>IF('Execution Checklist'!Q1243="","",'Execution Checklist'!Q1243)</x:f>
      </x:c>
      <x:c r="C1243" s="31" t="str">
        <x:v>Place the open white cup in the bowl.</x:v>
      </x:c>
      <x:c r="D1243" s="31" t="str">
        <x:v>white cup B</x:v>
      </x:c>
      <x:c r="E1243" s="31" t="str">
        <x:v>Binary task success using the task-specific rubric.</x:v>
      </x:c>
      <x:c r="F1243" s="31"/>
      <x:c r="G1243" s="31"/>
      <x:c r="H1243" s="31" t="str">
        <x:f>IF(OR(F1243="",G1243=""),"",IF(F1243=G1243,"Agree","Disagree"))</x:f>
      </x:c>
      <x:c r="I1243" s="31"/>
      <x:c r="J1243" s="31" t="str">
        <x:v>No</x:v>
      </x:c>
      <x:c r="K1243" s="31" t="str"/>
      <x:c r="L1243" s="31" t="str"/>
      <x:c r="M1243" s="31" t="str"/>
      <x:c r="N1243" s="31" t="str"/>
    </x:row>
    <x:row r="1244" ht="42" customHeight="1">
      <x:c r="A1244" s="35" t="n">
        <x:v>1242</x:v>
      </x:c>
      <x:c r="B1244" s="31" t="str">
        <x:f>IF('Execution Checklist'!Q1244="","",'Execution Checklist'!Q1244)</x:f>
      </x:c>
      <x:c r="C1244" s="31" t="str">
        <x:v>Place a brown cup in the bowl.</x:v>
      </x:c>
      <x:c r="D1244" s="31" t="str">
        <x:v>brown cup A</x:v>
      </x:c>
      <x:c r="E1244" s="31" t="str">
        <x:v>Binary task success; paired with the main transfer row.</x:v>
      </x:c>
      <x:c r="F1244" s="31"/>
      <x:c r="G1244" s="31"/>
      <x:c r="H1244" s="31" t="str">
        <x:f>IF(OR(F1244="",G1244=""),"",IF(F1244=G1244,"Agree","Disagree"))</x:f>
      </x:c>
      <x:c r="I1244" s="31"/>
      <x:c r="J1244" s="31" t="str">
        <x:v>No</x:v>
      </x:c>
      <x:c r="K1244" s="31" t="str"/>
      <x:c r="L1244" s="31" t="str"/>
      <x:c r="M1244" s="31" t="str"/>
      <x:c r="N1244" s="31" t="str"/>
    </x:row>
    <x:row r="1245" ht="42" customHeight="1">
      <x:c r="A1245" s="35" t="n">
        <x:v>1243</x:v>
      </x:c>
      <x:c r="B1245" s="31" t="str">
        <x:f>IF('Execution Checklist'!Q1245="","",'Execution Checklist'!Q1245)</x:f>
      </x:c>
      <x:c r="C1245" s="31" t="str">
        <x:v>Place a brown cup in the bowl.</x:v>
      </x:c>
      <x:c r="D1245" s="31" t="str">
        <x:v>brown cup B</x:v>
      </x:c>
      <x:c r="E1245" s="31" t="str">
        <x:v>Binary task success; paired with the main transfer row.</x:v>
      </x:c>
      <x:c r="F1245" s="31"/>
      <x:c r="G1245" s="31"/>
      <x:c r="H1245" s="31" t="str">
        <x:f>IF(OR(F1245="",G1245=""),"",IF(F1245=G1245,"Agree","Disagree"))</x:f>
      </x:c>
      <x:c r="I1245" s="31"/>
      <x:c r="J1245" s="31" t="str">
        <x:v>No</x:v>
      </x:c>
      <x:c r="K1245" s="31" t="str"/>
      <x:c r="L1245" s="31" t="str"/>
      <x:c r="M1245" s="31" t="str"/>
      <x:c r="N1245" s="31" t="str"/>
    </x:row>
    <x:row r="1246" ht="42" customHeight="1">
      <x:c r="A1246" s="35" t="n">
        <x:v>1244</x:v>
      </x:c>
      <x:c r="B1246" s="31" t="str">
        <x:f>IF('Execution Checklist'!Q1246="","",'Execution Checklist'!Q1246)</x:f>
      </x:c>
      <x:c r="C1246" s="31" t="str">
        <x:v>Place the upside-down white cup in the bowl.</x:v>
      </x:c>
      <x:c r="D1246" s="31" t="str">
        <x:v>white cup A</x:v>
      </x:c>
      <x:c r="E1246" s="31" t="str">
        <x:v>Binary task success using the task-specific rubric.</x:v>
      </x:c>
      <x:c r="F1246" s="31"/>
      <x:c r="G1246" s="31"/>
      <x:c r="H1246" s="31" t="str">
        <x:f>IF(OR(F1246="",G1246=""),"",IF(F1246=G1246,"Agree","Disagree"))</x:f>
      </x:c>
      <x:c r="I1246" s="31"/>
      <x:c r="J1246" s="31" t="str">
        <x:v>No</x:v>
      </x:c>
      <x:c r="K1246" s="31" t="str"/>
      <x:c r="L1246" s="31" t="str"/>
      <x:c r="M1246" s="31" t="str"/>
      <x:c r="N1246" s="31" t="str"/>
    </x:row>
    <x:row r="1247" ht="42" customHeight="1">
      <x:c r="A1247" s="35" t="n">
        <x:v>1245</x:v>
      </x:c>
      <x:c r="B1247" s="31" t="str">
        <x:f>IF('Execution Checklist'!Q1247="","",'Execution Checklist'!Q1247)</x:f>
      </x:c>
      <x:c r="C1247" s="31" t="str">
        <x:v>Place the upright white cup in the bowl.</x:v>
      </x:c>
      <x:c r="D1247" s="31" t="str">
        <x:v>white cup B</x:v>
      </x:c>
      <x:c r="E1247" s="31" t="str">
        <x:v>Binary task success; paired with the main matched-control row.</x:v>
      </x:c>
      <x:c r="F1247" s="31"/>
      <x:c r="G1247" s="31"/>
      <x:c r="H1247" s="31" t="str">
        <x:f>IF(OR(F1247="",G1247=""),"",IF(F1247=G1247,"Agree","Disagree"))</x:f>
      </x:c>
      <x:c r="I1247" s="31"/>
      <x:c r="J1247" s="31" t="str">
        <x:v>No</x:v>
      </x:c>
      <x:c r="K1247" s="31" t="str"/>
      <x:c r="L1247" s="31" t="str"/>
      <x:c r="M1247" s="31" t="str"/>
      <x:c r="N1247" s="31" t="str"/>
    </x:row>
    <x:row r="1248" ht="42" customHeight="1">
      <x:c r="A1248" s="35" t="n">
        <x:v>1246</x:v>
      </x:c>
      <x:c r="B1248" s="31" t="str">
        <x:f>IF('Execution Checklist'!Q1248="","",'Execution Checklist'!Q1248)</x:f>
      </x:c>
      <x:c r="C1248" s="31" t="str">
        <x:v>Place the closed white cup in the bowl.</x:v>
      </x:c>
      <x:c r="D1248" s="31" t="str">
        <x:v>white cup A</x:v>
      </x:c>
      <x:c r="E1248" s="31" t="str">
        <x:v>Binary task success; paired with the main matched-control row.</x:v>
      </x:c>
      <x:c r="F1248" s="31"/>
      <x:c r="G1248" s="31"/>
      <x:c r="H1248" s="31" t="str">
        <x:f>IF(OR(F1248="",G1248=""),"",IF(F1248=G1248,"Agree","Disagree"))</x:f>
      </x:c>
      <x:c r="I1248" s="31"/>
      <x:c r="J1248" s="31" t="str">
        <x:v>No</x:v>
      </x:c>
      <x:c r="K1248" s="31" t="str"/>
      <x:c r="L1248" s="31" t="str"/>
      <x:c r="M1248" s="31" t="str"/>
      <x:c r="N1248" s="31" t="str"/>
    </x:row>
    <x:row r="1249" ht="42" customHeight="1">
      <x:c r="A1249" s="35" t="n">
        <x:v>1247</x:v>
      </x:c>
      <x:c r="B1249" s="31" t="str">
        <x:f>IF('Execution Checklist'!Q1249="","",'Execution Checklist'!Q1249)</x:f>
      </x:c>
      <x:c r="C1249" s="31" t="str">
        <x:v>Place a glass spice container in the bowl.</x:v>
      </x:c>
      <x:c r="D1249" s="31" t="str">
        <x:v>glass spice container B</x:v>
      </x:c>
      <x:c r="E1249" s="31" t="str">
        <x:v>Binary task success; paired with the main transfer row.</x:v>
      </x:c>
      <x:c r="F1249" s="31"/>
      <x:c r="G1249" s="31"/>
      <x:c r="H1249" s="31" t="str">
        <x:f>IF(OR(F1249="",G1249=""),"",IF(F1249=G1249,"Agree","Disagree"))</x:f>
      </x:c>
      <x:c r="I1249" s="31"/>
      <x:c r="J1249" s="31" t="str">
        <x:v>No</x:v>
      </x:c>
      <x:c r="K1249" s="31" t="str"/>
      <x:c r="L1249" s="31" t="str"/>
      <x:c r="M1249" s="31" t="str"/>
      <x:c r="N1249" s="31" t="str"/>
    </x:row>
    <x:row r="1250" ht="42" customHeight="1">
      <x:c r="A1250" s="35" t="n">
        <x:v>1248</x:v>
      </x:c>
      <x:c r="B1250" s="31" t="str">
        <x:f>IF('Execution Checklist'!Q1250="","",'Execution Checklist'!Q1250)</x:f>
      </x:c>
      <x:c r="C1250" s="31" t="str">
        <x:v>Find the white cup that is turned upside down and move it into the bowl.</x:v>
      </x:c>
      <x:c r="D1250" s="31" t="str">
        <x:v>white cup A</x:v>
      </x:c>
      <x:c r="E1250" s="31" t="str">
        <x:v>Binary task success; compare with the seen-language row sharing Pair ID.</x:v>
      </x:c>
      <x:c r="F1250" s="31"/>
      <x:c r="G1250" s="31"/>
      <x:c r="H1250" s="31" t="str">
        <x:f>IF(OR(F1250="",G1250=""),"",IF(F1250=G1250,"Agree","Disagree"))</x:f>
      </x:c>
      <x:c r="I1250" s="31"/>
      <x:c r="J1250" s="31" t="str">
        <x:v>No</x:v>
      </x:c>
      <x:c r="K1250" s="31" t="str"/>
      <x:c r="L1250" s="31" t="str"/>
      <x:c r="M1250" s="31" t="str"/>
      <x:c r="N1250" s="31" t="str"/>
    </x:row>
    <x:row r="1251" ht="42" customHeight="1">
      <x:c r="A1251" s="35" t="n">
        <x:v>1249</x:v>
      </x:c>
      <x:c r="B1251" s="31" t="str">
        <x:f>IF('Execution Checklist'!Q1251="","",'Execution Checklist'!Q1251)</x:f>
      </x:c>
      <x:c r="C1251" s="31" t="str">
        <x:v>Place a white cup in the bowl.</x:v>
      </x:c>
      <x:c r="D1251" s="31" t="str">
        <x:v>white cup B</x:v>
      </x:c>
      <x:c r="E1251" s="31" t="str">
        <x:v>Binary task success; paired with the main transfer row.</x:v>
      </x:c>
      <x:c r="F1251" s="31"/>
      <x:c r="G1251" s="31"/>
      <x:c r="H1251" s="31" t="str">
        <x:f>IF(OR(F1251="",G1251=""),"",IF(F1251=G1251,"Agree","Disagree"))</x:f>
      </x:c>
      <x:c r="I1251" s="31"/>
      <x:c r="J1251" s="31" t="str">
        <x:v>No</x:v>
      </x:c>
      <x:c r="K1251" s="31" t="str"/>
      <x:c r="L1251" s="31" t="str"/>
      <x:c r="M1251" s="31" t="str"/>
      <x:c r="N1251" s="31" t="str"/>
    </x:row>
    <x:row r="1252" ht="42" customHeight="1">
      <x:c r="A1252" s="35" t="n">
        <x:v>1250</x:v>
      </x:c>
      <x:c r="B1252" s="31" t="str">
        <x:f>IF('Execution Checklist'!Q1252="","",'Execution Checklist'!Q1252)</x:f>
      </x:c>
      <x:c r="C1252" s="31" t="str">
        <x:v>Place the closed brown cup in the bowl.</x:v>
      </x:c>
      <x:c r="D1252" s="31" t="str">
        <x:v>brown cup A</x:v>
      </x:c>
      <x:c r="E1252" s="31" t="str">
        <x:v>Binary task success; paired with the main matched-control row.</x:v>
      </x:c>
      <x:c r="F1252" s="31"/>
      <x:c r="G1252" s="31"/>
      <x:c r="H1252" s="31" t="str">
        <x:f>IF(OR(F1252="",G1252=""),"",IF(F1252=G1252,"Agree","Disagree"))</x:f>
      </x:c>
      <x:c r="I1252" s="31"/>
      <x:c r="J1252" s="31" t="str">
        <x:v>No</x:v>
      </x:c>
      <x:c r="K1252" s="31" t="str"/>
      <x:c r="L1252" s="31" t="str"/>
      <x:c r="M1252" s="31" t="str"/>
      <x:c r="N1252" s="31" t="str"/>
    </x:row>
    <x:row r="1253" ht="42" customHeight="1">
      <x:c r="A1253" s="35" t="n">
        <x:v>1251</x:v>
      </x:c>
      <x:c r="B1253" s="31" t="str">
        <x:f>IF('Execution Checklist'!Q1253="","",'Execution Checklist'!Q1253)</x:f>
      </x:c>
      <x:c r="C1253" s="31" t="str">
        <x:v>Place the closed glass spice container in the bowl.</x:v>
      </x:c>
      <x:c r="D1253" s="31" t="str">
        <x:v>glass spice container B</x:v>
      </x:c>
      <x:c r="E1253" s="31" t="str">
        <x:v>Binary task success; paired with the main matched-control row.</x:v>
      </x:c>
      <x:c r="F1253" s="31"/>
      <x:c r="G1253" s="31"/>
      <x:c r="H1253" s="31" t="str">
        <x:f>IF(OR(F1253="",G1253=""),"",IF(F1253=G1253,"Agree","Disagree"))</x:f>
      </x:c>
      <x:c r="I1253" s="31"/>
      <x:c r="J1253" s="31" t="str">
        <x:v>No</x:v>
      </x:c>
      <x:c r="K1253" s="31" t="str"/>
      <x:c r="L1253" s="31" t="str"/>
      <x:c r="M1253" s="31" t="str"/>
      <x:c r="N1253" s="31" t="str"/>
    </x:row>
    <x:row r="1254" ht="42" customHeight="1">
      <x:c r="A1254" s="35" t="n">
        <x:v>1252</x:v>
      </x:c>
      <x:c r="B1254" s="31" t="str">
        <x:f>IF('Execution Checklist'!Q1254="","",'Execution Checklist'!Q1254)</x:f>
      </x:c>
      <x:c r="C1254" s="31" t="str">
        <x:v>Place a yellow-white striped cup in the bowl.</x:v>
      </x:c>
      <x:c r="D1254" s="31" t="str">
        <x:v>yellow-white striped cup A</x:v>
      </x:c>
      <x:c r="E1254" s="31" t="str">
        <x:v>Binary task success; paired with the main transfer row.</x:v>
      </x:c>
      <x:c r="F1254" s="31"/>
      <x:c r="G1254" s="31"/>
      <x:c r="H1254" s="31" t="str">
        <x:f>IF(OR(F1254="",G1254=""),"",IF(F1254=G1254,"Agree","Disagree"))</x:f>
      </x:c>
      <x:c r="I1254" s="31"/>
      <x:c r="J1254" s="31" t="str">
        <x:v>No</x:v>
      </x:c>
      <x:c r="K1254" s="31" t="str"/>
      <x:c r="L1254" s="31" t="str"/>
      <x:c r="M1254" s="31" t="str"/>
      <x:c r="N1254" s="31" t="str"/>
    </x:row>
    <x:row r="1255" ht="42" customHeight="1">
      <x:c r="A1255" s="35" t="n">
        <x:v>1253</x:v>
      </x:c>
      <x:c r="B1255" s="31" t="str">
        <x:f>IF('Execution Checklist'!Q1255="","",'Execution Checklist'!Q1255)</x:f>
      </x:c>
      <x:c r="C1255" s="31" t="str">
        <x:v>Place the upright white cup in the bowl.</x:v>
      </x:c>
      <x:c r="D1255" s="31" t="str">
        <x:v>white cup B</x:v>
      </x:c>
      <x:c r="E1255" s="31" t="str">
        <x:v>Binary task success; paired with the main matched-control row.</x:v>
      </x:c>
      <x:c r="F1255" s="31"/>
      <x:c r="G1255" s="31"/>
      <x:c r="H1255" s="31" t="str">
        <x:f>IF(OR(F1255="",G1255=""),"",IF(F1255=G1255,"Agree","Disagree"))</x:f>
      </x:c>
      <x:c r="I1255" s="31"/>
      <x:c r="J1255" s="31" t="str">
        <x:v>No</x:v>
      </x:c>
      <x:c r="K1255" s="31" t="str"/>
      <x:c r="L1255" s="31" t="str"/>
      <x:c r="M1255" s="31" t="str"/>
      <x:c r="N1255" s="31" t="str"/>
    </x:row>
    <x:row r="1256" ht="42" customHeight="1">
      <x:c r="A1256" s="35" t="n">
        <x:v>1254</x:v>
      </x:c>
      <x:c r="B1256" s="31" t="str">
        <x:f>IF('Execution Checklist'!Q1256="","",'Execution Checklist'!Q1256)</x:f>
      </x:c>
      <x:c r="C1256" s="31" t="str">
        <x:v>Put a yellow-white striped cup in the bowl.</x:v>
      </x:c>
      <x:c r="D1256" s="31" t="str">
        <x:v>yellow-white striped cup A</x:v>
      </x:c>
      <x:c r="E1256" s="31" t="str">
        <x:v>Binary task success using the task-specific rubric.</x:v>
      </x:c>
      <x:c r="F1256" s="31"/>
      <x:c r="G1256" s="31"/>
      <x:c r="H1256" s="31" t="str">
        <x:f>IF(OR(F1256="",G1256=""),"",IF(F1256=G1256,"Agree","Disagree"))</x:f>
      </x:c>
      <x:c r="I1256" s="31"/>
      <x:c r="J1256" s="31" t="str">
        <x:v>No</x:v>
      </x:c>
      <x:c r="K1256" s="31" t="str"/>
      <x:c r="L1256" s="31" t="str"/>
      <x:c r="M1256" s="31" t="str"/>
      <x:c r="N1256" s="31" t="str"/>
    </x:row>
    <x:row r="1257" ht="42" customHeight="1">
      <x:c r="A1257" s="35" t="n">
        <x:v>1255</x:v>
      </x:c>
      <x:c r="B1257" s="31" t="str">
        <x:f>IF('Execution Checklist'!Q1257="","",'Execution Checklist'!Q1257)</x:f>
      </x:c>
      <x:c r="C1257" s="31" t="str">
        <x:v>Place the open white cup in the bowl.</x:v>
      </x:c>
      <x:c r="D1257" s="31" t="str">
        <x:v>white cup B</x:v>
      </x:c>
      <x:c r="E1257" s="31" t="str">
        <x:v>Binary task success using the task-specific rubric.</x:v>
      </x:c>
      <x:c r="F1257" s="31"/>
      <x:c r="G1257" s="31"/>
      <x:c r="H1257" s="31" t="str">
        <x:f>IF(OR(F1257="",G1257=""),"",IF(F1257=G1257,"Agree","Disagree"))</x:f>
      </x:c>
      <x:c r="I1257" s="31"/>
      <x:c r="J1257" s="31" t="str">
        <x:v>No</x:v>
      </x:c>
      <x:c r="K1257" s="31" t="str"/>
      <x:c r="L1257" s="31" t="str"/>
      <x:c r="M1257" s="31" t="str"/>
      <x:c r="N1257" s="31" t="str"/>
    </x:row>
    <x:row r="1258" ht="42" customHeight="1">
      <x:c r="A1258" s="35" t="n">
        <x:v>1256</x:v>
      </x:c>
      <x:c r="B1258" s="31" t="str">
        <x:f>IF('Execution Checklist'!Q1258="","",'Execution Checklist'!Q1258)</x:f>
      </x:c>
      <x:c r="C1258" s="31" t="str">
        <x:v>Put the inverted white cup into the bowl.</x:v>
      </x:c>
      <x:c r="D1258" s="31" t="str">
        <x:v>white cup A</x:v>
      </x:c>
      <x:c r="E1258" s="31" t="str">
        <x:v>Binary task success; compare with the seen-language row sharing Pair ID.</x:v>
      </x:c>
      <x:c r="F1258" s="31"/>
      <x:c r="G1258" s="31"/>
      <x:c r="H1258" s="31" t="str">
        <x:f>IF(OR(F1258="",G1258=""),"",IF(F1258=G1258,"Agree","Disagree"))</x:f>
      </x:c>
      <x:c r="I1258" s="31"/>
      <x:c r="J1258" s="31" t="str">
        <x:v>No</x:v>
      </x:c>
      <x:c r="K1258" s="31" t="str"/>
      <x:c r="L1258" s="31" t="str"/>
      <x:c r="M1258" s="31" t="str"/>
      <x:c r="N1258" s="31" t="str"/>
    </x:row>
    <x:row r="1259" ht="42" customHeight="1">
      <x:c r="A1259" s="35" t="n">
        <x:v>1257</x:v>
      </x:c>
      <x:c r="B1259" s="31" t="str">
        <x:f>IF('Execution Checklist'!Q1259="","",'Execution Checklist'!Q1259)</x:f>
      </x:c>
      <x:c r="C1259" s="31" t="str">
        <x:v>Place the open yellow-white striped cup in the bowl.</x:v>
      </x:c>
      <x:c r="D1259" s="31" t="str">
        <x:v>yellow-white striped cup B</x:v>
      </x:c>
      <x:c r="E1259" s="31" t="str">
        <x:v>Binary task success using the task-specific rubric.</x:v>
      </x:c>
      <x:c r="F1259" s="31"/>
      <x:c r="G1259" s="31"/>
      <x:c r="H1259" s="31" t="str">
        <x:f>IF(OR(F1259="",G1259=""),"",IF(F1259=G1259,"Agree","Disagree"))</x:f>
      </x:c>
      <x:c r="I1259" s="31"/>
      <x:c r="J1259" s="31" t="str">
        <x:v>No</x:v>
      </x:c>
      <x:c r="K1259" s="31" t="str"/>
      <x:c r="L1259" s="31" t="str"/>
      <x:c r="M1259" s="31" t="str"/>
      <x:c r="N1259" s="31" t="str"/>
    </x:row>
    <x:row r="1260" ht="42" customHeight="1">
      <x:c r="A1260" s="35" t="n">
        <x:v>1258</x:v>
      </x:c>
      <x:c r="B1260" s="31" t="str">
        <x:f>IF('Execution Checklist'!Q1260="","",'Execution Checklist'!Q1260)</x:f>
      </x:c>
      <x:c r="C1260" s="31" t="str">
        <x:v>Place a glass spice container in the bowl.</x:v>
      </x:c>
      <x:c r="D1260" s="31" t="str">
        <x:v>glass spice container A</x:v>
      </x:c>
      <x:c r="E1260" s="31" t="str">
        <x:v>Binary task success; paired with the main transfer row.</x:v>
      </x:c>
      <x:c r="F1260" s="31"/>
      <x:c r="G1260" s="31"/>
      <x:c r="H1260" s="31" t="str">
        <x:f>IF(OR(F1260="",G1260=""),"",IF(F1260=G1260,"Agree","Disagree"))</x:f>
      </x:c>
      <x:c r="I1260" s="31"/>
      <x:c r="J1260" s="31" t="str">
        <x:v>No</x:v>
      </x:c>
      <x:c r="K1260" s="31" t="str"/>
      <x:c r="L1260" s="31" t="str"/>
      <x:c r="M1260" s="31" t="str"/>
      <x:c r="N1260" s="31" t="str"/>
    </x:row>
    <x:row r="1261" ht="42" customHeight="1">
      <x:c r="A1261" s="35" t="n">
        <x:v>1259</x:v>
      </x:c>
      <x:c r="B1261" s="31" t="str">
        <x:f>IF('Execution Checklist'!Q1261="","",'Execution Checklist'!Q1261)</x:f>
      </x:c>
      <x:c r="C1261" s="31" t="str">
        <x:v>Place the open white cup in the bowl.</x:v>
      </x:c>
      <x:c r="D1261" s="31" t="str">
        <x:v>white cup B</x:v>
      </x:c>
      <x:c r="E1261" s="31" t="str">
        <x:v>Binary task success using the task-specific rubric.</x:v>
      </x:c>
      <x:c r="F1261" s="31"/>
      <x:c r="G1261" s="31"/>
      <x:c r="H1261" s="31" t="str">
        <x:f>IF(OR(F1261="",G1261=""),"",IF(F1261=G1261,"Agree","Disagree"))</x:f>
      </x:c>
      <x:c r="I1261" s="31"/>
      <x:c r="J1261" s="31" t="str">
        <x:v>No</x:v>
      </x:c>
      <x:c r="K1261" s="31" t="str"/>
      <x:c r="L1261" s="31" t="str"/>
      <x:c r="M1261" s="31" t="str"/>
      <x:c r="N1261" s="31" t="str"/>
    </x:row>
    <x:row r="1262" ht="42" customHeight="1">
      <x:c r="A1262" s="35" t="n">
        <x:v>1260</x:v>
      </x:c>
      <x:c r="B1262" s="31" t="str">
        <x:f>IF('Execution Checklist'!Q1262="","",'Execution Checklist'!Q1262)</x:f>
      </x:c>
      <x:c r="C1262" s="31" t="str">
        <x:v>Place the open glass spice container in the bowl.</x:v>
      </x:c>
      <x:c r="D1262" s="31" t="str">
        <x:v>glass spice container A</x:v>
      </x:c>
      <x:c r="E1262" s="31" t="str">
        <x:v>Binary success for the counterfactual instruction and paired action-switch analysis versus the parent.</x:v>
      </x:c>
      <x:c r="F1262" s="31"/>
      <x:c r="G1262" s="31"/>
      <x:c r="H1262" s="31" t="str">
        <x:f>IF(OR(F1262="",G1262=""),"",IF(F1262=G1262,"Agree","Disagree"))</x:f>
      </x:c>
      <x:c r="I1262" s="31"/>
      <x:c r="J1262" s="31" t="str">
        <x:v>No</x:v>
      </x:c>
      <x:c r="K1262" s="31" t="str"/>
      <x:c r="L1262" s="31" t="str"/>
      <x:c r="M1262" s="31" t="str"/>
      <x:c r="N1262" s="31" t="str"/>
    </x:row>
    <x:row r="1263" ht="42" customHeight="1">
      <x:c r="A1263" s="35" t="n">
        <x:v>1261</x:v>
      </x:c>
      <x:c r="B1263" s="31" t="str">
        <x:f>IF('Execution Checklist'!Q1263="","",'Execution Checklist'!Q1263)</x:f>
      </x:c>
      <x:c r="C1263" s="31" t="str">
        <x:v>Find the white cup with its opening uncovered and move it into the bowl.</x:v>
      </x:c>
      <x:c r="D1263" s="31" t="str">
        <x:v>white cup B</x:v>
      </x:c>
      <x:c r="E1263" s="31" t="str">
        <x:v>Binary task success; compare with the seen-language row sharing Pair ID.</x:v>
      </x:c>
      <x:c r="F1263" s="31"/>
      <x:c r="G1263" s="31"/>
      <x:c r="H1263" s="31" t="str">
        <x:f>IF(OR(F1263="",G1263=""),"",IF(F1263=G1263,"Agree","Disagree"))</x:f>
      </x:c>
      <x:c r="I1263" s="31"/>
      <x:c r="J1263" s="31" t="str">
        <x:v>No</x:v>
      </x:c>
      <x:c r="K1263" s="31" t="str"/>
      <x:c r="L1263" s="31" t="str"/>
      <x:c r="M1263" s="31" t="str"/>
      <x:c r="N1263" s="31" t="str"/>
    </x:row>
    <x:row r="1264" ht="42" customHeight="1">
      <x:c r="A1264" s="35" t="n">
        <x:v>1262</x:v>
      </x:c>
      <x:c r="B1264" s="31" t="str">
        <x:f>IF('Execution Checklist'!Q1264="","",'Execution Checklist'!Q1264)</x:f>
      </x:c>
      <x:c r="C1264" s="31" t="str">
        <x:v>Move a glass spice container into the bowl.</x:v>
      </x:c>
      <x:c r="D1264" s="31" t="str">
        <x:v>glass spice container A</x:v>
      </x:c>
      <x:c r="E1264" s="31" t="str">
        <x:v>Binary task success using the task-specific rubric.</x:v>
      </x:c>
      <x:c r="F1264" s="31"/>
      <x:c r="G1264" s="31"/>
      <x:c r="H1264" s="31" t="str">
        <x:f>IF(OR(F1264="",G1264=""),"",IF(F1264=G1264,"Agree","Disagree"))</x:f>
      </x:c>
      <x:c r="I1264" s="31"/>
      <x:c r="J1264" s="31" t="str">
        <x:v>No</x:v>
      </x:c>
      <x:c r="K1264" s="31" t="str"/>
      <x:c r="L1264" s="31" t="str"/>
      <x:c r="M1264" s="31" t="str"/>
      <x:c r="N1264" s="31" t="str"/>
    </x:row>
    <x:row r="1265" ht="42" customHeight="1">
      <x:c r="A1265" s="35" t="n">
        <x:v>1263</x:v>
      </x:c>
      <x:c r="B1265" s="31" t="str">
        <x:f>IF('Execution Checklist'!Q1265="","",'Execution Checklist'!Q1265)</x:f>
      </x:c>
      <x:c r="C1265" s="31" t="str">
        <x:v>Place a yellow-white striped cup in the bowl.</x:v>
      </x:c>
      <x:c r="D1265" s="31" t="str">
        <x:v>yellow-white striped cup A</x:v>
      </x:c>
      <x:c r="E1265" s="31" t="str">
        <x:v>Binary task success; paired with the main transfer row.</x:v>
      </x:c>
      <x:c r="F1265" s="31"/>
      <x:c r="G1265" s="31"/>
      <x:c r="H1265" s="31" t="str">
        <x:f>IF(OR(F1265="",G1265=""),"",IF(F1265=G1265,"Agree","Disagree"))</x:f>
      </x:c>
      <x:c r="I1265" s="31"/>
      <x:c r="J1265" s="31" t="str">
        <x:v>No</x:v>
      </x:c>
      <x:c r="K1265" s="31" t="str"/>
      <x:c r="L1265" s="31" t="str"/>
      <x:c r="M1265" s="31" t="str"/>
      <x:c r="N1265" s="31" t="str"/>
    </x:row>
    <x:row r="1266" ht="42" customHeight="1">
      <x:c r="A1266" s="35" t="n">
        <x:v>1264</x:v>
      </x:c>
      <x:c r="B1266" s="31" t="str">
        <x:f>IF('Execution Checklist'!Q1266="","",'Execution Checklist'!Q1266)</x:f>
      </x:c>
      <x:c r="C1266" s="31" t="str">
        <x:v>Place a brown cup in the bowl.</x:v>
      </x:c>
      <x:c r="D1266" s="31" t="str">
        <x:v>brown cup A</x:v>
      </x:c>
      <x:c r="E1266" s="31" t="str">
        <x:v>Binary task success; paired with the main transfer row.</x:v>
      </x:c>
      <x:c r="F1266" s="31"/>
      <x:c r="G1266" s="31"/>
      <x:c r="H1266" s="31" t="str">
        <x:f>IF(OR(F1266="",G1266=""),"",IF(F1266=G1266,"Agree","Disagree"))</x:f>
      </x:c>
      <x:c r="I1266" s="31"/>
      <x:c r="J1266" s="31" t="str">
        <x:v>No</x:v>
      </x:c>
      <x:c r="K1266" s="31" t="str"/>
      <x:c r="L1266" s="31" t="str"/>
      <x:c r="M1266" s="31" t="str"/>
      <x:c r="N1266" s="31" t="str"/>
    </x:row>
    <x:row r="1267" ht="42" customHeight="1">
      <x:c r="A1267" s="35" t="n">
        <x:v>1265</x:v>
      </x:c>
      <x:c r="B1267" s="31" t="str">
        <x:f>IF('Execution Checklist'!Q1267="","",'Execution Checklist'!Q1267)</x:f>
      </x:c>
      <x:c r="C1267" s="31" t="str">
        <x:v>Move the open white cup into the bowl.</x:v>
      </x:c>
      <x:c r="D1267" s="31" t="str">
        <x:v>white cup A</x:v>
      </x:c>
      <x:c r="E1267" s="31" t="str">
        <x:v>Binary task success using the task-specific rubric.</x:v>
      </x:c>
      <x:c r="F1267" s="31"/>
      <x:c r="G1267" s="31"/>
      <x:c r="H1267" s="31" t="str">
        <x:f>IF(OR(F1267="",G1267=""),"",IF(F1267=G1267,"Agree","Disagree"))</x:f>
      </x:c>
      <x:c r="I1267" s="31"/>
      <x:c r="J1267" s="31" t="str">
        <x:v>No</x:v>
      </x:c>
      <x:c r="K1267" s="31" t="str"/>
      <x:c r="L1267" s="31" t="str"/>
      <x:c r="M1267" s="31" t="str"/>
      <x:c r="N1267" s="31" t="str"/>
    </x:row>
    <x:row r="1268" ht="42" customHeight="1">
      <x:c r="A1268" s="35" t="n">
        <x:v>1266</x:v>
      </x:c>
      <x:c r="B1268" s="31" t="str">
        <x:f>IF('Execution Checklist'!Q1268="","",'Execution Checklist'!Q1268)</x:f>
      </x:c>
      <x:c r="C1268" s="31" t="str">
        <x:v>Place the upright glass spice container in the bowl.</x:v>
      </x:c>
      <x:c r="D1268" s="31" t="str">
        <x:v>glass spice container A</x:v>
      </x:c>
      <x:c r="E1268" s="31" t="str">
        <x:v>Binary task success; paired with the main matched-control row.</x:v>
      </x:c>
      <x:c r="F1268" s="31"/>
      <x:c r="G1268" s="31"/>
      <x:c r="H1268" s="31" t="str">
        <x:f>IF(OR(F1268="",G1268=""),"",IF(F1268=G1268,"Agree","Disagree"))</x:f>
      </x:c>
      <x:c r="I1268" s="31"/>
      <x:c r="J1268" s="31" t="str">
        <x:v>No</x:v>
      </x:c>
      <x:c r="K1268" s="31" t="str"/>
      <x:c r="L1268" s="31" t="str"/>
      <x:c r="M1268" s="31" t="str"/>
      <x:c r="N1268" s="31" t="str"/>
    </x:row>
    <x:row r="1269" ht="42" customHeight="1">
      <x:c r="A1269" s="35" t="n">
        <x:v>1267</x:v>
      </x:c>
      <x:c r="B1269" s="31" t="str">
        <x:f>IF('Execution Checklist'!Q1269="","",'Execution Checklist'!Q1269)</x:f>
      </x:c>
      <x:c r="C1269" s="31" t="str">
        <x:v>Move the overturned glass spice container into the bowl.</x:v>
      </x:c>
      <x:c r="D1269" s="31" t="str">
        <x:v>glass spice container B</x:v>
      </x:c>
      <x:c r="E1269" s="31" t="str">
        <x:v>Binary task success; compare with the seen-language row sharing Pair ID.</x:v>
      </x:c>
      <x:c r="F1269" s="31"/>
      <x:c r="G1269" s="31"/>
      <x:c r="H1269" s="31" t="str">
        <x:f>IF(OR(F1269="",G1269=""),"",IF(F1269=G1269,"Agree","Disagree"))</x:f>
      </x:c>
      <x:c r="I1269" s="31"/>
      <x:c r="J1269" s="31" t="str">
        <x:v>No</x:v>
      </x:c>
      <x:c r="K1269" s="31" t="str"/>
      <x:c r="L1269" s="31" t="str"/>
      <x:c r="M1269" s="31" t="str"/>
      <x:c r="N1269" s="31" t="str"/>
    </x:row>
    <x:row r="1270" ht="42" customHeight="1">
      <x:c r="A1270" s="35" t="n">
        <x:v>1268</x:v>
      </x:c>
      <x:c r="B1270" s="31" t="str">
        <x:f>IF('Execution Checklist'!Q1270="","",'Execution Checklist'!Q1270)</x:f>
      </x:c>
      <x:c r="C1270" s="31" t="str">
        <x:v>Place the open yellow-white striped cup in the bowl.</x:v>
      </x:c>
      <x:c r="D1270" s="31" t="str">
        <x:v>yellow-white striped cup B</x:v>
      </x:c>
      <x:c r="E1270" s="31" t="str">
        <x:v>Binary success for the counterfactual instruction and paired action-switch analysis versus the parent.</x:v>
      </x:c>
      <x:c r="F1270" s="31"/>
      <x:c r="G1270" s="31"/>
      <x:c r="H1270" s="31" t="str">
        <x:f>IF(OR(F1270="",G1270=""),"",IF(F1270=G1270,"Agree","Disagree"))</x:f>
      </x:c>
      <x:c r="I1270" s="31"/>
      <x:c r="J1270" s="31" t="str">
        <x:v>No</x:v>
      </x:c>
      <x:c r="K1270" s="31" t="str"/>
      <x:c r="L1270" s="31" t="str"/>
      <x:c r="M1270" s="31" t="str"/>
      <x:c r="N1270" s="31" t="str"/>
    </x:row>
    <x:row r="1271" ht="42" customHeight="1">
      <x:c r="A1271" s="35" t="n">
        <x:v>1269</x:v>
      </x:c>
      <x:c r="B1271" s="31" t="str">
        <x:f>IF('Execution Checklist'!Q1271="","",'Execution Checklist'!Q1271)</x:f>
      </x:c>
      <x:c r="C1271" s="31" t="str">
        <x:v>Place the upright yellow-white striped cup in the bowl.</x:v>
      </x:c>
      <x:c r="D1271" s="31" t="str">
        <x:v>yellow-white striped cup B</x:v>
      </x:c>
      <x:c r="E1271" s="31" t="str">
        <x:v>Binary task success; paired with the main matched-control row.</x:v>
      </x:c>
      <x:c r="F1271" s="31"/>
      <x:c r="G1271" s="31"/>
      <x:c r="H1271" s="31" t="str">
        <x:f>IF(OR(F1271="",G1271=""),"",IF(F1271=G1271,"Agree","Disagree"))</x:f>
      </x:c>
      <x:c r="I1271" s="31"/>
      <x:c r="J1271" s="31" t="str">
        <x:v>No</x:v>
      </x:c>
      <x:c r="K1271" s="31" t="str"/>
      <x:c r="L1271" s="31" t="str"/>
      <x:c r="M1271" s="31" t="str"/>
      <x:c r="N1271" s="31" t="str"/>
    </x:row>
    <x:row r="1272" ht="42" customHeight="1">
      <x:c r="A1272" s="35" t="n">
        <x:v>1270</x:v>
      </x:c>
      <x:c r="B1272" s="31" t="str">
        <x:f>IF('Execution Checklist'!Q1272="","",'Execution Checklist'!Q1272)</x:f>
      </x:c>
      <x:c r="C1272" s="31" t="str">
        <x:v>Place the open brown cup in the bowl.</x:v>
      </x:c>
      <x:c r="D1272" s="31" t="str">
        <x:v>brown cup B</x:v>
      </x:c>
      <x:c r="E1272" s="31" t="str">
        <x:v>Binary success for the counterfactual instruction and paired action-switch analysis versus the parent.</x:v>
      </x:c>
      <x:c r="F1272" s="31"/>
      <x:c r="G1272" s="31"/>
      <x:c r="H1272" s="31" t="str">
        <x:f>IF(OR(F1272="",G1272=""),"",IF(F1272=G1272,"Agree","Disagree"))</x:f>
      </x:c>
      <x:c r="I1272" s="31"/>
      <x:c r="J1272" s="31" t="str">
        <x:v>No</x:v>
      </x:c>
      <x:c r="K1272" s="31" t="str"/>
      <x:c r="L1272" s="31" t="str"/>
      <x:c r="M1272" s="31" t="str"/>
      <x:c r="N1272" s="31" t="str"/>
    </x:row>
    <x:row r="1273" ht="42" customHeight="1">
      <x:c r="A1273" s="35" t="n">
        <x:v>1271</x:v>
      </x:c>
      <x:c r="B1273" s="31" t="str">
        <x:f>IF('Execution Checklist'!Q1273="","",'Execution Checklist'!Q1273)</x:f>
      </x:c>
      <x:c r="C1273" s="31" t="str">
        <x:v>Place the closed brown cup in the bowl.</x:v>
      </x:c>
      <x:c r="D1273" s="31" t="str">
        <x:v>brown cup A</x:v>
      </x:c>
      <x:c r="E1273" s="31" t="str">
        <x:v>Binary task success; paired with the main matched-control row.</x:v>
      </x:c>
      <x:c r="F1273" s="31"/>
      <x:c r="G1273" s="31"/>
      <x:c r="H1273" s="31" t="str">
        <x:f>IF(OR(F1273="",G1273=""),"",IF(F1273=G1273,"Agree","Disagree"))</x:f>
      </x:c>
      <x:c r="I1273" s="31"/>
      <x:c r="J1273" s="31" t="str">
        <x:v>No</x:v>
      </x:c>
      <x:c r="K1273" s="31" t="str"/>
      <x:c r="L1273" s="31" t="str"/>
      <x:c r="M1273" s="31" t="str"/>
      <x:c r="N1273" s="31" t="str"/>
    </x:row>
    <x:row r="1274" ht="42" customHeight="1">
      <x:c r="A1274" s="35" t="n">
        <x:v>1272</x:v>
      </x:c>
      <x:c r="B1274" s="31" t="str">
        <x:f>IF('Execution Checklist'!Q1274="","",'Execution Checklist'!Q1274)</x:f>
      </x:c>
      <x:c r="C1274" s="31" t="str">
        <x:v>Place a yellow-white striped cup in the bowl.</x:v>
      </x:c>
      <x:c r="D1274" s="31" t="str">
        <x:v>yellow-white striped cup B</x:v>
      </x:c>
      <x:c r="E1274" s="31" t="str">
        <x:v>Binary task success; paired with the main transfer row.</x:v>
      </x:c>
      <x:c r="F1274" s="31"/>
      <x:c r="G1274" s="31"/>
      <x:c r="H1274" s="31" t="str">
        <x:f>IF(OR(F1274="",G1274=""),"",IF(F1274=G1274,"Agree","Disagree"))</x:f>
      </x:c>
      <x:c r="I1274" s="31"/>
      <x:c r="J1274" s="31" t="str">
        <x:v>No</x:v>
      </x:c>
      <x:c r="K1274" s="31" t="str"/>
      <x:c r="L1274" s="31" t="str"/>
      <x:c r="M1274" s="31" t="str"/>
      <x:c r="N1274" s="31" t="str"/>
    </x:row>
    <x:row r="1275" ht="42" customHeight="1">
      <x:c r="A1275" s="35" t="n">
        <x:v>1273</x:v>
      </x:c>
      <x:c r="B1275" s="31" t="str">
        <x:f>IF('Execution Checklist'!Q1275="","",'Execution Checklist'!Q1275)</x:f>
      </x:c>
      <x:c r="C1275" s="31" t="str">
        <x:v>Place a brown cup in the bowl.</x:v>
      </x:c>
      <x:c r="D1275" s="31" t="str">
        <x:v>brown cup B</x:v>
      </x:c>
      <x:c r="E1275" s="31" t="str">
        <x:v>Binary task success; paired with the main transfer row.</x:v>
      </x:c>
      <x:c r="F1275" s="31"/>
      <x:c r="G1275" s="31"/>
      <x:c r="H1275" s="31" t="str">
        <x:f>IF(OR(F1275="",G1275=""),"",IF(F1275=G1275,"Agree","Disagree"))</x:f>
      </x:c>
      <x:c r="I1275" s="31"/>
      <x:c r="J1275" s="31" t="str">
        <x:v>No</x:v>
      </x:c>
      <x:c r="K1275" s="31" t="str"/>
      <x:c r="L1275" s="31" t="str"/>
      <x:c r="M1275" s="31" t="str"/>
      <x:c r="N1275" s="31" t="str"/>
    </x:row>
    <x:row r="1276" ht="42" customHeight="1">
      <x:c r="A1276" s="35" t="n">
        <x:v>1274</x:v>
      </x:c>
      <x:c r="B1276" s="31" t="str">
        <x:f>IF('Execution Checklist'!Q1276="","",'Execution Checklist'!Q1276)</x:f>
      </x:c>
      <x:c r="C1276" s="31" t="str">
        <x:v>Place the upright glass spice container in the bowl.</x:v>
      </x:c>
      <x:c r="D1276" s="31" t="str">
        <x:v>glass spice container A</x:v>
      </x:c>
      <x:c r="E1276" s="31" t="str">
        <x:v>Binary task success; paired with the main matched-control row.</x:v>
      </x:c>
      <x:c r="F1276" s="31"/>
      <x:c r="G1276" s="31"/>
      <x:c r="H1276" s="31" t="str">
        <x:f>IF(OR(F1276="",G1276=""),"",IF(F1276=G1276,"Agree","Disagree"))</x:f>
      </x:c>
      <x:c r="I1276" s="31"/>
      <x:c r="J1276" s="31" t="str">
        <x:v>No</x:v>
      </x:c>
      <x:c r="K1276" s="31" t="str"/>
      <x:c r="L1276" s="31" t="str"/>
      <x:c r="M1276" s="31" t="str"/>
      <x:c r="N1276" s="31" t="str"/>
    </x:row>
    <x:row r="1277" ht="42" customHeight="1">
      <x:c r="A1277" s="35" t="n">
        <x:v>1275</x:v>
      </x:c>
      <x:c r="B1277" s="31" t="str">
        <x:f>IF('Execution Checklist'!Q1277="","",'Execution Checklist'!Q1277)</x:f>
      </x:c>
      <x:c r="C1277" s="31" t="str">
        <x:v>Place the upright brown cup in the bowl.</x:v>
      </x:c>
      <x:c r="D1277" s="31" t="str">
        <x:v>brown cup B</x:v>
      </x:c>
      <x:c r="E1277" s="31" t="str">
        <x:v>Binary task success; paired with the main matched-control row.</x:v>
      </x:c>
      <x:c r="F1277" s="31"/>
      <x:c r="G1277" s="31"/>
      <x:c r="H1277" s="31" t="str">
        <x:f>IF(OR(F1277="",G1277=""),"",IF(F1277=G1277,"Agree","Disagree"))</x:f>
      </x:c>
      <x:c r="I1277" s="31"/>
      <x:c r="J1277" s="31" t="str">
        <x:v>No</x:v>
      </x:c>
      <x:c r="K1277" s="31" t="str"/>
      <x:c r="L1277" s="31" t="str"/>
      <x:c r="M1277" s="31" t="str"/>
      <x:c r="N1277" s="31" t="str"/>
    </x:row>
    <x:row r="1278" ht="42" customHeight="1">
      <x:c r="A1278" s="35" t="n">
        <x:v>1276</x:v>
      </x:c>
      <x:c r="B1278" s="31" t="str">
        <x:f>IF('Execution Checklist'!Q1278="","",'Execution Checklist'!Q1278)</x:f>
      </x:c>
      <x:c r="C1278" s="31" t="str">
        <x:v>Place the closed yellow-white striped cup in the bowl.</x:v>
      </x:c>
      <x:c r="D1278" s="31" t="str">
        <x:v>No prespecified task success under blank language; record any action/selected target.</x:v>
      </x:c>
      <x:c r="E1278" s="31" t="str">
        <x:v>Do not score ordinary task success. Record action occurrence and agreement with the parent correct-prompt rollout.</x:v>
      </x:c>
      <x:c r="F1278" s="31"/>
      <x:c r="G1278" s="31"/>
      <x:c r="H1278" s="31" t="str">
        <x:f>IF(OR(F1278="",G1278=""),"",IF(F1278=G1278,"Agree","Disagree"))</x:f>
      </x:c>
      <x:c r="I1278" s="31"/>
      <x:c r="J1278" s="31" t="str">
        <x:v>No</x:v>
      </x:c>
      <x:c r="K1278" s="31" t="str"/>
      <x:c r="L1278" s="31" t="str"/>
      <x:c r="M1278" s="31" t="str"/>
      <x:c r="N1278" s="31" t="str"/>
    </x:row>
    <x:row r="1279" ht="42" customHeight="1">
      <x:c r="A1279" s="35" t="n">
        <x:v>1277</x:v>
      </x:c>
      <x:c r="B1279" s="31" t="str">
        <x:f>IF('Execution Checklist'!Q1279="","",'Execution Checklist'!Q1279)</x:f>
      </x:c>
      <x:c r="C1279" s="31" t="str">
        <x:v>Move the yellow-white striped cup that is open into the bowl.</x:v>
      </x:c>
      <x:c r="D1279" s="31" t="str">
        <x:v>yellow-white striped cup B</x:v>
      </x:c>
      <x:c r="E1279" s="31" t="str">
        <x:v>Binary task success; compare with the seen-language row sharing Pair ID.</x:v>
      </x:c>
      <x:c r="F1279" s="31"/>
      <x:c r="G1279" s="31"/>
      <x:c r="H1279" s="31" t="str">
        <x:f>IF(OR(F1279="",G1279=""),"",IF(F1279=G1279,"Agree","Disagree"))</x:f>
      </x:c>
      <x:c r="I1279" s="31"/>
      <x:c r="J1279" s="31" t="str">
        <x:v>No</x:v>
      </x:c>
      <x:c r="K1279" s="31" t="str"/>
      <x:c r="L1279" s="31" t="str"/>
      <x:c r="M1279" s="31" t="str"/>
      <x:c r="N1279" s="31" t="str"/>
    </x:row>
    <x:row r="1280" ht="42" customHeight="1">
      <x:c r="A1280" s="35" t="n">
        <x:v>1278</x:v>
      </x:c>
      <x:c r="B1280" s="31" t="str">
        <x:f>IF('Execution Checklist'!Q1280="","",'Execution Checklist'!Q1280)</x:f>
      </x:c>
      <x:c r="C1280" s="31" t="str">
        <x:v>Place the closed yellow-white striped cup in the bowl.</x:v>
      </x:c>
      <x:c r="D1280" s="31" t="str">
        <x:v>yellow-white striped cup A</x:v>
      </x:c>
      <x:c r="E1280" s="31" t="str">
        <x:v>Binary task success; paired with the main matched-control row.</x:v>
      </x:c>
      <x:c r="F1280" s="31"/>
      <x:c r="G1280" s="31"/>
      <x:c r="H1280" s="31" t="str">
        <x:f>IF(OR(F1280="",G1280=""),"",IF(F1280=G1280,"Agree","Disagree"))</x:f>
      </x:c>
      <x:c r="I1280" s="31"/>
      <x:c r="J1280" s="31" t="str">
        <x:v>No</x:v>
      </x:c>
      <x:c r="K1280" s="31" t="str"/>
      <x:c r="L1280" s="31" t="str"/>
      <x:c r="M1280" s="31" t="str"/>
      <x:c r="N1280" s="31" t="str"/>
    </x:row>
    <x:row r="1281" ht="42" customHeight="1">
      <x:c r="A1281" s="35" t="n">
        <x:v>1279</x:v>
      </x:c>
      <x:c r="B1281" s="31" t="str">
        <x:f>IF('Execution Checklist'!Q1281="","",'Execution Checklist'!Q1281)</x:f>
      </x:c>
      <x:c r="C1281" s="31" t="str">
        <x:v>Place a glass spice container in the bowl.</x:v>
      </x:c>
      <x:c r="D1281" s="31" t="str">
        <x:v>glass spice container B</x:v>
      </x:c>
      <x:c r="E1281" s="31" t="str">
        <x:v>Binary task success; paired with the main transfer row.</x:v>
      </x:c>
      <x:c r="F1281" s="31"/>
      <x:c r="G1281" s="31"/>
      <x:c r="H1281" s="31" t="str">
        <x:f>IF(OR(F1281="",G1281=""),"",IF(F1281=G1281,"Agree","Disagree"))</x:f>
      </x:c>
      <x:c r="I1281" s="31"/>
      <x:c r="J1281" s="31" t="str">
        <x:v>No</x:v>
      </x:c>
      <x:c r="K1281" s="31" t="str"/>
      <x:c r="L1281" s="31" t="str"/>
      <x:c r="M1281" s="31" t="str"/>
      <x:c r="N1281" s="31" t="str"/>
    </x:row>
    <x:row r="1282" ht="42" customHeight="1">
      <x:c r="A1282" s="35" t="n">
        <x:v>1280</x:v>
      </x:c>
      <x:c r="B1282" s="31" t="str">
        <x:f>IF('Execution Checklist'!Q1282="","",'Execution Checklist'!Q1282)</x:f>
      </x:c>
      <x:c r="C1282" s="31" t="str">
        <x:v>Place the upside-down glass spice container in the bowl.</x:v>
      </x:c>
      <x:c r="D1282" s="31" t="str">
        <x:v>glass spice container B</x:v>
      </x:c>
      <x:c r="E1282" s="31" t="str">
        <x:v>Binary task success using the task-specific rubric.</x:v>
      </x:c>
      <x:c r="F1282" s="31"/>
      <x:c r="G1282" s="31"/>
      <x:c r="H1282" s="31" t="str">
        <x:f>IF(OR(F1282="",G1282=""),"",IF(F1282=G1282,"Agree","Disagree"))</x:f>
      </x:c>
      <x:c r="I1282" s="31"/>
      <x:c r="J1282" s="31" t="str">
        <x:v>No</x:v>
      </x:c>
      <x:c r="K1282" s="31" t="str"/>
      <x:c r="L1282" s="31" t="str"/>
      <x:c r="M1282" s="31" t="str"/>
      <x:c r="N1282" s="31" t="str"/>
    </x:row>
    <x:row r="1283" ht="42" customHeight="1">
      <x:c r="A1283" s="35" t="n">
        <x:v>1281</x:v>
      </x:c>
      <x:c r="B1283" s="31" t="str">
        <x:f>IF('Execution Checklist'!Q1283="","",'Execution Checklist'!Q1283)</x:f>
      </x:c>
      <x:c r="C1283" s="31" t="str">
        <x:v>Put a brown cup in the bowl.</x:v>
      </x:c>
      <x:c r="D1283" s="31" t="str">
        <x:v>brown cup B</x:v>
      </x:c>
      <x:c r="E1283" s="31" t="str">
        <x:v>Binary task success using the task-specific rubric.</x:v>
      </x:c>
      <x:c r="F1283" s="31"/>
      <x:c r="G1283" s="31"/>
      <x:c r="H1283" s="31" t="str">
        <x:f>IF(OR(F1283="",G1283=""),"",IF(F1283=G1283,"Agree","Disagree"))</x:f>
      </x:c>
      <x:c r="I1283" s="31"/>
      <x:c r="J1283" s="31" t="str">
        <x:v>No</x:v>
      </x:c>
      <x:c r="K1283" s="31" t="str"/>
      <x:c r="L1283" s="31" t="str"/>
      <x:c r="M1283" s="31" t="str"/>
      <x:c r="N1283" s="31" t="str"/>
    </x:row>
    <x:row r="1284" ht="42" customHeight="1">
      <x:c r="A1284" s="35" t="n">
        <x:v>1282</x:v>
      </x:c>
      <x:c r="B1284" s="31" t="str">
        <x:f>IF('Execution Checklist'!Q1284="","",'Execution Checklist'!Q1284)</x:f>
      </x:c>
      <x:c r="C1284" s="31" t="str">
        <x:v>Place the upright brown cup in the bowl.</x:v>
      </x:c>
      <x:c r="D1284" s="31" t="str">
        <x:v>brown cup B</x:v>
      </x:c>
      <x:c r="E1284" s="31" t="str">
        <x:v>Binary task success; paired with the main matched-control row.</x:v>
      </x:c>
      <x:c r="F1284" s="31"/>
      <x:c r="G1284" s="31"/>
      <x:c r="H1284" s="31" t="str">
        <x:f>IF(OR(F1284="",G1284=""),"",IF(F1284=G1284,"Agree","Disagree"))</x:f>
      </x:c>
      <x:c r="I1284" s="31"/>
      <x:c r="J1284" s="31" t="str">
        <x:v>No</x:v>
      </x:c>
      <x:c r="K1284" s="31" t="str"/>
      <x:c r="L1284" s="31" t="str"/>
      <x:c r="M1284" s="31" t="str"/>
      <x:c r="N1284" s="31" t="str"/>
    </x:row>
    <x:row r="1285" ht="42" customHeight="1">
      <x:c r="A1285" s="35" t="n">
        <x:v>1283</x:v>
      </x:c>
      <x:c r="B1285" s="31" t="str">
        <x:f>IF('Execution Checklist'!Q1285="","",'Execution Checklist'!Q1285)</x:f>
      </x:c>
      <x:c r="C1285" s="31" t="str">
        <x:v>Move the open brown cup into the bowl.</x:v>
      </x:c>
      <x:c r="D1285" s="31" t="str">
        <x:v>brown cup B</x:v>
      </x:c>
      <x:c r="E1285" s="31" t="str">
        <x:v>Binary task success using the task-specific rubric.</x:v>
      </x:c>
      <x:c r="F1285" s="31"/>
      <x:c r="G1285" s="31"/>
      <x:c r="H1285" s="31" t="str">
        <x:f>IF(OR(F1285="",G1285=""),"",IF(F1285=G1285,"Agree","Disagree"))</x:f>
      </x:c>
      <x:c r="I1285" s="31"/>
      <x:c r="J1285" s="31" t="str">
        <x:v>No</x:v>
      </x:c>
      <x:c r="K1285" s="31" t="str"/>
      <x:c r="L1285" s="31" t="str"/>
      <x:c r="M1285" s="31" t="str"/>
      <x:c r="N1285" s="31" t="str"/>
    </x:row>
    <x:row r="1286" ht="42" customHeight="1">
      <x:c r="A1286" s="35" t="n">
        <x:v>1284</x:v>
      </x:c>
      <x:c r="B1286" s="31" t="str">
        <x:f>IF('Execution Checklist'!Q1286="","",'Execution Checklist'!Q1286)</x:f>
      </x:c>
      <x:c r="C1286" s="31" t="str">
        <x:v>Place the closed yellow-white striped cup in the bowl.</x:v>
      </x:c>
      <x:c r="D1286" s="31" t="str">
        <x:v>yellow-white striped cup A</x:v>
      </x:c>
      <x:c r="E1286" s="31" t="str">
        <x:v>Binary task success; paired with the main matched-control row.</x:v>
      </x:c>
      <x:c r="F1286" s="31"/>
      <x:c r="G1286" s="31"/>
      <x:c r="H1286" s="31" t="str">
        <x:f>IF(OR(F1286="",G1286=""),"",IF(F1286=G1286,"Agree","Disagree"))</x:f>
      </x:c>
      <x:c r="I1286" s="31"/>
      <x:c r="J1286" s="31" t="str">
        <x:v>No</x:v>
      </x:c>
      <x:c r="K1286" s="31" t="str"/>
      <x:c r="L1286" s="31" t="str"/>
      <x:c r="M1286" s="31" t="str"/>
      <x:c r="N1286" s="31" t="str"/>
    </x:row>
    <x:row r="1287" ht="42" customHeight="1">
      <x:c r="A1287" s="35" t="n">
        <x:v>1285</x:v>
      </x:c>
      <x:c r="B1287" s="31" t="str">
        <x:f>IF('Execution Checklist'!Q1287="","",'Execution Checklist'!Q1287)</x:f>
      </x:c>
      <x:c r="C1287" s="31" t="str">
        <x:v>Place a white cup in the bowl.</x:v>
      </x:c>
      <x:c r="D1287" s="31" t="str">
        <x:v>white cup A</x:v>
      </x:c>
      <x:c r="E1287" s="31" t="str">
        <x:v>Binary task success; paired with the main transfer row.</x:v>
      </x:c>
      <x:c r="F1287" s="31"/>
      <x:c r="G1287" s="31"/>
      <x:c r="H1287" s="31" t="str">
        <x:f>IF(OR(F1287="",G1287=""),"",IF(F1287=G1287,"Agree","Disagree"))</x:f>
      </x:c>
      <x:c r="I1287" s="31"/>
      <x:c r="J1287" s="31" t="str">
        <x:v>No</x:v>
      </x:c>
      <x:c r="K1287" s="31" t="str"/>
      <x:c r="L1287" s="31" t="str"/>
      <x:c r="M1287" s="31" t="str"/>
      <x:c r="N1287" s="31" t="str"/>
    </x:row>
    <x:row r="1288" ht="42" customHeight="1">
      <x:c r="A1288" s="35" t="n">
        <x:v>1286</x:v>
      </x:c>
      <x:c r="B1288" s="31" t="str">
        <x:f>IF('Execution Checklist'!Q1288="","",'Execution Checklist'!Q1288)</x:f>
      </x:c>
      <x:c r="C1288" s="31" t="str">
        <x:v>Place the upside-down white cup in the bowl.</x:v>
      </x:c>
      <x:c r="D1288" s="31" t="str">
        <x:v>white cup A</x:v>
      </x:c>
      <x:c r="E1288" s="31" t="str">
        <x:v>Binary task success using the task-specific rubric.</x:v>
      </x:c>
      <x:c r="F1288" s="31"/>
      <x:c r="G1288" s="31"/>
      <x:c r="H1288" s="31" t="str">
        <x:f>IF(OR(F1288="",G1288=""),"",IF(F1288=G1288,"Agree","Disagree"))</x:f>
      </x:c>
      <x:c r="I1288" s="31"/>
      <x:c r="J1288" s="31" t="str">
        <x:v>No</x:v>
      </x:c>
      <x:c r="K1288" s="31" t="str"/>
      <x:c r="L1288" s="31" t="str"/>
      <x:c r="M1288" s="31" t="str"/>
      <x:c r="N1288" s="31" t="str"/>
    </x:row>
    <x:row r="1289" ht="42" customHeight="1">
      <x:c r="A1289" s="35" t="n">
        <x:v>1287</x:v>
      </x:c>
      <x:c r="B1289" s="31" t="str">
        <x:f>IF('Execution Checklist'!Q1289="","",'Execution Checklist'!Q1289)</x:f>
      </x:c>
      <x:c r="C1289" s="31" t="str">
        <x:v>Put the open white cup in the bowl.</x:v>
      </x:c>
      <x:c r="D1289" s="31" t="str">
        <x:v>white cup B</x:v>
      </x:c>
      <x:c r="E1289" s="31" t="str">
        <x:v>Binary task success; compare with the seen-language row sharing Pair ID.</x:v>
      </x:c>
      <x:c r="F1289" s="31"/>
      <x:c r="G1289" s="31"/>
      <x:c r="H1289" s="31" t="str">
        <x:f>IF(OR(F1289="",G1289=""),"",IF(F1289=G1289,"Agree","Disagree"))</x:f>
      </x:c>
      <x:c r="I1289" s="31"/>
      <x:c r="J1289" s="31" t="str">
        <x:v>No</x:v>
      </x:c>
      <x:c r="K1289" s="31" t="str"/>
      <x:c r="L1289" s="31" t="str"/>
      <x:c r="M1289" s="31" t="str"/>
      <x:c r="N1289" s="31" t="str"/>
    </x:row>
    <x:row r="1290" ht="42" customHeight="1">
      <x:c r="A1290" s="35" t="n">
        <x:v>1288</x:v>
      </x:c>
      <x:c r="B1290" s="31" t="str">
        <x:f>IF('Execution Checklist'!Q1290="","",'Execution Checklist'!Q1290)</x:f>
      </x:c>
      <x:c r="C1290" s="31" t="str">
        <x:v>Place the closed white cup in the bowl.</x:v>
      </x:c>
      <x:c r="D1290" s="31" t="str">
        <x:v>No prespecified task success under blank language; record any action/selected target.</x:v>
      </x:c>
      <x:c r="E1290" s="31" t="str">
        <x:v>Do not score ordinary task success. Record action occurrence and agreement with the parent correct-prompt rollout.</x:v>
      </x:c>
      <x:c r="F1290" s="31"/>
      <x:c r="G1290" s="31"/>
      <x:c r="H1290" s="31" t="str">
        <x:f>IF(OR(F1290="",G1290=""),"",IF(F1290=G1290,"Agree","Disagree"))</x:f>
      </x:c>
      <x:c r="I1290" s="31"/>
      <x:c r="J1290" s="31" t="str">
        <x:v>No</x:v>
      </x:c>
      <x:c r="K1290" s="31" t="str"/>
      <x:c r="L1290" s="31" t="str"/>
      <x:c r="M1290" s="31" t="str"/>
      <x:c r="N1290" s="31" t="str"/>
    </x:row>
    <x:row r="1291" ht="42" customHeight="1">
      <x:c r="A1291" s="35" t="n">
        <x:v>1289</x:v>
      </x:c>
      <x:c r="B1291" s="31" t="str">
        <x:f>IF('Execution Checklist'!Q1291="","",'Execution Checklist'!Q1291)</x:f>
      </x:c>
      <x:c r="C1291" s="31" t="str">
        <x:v>Place the closed glass spice container in the bowl.</x:v>
      </x:c>
      <x:c r="D1291" s="31" t="str">
        <x:v>glass spice container B</x:v>
      </x:c>
      <x:c r="E1291" s="31" t="str">
        <x:v>Binary task success; paired with the main matched-control row.</x:v>
      </x:c>
      <x:c r="F1291" s="31"/>
      <x:c r="G1291" s="31"/>
      <x:c r="H1291" s="31" t="str">
        <x:f>IF(OR(F1291="",G1291=""),"",IF(F1291=G1291,"Agree","Disagree"))</x:f>
      </x:c>
      <x:c r="I1291" s="31"/>
      <x:c r="J1291" s="31" t="str">
        <x:v>No</x:v>
      </x:c>
      <x:c r="K1291" s="31" t="str"/>
      <x:c r="L1291" s="31" t="str"/>
      <x:c r="M1291" s="31" t="str"/>
      <x:c r="N1291" s="31" t="str"/>
    </x:row>
    <x:row r="1292" ht="42" customHeight="1">
      <x:c r="A1292" s="35" t="n">
        <x:v>1290</x:v>
      </x:c>
      <x:c r="B1292" s="31" t="str">
        <x:f>IF('Execution Checklist'!Q1292="","",'Execution Checklist'!Q1292)</x:f>
      </x:c>
      <x:c r="C1292" s="31" t="str">
        <x:v>Place a yellow-white striped cup in the bowl.</x:v>
      </x:c>
      <x:c r="D1292" s="31" t="str">
        <x:v>yellow-white striped cup B</x:v>
      </x:c>
      <x:c r="E1292" s="31" t="str">
        <x:v>Binary task success; paired with the main transfer row.</x:v>
      </x:c>
      <x:c r="F1292" s="31"/>
      <x:c r="G1292" s="31"/>
      <x:c r="H1292" s="31" t="str">
        <x:f>IF(OR(F1292="",G1292=""),"",IF(F1292=G1292,"Agree","Disagree"))</x:f>
      </x:c>
      <x:c r="I1292" s="31"/>
      <x:c r="J1292" s="31" t="str">
        <x:v>No</x:v>
      </x:c>
      <x:c r="K1292" s="31" t="str"/>
      <x:c r="L1292" s="31" t="str"/>
      <x:c r="M1292" s="31" t="str"/>
      <x:c r="N1292" s="31" t="str"/>
    </x:row>
    <x:row r="1293" ht="42" customHeight="1">
      <x:c r="A1293" s="35" t="n">
        <x:v>1291</x:v>
      </x:c>
      <x:c r="B1293" s="31" t="str">
        <x:f>IF('Execution Checklist'!Q1293="","",'Execution Checklist'!Q1293)</x:f>
      </x:c>
      <x:c r="C1293" s="31" t="str">
        <x:v>Put the open glass spice container in the bowl.</x:v>
      </x:c>
      <x:c r="D1293" s="31" t="str">
        <x:v>glass spice container B</x:v>
      </x:c>
      <x:c r="E1293" s="31" t="str">
        <x:v>Binary task success using the task-specific rubric.</x:v>
      </x:c>
      <x:c r="F1293" s="31"/>
      <x:c r="G1293" s="31"/>
      <x:c r="H1293" s="31" t="str">
        <x:f>IF(OR(F1293="",G1293=""),"",IF(F1293=G1293,"Agree","Disagree"))</x:f>
      </x:c>
      <x:c r="I1293" s="31"/>
      <x:c r="J1293" s="31" t="str">
        <x:v>No</x:v>
      </x:c>
      <x:c r="K1293" s="31" t="str"/>
      <x:c r="L1293" s="31" t="str"/>
      <x:c r="M1293" s="31" t="str"/>
      <x:c r="N1293" s="31" t="str"/>
    </x:row>
    <x:row r="1294" ht="42" customHeight="1">
      <x:c r="A1294" s="35" t="n">
        <x:v>1292</x:v>
      </x:c>
      <x:c r="B1294" s="31" t="str">
        <x:f>IF('Execution Checklist'!Q1294="","",'Execution Checklist'!Q1294)</x:f>
      </x:c>
      <x:c r="C1294" s="31" t="str">
        <x:v>Move the overturned white cup into the bowl.</x:v>
      </x:c>
      <x:c r="D1294" s="31" t="str">
        <x:v>white cup A</x:v>
      </x:c>
      <x:c r="E1294" s="31" t="str">
        <x:v>Binary task success; compare with the seen-language row sharing Pair ID.</x:v>
      </x:c>
      <x:c r="F1294" s="31"/>
      <x:c r="G1294" s="31"/>
      <x:c r="H1294" s="31" t="str">
        <x:f>IF(OR(F1294="",G1294=""),"",IF(F1294=G1294,"Agree","Disagree"))</x:f>
      </x:c>
      <x:c r="I1294" s="31"/>
      <x:c r="J1294" s="31" t="str">
        <x:v>No</x:v>
      </x:c>
      <x:c r="K1294" s="31" t="str"/>
      <x:c r="L1294" s="31" t="str"/>
      <x:c r="M1294" s="31" t="str"/>
      <x:c r="N1294" s="31" t="str"/>
    </x:row>
    <x:row r="1295" ht="42" customHeight="1">
      <x:c r="A1295" s="35" t="n">
        <x:v>1293</x:v>
      </x:c>
      <x:c r="B1295" s="31" t="str">
        <x:f>IF('Execution Checklist'!Q1295="","",'Execution Checklist'!Q1295)</x:f>
      </x:c>
      <x:c r="C1295" s="31" t="str">
        <x:v>Place the closed brown cup in the bowl.</x:v>
      </x:c>
      <x:c r="D1295" s="31" t="str">
        <x:v>No prespecified task success under blank language; record any action/selected target.</x:v>
      </x:c>
      <x:c r="E1295" s="31" t="str">
        <x:v>Do not score ordinary task success. Record action occurrence and agreement with the parent correct-prompt rollout.</x:v>
      </x:c>
      <x:c r="F1295" s="31"/>
      <x:c r="G1295" s="31"/>
      <x:c r="H1295" s="31" t="str">
        <x:f>IF(OR(F1295="",G1295=""),"",IF(F1295=G1295,"Agree","Disagree"))</x:f>
      </x:c>
      <x:c r="I1295" s="31"/>
      <x:c r="J1295" s="31" t="str">
        <x:v>No</x:v>
      </x:c>
      <x:c r="K1295" s="31" t="str"/>
      <x:c r="L1295" s="31" t="str"/>
      <x:c r="M1295" s="31" t="str"/>
      <x:c r="N1295" s="31" t="str"/>
    </x:row>
    <x:row r="1296" ht="42" customHeight="1">
      <x:c r="A1296" s="35" t="n">
        <x:v>1294</x:v>
      </x:c>
      <x:c r="B1296" s="31" t="str">
        <x:f>IF('Execution Checklist'!Q1296="","",'Execution Checklist'!Q1296)</x:f>
      </x:c>
      <x:c r="C1296" s="31" t="str">
        <x:v>Place the closed glass spice container in the bowl.</x:v>
      </x:c>
      <x:c r="D1296" s="31" t="str">
        <x:v>No prespecified task success under blank language; record any action/selected target.</x:v>
      </x:c>
      <x:c r="E1296" s="31" t="str">
        <x:v>Do not score ordinary task success. Record action occurrence and agreement with the parent correct-prompt rollout.</x:v>
      </x:c>
      <x:c r="F1296" s="31"/>
      <x:c r="G1296" s="31"/>
      <x:c r="H1296" s="31" t="str">
        <x:f>IF(OR(F1296="",G1296=""),"",IF(F1296=G1296,"Agree","Disagree"))</x:f>
      </x:c>
      <x:c r="I1296" s="31"/>
      <x:c r="J1296" s="31" t="str">
        <x:v>No</x:v>
      </x:c>
      <x:c r="K1296" s="31" t="str"/>
      <x:c r="L1296" s="31" t="str"/>
      <x:c r="M1296" s="31" t="str"/>
      <x:c r="N1296" s="31" t="str"/>
    </x:row>
    <x:row r="1297" ht="42" customHeight="1">
      <x:c r="A1297" s="35" t="n">
        <x:v>1295</x:v>
      </x:c>
      <x:c r="B1297" s="31" t="str">
        <x:f>IF('Execution Checklist'!Q1297="","",'Execution Checklist'!Q1297)</x:f>
      </x:c>
      <x:c r="C1297" s="31" t="str">
        <x:v>Place the upside-down white cup in the bowl.</x:v>
      </x:c>
      <x:c r="D1297" s="31" t="str">
        <x:v>white cup A</x:v>
      </x:c>
      <x:c r="E1297" s="31" t="str">
        <x:v>Binary task success using the task-specific rubric.</x:v>
      </x:c>
      <x:c r="F1297" s="31"/>
      <x:c r="G1297" s="31"/>
      <x:c r="H1297" s="31" t="str">
        <x:f>IF(OR(F1297="",G1297=""),"",IF(F1297=G1297,"Agree","Disagree"))</x:f>
      </x:c>
      <x:c r="I1297" s="31"/>
      <x:c r="J1297" s="31" t="str">
        <x:v>No</x:v>
      </x:c>
      <x:c r="K1297" s="31" t="str"/>
      <x:c r="L1297" s="31" t="str"/>
      <x:c r="M1297" s="31" t="str"/>
      <x:c r="N1297" s="31" t="str"/>
    </x:row>
    <x:row r="1298" ht="42" customHeight="1">
      <x:c r="A1298" s="35" t="n">
        <x:v>1296</x:v>
      </x:c>
      <x:c r="B1298" s="31" t="str">
        <x:f>IF('Execution Checklist'!Q1298="","",'Execution Checklist'!Q1298)</x:f>
      </x:c>
      <x:c r="C1298" s="31" t="str">
        <x:v>Place the closed white cup in the bowl.</x:v>
      </x:c>
      <x:c r="D1298" s="31" t="str">
        <x:v>white cup A</x:v>
      </x:c>
      <x:c r="E1298" s="31" t="str">
        <x:v>Binary task success; paired with the main matched-control row.</x:v>
      </x:c>
      <x:c r="F1298" s="31"/>
      <x:c r="G1298" s="31"/>
      <x:c r="H1298" s="31" t="str">
        <x:f>IF(OR(F1298="",G1298=""),"",IF(F1298=G1298,"Agree","Disagree"))</x:f>
      </x:c>
      <x:c r="I1298" s="31"/>
      <x:c r="J1298" s="31" t="str">
        <x:v>No</x:v>
      </x:c>
      <x:c r="K1298" s="31" t="str"/>
      <x:c r="L1298" s="31" t="str"/>
      <x:c r="M1298" s="31" t="str"/>
      <x:c r="N1298" s="31" t="str"/>
    </x:row>
    <x:row r="1299" ht="42" customHeight="1">
      <x:c r="A1299" s="35" t="n">
        <x:v>1297</x:v>
      </x:c>
      <x:c r="B1299" s="31" t="str">
        <x:f>IF('Execution Checklist'!Q1299="","",'Execution Checklist'!Q1299)</x:f>
      </x:c>
      <x:c r="C1299" s="31" t="str">
        <x:v>Place the open white cup in the bowl.</x:v>
      </x:c>
      <x:c r="D1299" s="31" t="str">
        <x:v>white cup B</x:v>
      </x:c>
      <x:c r="E1299" s="31" t="str">
        <x:v>Binary success for the counterfactual instruction and paired action-switch analysis versus the parent.</x:v>
      </x:c>
      <x:c r="F1299" s="31"/>
      <x:c r="G1299" s="31"/>
      <x:c r="H1299" s="31" t="str">
        <x:f>IF(OR(F1299="",G1299=""),"",IF(F1299=G1299,"Agree","Disagree"))</x:f>
      </x:c>
      <x:c r="I1299" s="31"/>
      <x:c r="J1299" s="31" t="str">
        <x:v>No</x:v>
      </x:c>
      <x:c r="K1299" s="31" t="str"/>
      <x:c r="L1299" s="31" t="str"/>
      <x:c r="M1299" s="31" t="str"/>
      <x:c r="N1299" s="31" t="str"/>
    </x:row>
    <x:row r="1300" ht="42" customHeight="1">
      <x:c r="A1300" s="35" t="n">
        <x:v>1298</x:v>
      </x:c>
      <x:c r="B1300" s="31" t="str">
        <x:f>IF('Execution Checklist'!Q1300="","",'Execution Checklist'!Q1300)</x:f>
      </x:c>
      <x:c r="C1300" s="31" t="str">
        <x:v>Place a white cup in the bowl.</x:v>
      </x:c>
      <x:c r="D1300" s="31" t="str">
        <x:v>white cup A</x:v>
      </x:c>
      <x:c r="E1300" s="31" t="str">
        <x:v>Binary task success; paired with the main transfer row.</x:v>
      </x:c>
      <x:c r="F1300" s="31"/>
      <x:c r="G1300" s="31"/>
      <x:c r="H1300" s="31" t="str">
        <x:f>IF(OR(F1300="",G1300=""),"",IF(F1300=G1300,"Agree","Disagree"))</x:f>
      </x:c>
      <x:c r="I1300" s="31"/>
      <x:c r="J1300" s="31" t="str">
        <x:v>No</x:v>
      </x:c>
      <x:c r="K1300" s="31" t="str"/>
      <x:c r="L1300" s="31" t="str"/>
      <x:c r="M1300" s="31" t="str"/>
      <x:c r="N1300" s="31" t="str"/>
    </x:row>
    <x:row r="1301" ht="42" customHeight="1">
      <x:c r="A1301" s="35" t="n">
        <x:v>1299</x:v>
      </x:c>
      <x:c r="B1301" s="31" t="str">
        <x:f>IF('Execution Checklist'!Q1301="","",'Execution Checklist'!Q1301)</x:f>
      </x:c>
      <x:c r="C1301" s="31" t="str">
        <x:v>Place a glass spice container in the bowl.</x:v>
      </x:c>
      <x:c r="D1301" s="31" t="str">
        <x:v>glass spice container A</x:v>
      </x:c>
      <x:c r="E1301" s="31" t="str">
        <x:v>Binary task success; paired with the main transfer row.</x:v>
      </x:c>
      <x:c r="F1301" s="31"/>
      <x:c r="G1301" s="31"/>
      <x:c r="H1301" s="31" t="str">
        <x:f>IF(OR(F1301="",G1301=""),"",IF(F1301=G1301,"Agree","Disagree"))</x:f>
      </x:c>
      <x:c r="I1301" s="31"/>
      <x:c r="J1301" s="31" t="str">
        <x:v>No</x:v>
      </x:c>
      <x:c r="K1301" s="31" t="str"/>
      <x:c r="L1301" s="31" t="str"/>
      <x:c r="M1301" s="31" t="str"/>
      <x:c r="N1301" s="31" t="str"/>
    </x:row>
    <x:row r="1302" ht="42" customHeight="1">
      <x:c r="A1302" s="35" t="n">
        <x:v>1300</x:v>
      </x:c>
      <x:c r="B1302" s="31" t="str">
        <x:f>IF('Execution Checklist'!Q1302="","",'Execution Checklist'!Q1302)</x:f>
      </x:c>
      <x:c r="C1302" s="31" t="str">
        <x:v>Move the white cup that is open into the bowl.</x:v>
      </x:c>
      <x:c r="D1302" s="31" t="str">
        <x:v>white cup B</x:v>
      </x:c>
      <x:c r="E1302" s="31" t="str">
        <x:v>Binary task success; compare with the seen-language row sharing Pair ID.</x:v>
      </x:c>
      <x:c r="F1302" s="31"/>
      <x:c r="G1302" s="31"/>
      <x:c r="H1302" s="31" t="str">
        <x:f>IF(OR(F1302="",G1302=""),"",IF(F1302=G1302,"Agree","Disagree"))</x:f>
      </x:c>
      <x:c r="I1302" s="31"/>
      <x:c r="J1302" s="31" t="str">
        <x:v>No</x:v>
      </x:c>
      <x:c r="K1302" s="31" t="str"/>
      <x:c r="L1302" s="31" t="str"/>
      <x:c r="M1302" s="31" t="str"/>
      <x:c r="N1302" s="31" t="str"/>
    </x:row>
    <x:row r="1303" ht="42" customHeight="1">
      <x:c r="A1303" s="35" t="n">
        <x:v>1301</x:v>
      </x:c>
      <x:c r="B1303" s="31" t="str">
        <x:f>IF('Execution Checklist'!Q1303="","",'Execution Checklist'!Q1303)</x:f>
      </x:c>
      <x:c r="C1303" s="31" t="str">
        <x:v>Place the upright yellow-white striped cup in the bowl.</x:v>
      </x:c>
      <x:c r="D1303" s="31" t="str">
        <x:v>yellow-white striped cup B</x:v>
      </x:c>
      <x:c r="E1303" s="31" t="str">
        <x:v>Binary task success; paired with the main matched-control row.</x:v>
      </x:c>
      <x:c r="F1303" s="31"/>
      <x:c r="G1303" s="31"/>
      <x:c r="H1303" s="31" t="str">
        <x:f>IF(OR(F1303="",G1303=""),"",IF(F1303=G1303,"Agree","Disagree"))</x:f>
      </x:c>
      <x:c r="I1303" s="31"/>
      <x:c r="J1303" s="31" t="str">
        <x:v>No</x:v>
      </x:c>
      <x:c r="K1303" s="31" t="str"/>
      <x:c r="L1303" s="31" t="str"/>
      <x:c r="M1303" s="31" t="str"/>
      <x:c r="N1303" s="31" t="str"/>
    </x:row>
    <x:row r="1304" ht="42" customHeight="1">
      <x:c r="A1304" s="35" t="n">
        <x:v>1302</x:v>
      </x:c>
      <x:c r="B1304" s="31" t="str">
        <x:f>IF('Execution Checklist'!Q1304="","",'Execution Checklist'!Q1304)</x:f>
      </x:c>
      <x:c r="C1304" s="31" t="str">
        <x:v>Finish with two objects in the bowl.</x:v>
      </x:c>
      <x:c r="D1304" s="31" t="str"/>
      <x:c r="E1304" s="31" t="str">
        <x:v>Binary task success; compare with the seen-language row sharing Pair ID.</x:v>
      </x:c>
      <x:c r="F1304" s="31"/>
      <x:c r="G1304" s="31"/>
      <x:c r="H1304" s="31" t="str">
        <x:f>IF(OR(F1304="",G1304=""),"",IF(F1304=G1304,"Agree","Disagree"))</x:f>
      </x:c>
      <x:c r="I1304" s="31"/>
      <x:c r="J1304" s="31" t="str">
        <x:v>No</x:v>
      </x:c>
      <x:c r="K1304" s="31" t="str"/>
      <x:c r="L1304" s="31" t="str"/>
      <x:c r="M1304" s="31" t="str"/>
      <x:c r="N1304" s="31" t="str"/>
    </x:row>
    <x:row r="1305" ht="42" customHeight="1">
      <x:c r="A1305" s="35" t="n">
        <x:v>1303</x:v>
      </x:c>
      <x:c r="B1305" s="31" t="str">
        <x:f>IF('Execution Checklist'!Q1305="","",'Execution Checklist'!Q1305)</x:f>
      </x:c>
      <x:c r="C1305" s="31" t="str">
        <x:v>Make the bowl contain exactly two objects.</x:v>
      </x:c>
      <x:c r="D1305" s="31" t="str"/>
      <x:c r="E1305" s="31" t="str">
        <x:v>Binary task success using the task-specific rubric.</x:v>
      </x:c>
      <x:c r="F1305" s="31"/>
      <x:c r="G1305" s="31"/>
      <x:c r="H1305" s="31" t="str">
        <x:f>IF(OR(F1305="",G1305=""),"",IF(F1305=G1305,"Agree","Disagree"))</x:f>
      </x:c>
      <x:c r="I1305" s="31"/>
      <x:c r="J1305" s="31" t="str">
        <x:v>No</x:v>
      </x:c>
      <x:c r="K1305" s="31" t="str"/>
      <x:c r="L1305" s="31" t="str"/>
      <x:c r="M1305" s="31" t="str"/>
      <x:c r="N1305" s="31" t="str"/>
    </x:row>
    <x:row r="1306" ht="42" customHeight="1">
      <x:c r="A1306" s="35" t="n">
        <x:v>1304</x:v>
      </x:c>
      <x:c r="B1306" s="31" t="str">
        <x:f>IF('Execution Checklist'!Q1306="","",'Execution Checklist'!Q1306)</x:f>
      </x:c>
      <x:c r="C1306" s="31" t="str">
        <x:v>Leave exactly one object in the bowl.</x:v>
      </x:c>
      <x:c r="D1306" s="31" t="str">
        <x:v>REMOVE one bowl object</x:v>
      </x:c>
      <x:c r="E1306" s="31" t="str">
        <x:v>Binary task success; paired with the main matched-control row.</x:v>
      </x:c>
      <x:c r="F1306" s="31"/>
      <x:c r="G1306" s="31"/>
      <x:c r="H1306" s="31" t="str">
        <x:f>IF(OR(F1306="",G1306=""),"",IF(F1306=G1306,"Agree","Disagree"))</x:f>
      </x:c>
      <x:c r="I1306" s="31"/>
      <x:c r="J1306" s="31" t="str">
        <x:v>No</x:v>
      </x:c>
      <x:c r="K1306" s="31" t="str"/>
      <x:c r="L1306" s="31" t="str"/>
      <x:c r="M1306" s="31" t="str"/>
      <x:c r="N1306" s="31" t="str"/>
    </x:row>
    <x:row r="1307" ht="42" customHeight="1">
      <x:c r="A1307" s="35" t="n">
        <x:v>1305</x:v>
      </x:c>
      <x:c r="B1307" s="31" t="str">
        <x:f>IF('Execution Checklist'!Q1307="","",'Execution Checklist'!Q1307)</x:f>
      </x:c>
      <x:c r="C1307" s="31" t="str">
        <x:v>Leave exactly three objects in the bowl.</x:v>
      </x:c>
      <x:c r="D1307" s="31" t="str">
        <x:v>ADD one table object</x:v>
      </x:c>
      <x:c r="E1307" s="31" t="str">
        <x:v>Binary task success; paired with the main matched-control row.</x:v>
      </x:c>
      <x:c r="F1307" s="31"/>
      <x:c r="G1307" s="31"/>
      <x:c r="H1307" s="31" t="str">
        <x:f>IF(OR(F1307="",G1307=""),"",IF(F1307=G1307,"Agree","Disagree"))</x:f>
      </x:c>
      <x:c r="I1307" s="31"/>
      <x:c r="J1307" s="31" t="str">
        <x:v>No</x:v>
      </x:c>
      <x:c r="K1307" s="31" t="str"/>
      <x:c r="L1307" s="31" t="str"/>
      <x:c r="M1307" s="31" t="str"/>
      <x:c r="N1307" s="31" t="str"/>
    </x:row>
    <x:row r="1308" ht="42" customHeight="1">
      <x:c r="A1308" s="35" t="n">
        <x:v>1306</x:v>
      </x:c>
      <x:c r="B1308" s="31" t="str">
        <x:f>IF('Execution Checklist'!Q1308="","",'Execution Checklist'!Q1308)</x:f>
      </x:c>
      <x:c r="C1308" s="31" t="str">
        <x:v>Remove the yellow block from the bowl.</x:v>
      </x:c>
      <x:c r="D1308" s="31" t="str">
        <x:v>REMOVE yellow block</x:v>
      </x:c>
      <x:c r="E1308" s="31" t="str">
        <x:v>Binary task success; paired with the main transfer row.</x:v>
      </x:c>
      <x:c r="F1308" s="31"/>
      <x:c r="G1308" s="31"/>
      <x:c r="H1308" s="31" t="str">
        <x:f>IF(OR(F1308="",G1308=""),"",IF(F1308=G1308,"Agree","Disagree"))</x:f>
      </x:c>
      <x:c r="I1308" s="31"/>
      <x:c r="J1308" s="31" t="str">
        <x:v>No</x:v>
      </x:c>
      <x:c r="K1308" s="31" t="str"/>
      <x:c r="L1308" s="31" t="str"/>
      <x:c r="M1308" s="31" t="str"/>
      <x:c r="N1308" s="31" t="str"/>
    </x:row>
    <x:row r="1309" ht="42" customHeight="1">
      <x:c r="A1309" s="35" t="n">
        <x:v>1307</x:v>
      </x:c>
      <x:c r="B1309" s="31" t="str">
        <x:f>IF('Execution Checklist'!Q1309="","",'Execution Checklist'!Q1309)</x:f>
      </x:c>
      <x:c r="C1309" s="31" t="str">
        <x:v>Make the bowl contain exactly two objects.</x:v>
      </x:c>
      <x:c r="D1309" s="31" t="str"/>
      <x:c r="E1309" s="31" t="str">
        <x:v>Binary task success using the task-specific rubric.</x:v>
      </x:c>
      <x:c r="F1309" s="31"/>
      <x:c r="G1309" s="31"/>
      <x:c r="H1309" s="31" t="str">
        <x:f>IF(OR(F1309="",G1309=""),"",IF(F1309=G1309,"Agree","Disagree"))</x:f>
      </x:c>
      <x:c r="I1309" s="31"/>
      <x:c r="J1309" s="31" t="str">
        <x:v>No</x:v>
      </x:c>
      <x:c r="K1309" s="31" t="str"/>
      <x:c r="L1309" s="31" t="str"/>
      <x:c r="M1309" s="31" t="str"/>
      <x:c r="N1309" s="31" t="str"/>
    </x:row>
    <x:row r="1310" ht="42" customHeight="1">
      <x:c r="A1310" s="35" t="n">
        <x:v>1308</x:v>
      </x:c>
      <x:c r="B1310" s="31" t="str">
        <x:f>IF('Execution Checklist'!Q1310="","",'Execution Checklist'!Q1310)</x:f>
      </x:c>
      <x:c r="C1310" s="31" t="str">
        <x:v>Leave exactly one object in the bowl.</x:v>
      </x:c>
      <x:c r="D1310" s="31" t="str">
        <x:v>REMOVE one bowl object</x:v>
      </x:c>
      <x:c r="E1310" s="31" t="str">
        <x:v>Binary task success; paired with the main matched-control row.</x:v>
      </x:c>
      <x:c r="F1310" s="31"/>
      <x:c r="G1310" s="31"/>
      <x:c r="H1310" s="31" t="str">
        <x:f>IF(OR(F1310="",G1310=""),"",IF(F1310=G1310,"Agree","Disagree"))</x:f>
      </x:c>
      <x:c r="I1310" s="31"/>
      <x:c r="J1310" s="31" t="str">
        <x:v>No</x:v>
      </x:c>
      <x:c r="K1310" s="31" t="str"/>
      <x:c r="L1310" s="31" t="str"/>
      <x:c r="M1310" s="31" t="str"/>
      <x:c r="N1310" s="31" t="str"/>
    </x:row>
    <x:row r="1311" ht="42" customHeight="1">
      <x:c r="A1311" s="35" t="n">
        <x:v>1309</x:v>
      </x:c>
      <x:c r="B1311" s="31" t="str">
        <x:f>IF('Execution Checklist'!Q1311="","",'Execution Checklist'!Q1311)</x:f>
      </x:c>
      <x:c r="C1311" s="31" t="str">
        <x:v>Leave exactly one object in the bowl.</x:v>
      </x:c>
      <x:c r="D1311" s="31" t="str">
        <x:v>REMOVE one bowl object</x:v>
      </x:c>
      <x:c r="E1311" s="31" t="str">
        <x:v>Binary success for the counterfactual instruction and paired action-switch analysis versus the parent.</x:v>
      </x:c>
      <x:c r="F1311" s="31"/>
      <x:c r="G1311" s="31"/>
      <x:c r="H1311" s="31" t="str">
        <x:f>IF(OR(F1311="",G1311=""),"",IF(F1311=G1311,"Agree","Disagree"))</x:f>
      </x:c>
      <x:c r="I1311" s="31"/>
      <x:c r="J1311" s="31" t="str">
        <x:v>No</x:v>
      </x:c>
      <x:c r="K1311" s="31" t="str"/>
      <x:c r="L1311" s="31" t="str"/>
      <x:c r="M1311" s="31" t="str"/>
      <x:c r="N1311" s="31" t="str"/>
    </x:row>
    <x:row r="1312" ht="42" customHeight="1">
      <x:c r="A1312" s="35" t="n">
        <x:v>1310</x:v>
      </x:c>
      <x:c r="B1312" s="31" t="str">
        <x:f>IF('Execution Checklist'!Q1312="","",'Execution Checklist'!Q1312)</x:f>
      </x:c>
      <x:c r="C1312" s="31" t="str">
        <x:v>Leave exactly one object in the bowl.</x:v>
      </x:c>
      <x:c r="D1312" s="31" t="str">
        <x:v>No prespecified task success under blank language; record any action/selected target.</x:v>
      </x:c>
      <x:c r="E1312" s="31" t="str">
        <x:v>Do not score ordinary task success. Record action occurrence and agreement with the parent correct-prompt rollout.</x:v>
      </x:c>
      <x:c r="F1312" s="31"/>
      <x:c r="G1312" s="31"/>
      <x:c r="H1312" s="31" t="str">
        <x:f>IF(OR(F1312="",G1312=""),"",IF(F1312=G1312,"Agree","Disagree"))</x:f>
      </x:c>
      <x:c r="I1312" s="31"/>
      <x:c r="J1312" s="31" t="str">
        <x:v>No</x:v>
      </x:c>
      <x:c r="K1312" s="31" t="str"/>
      <x:c r="L1312" s="31" t="str"/>
      <x:c r="M1312" s="31" t="str"/>
      <x:c r="N1312" s="31" t="str"/>
    </x:row>
    <x:row r="1313" ht="42" customHeight="1">
      <x:c r="A1313" s="35" t="n">
        <x:v>1311</x:v>
      </x:c>
      <x:c r="B1313" s="31" t="str">
        <x:f>IF('Execution Checklist'!Q1313="","",'Execution Checklist'!Q1313)</x:f>
      </x:c>
      <x:c r="C1313" s="31" t="str">
        <x:v>Finish with two objects in the bowl.</x:v>
      </x:c>
      <x:c r="D1313" s="31" t="str"/>
      <x:c r="E1313" s="31" t="str">
        <x:v>Binary task success; compare with the seen-language row sharing Pair ID.</x:v>
      </x:c>
      <x:c r="F1313" s="31"/>
      <x:c r="G1313" s="31"/>
      <x:c r="H1313" s="31" t="str">
        <x:f>IF(OR(F1313="",G1313=""),"",IF(F1313=G1313,"Agree","Disagree"))</x:f>
      </x:c>
      <x:c r="I1313" s="31"/>
      <x:c r="J1313" s="31" t="str">
        <x:v>No</x:v>
      </x:c>
      <x:c r="K1313" s="31" t="str"/>
      <x:c r="L1313" s="31" t="str"/>
      <x:c r="M1313" s="31" t="str"/>
      <x:c r="N1313" s="31" t="str"/>
    </x:row>
    <x:row r="1314" ht="42" customHeight="1">
      <x:c r="A1314" s="35" t="n">
        <x:v>1312</x:v>
      </x:c>
      <x:c r="B1314" s="31" t="str">
        <x:f>IF('Execution Checklist'!Q1314="","",'Execution Checklist'!Q1314)</x:f>
      </x:c>
      <x:c r="C1314" s="31" t="str">
        <x:v>Leave exactly three objects in the bowl.</x:v>
      </x:c>
      <x:c r="D1314" s="31" t="str">
        <x:v>ADD one table object</x:v>
      </x:c>
      <x:c r="E1314" s="31" t="str">
        <x:v>Binary success for the counterfactual instruction and paired action-switch analysis versus the parent.</x:v>
      </x:c>
      <x:c r="F1314" s="31"/>
      <x:c r="G1314" s="31"/>
      <x:c r="H1314" s="31" t="str">
        <x:f>IF(OR(F1314="",G1314=""),"",IF(F1314=G1314,"Agree","Disagree"))</x:f>
      </x:c>
      <x:c r="I1314" s="31"/>
      <x:c r="J1314" s="31" t="str">
        <x:v>No</x:v>
      </x:c>
      <x:c r="K1314" s="31" t="str"/>
      <x:c r="L1314" s="31" t="str"/>
      <x:c r="M1314" s="31" t="str"/>
      <x:c r="N1314" s="31" t="str"/>
    </x:row>
    <x:row r="1315" ht="42" customHeight="1">
      <x:c r="A1315" s="35" t="n">
        <x:v>1313</x:v>
      </x:c>
      <x:c r="B1315" s="31" t="str">
        <x:f>IF('Execution Checklist'!Q1315="","",'Execution Checklist'!Q1315)</x:f>
      </x:c>
      <x:c r="C1315" s="31" t="str">
        <x:v>Leave exactly one object in the bowl.</x:v>
      </x:c>
      <x:c r="D1315" s="31" t="str">
        <x:v>REMOVE one bowl object</x:v>
      </x:c>
      <x:c r="E1315" s="31" t="str">
        <x:v>Binary task success; paired with the main matched-control row.</x:v>
      </x:c>
      <x:c r="F1315" s="31"/>
      <x:c r="G1315" s="31"/>
      <x:c r="H1315" s="31" t="str">
        <x:f>IF(OR(F1315="",G1315=""),"",IF(F1315=G1315,"Agree","Disagree"))</x:f>
      </x:c>
      <x:c r="I1315" s="31"/>
      <x:c r="J1315" s="31" t="str">
        <x:v>No</x:v>
      </x:c>
      <x:c r="K1315" s="31" t="str"/>
      <x:c r="L1315" s="31" t="str"/>
      <x:c r="M1315" s="31" t="str"/>
      <x:c r="N1315" s="31" t="str"/>
    </x:row>
    <x:row r="1316" ht="42" customHeight="1">
      <x:c r="A1316" s="35" t="n">
        <x:v>1314</x:v>
      </x:c>
      <x:c r="B1316" s="31" t="str">
        <x:f>IF('Execution Checklist'!Q1316="","",'Execution Checklist'!Q1316)</x:f>
      </x:c>
      <x:c r="C1316" s="31" t="str">
        <x:v>Leave exactly one object in the bowl.</x:v>
      </x:c>
      <x:c r="D1316" s="31" t="str">
        <x:v>No prespecified task success under blank language; record any action/selected target.</x:v>
      </x:c>
      <x:c r="E1316" s="31" t="str">
        <x:v>Do not score ordinary task success. Record action occurrence and agreement with the parent correct-prompt rollout.</x:v>
      </x:c>
      <x:c r="F1316" s="31"/>
      <x:c r="G1316" s="31"/>
      <x:c r="H1316" s="31" t="str">
        <x:f>IF(OR(F1316="",G1316=""),"",IF(F1316=G1316,"Agree","Disagree"))</x:f>
      </x:c>
      <x:c r="I1316" s="31"/>
      <x:c r="J1316" s="31" t="str">
        <x:v>No</x:v>
      </x:c>
      <x:c r="K1316" s="31" t="str"/>
      <x:c r="L1316" s="31" t="str"/>
      <x:c r="M1316" s="31" t="str"/>
      <x:c r="N1316" s="31" t="str"/>
    </x:row>
    <x:row r="1317" ht="42" customHeight="1">
      <x:c r="A1317" s="35" t="n">
        <x:v>1315</x:v>
      </x:c>
      <x:c r="B1317" s="31" t="str">
        <x:f>IF('Execution Checklist'!Q1317="","",'Execution Checklist'!Q1317)</x:f>
      </x:c>
      <x:c r="C1317" s="31" t="str">
        <x:v>Leave exactly three objects in the bowl.</x:v>
      </x:c>
      <x:c r="D1317" s="31" t="str">
        <x:v>No prespecified task success under blank language; record any action/selected target.</x:v>
      </x:c>
      <x:c r="E1317" s="31" t="str">
        <x:v>Do not score ordinary task success. Record action occurrence and agreement with the parent correct-prompt rollout.</x:v>
      </x:c>
      <x:c r="F1317" s="31"/>
      <x:c r="G1317" s="31"/>
      <x:c r="H1317" s="31" t="str">
        <x:f>IF(OR(F1317="",G1317=""),"",IF(F1317=G1317,"Agree","Disagree"))</x:f>
      </x:c>
      <x:c r="I1317" s="31"/>
      <x:c r="J1317" s="31" t="str">
        <x:v>No</x:v>
      </x:c>
      <x:c r="K1317" s="31" t="str"/>
      <x:c r="L1317" s="31" t="str"/>
      <x:c r="M1317" s="31" t="str"/>
      <x:c r="N1317" s="31" t="str"/>
    </x:row>
    <x:row r="1318" ht="42" customHeight="1">
      <x:c r="A1318" s="35" t="n">
        <x:v>1316</x:v>
      </x:c>
      <x:c r="B1318" s="31" t="str">
        <x:f>IF('Execution Checklist'!Q1318="","",'Execution Checklist'!Q1318)</x:f>
      </x:c>
      <x:c r="C1318" s="31" t="str">
        <x:v>Leave exactly three objects in the bowl.</x:v>
      </x:c>
      <x:c r="D1318" s="31" t="str">
        <x:v>ADD one table object</x:v>
      </x:c>
      <x:c r="E1318" s="31" t="str">
        <x:v>Binary task success; paired with the main matched-control row.</x:v>
      </x:c>
      <x:c r="F1318" s="31"/>
      <x:c r="G1318" s="31"/>
      <x:c r="H1318" s="31" t="str">
        <x:f>IF(OR(F1318="",G1318=""),"",IF(F1318=G1318,"Agree","Disagree"))</x:f>
      </x:c>
      <x:c r="I1318" s="31"/>
      <x:c r="J1318" s="31" t="str">
        <x:v>No</x:v>
      </x:c>
      <x:c r="K1318" s="31" t="str"/>
      <x:c r="L1318" s="31" t="str"/>
      <x:c r="M1318" s="31" t="str"/>
      <x:c r="N1318" s="31" t="str"/>
    </x:row>
    <x:row r="1319" ht="42" customHeight="1">
      <x:c r="A1319" s="35" t="n">
        <x:v>1317</x:v>
      </x:c>
      <x:c r="B1319" s="31" t="str">
        <x:f>IF('Execution Checklist'!Q1319="","",'Execution Checklist'!Q1319)</x:f>
      </x:c>
      <x:c r="C1319" s="31" t="str">
        <x:v>Remove the yellow block from the bowl.</x:v>
      </x:c>
      <x:c r="D1319" s="31" t="str">
        <x:v>REMOVE yellow block</x:v>
      </x:c>
      <x:c r="E1319" s="31" t="str">
        <x:v>Binary task success; paired with the main transfer row.</x:v>
      </x:c>
      <x:c r="F1319" s="31"/>
      <x:c r="G1319" s="31"/>
      <x:c r="H1319" s="31" t="str">
        <x:f>IF(OR(F1319="",G1319=""),"",IF(F1319=G1319,"Agree","Disagree"))</x:f>
      </x:c>
      <x:c r="I1319" s="31"/>
      <x:c r="J1319" s="31" t="str">
        <x:v>No</x:v>
      </x:c>
      <x:c r="K1319" s="31" t="str"/>
      <x:c r="L1319" s="31" t="str"/>
      <x:c r="M1319" s="31" t="str"/>
      <x:c r="N1319" s="31" t="str"/>
    </x:row>
    <x:row r="1320" ht="42" customHeight="1">
      <x:c r="A1320" s="35" t="n">
        <x:v>1318</x:v>
      </x:c>
      <x:c r="B1320" s="31" t="str">
        <x:f>IF('Execution Checklist'!Q1320="","",'Execution Checklist'!Q1320)</x:f>
      </x:c>
      <x:c r="C1320" s="31" t="str">
        <x:v>Put the green pencil sharpener in the bowl.</x:v>
      </x:c>
      <x:c r="D1320" s="31" t="str">
        <x:v>ADD green pencil sharpener</x:v>
      </x:c>
      <x:c r="E1320" s="31" t="str">
        <x:v>Binary task success; paired with the main transfer row.</x:v>
      </x:c>
      <x:c r="F1320" s="31"/>
      <x:c r="G1320" s="31"/>
      <x:c r="H1320" s="31" t="str">
        <x:f>IF(OR(F1320="",G1320=""),"",IF(F1320=G1320,"Agree","Disagree"))</x:f>
      </x:c>
      <x:c r="I1320" s="31"/>
      <x:c r="J1320" s="31" t="str">
        <x:v>No</x:v>
      </x:c>
      <x:c r="K1320" s="31" t="str"/>
      <x:c r="L1320" s="31" t="str"/>
      <x:c r="M1320" s="31" t="str"/>
      <x:c r="N1320" s="31" t="str"/>
    </x:row>
    <x:row r="1321" ht="42" customHeight="1">
      <x:c r="A1321" s="35" t="n">
        <x:v>1319</x:v>
      </x:c>
      <x:c r="B1321" s="31" t="str">
        <x:f>IF('Execution Checklist'!Q1321="","",'Execution Checklist'!Q1321)</x:f>
      </x:c>
      <x:c r="C1321" s="31" t="str">
        <x:v>Remove the yellow block from the bowl.</x:v>
      </x:c>
      <x:c r="D1321" s="31" t="str">
        <x:v>yellow block</x:v>
      </x:c>
      <x:c r="E1321" s="31" t="str">
        <x:v>Binary task success using the task-specific rubric.</x:v>
      </x:c>
      <x:c r="F1321" s="31"/>
      <x:c r="G1321" s="31"/>
      <x:c r="H1321" s="31" t="str">
        <x:f>IF(OR(F1321="",G1321=""),"",IF(F1321=G1321,"Agree","Disagree"))</x:f>
      </x:c>
      <x:c r="I1321" s="31"/>
      <x:c r="J1321" s="31" t="str">
        <x:v>No</x:v>
      </x:c>
      <x:c r="K1321" s="31" t="str"/>
      <x:c r="L1321" s="31" t="str"/>
      <x:c r="M1321" s="31" t="str"/>
      <x:c r="N1321" s="31" t="str"/>
    </x:row>
    <x:row r="1322" ht="42" customHeight="1">
      <x:c r="A1322" s="35" t="n">
        <x:v>1320</x:v>
      </x:c>
      <x:c r="B1322" s="31" t="str">
        <x:f>IF('Execution Checklist'!Q1322="","",'Execution Checklist'!Q1322)</x:f>
      </x:c>
      <x:c r="C1322" s="31" t="str">
        <x:v>Leave exactly three objects in the bowl.</x:v>
      </x:c>
      <x:c r="D1322" s="31" t="str">
        <x:v>ADD one table object</x:v>
      </x:c>
      <x:c r="E1322" s="31" t="str">
        <x:v>Binary task success; paired with the main matched-control row.</x:v>
      </x:c>
      <x:c r="F1322" s="31"/>
      <x:c r="G1322" s="31"/>
      <x:c r="H1322" s="31" t="str">
        <x:f>IF(OR(F1322="",G1322=""),"",IF(F1322=G1322,"Agree","Disagree"))</x:f>
      </x:c>
      <x:c r="I1322" s="31"/>
      <x:c r="J1322" s="31" t="str">
        <x:v>No</x:v>
      </x:c>
      <x:c r="K1322" s="31" t="str"/>
      <x:c r="L1322" s="31" t="str"/>
      <x:c r="M1322" s="31" t="str"/>
      <x:c r="N1322" s="31" t="str"/>
    </x:row>
    <x:row r="1323" ht="42" customHeight="1">
      <x:c r="A1323" s="35" t="n">
        <x:v>1321</x:v>
      </x:c>
      <x:c r="B1323" s="31" t="str">
        <x:f>IF('Execution Checklist'!Q1323="","",'Execution Checklist'!Q1323)</x:f>
      </x:c>
      <x:c r="C1323" s="31" t="str">
        <x:v>Adjust the bowl so that it contains zero objects.</x:v>
      </x:c>
      <x:c r="D1323" s="31" t="str"/>
      <x:c r="E1323" s="31" t="str">
        <x:v>Binary task success using the task-specific rubric.</x:v>
      </x:c>
      <x:c r="F1323" s="31"/>
      <x:c r="G1323" s="31"/>
      <x:c r="H1323" s="31" t="str">
        <x:f>IF(OR(F1323="",G1323=""),"",IF(F1323=G1323,"Agree","Disagree"))</x:f>
      </x:c>
      <x:c r="I1323" s="31"/>
      <x:c r="J1323" s="31" t="str">
        <x:v>No</x:v>
      </x:c>
      <x:c r="K1323" s="31" t="str"/>
      <x:c r="L1323" s="31" t="str"/>
      <x:c r="M1323" s="31" t="str"/>
      <x:c r="N1323" s="31" t="str"/>
    </x:row>
    <x:row r="1324" ht="42" customHeight="1">
      <x:c r="A1324" s="35" t="n">
        <x:v>1322</x:v>
      </x:c>
      <x:c r="B1324" s="31" t="str">
        <x:f>IF('Execution Checklist'!Q1324="","",'Execution Checklist'!Q1324)</x:f>
      </x:c>
      <x:c r="C1324" s="31" t="str">
        <x:v>Leave exactly one object in the bowl.</x:v>
      </x:c>
      <x:c r="D1324" s="31" t="str">
        <x:v>REMOVE one bowl object</x:v>
      </x:c>
      <x:c r="E1324" s="31" t="str">
        <x:v>Binary task success; paired with the main matched-control row.</x:v>
      </x:c>
      <x:c r="F1324" s="31"/>
      <x:c r="G1324" s="31"/>
      <x:c r="H1324" s="31" t="str">
        <x:f>IF(OR(F1324="",G1324=""),"",IF(F1324=G1324,"Agree","Disagree"))</x:f>
      </x:c>
      <x:c r="I1324" s="31"/>
      <x:c r="J1324" s="31" t="str">
        <x:v>No</x:v>
      </x:c>
      <x:c r="K1324" s="31" t="str"/>
      <x:c r="L1324" s="31" t="str"/>
      <x:c r="M1324" s="31" t="str"/>
      <x:c r="N1324" s="31" t="str"/>
    </x:row>
    <x:row r="1325" ht="42" customHeight="1">
      <x:c r="A1325" s="35" t="n">
        <x:v>1323</x:v>
      </x:c>
      <x:c r="B1325" s="31" t="str">
        <x:f>IF('Execution Checklist'!Q1325="","",'Execution Checklist'!Q1325)</x:f>
      </x:c>
      <x:c r="C1325" s="31" t="str">
        <x:v>Make the bowl contain exactly zero objects.</x:v>
      </x:c>
      <x:c r="D1325" s="31" t="str"/>
      <x:c r="E1325" s="31" t="str">
        <x:v>Binary task success using the task-specific rubric.</x:v>
      </x:c>
      <x:c r="F1325" s="31"/>
      <x:c r="G1325" s="31"/>
      <x:c r="H1325" s="31" t="str">
        <x:f>IF(OR(F1325="",G1325=""),"",IF(F1325=G1325,"Agree","Disagree"))</x:f>
      </x:c>
      <x:c r="I1325" s="31"/>
      <x:c r="J1325" s="31" t="str">
        <x:v>No</x:v>
      </x:c>
      <x:c r="K1325" s="31" t="str"/>
      <x:c r="L1325" s="31" t="str"/>
      <x:c r="M1325" s="31" t="str"/>
      <x:c r="N1325" s="31" t="str"/>
    </x:row>
    <x:row r="1326" ht="42" customHeight="1">
      <x:c r="A1326" s="35" t="n">
        <x:v>1324</x:v>
      </x:c>
      <x:c r="B1326" s="31" t="str">
        <x:f>IF('Execution Checklist'!Q1326="","",'Execution Checklist'!Q1326)</x:f>
      </x:c>
      <x:c r="C1326" s="31" t="str">
        <x:v>Adjust the bowl so that it contains two objects.</x:v>
      </x:c>
      <x:c r="D1326" s="31" t="str"/>
      <x:c r="E1326" s="31" t="str">
        <x:v>Binary task success using the task-specific rubric.</x:v>
      </x:c>
      <x:c r="F1326" s="31"/>
      <x:c r="G1326" s="31"/>
      <x:c r="H1326" s="31" t="str">
        <x:f>IF(OR(F1326="",G1326=""),"",IF(F1326=G1326,"Agree","Disagree"))</x:f>
      </x:c>
      <x:c r="I1326" s="31"/>
      <x:c r="J1326" s="31" t="str">
        <x:v>No</x:v>
      </x:c>
      <x:c r="K1326" s="31" t="str"/>
      <x:c r="L1326" s="31" t="str"/>
      <x:c r="M1326" s="31" t="str"/>
      <x:c r="N1326" s="31" t="str"/>
    </x:row>
    <x:row r="1327" ht="42" customHeight="1">
      <x:c r="A1327" s="35" t="n">
        <x:v>1325</x:v>
      </x:c>
      <x:c r="B1327" s="31" t="str">
        <x:f>IF('Execution Checklist'!Q1327="","",'Execution Checklist'!Q1327)</x:f>
      </x:c>
      <x:c r="C1327" s="31" t="str">
        <x:v>Leave exactly two objects in the bowl.</x:v>
      </x:c>
      <x:c r="D1327" s="31" t="str">
        <x:v>yellow block</x:v>
      </x:c>
      <x:c r="E1327" s="31" t="str">
        <x:v>Binary task success using the task-specific rubric.</x:v>
      </x:c>
      <x:c r="F1327" s="31"/>
      <x:c r="G1327" s="31"/>
      <x:c r="H1327" s="31" t="str">
        <x:f>IF(OR(F1327="",G1327=""),"",IF(F1327=G1327,"Agree","Disagree"))</x:f>
      </x:c>
      <x:c r="I1327" s="31"/>
      <x:c r="J1327" s="31" t="str">
        <x:v>No</x:v>
      </x:c>
      <x:c r="K1327" s="31" t="str"/>
      <x:c r="L1327" s="31" t="str"/>
      <x:c r="M1327" s="31" t="str"/>
      <x:c r="N1327" s="31" t="str"/>
    </x:row>
    <x:row r="1328" ht="42" customHeight="1">
      <x:c r="A1328" s="35" t="n">
        <x:v>1326</x:v>
      </x:c>
      <x:c r="B1328" s="31" t="str">
        <x:f>IF('Execution Checklist'!Q1328="","",'Execution Checklist'!Q1328)</x:f>
      </x:c>
      <x:c r="C1328" s="31" t="str">
        <x:v>Leave exactly three objects in the bowl.</x:v>
      </x:c>
      <x:c r="D1328" s="31" t="str">
        <x:v>No prespecified task success under blank language; record any action/selected target.</x:v>
      </x:c>
      <x:c r="E1328" s="31" t="str">
        <x:v>Do not score ordinary task success. Record action occurrence and agreement with the parent correct-prompt rollout.</x:v>
      </x:c>
      <x:c r="F1328" s="31"/>
      <x:c r="G1328" s="31"/>
      <x:c r="H1328" s="31" t="str">
        <x:f>IF(OR(F1328="",G1328=""),"",IF(F1328=G1328,"Agree","Disagree"))</x:f>
      </x:c>
      <x:c r="I1328" s="31"/>
      <x:c r="J1328" s="31" t="str">
        <x:v>No</x:v>
      </x:c>
      <x:c r="K1328" s="31" t="str"/>
      <x:c r="L1328" s="31" t="str"/>
      <x:c r="M1328" s="31" t="str"/>
      <x:c r="N1328" s="31" t="str"/>
    </x:row>
    <x:row r="1329" ht="42" customHeight="1">
      <x:c r="A1329" s="35" t="n">
        <x:v>1327</x:v>
      </x:c>
      <x:c r="B1329" s="31" t="str">
        <x:f>IF('Execution Checklist'!Q1329="","",'Execution Checklist'!Q1329)</x:f>
      </x:c>
      <x:c r="C1329" s="31" t="str">
        <x:v>Leave exactly three objects in the bowl.</x:v>
      </x:c>
      <x:c r="D1329" s="31" t="str">
        <x:v>ADD one table object</x:v>
      </x:c>
      <x:c r="E1329" s="31" t="str">
        <x:v>Binary task success; paired with the main matched-control row.</x:v>
      </x:c>
      <x:c r="F1329" s="31"/>
      <x:c r="G1329" s="31"/>
      <x:c r="H1329" s="31" t="str">
        <x:f>IF(OR(F1329="",G1329=""),"",IF(F1329=G1329,"Agree","Disagree"))</x:f>
      </x:c>
      <x:c r="I1329" s="31"/>
      <x:c r="J1329" s="31" t="str">
        <x:v>No</x:v>
      </x:c>
      <x:c r="K1329" s="31" t="str"/>
      <x:c r="L1329" s="31" t="str"/>
      <x:c r="M1329" s="31" t="str"/>
      <x:c r="N1329" s="31" t="str"/>
    </x:row>
    <x:row r="1330" ht="42" customHeight="1">
      <x:c r="A1330" s="35" t="n">
        <x:v>1328</x:v>
      </x:c>
      <x:c r="B1330" s="31" t="str">
        <x:f>IF('Execution Checklist'!Q1330="","",'Execution Checklist'!Q1330)</x:f>
      </x:c>
      <x:c r="C1330" s="31" t="str">
        <x:v>Leave exactly three objects in the bowl.</x:v>
      </x:c>
      <x:c r="D1330" s="31" t="str">
        <x:v>ADD one table object</x:v>
      </x:c>
      <x:c r="E1330" s="31" t="str">
        <x:v>Binary task success; paired with the main matched-control row.</x:v>
      </x:c>
      <x:c r="F1330" s="31"/>
      <x:c r="G1330" s="31"/>
      <x:c r="H1330" s="31" t="str">
        <x:f>IF(OR(F1330="",G1330=""),"",IF(F1330=G1330,"Agree","Disagree"))</x:f>
      </x:c>
      <x:c r="I1330" s="31"/>
      <x:c r="J1330" s="31" t="str">
        <x:v>No</x:v>
      </x:c>
      <x:c r="K1330" s="31" t="str"/>
      <x:c r="L1330" s="31" t="str"/>
      <x:c r="M1330" s="31" t="str"/>
      <x:c r="N1330" s="31" t="str"/>
    </x:row>
    <x:row r="1331" ht="42" customHeight="1">
      <x:c r="A1331" s="35" t="n">
        <x:v>1329</x:v>
      </x:c>
      <x:c r="B1331" s="31" t="str">
        <x:f>IF('Execution Checklist'!Q1331="","",'Execution Checklist'!Q1331)</x:f>
      </x:c>
      <x:c r="C1331" s="31" t="str">
        <x:v>Put the green pencil sharpener in the bowl.</x:v>
      </x:c>
      <x:c r="D1331" s="31" t="str">
        <x:v>ADD green pencil sharpener</x:v>
      </x:c>
      <x:c r="E1331" s="31" t="str">
        <x:v>Binary task success; paired with the main transfer row.</x:v>
      </x:c>
      <x:c r="F1331" s="31"/>
      <x:c r="G1331" s="31"/>
      <x:c r="H1331" s="31" t="str">
        <x:f>IF(OR(F1331="",G1331=""),"",IF(F1331=G1331,"Agree","Disagree"))</x:f>
      </x:c>
      <x:c r="I1331" s="31"/>
      <x:c r="J1331" s="31" t="str">
        <x:v>No</x:v>
      </x:c>
      <x:c r="K1331" s="31" t="str"/>
      <x:c r="L1331" s="31" t="str"/>
      <x:c r="M1331" s="31" t="str"/>
      <x:c r="N1331" s="31" t="str"/>
    </x:row>
    <x:row r="1332" ht="42" customHeight="1">
      <x:c r="A1332" s="35" t="n">
        <x:v>1330</x:v>
      </x:c>
      <x:c r="B1332" s="31" t="str">
        <x:f>IF('Execution Checklist'!Q1332="","",'Execution Checklist'!Q1332)</x:f>
      </x:c>
      <x:c r="C1332" s="31" t="str">
        <x:v>Adjust the bowl so that it contains zero objects.</x:v>
      </x:c>
      <x:c r="D1332" s="31" t="str"/>
      <x:c r="E1332" s="31" t="str">
        <x:v>Binary task success using the task-specific rubric.</x:v>
      </x:c>
      <x:c r="F1332" s="31"/>
      <x:c r="G1332" s="31"/>
      <x:c r="H1332" s="31" t="str">
        <x:f>IF(OR(F1332="",G1332=""),"",IF(F1332=G1332,"Agree","Disagree"))</x:f>
      </x:c>
      <x:c r="I1332" s="31"/>
      <x:c r="J1332" s="31" t="str">
        <x:v>No</x:v>
      </x:c>
      <x:c r="K1332" s="31" t="str"/>
      <x:c r="L1332" s="31" t="str"/>
      <x:c r="M1332" s="31" t="str"/>
      <x:c r="N1332" s="31" t="str"/>
    </x:row>
    <x:row r="1333" ht="42" customHeight="1">
      <x:c r="A1333" s="35" t="n">
        <x:v>1331</x:v>
      </x:c>
      <x:c r="B1333" s="31" t="str">
        <x:f>IF('Execution Checklist'!Q1333="","",'Execution Checklist'!Q1333)</x:f>
      </x:c>
      <x:c r="C1333" s="31" t="str">
        <x:v>Adjust the bowl so that it contains two objects.</x:v>
      </x:c>
      <x:c r="D1333" s="31" t="str"/>
      <x:c r="E1333" s="31" t="str">
        <x:v>Binary task success using the task-specific rubric.</x:v>
      </x:c>
      <x:c r="F1333" s="31"/>
      <x:c r="G1333" s="31"/>
      <x:c r="H1333" s="31" t="str">
        <x:f>IF(OR(F1333="",G1333=""),"",IF(F1333=G1333,"Agree","Disagree"))</x:f>
      </x:c>
      <x:c r="I1333" s="31"/>
      <x:c r="J1333" s="31" t="str">
        <x:v>No</x:v>
      </x:c>
      <x:c r="K1333" s="31" t="str"/>
      <x:c r="L1333" s="31" t="str"/>
      <x:c r="M1333" s="31" t="str"/>
      <x:c r="N1333" s="31" t="str"/>
    </x:row>
    <x:row r="1334" ht="42" customHeight="1">
      <x:c r="A1334" s="35" t="n">
        <x:v>1332</x:v>
      </x:c>
      <x:c r="B1334" s="31" t="str">
        <x:f>IF('Execution Checklist'!Q1334="","",'Execution Checklist'!Q1334)</x:f>
      </x:c>
      <x:c r="C1334" s="31" t="str">
        <x:v>Finish with two objects in the bowl.</x:v>
      </x:c>
      <x:c r="D1334" s="31" t="str"/>
      <x:c r="E1334" s="31" t="str">
        <x:v>Binary task success; compare with the seen-language row sharing Pair ID.</x:v>
      </x:c>
      <x:c r="F1334" s="31"/>
      <x:c r="G1334" s="31"/>
      <x:c r="H1334" s="31" t="str">
        <x:f>IF(OR(F1334="",G1334=""),"",IF(F1334=G1334,"Agree","Disagree"))</x:f>
      </x:c>
      <x:c r="I1334" s="31"/>
      <x:c r="J1334" s="31" t="str">
        <x:v>No</x:v>
      </x:c>
      <x:c r="K1334" s="31" t="str"/>
      <x:c r="L1334" s="31" t="str"/>
      <x:c r="M1334" s="31" t="str"/>
      <x:c r="N1334" s="31" t="str"/>
    </x:row>
    <x:row r="1335" ht="42" customHeight="1">
      <x:c r="A1335" s="35" t="n">
        <x:v>1333</x:v>
      </x:c>
      <x:c r="B1335" s="31" t="str">
        <x:f>IF('Execution Checklist'!Q1335="","",'Execution Checklist'!Q1335)</x:f>
      </x:c>
      <x:c r="C1335" s="31" t="str">
        <x:v>Leave exactly one object in the bowl.</x:v>
      </x:c>
      <x:c r="D1335" s="31" t="str">
        <x:v>REMOVE one bowl object</x:v>
      </x:c>
      <x:c r="E1335" s="31" t="str">
        <x:v>Binary task success; paired with the main matched-control row.</x:v>
      </x:c>
      <x:c r="F1335" s="31"/>
      <x:c r="G1335" s="31"/>
      <x:c r="H1335" s="31" t="str">
        <x:f>IF(OR(F1335="",G1335=""),"",IF(F1335=G1335,"Agree","Disagree"))</x:f>
      </x:c>
      <x:c r="I1335" s="31"/>
      <x:c r="J1335" s="31" t="str">
        <x:v>No</x:v>
      </x:c>
      <x:c r="K1335" s="31" t="str"/>
      <x:c r="L1335" s="31" t="str"/>
      <x:c r="M1335" s="31" t="str"/>
      <x:c r="N1335" s="31" t="str"/>
    </x:row>
    <x:row r="1336" ht="42" customHeight="1">
      <x:c r="A1336" s="35" t="n">
        <x:v>1334</x:v>
      </x:c>
      <x:c r="B1336" s="31" t="str">
        <x:f>IF('Execution Checklist'!Q1336="","",'Execution Checklist'!Q1336)</x:f>
      </x:c>
      <x:c r="C1336" s="31" t="str">
        <x:v>Leave exactly one object in the bowl.</x:v>
      </x:c>
      <x:c r="D1336" s="31" t="str">
        <x:v>REMOVE one bowl object</x:v>
      </x:c>
      <x:c r="E1336" s="31" t="str">
        <x:v>Binary task success; paired with the main matched-control row.</x:v>
      </x:c>
      <x:c r="F1336" s="31"/>
      <x:c r="G1336" s="31"/>
      <x:c r="H1336" s="31" t="str">
        <x:f>IF(OR(F1336="",G1336=""),"",IF(F1336=G1336,"Agree","Disagree"))</x:f>
      </x:c>
      <x:c r="I1336" s="31"/>
      <x:c r="J1336" s="31" t="str">
        <x:v>No</x:v>
      </x:c>
      <x:c r="K1336" s="31" t="str"/>
      <x:c r="L1336" s="31" t="str"/>
      <x:c r="M1336" s="31" t="str"/>
      <x:c r="N1336" s="31" t="str"/>
    </x:row>
    <x:row r="1337" ht="42" customHeight="1">
      <x:c r="A1337" s="35" t="n">
        <x:v>1335</x:v>
      </x:c>
      <x:c r="B1337" s="31" t="str">
        <x:f>IF('Execution Checklist'!Q1337="","",'Execution Checklist'!Q1337)</x:f>
      </x:c>
      <x:c r="C1337" s="31" t="str">
        <x:v>Leave exactly one object in the bowl.</x:v>
      </x:c>
      <x:c r="D1337" s="31" t="str">
        <x:v>REMOVE one bowl object</x:v>
      </x:c>
      <x:c r="E1337" s="31" t="str">
        <x:v>Binary task success; paired with the main matched-control row.</x:v>
      </x:c>
      <x:c r="F1337" s="31"/>
      <x:c r="G1337" s="31"/>
      <x:c r="H1337" s="31" t="str">
        <x:f>IF(OR(F1337="",G1337=""),"",IF(F1337=G1337,"Agree","Disagree"))</x:f>
      </x:c>
      <x:c r="I1337" s="31"/>
      <x:c r="J1337" s="31" t="str">
        <x:v>No</x:v>
      </x:c>
      <x:c r="K1337" s="31" t="str"/>
      <x:c r="L1337" s="31" t="str"/>
      <x:c r="M1337" s="31" t="str"/>
      <x:c r="N1337" s="31" t="str"/>
    </x:row>
    <x:row r="1338" ht="42" customHeight="1">
      <x:c r="A1338" s="35" t="n">
        <x:v>1336</x:v>
      </x:c>
      <x:c r="B1338" s="31" t="str">
        <x:f>IF('Execution Checklist'!Q1338="","",'Execution Checklist'!Q1338)</x:f>
      </x:c>
      <x:c r="C1338" s="31" t="str">
        <x:v>Put the blue pen in the bowl.</x:v>
      </x:c>
      <x:c r="D1338" s="31" t="str">
        <x:v>ADD blue pen</x:v>
      </x:c>
      <x:c r="E1338" s="31" t="str">
        <x:v>Binary task success; paired with the main transfer row.</x:v>
      </x:c>
      <x:c r="F1338" s="31"/>
      <x:c r="G1338" s="31"/>
      <x:c r="H1338" s="31" t="str">
        <x:f>IF(OR(F1338="",G1338=""),"",IF(F1338=G1338,"Agree","Disagree"))</x:f>
      </x:c>
      <x:c r="I1338" s="31"/>
      <x:c r="J1338" s="31" t="str">
        <x:v>No</x:v>
      </x:c>
      <x:c r="K1338" s="31" t="str"/>
      <x:c r="L1338" s="31" t="str"/>
      <x:c r="M1338" s="31" t="str"/>
      <x:c r="N1338" s="31" t="str"/>
    </x:row>
    <x:row r="1339" ht="42" customHeight="1">
      <x:c r="A1339" s="35" t="n">
        <x:v>1337</x:v>
      </x:c>
      <x:c r="B1339" s="31" t="str">
        <x:f>IF('Execution Checklist'!Q1339="","",'Execution Checklist'!Q1339)</x:f>
      </x:c>
      <x:c r="C1339" s="31" t="str">
        <x:v>Finish with two objects in the bowl.</x:v>
      </x:c>
      <x:c r="D1339" s="31" t="str"/>
      <x:c r="E1339" s="31" t="str">
        <x:v>Binary task success; compare with the seen-language row sharing Pair ID.</x:v>
      </x:c>
      <x:c r="F1339" s="31"/>
      <x:c r="G1339" s="31"/>
      <x:c r="H1339" s="31" t="str">
        <x:f>IF(OR(F1339="",G1339=""),"",IF(F1339=G1339,"Agree","Disagree"))</x:f>
      </x:c>
      <x:c r="I1339" s="31"/>
      <x:c r="J1339" s="31" t="str">
        <x:v>No</x:v>
      </x:c>
      <x:c r="K1339" s="31" t="str"/>
      <x:c r="L1339" s="31" t="str"/>
      <x:c r="M1339" s="31" t="str"/>
      <x:c r="N1339" s="31" t="str"/>
    </x:row>
    <x:row r="1340" ht="42" customHeight="1">
      <x:c r="A1340" s="35" t="n">
        <x:v>1338</x:v>
      </x:c>
      <x:c r="B1340" s="31" t="str">
        <x:f>IF('Execution Checklist'!Q1340="","",'Execution Checklist'!Q1340)</x:f>
      </x:c>
      <x:c r="C1340" s="31" t="str">
        <x:v>Leave exactly three objects in the bowl.</x:v>
      </x:c>
      <x:c r="D1340" s="31" t="str">
        <x:v>ADD one table object</x:v>
      </x:c>
      <x:c r="E1340" s="31" t="str">
        <x:v>Binary task success; paired with the main matched-control row.</x:v>
      </x:c>
      <x:c r="F1340" s="31"/>
      <x:c r="G1340" s="31"/>
      <x:c r="H1340" s="31" t="str">
        <x:f>IF(OR(F1340="",G1340=""),"",IF(F1340=G1340,"Agree","Disagree"))</x:f>
      </x:c>
      <x:c r="I1340" s="31"/>
      <x:c r="J1340" s="31" t="str">
        <x:v>No</x:v>
      </x:c>
      <x:c r="K1340" s="31" t="str"/>
      <x:c r="L1340" s="31" t="str"/>
      <x:c r="M1340" s="31" t="str"/>
      <x:c r="N1340" s="31" t="str"/>
    </x:row>
    <x:row r="1341" ht="42" customHeight="1">
      <x:c r="A1341" s="35" t="n">
        <x:v>1339</x:v>
      </x:c>
      <x:c r="B1341" s="31" t="str">
        <x:f>IF('Execution Checklist'!Q1341="","",'Execution Checklist'!Q1341)</x:f>
      </x:c>
      <x:c r="C1341" s="31" t="str">
        <x:v>Make the bowl contain exactly zero objects.</x:v>
      </x:c>
      <x:c r="D1341" s="31" t="str"/>
      <x:c r="E1341" s="31" t="str">
        <x:v>Binary task success using the task-specific rubric.</x:v>
      </x:c>
      <x:c r="F1341" s="31"/>
      <x:c r="G1341" s="31"/>
      <x:c r="H1341" s="31" t="str">
        <x:f>IF(OR(F1341="",G1341=""),"",IF(F1341=G1341,"Agree","Disagree"))</x:f>
      </x:c>
      <x:c r="I1341" s="31"/>
      <x:c r="J1341" s="31" t="str">
        <x:v>No</x:v>
      </x:c>
      <x:c r="K1341" s="31" t="str"/>
      <x:c r="L1341" s="31" t="str"/>
      <x:c r="M1341" s="31" t="str"/>
      <x:c r="N1341" s="31" t="str"/>
    </x:row>
    <x:row r="1342" ht="42" customHeight="1">
      <x:c r="A1342" s="35" t="n">
        <x:v>1340</x:v>
      </x:c>
      <x:c r="B1342" s="31" t="str">
        <x:f>IF('Execution Checklist'!Q1342="","",'Execution Checklist'!Q1342)</x:f>
      </x:c>
      <x:c r="C1342" s="31" t="str">
        <x:v>Put the airplane toy without propellers in the bowl.</x:v>
      </x:c>
      <x:c r="D1342" s="31" t="str">
        <x:v>ADD airplane toy without propellers</x:v>
      </x:c>
      <x:c r="E1342" s="31" t="str">
        <x:v>Binary task success; paired with the main transfer row.</x:v>
      </x:c>
      <x:c r="F1342" s="31"/>
      <x:c r="G1342" s="31"/>
      <x:c r="H1342" s="31" t="str">
        <x:f>IF(OR(F1342="",G1342=""),"",IF(F1342=G1342,"Agree","Disagree"))</x:f>
      </x:c>
      <x:c r="I1342" s="31"/>
      <x:c r="J1342" s="31" t="str">
        <x:v>No</x:v>
      </x:c>
      <x:c r="K1342" s="31" t="str"/>
      <x:c r="L1342" s="31" t="str"/>
      <x:c r="M1342" s="31" t="str"/>
      <x:c r="N1342" s="31" t="str"/>
    </x:row>
    <x:row r="1343" ht="42" customHeight="1">
      <x:c r="A1343" s="35" t="n">
        <x:v>1341</x:v>
      </x:c>
      <x:c r="B1343" s="31" t="str">
        <x:f>IF('Execution Checklist'!Q1343="","",'Execution Checklist'!Q1343)</x:f>
      </x:c>
      <x:c r="C1343" s="31" t="str">
        <x:v>Finish with two objects in the bowl.</x:v>
      </x:c>
      <x:c r="D1343" s="31" t="str"/>
      <x:c r="E1343" s="31" t="str">
        <x:v>Binary task success; compare with the seen-language row sharing Pair ID.</x:v>
      </x:c>
      <x:c r="F1343" s="31"/>
      <x:c r="G1343" s="31"/>
      <x:c r="H1343" s="31" t="str">
        <x:f>IF(OR(F1343="",G1343=""),"",IF(F1343=G1343,"Agree","Disagree"))</x:f>
      </x:c>
      <x:c r="I1343" s="31"/>
      <x:c r="J1343" s="31" t="str">
        <x:v>No</x:v>
      </x:c>
      <x:c r="K1343" s="31" t="str"/>
      <x:c r="L1343" s="31" t="str"/>
      <x:c r="M1343" s="31" t="str"/>
      <x:c r="N1343" s="31" t="str"/>
    </x:row>
    <x:row r="1344" ht="42" customHeight="1">
      <x:c r="A1344" s="35" t="n">
        <x:v>1342</x:v>
      </x:c>
      <x:c r="B1344" s="31" t="str">
        <x:f>IF('Execution Checklist'!Q1344="","",'Execution Checklist'!Q1344)</x:f>
      </x:c>
      <x:c r="C1344" s="31" t="str">
        <x:v>Remove the blue pen from the bowl.</x:v>
      </x:c>
      <x:c r="D1344" s="31" t="str">
        <x:v>REMOVE blue pen</x:v>
      </x:c>
      <x:c r="E1344" s="31" t="str">
        <x:v>Binary task success; paired with the main transfer row.</x:v>
      </x:c>
      <x:c r="F1344" s="31"/>
      <x:c r="G1344" s="31"/>
      <x:c r="H1344" s="31" t="str">
        <x:f>IF(OR(F1344="",G1344=""),"",IF(F1344=G1344,"Agree","Disagree"))</x:f>
      </x:c>
      <x:c r="I1344" s="31"/>
      <x:c r="J1344" s="31" t="str">
        <x:v>No</x:v>
      </x:c>
      <x:c r="K1344" s="31" t="str"/>
      <x:c r="L1344" s="31" t="str"/>
      <x:c r="M1344" s="31" t="str"/>
      <x:c r="N1344" s="31" t="str"/>
    </x:row>
    <x:row r="1345" ht="42" customHeight="1">
      <x:c r="A1345" s="35" t="n">
        <x:v>1343</x:v>
      </x:c>
      <x:c r="B1345" s="31" t="str">
        <x:f>IF('Execution Checklist'!Q1345="","",'Execution Checklist'!Q1345)</x:f>
      </x:c>
      <x:c r="C1345" s="31" t="str">
        <x:v>Remove the airplane toy without propellers from the bowl.</x:v>
      </x:c>
      <x:c r="D1345" s="31" t="str">
        <x:v>REMOVE airplane toy without propellers</x:v>
      </x:c>
      <x:c r="E1345" s="31" t="str">
        <x:v>Binary task success; paired with the main transfer row.</x:v>
      </x:c>
      <x:c r="F1345" s="31"/>
      <x:c r="G1345" s="31"/>
      <x:c r="H1345" s="31" t="str">
        <x:f>IF(OR(F1345="",G1345=""),"",IF(F1345=G1345,"Agree","Disagree"))</x:f>
      </x:c>
      <x:c r="I1345" s="31"/>
      <x:c r="J1345" s="31" t="str">
        <x:v>No</x:v>
      </x:c>
      <x:c r="K1345" s="31" t="str"/>
      <x:c r="L1345" s="31" t="str"/>
      <x:c r="M1345" s="31" t="str"/>
      <x:c r="N1345" s="31" t="str"/>
    </x:row>
    <x:row r="1346" ht="42" customHeight="1">
      <x:c r="A1346" s="35" t="n">
        <x:v>1344</x:v>
      </x:c>
      <x:c r="B1346" s="31" t="str">
        <x:f>IF('Execution Checklist'!Q1346="","",'Execution Checklist'!Q1346)</x:f>
      </x:c>
      <x:c r="C1346" s="31" t="str">
        <x:v>Remove the green pencil sharpener from the bowl.</x:v>
      </x:c>
      <x:c r="D1346" s="31" t="str">
        <x:v>REMOVE green pencil sharpener</x:v>
      </x:c>
      <x:c r="E1346" s="31" t="str">
        <x:v>Binary task success; paired with the main transfer row.</x:v>
      </x:c>
      <x:c r="F1346" s="31"/>
      <x:c r="G1346" s="31"/>
      <x:c r="H1346" s="31" t="str">
        <x:f>IF(OR(F1346="",G1346=""),"",IF(F1346=G1346,"Agree","Disagree"))</x:f>
      </x:c>
      <x:c r="I1346" s="31"/>
      <x:c r="J1346" s="31" t="str">
        <x:v>No</x:v>
      </x:c>
      <x:c r="K1346" s="31" t="str"/>
      <x:c r="L1346" s="31" t="str"/>
      <x:c r="M1346" s="31" t="str"/>
      <x:c r="N1346" s="31" t="str"/>
    </x:row>
    <x:row r="1347" ht="42" customHeight="1">
      <x:c r="A1347" s="35" t="n">
        <x:v>1345</x:v>
      </x:c>
      <x:c r="B1347" s="31" t="str">
        <x:f>IF('Execution Checklist'!Q1347="","",'Execution Checklist'!Q1347)</x:f>
      </x:c>
      <x:c r="C1347" s="31" t="str">
        <x:v>Finish with two objects in the bowl.</x:v>
      </x:c>
      <x:c r="D1347" s="31" t="str"/>
      <x:c r="E1347" s="31" t="str">
        <x:v>Binary task success; compare with the seen-language row sharing Pair ID.</x:v>
      </x:c>
      <x:c r="F1347" s="31"/>
      <x:c r="G1347" s="31"/>
      <x:c r="H1347" s="31" t="str">
        <x:f>IF(OR(F1347="",G1347=""),"",IF(F1347=G1347,"Agree","Disagree"))</x:f>
      </x:c>
      <x:c r="I1347" s="31"/>
      <x:c r="J1347" s="31" t="str">
        <x:v>No</x:v>
      </x:c>
      <x:c r="K1347" s="31" t="str"/>
      <x:c r="L1347" s="31" t="str"/>
      <x:c r="M1347" s="31" t="str"/>
      <x:c r="N1347" s="31" t="str"/>
    </x:row>
    <x:row r="1348" ht="42" customHeight="1">
      <x:c r="A1348" s="35" t="n">
        <x:v>1346</x:v>
      </x:c>
      <x:c r="B1348" s="31" t="str">
        <x:f>IF('Execution Checklist'!Q1348="","",'Execution Checklist'!Q1348)</x:f>
      </x:c>
      <x:c r="C1348" s="31" t="str">
        <x:v>Move the blue pen into the bowl.</x:v>
      </x:c>
      <x:c r="D1348" s="31" t="str">
        <x:v>blue pen</x:v>
      </x:c>
      <x:c r="E1348" s="31" t="str">
        <x:v>Binary task success using the task-specific rubric.</x:v>
      </x:c>
      <x:c r="F1348" s="31"/>
      <x:c r="G1348" s="31"/>
      <x:c r="H1348" s="31" t="str">
        <x:f>IF(OR(F1348="",G1348=""),"",IF(F1348=G1348,"Agree","Disagree"))</x:f>
      </x:c>
      <x:c r="I1348" s="31"/>
      <x:c r="J1348" s="31" t="str">
        <x:v>No</x:v>
      </x:c>
      <x:c r="K1348" s="31" t="str"/>
      <x:c r="L1348" s="31" t="str"/>
      <x:c r="M1348" s="31" t="str"/>
      <x:c r="N1348" s="31" t="str"/>
    </x:row>
    <x:row r="1349" ht="42" customHeight="1">
      <x:c r="A1349" s="35" t="n">
        <x:v>1347</x:v>
      </x:c>
      <x:c r="B1349" s="31" t="str">
        <x:f>IF('Execution Checklist'!Q1349="","",'Execution Checklist'!Q1349)</x:f>
      </x:c>
      <x:c r="C1349" s="31" t="str">
        <x:v>Move the airplane toy without propellers into the bowl.</x:v>
      </x:c>
      <x:c r="D1349" s="31" t="str">
        <x:v>airplane toy without propellers</x:v>
      </x:c>
      <x:c r="E1349" s="31" t="str">
        <x:v>Binary task success using the task-specific rubric.</x:v>
      </x:c>
      <x:c r="F1349" s="31"/>
      <x:c r="G1349" s="31"/>
      <x:c r="H1349" s="31" t="str">
        <x:f>IF(OR(F1349="",G1349=""),"",IF(F1349=G1349,"Agree","Disagree"))</x:f>
      </x:c>
      <x:c r="I1349" s="31"/>
      <x:c r="J1349" s="31" t="str">
        <x:v>No</x:v>
      </x:c>
      <x:c r="K1349" s="31" t="str"/>
      <x:c r="L1349" s="31" t="str"/>
      <x:c r="M1349" s="31" t="str"/>
      <x:c r="N1349" s="31" t="str"/>
    </x:row>
    <x:row r="1350" ht="42" customHeight="1">
      <x:c r="A1350" s="35" t="n">
        <x:v>1348</x:v>
      </x:c>
      <x:c r="B1350" s="31" t="str">
        <x:f>IF('Execution Checklist'!Q1350="","",'Execution Checklist'!Q1350)</x:f>
      </x:c>
      <x:c r="C1350" s="31" t="str">
        <x:v>Put the yellow block in the bowl.</x:v>
      </x:c>
      <x:c r="D1350" s="31" t="str">
        <x:v>ADD yellow block</x:v>
      </x:c>
      <x:c r="E1350" s="31" t="str">
        <x:v>Binary task success; paired with the main transfer row.</x:v>
      </x:c>
      <x:c r="F1350" s="31"/>
      <x:c r="G1350" s="31"/>
      <x:c r="H1350" s="31" t="str">
        <x:f>IF(OR(F1350="",G1350=""),"",IF(F1350=G1350,"Agree","Disagree"))</x:f>
      </x:c>
      <x:c r="I1350" s="31"/>
      <x:c r="J1350" s="31" t="str">
        <x:v>No</x:v>
      </x:c>
      <x:c r="K1350" s="31" t="str"/>
      <x:c r="L1350" s="31" t="str"/>
      <x:c r="M1350" s="31" t="str"/>
      <x:c r="N1350" s="31" t="str"/>
    </x:row>
    <x:row r="1351" ht="42" customHeight="1">
      <x:c r="A1351" s="35" t="n">
        <x:v>1349</x:v>
      </x:c>
      <x:c r="B1351" s="31" t="str">
        <x:f>IF('Execution Checklist'!Q1351="","",'Execution Checklist'!Q1351)</x:f>
      </x:c>
      <x:c r="C1351" s="31" t="str">
        <x:v>Remove the green pencil sharpener from the bowl.</x:v>
      </x:c>
      <x:c r="D1351" s="31" t="str">
        <x:v>REMOVE green pencil sharpener</x:v>
      </x:c>
      <x:c r="E1351" s="31" t="str">
        <x:v>Binary task success; paired with the main transfer row.</x:v>
      </x:c>
      <x:c r="F1351" s="31"/>
      <x:c r="G1351" s="31"/>
      <x:c r="H1351" s="31" t="str">
        <x:f>IF(OR(F1351="",G1351=""),"",IF(F1351=G1351,"Agree","Disagree"))</x:f>
      </x:c>
      <x:c r="I1351" s="31"/>
      <x:c r="J1351" s="31" t="str">
        <x:v>No</x:v>
      </x:c>
      <x:c r="K1351" s="31" t="str"/>
      <x:c r="L1351" s="31" t="str"/>
      <x:c r="M1351" s="31" t="str"/>
      <x:c r="N1351" s="31" t="str"/>
    </x:row>
    <x:row r="1352" ht="42" customHeight="1">
      <x:c r="A1352" s="35" t="n">
        <x:v>1350</x:v>
      </x:c>
      <x:c r="B1352" s="31" t="str">
        <x:f>IF('Execution Checklist'!Q1352="","",'Execution Checklist'!Q1352)</x:f>
      </x:c>
      <x:c r="C1352" s="31" t="str">
        <x:v>Put the yellow block in the bowl.</x:v>
      </x:c>
      <x:c r="D1352" s="31" t="str">
        <x:v>ADD yellow block</x:v>
      </x:c>
      <x:c r="E1352" s="31" t="str">
        <x:v>Binary task success; paired with the main transfer row.</x:v>
      </x:c>
      <x:c r="F1352" s="31"/>
      <x:c r="G1352" s="31"/>
      <x:c r="H1352" s="31" t="str">
        <x:f>IF(OR(F1352="",G1352=""),"",IF(F1352=G1352,"Agree","Disagree"))</x:f>
      </x:c>
      <x:c r="I1352" s="31"/>
      <x:c r="J1352" s="31" t="str">
        <x:v>No</x:v>
      </x:c>
      <x:c r="K1352" s="31" t="str"/>
      <x:c r="L1352" s="31" t="str"/>
      <x:c r="M1352" s="31" t="str"/>
      <x:c r="N1352" s="31" t="str"/>
    </x:row>
    <x:row r="1353" ht="42" customHeight="1">
      <x:c r="A1353" s="35" t="n">
        <x:v>1351</x:v>
      </x:c>
      <x:c r="B1353" s="31" t="str">
        <x:f>IF('Execution Checklist'!Q1353="","",'Execution Checklist'!Q1353)</x:f>
      </x:c>
      <x:c r="C1353" s="31" t="str">
        <x:v>Move the yellow block into the bowl.</x:v>
      </x:c>
      <x:c r="D1353" s="31" t="str">
        <x:v>yellow block</x:v>
      </x:c>
      <x:c r="E1353" s="31" t="str">
        <x:v>Binary task success using the task-specific rubric.</x:v>
      </x:c>
      <x:c r="F1353" s="31"/>
      <x:c r="G1353" s="31"/>
      <x:c r="H1353" s="31" t="str">
        <x:f>IF(OR(F1353="",G1353=""),"",IF(F1353=G1353,"Agree","Disagree"))</x:f>
      </x:c>
      <x:c r="I1353" s="31"/>
      <x:c r="J1353" s="31" t="str">
        <x:v>No</x:v>
      </x:c>
      <x:c r="K1353" s="31" t="str"/>
      <x:c r="L1353" s="31" t="str"/>
      <x:c r="M1353" s="31" t="str"/>
      <x:c r="N1353" s="31" t="str"/>
    </x:row>
    <x:row r="1354" ht="42" customHeight="1">
      <x:c r="A1354" s="35" t="n">
        <x:v>1352</x:v>
      </x:c>
      <x:c r="B1354" s="31" t="str">
        <x:f>IF('Execution Checklist'!Q1354="","",'Execution Checklist'!Q1354)</x:f>
      </x:c>
      <x:c r="C1354" s="31" t="str">
        <x:v>Put the blue pen in the bowl.</x:v>
      </x:c>
      <x:c r="D1354" s="31" t="str">
        <x:v>ADD blue pen</x:v>
      </x:c>
      <x:c r="E1354" s="31" t="str">
        <x:v>Binary task success; paired with the main transfer row.</x:v>
      </x:c>
      <x:c r="F1354" s="31"/>
      <x:c r="G1354" s="31"/>
      <x:c r="H1354" s="31" t="str">
        <x:f>IF(OR(F1354="",G1354=""),"",IF(F1354=G1354,"Agree","Disagree"))</x:f>
      </x:c>
      <x:c r="I1354" s="31"/>
      <x:c r="J1354" s="31" t="str">
        <x:v>No</x:v>
      </x:c>
      <x:c r="K1354" s="31" t="str"/>
      <x:c r="L1354" s="31" t="str"/>
      <x:c r="M1354" s="31" t="str"/>
      <x:c r="N1354" s="31" t="str"/>
    </x:row>
    <x:row r="1355" ht="42" customHeight="1">
      <x:c r="A1355" s="35" t="n">
        <x:v>1353</x:v>
      </x:c>
      <x:c r="B1355" s="31" t="str">
        <x:f>IF('Execution Checklist'!Q1355="","",'Execution Checklist'!Q1355)</x:f>
      </x:c>
      <x:c r="C1355" s="31" t="str">
        <x:v>Finish with two objects in the bowl.</x:v>
      </x:c>
      <x:c r="D1355" s="31" t="str"/>
      <x:c r="E1355" s="31" t="str">
        <x:v>Binary task success; compare with the seen-language row sharing Pair ID.</x:v>
      </x:c>
      <x:c r="F1355" s="31"/>
      <x:c r="G1355" s="31"/>
      <x:c r="H1355" s="31" t="str">
        <x:f>IF(OR(F1355="",G1355=""),"",IF(F1355=G1355,"Agree","Disagree"))</x:f>
      </x:c>
      <x:c r="I1355" s="31"/>
      <x:c r="J1355" s="31" t="str">
        <x:v>No</x:v>
      </x:c>
      <x:c r="K1355" s="31" t="str"/>
      <x:c r="L1355" s="31" t="str"/>
      <x:c r="M1355" s="31" t="str"/>
      <x:c r="N1355" s="31" t="str"/>
    </x:row>
    <x:row r="1356" ht="42" customHeight="1">
      <x:c r="A1356" s="35" t="n">
        <x:v>1354</x:v>
      </x:c>
      <x:c r="B1356" s="31" t="str">
        <x:f>IF('Execution Checklist'!Q1356="","",'Execution Checklist'!Q1356)</x:f>
      </x:c>
      <x:c r="C1356" s="31" t="str">
        <x:v>Leave no objects in the bowl.</x:v>
      </x:c>
      <x:c r="D1356" s="31" t="str">
        <x:v>blue pen</x:v>
      </x:c>
      <x:c r="E1356" s="31" t="str">
        <x:v>Binary task success using the task-specific rubric.</x:v>
      </x:c>
      <x:c r="F1356" s="31"/>
      <x:c r="G1356" s="31"/>
      <x:c r="H1356" s="31" t="str">
        <x:f>IF(OR(F1356="",G1356=""),"",IF(F1356=G1356,"Agree","Disagree"))</x:f>
      </x:c>
      <x:c r="I1356" s="31"/>
      <x:c r="J1356" s="31" t="str">
        <x:v>No</x:v>
      </x:c>
      <x:c r="K1356" s="31" t="str"/>
      <x:c r="L1356" s="31" t="str"/>
      <x:c r="M1356" s="31" t="str"/>
      <x:c r="N1356" s="31" t="str"/>
    </x:row>
    <x:row r="1357" ht="42" customHeight="1">
      <x:c r="A1357" s="35" t="n">
        <x:v>1355</x:v>
      </x:c>
      <x:c r="B1357" s="31" t="str">
        <x:f>IF('Execution Checklist'!Q1357="","",'Execution Checklist'!Q1357)</x:f>
      </x:c>
      <x:c r="C1357" s="31" t="str">
        <x:v>Remove the blue pen from the bowl.</x:v>
      </x:c>
      <x:c r="D1357" s="31" t="str">
        <x:v>REMOVE blue pen</x:v>
      </x:c>
      <x:c r="E1357" s="31" t="str">
        <x:v>Binary task success; paired with the main transfer row.</x:v>
      </x:c>
      <x:c r="F1357" s="31"/>
      <x:c r="G1357" s="31"/>
      <x:c r="H1357" s="31" t="str">
        <x:f>IF(OR(F1357="",G1357=""),"",IF(F1357=G1357,"Agree","Disagree"))</x:f>
      </x:c>
      <x:c r="I1357" s="31"/>
      <x:c r="J1357" s="31" t="str">
        <x:v>No</x:v>
      </x:c>
      <x:c r="K1357" s="31" t="str"/>
      <x:c r="L1357" s="31" t="str"/>
      <x:c r="M1357" s="31" t="str"/>
      <x:c r="N1357" s="31" t="str"/>
    </x:row>
    <x:row r="1358" ht="42" customHeight="1">
      <x:c r="A1358" s="35" t="n">
        <x:v>1356</x:v>
      </x:c>
      <x:c r="B1358" s="31" t="str">
        <x:f>IF('Execution Checklist'!Q1358="","",'Execution Checklist'!Q1358)</x:f>
      </x:c>
      <x:c r="C1358" s="31" t="str">
        <x:v>Finish with two objects in the bowl.</x:v>
      </x:c>
      <x:c r="D1358" s="31" t="str"/>
      <x:c r="E1358" s="31" t="str">
        <x:v>Binary task success; compare with the seen-language row sharing Pair ID.</x:v>
      </x:c>
      <x:c r="F1358" s="31"/>
      <x:c r="G1358" s="31"/>
      <x:c r="H1358" s="31" t="str">
        <x:f>IF(OR(F1358="",G1358=""),"",IF(F1358=G1358,"Agree","Disagree"))</x:f>
      </x:c>
      <x:c r="I1358" s="31"/>
      <x:c r="J1358" s="31" t="str">
        <x:v>No</x:v>
      </x:c>
      <x:c r="K1358" s="31" t="str"/>
      <x:c r="L1358" s="31" t="str"/>
      <x:c r="M1358" s="31" t="str"/>
      <x:c r="N1358" s="31" t="str"/>
    </x:row>
    <x:row r="1359" ht="42" customHeight="1">
      <x:c r="A1359" s="35" t="n">
        <x:v>1357</x:v>
      </x:c>
      <x:c r="B1359" s="31" t="str">
        <x:f>IF('Execution Checklist'!Q1359="","",'Execution Checklist'!Q1359)</x:f>
      </x:c>
      <x:c r="C1359" s="31" t="str">
        <x:v>Leave exactly three objects in the bowl.</x:v>
      </x:c>
      <x:c r="D1359" s="31" t="str">
        <x:v>ADD one table object</x:v>
      </x:c>
      <x:c r="E1359" s="31" t="str">
        <x:v>Binary task success; paired with the main matched-control row.</x:v>
      </x:c>
      <x:c r="F1359" s="31"/>
      <x:c r="G1359" s="31"/>
      <x:c r="H1359" s="31" t="str">
        <x:f>IF(OR(F1359="",G1359=""),"",IF(F1359=G1359,"Agree","Disagree"))</x:f>
      </x:c>
      <x:c r="I1359" s="31"/>
      <x:c r="J1359" s="31" t="str">
        <x:v>No</x:v>
      </x:c>
      <x:c r="K1359" s="31" t="str"/>
      <x:c r="L1359" s="31" t="str"/>
      <x:c r="M1359" s="31" t="str"/>
      <x:c r="N1359" s="31" t="str"/>
    </x:row>
    <x:row r="1360" ht="42" customHeight="1">
      <x:c r="A1360" s="35" t="n">
        <x:v>1358</x:v>
      </x:c>
      <x:c r="B1360" s="31" t="str">
        <x:f>IF('Execution Checklist'!Q1360="","",'Execution Checklist'!Q1360)</x:f>
      </x:c>
      <x:c r="C1360" s="31" t="str">
        <x:v>Remove the airplane toy without propellers from the bowl.</x:v>
      </x:c>
      <x:c r="D1360" s="31" t="str">
        <x:v>REMOVE airplane toy without propellers</x:v>
      </x:c>
      <x:c r="E1360" s="31" t="str">
        <x:v>Binary task success; paired with the main transfer row.</x:v>
      </x:c>
      <x:c r="F1360" s="31"/>
      <x:c r="G1360" s="31"/>
      <x:c r="H1360" s="31" t="str">
        <x:f>IF(OR(F1360="",G1360=""),"",IF(F1360=G1360,"Agree","Disagree"))</x:f>
      </x:c>
      <x:c r="I1360" s="31"/>
      <x:c r="J1360" s="31" t="str">
        <x:v>No</x:v>
      </x:c>
      <x:c r="K1360" s="31" t="str"/>
      <x:c r="L1360" s="31" t="str"/>
      <x:c r="M1360" s="31" t="str"/>
      <x:c r="N1360" s="31" t="str"/>
    </x:row>
    <x:row r="1361" ht="42" customHeight="1">
      <x:c r="A1361" s="35" t="n">
        <x:v>1359</x:v>
      </x:c>
      <x:c r="B1361" s="31" t="str">
        <x:f>IF('Execution Checklist'!Q1361="","",'Execution Checklist'!Q1361)</x:f>
      </x:c>
      <x:c r="C1361" s="31" t="str">
        <x:v>Leave exactly one object in the bowl.</x:v>
      </x:c>
      <x:c r="D1361" s="31" t="str">
        <x:v>REMOVE one bowl object</x:v>
      </x:c>
      <x:c r="E1361" s="31" t="str">
        <x:v>Binary success for the counterfactual instruction and paired action-switch analysis versus the parent.</x:v>
      </x:c>
      <x:c r="F1361" s="31"/>
      <x:c r="G1361" s="31"/>
      <x:c r="H1361" s="31" t="str">
        <x:f>IF(OR(F1361="",G1361=""),"",IF(F1361=G1361,"Agree","Disagree"))</x:f>
      </x:c>
      <x:c r="I1361" s="31"/>
      <x:c r="J1361" s="31" t="str">
        <x:v>No</x:v>
      </x:c>
      <x:c r="K1361" s="31" t="str"/>
      <x:c r="L1361" s="31" t="str"/>
      <x:c r="M1361" s="31" t="str"/>
      <x:c r="N1361" s="31" t="str"/>
    </x:row>
    <x:row r="1362" ht="42" customHeight="1">
      <x:c r="A1362" s="35" t="n">
        <x:v>1360</x:v>
      </x:c>
      <x:c r="B1362" s="31" t="str">
        <x:f>IF('Execution Checklist'!Q1362="","",'Execution Checklist'!Q1362)</x:f>
      </x:c>
      <x:c r="C1362" s="31" t="str">
        <x:v>Leave exactly one object in the bowl.</x:v>
      </x:c>
      <x:c r="D1362" s="31" t="str">
        <x:v>REMOVE one bowl object</x:v>
      </x:c>
      <x:c r="E1362" s="31" t="str">
        <x:v>Binary task success; paired with the main matched-control row.</x:v>
      </x:c>
      <x:c r="F1362" s="31"/>
      <x:c r="G1362" s="31"/>
      <x:c r="H1362" s="31" t="str">
        <x:f>IF(OR(F1362="",G1362=""),"",IF(F1362=G1362,"Agree","Disagree"))</x:f>
      </x:c>
      <x:c r="I1362" s="31"/>
      <x:c r="J1362" s="31" t="str">
        <x:v>No</x:v>
      </x:c>
      <x:c r="K1362" s="31" t="str"/>
      <x:c r="L1362" s="31" t="str"/>
      <x:c r="M1362" s="31" t="str"/>
      <x:c r="N1362" s="31" t="str"/>
    </x:row>
    <x:row r="1363" ht="42" customHeight="1">
      <x:c r="A1363" s="35" t="n">
        <x:v>1361</x:v>
      </x:c>
      <x:c r="B1363" s="31" t="str">
        <x:f>IF('Execution Checklist'!Q1363="","",'Execution Checklist'!Q1363)</x:f>
      </x:c>
      <x:c r="C1363" s="31" t="str">
        <x:v>Leave exactly three objects in the bowl.</x:v>
      </x:c>
      <x:c r="D1363" s="31" t="str">
        <x:v>ADD one table object</x:v>
      </x:c>
      <x:c r="E1363" s="31" t="str">
        <x:v>Binary success for the counterfactual instruction and paired action-switch analysis versus the parent.</x:v>
      </x:c>
      <x:c r="F1363" s="31"/>
      <x:c r="G1363" s="31"/>
      <x:c r="H1363" s="31" t="str">
        <x:f>IF(OR(F1363="",G1363=""),"",IF(F1363=G1363,"Agree","Disagree"))</x:f>
      </x:c>
      <x:c r="I1363" s="31"/>
      <x:c r="J1363" s="31" t="str">
        <x:v>No</x:v>
      </x:c>
      <x:c r="K1363" s="31" t="str"/>
      <x:c r="L1363" s="31" t="str"/>
      <x:c r="M1363" s="31" t="str"/>
      <x:c r="N1363" s="31" t="str"/>
    </x:row>
    <x:row r="1364" ht="42" customHeight="1">
      <x:c r="A1364" s="35" t="n">
        <x:v>1362</x:v>
      </x:c>
      <x:c r="B1364" s="31" t="str">
        <x:f>IF('Execution Checklist'!Q1364="","",'Execution Checklist'!Q1364)</x:f>
      </x:c>
      <x:c r="C1364" s="31" t="str">
        <x:v>Leave exactly three objects in the bowl.</x:v>
      </x:c>
      <x:c r="D1364" s="31" t="str">
        <x:v>ADD one table object</x:v>
      </x:c>
      <x:c r="E1364" s="31" t="str">
        <x:v>Binary task success; paired with the main matched-control row.</x:v>
      </x:c>
      <x:c r="F1364" s="31"/>
      <x:c r="G1364" s="31"/>
      <x:c r="H1364" s="31" t="str">
        <x:f>IF(OR(F1364="",G1364=""),"",IF(F1364=G1364,"Agree","Disagree"))</x:f>
      </x:c>
      <x:c r="I1364" s="31"/>
      <x:c r="J1364" s="31" t="str">
        <x:v>No</x:v>
      </x:c>
      <x:c r="K1364" s="31" t="str"/>
      <x:c r="L1364" s="31" t="str"/>
      <x:c r="M1364" s="31" t="str"/>
      <x:c r="N1364" s="31" t="str"/>
    </x:row>
    <x:row r="1365" ht="42" customHeight="1">
      <x:c r="A1365" s="35" t="n">
        <x:v>1363</x:v>
      </x:c>
      <x:c r="B1365" s="31" t="str">
        <x:f>IF('Execution Checklist'!Q1365="","",'Execution Checklist'!Q1365)</x:f>
      </x:c>
      <x:c r="C1365" s="31" t="str">
        <x:v>Put the airplane toy without propellers in the bowl.</x:v>
      </x:c>
      <x:c r="D1365" s="31" t="str">
        <x:v>ADD airplane toy without propellers</x:v>
      </x:c>
      <x:c r="E1365" s="31" t="str">
        <x:v>Binary task success; paired with the main transfer row.</x:v>
      </x:c>
      <x:c r="F1365" s="31"/>
      <x:c r="G1365" s="31"/>
      <x:c r="H1365" s="31" t="str">
        <x:f>IF(OR(F1365="",G1365=""),"",IF(F1365=G1365,"Agree","Disagree"))</x:f>
      </x:c>
      <x:c r="I1365" s="31"/>
      <x:c r="J1365" s="31" t="str">
        <x:v>No</x:v>
      </x:c>
      <x:c r="K1365" s="31" t="str"/>
      <x:c r="L1365" s="31" t="str"/>
      <x:c r="M1365" s="31" t="str"/>
      <x:c r="N1365" s="31" t="str"/>
    </x:row>
    <x:row r="1366" ht="42" customHeight="1">
      <x:c r="A1366" s="35" t="n">
        <x:v>1364</x:v>
      </x:c>
      <x:c r="B1366" s="31" t="str">
        <x:f>IF('Execution Checklist'!Q1366="","",'Execution Checklist'!Q1366)</x:f>
      </x:c>
      <x:c r="C1366" s="31" t="str">
        <x:v>Place the upright white cup in the bowl.</x:v>
      </x:c>
      <x:c r="D1366" s="31" t="str">
        <x:v>white cup B</x:v>
      </x:c>
      <x:c r="E1366" s="31" t="str">
        <x:v>Binary task success; paired with the main matched-control row.</x:v>
      </x:c>
      <x:c r="F1366" s="31"/>
      <x:c r="G1366" s="31"/>
      <x:c r="H1366" s="31" t="str">
        <x:f>IF(OR(F1366="",G1366=""),"",IF(F1366=G1366,"Agree","Disagree"))</x:f>
      </x:c>
      <x:c r="I1366" s="31"/>
      <x:c r="J1366" s="31" t="str">
        <x:v>No</x:v>
      </x:c>
      <x:c r="K1366" s="31" t="str"/>
      <x:c r="L1366" s="31" t="str"/>
      <x:c r="M1366" s="31" t="str"/>
      <x:c r="N1366" s="31" t="str"/>
    </x:row>
    <x:row r="1367" ht="42" customHeight="1">
      <x:c r="A1367" s="35" t="n">
        <x:v>1365</x:v>
      </x:c>
      <x:c r="B1367" s="31" t="str">
        <x:f>IF('Execution Checklist'!Q1367="","",'Execution Checklist'!Q1367)</x:f>
      </x:c>
      <x:c r="C1367" s="31" t="str">
        <x:v>Put the inverted white cup into the bowl.</x:v>
      </x:c>
      <x:c r="D1367" s="31" t="str">
        <x:v>white cup A</x:v>
      </x:c>
      <x:c r="E1367" s="31" t="str">
        <x:v>Binary task success; compare with the seen-language row sharing Pair ID.</x:v>
      </x:c>
      <x:c r="F1367" s="31"/>
      <x:c r="G1367" s="31"/>
      <x:c r="H1367" s="31" t="str">
        <x:f>IF(OR(F1367="",G1367=""),"",IF(F1367=G1367,"Agree","Disagree"))</x:f>
      </x:c>
      <x:c r="I1367" s="31"/>
      <x:c r="J1367" s="31" t="str">
        <x:v>No</x:v>
      </x:c>
      <x:c r="K1367" s="31" t="str"/>
      <x:c r="L1367" s="31" t="str"/>
      <x:c r="M1367" s="31" t="str"/>
      <x:c r="N1367" s="31" t="str"/>
    </x:row>
    <x:row r="1368" ht="42" customHeight="1">
      <x:c r="A1368" s="35" t="n">
        <x:v>1366</x:v>
      </x:c>
      <x:c r="B1368" s="31" t="str">
        <x:f>IF('Execution Checklist'!Q1368="","",'Execution Checklist'!Q1368)</x:f>
      </x:c>
      <x:c r="C1368" s="31" t="str">
        <x:v>Place the upside-down white cup in the bowl.</x:v>
      </x:c>
      <x:c r="D1368" s="31" t="str">
        <x:v>white cup A</x:v>
      </x:c>
      <x:c r="E1368" s="31" t="str">
        <x:v>Binary task success using the task-specific rubric.</x:v>
      </x:c>
      <x:c r="F1368" s="31"/>
      <x:c r="G1368" s="31"/>
      <x:c r="H1368" s="31" t="str">
        <x:f>IF(OR(F1368="",G1368=""),"",IF(F1368=G1368,"Agree","Disagree"))</x:f>
      </x:c>
      <x:c r="I1368" s="31"/>
      <x:c r="J1368" s="31" t="str">
        <x:v>No</x:v>
      </x:c>
      <x:c r="K1368" s="31" t="str"/>
      <x:c r="L1368" s="31" t="str"/>
      <x:c r="M1368" s="31" t="str"/>
      <x:c r="N1368" s="31" t="str"/>
    </x:row>
    <x:row r="1369" ht="42" customHeight="1">
      <x:c r="A1369" s="35" t="n">
        <x:v>1367</x:v>
      </x:c>
      <x:c r="B1369" s="31" t="str">
        <x:f>IF('Execution Checklist'!Q1369="","",'Execution Checklist'!Q1369)</x:f>
      </x:c>
      <x:c r="C1369" s="31" t="str">
        <x:v>Move the overturned white cup into the bowl.</x:v>
      </x:c>
      <x:c r="D1369" s="31" t="str">
        <x:v>white cup A</x:v>
      </x:c>
      <x:c r="E1369" s="31" t="str">
        <x:v>Binary task success; compare with the seen-language row sharing Pair ID.</x:v>
      </x:c>
      <x:c r="F1369" s="31"/>
      <x:c r="G1369" s="31"/>
      <x:c r="H1369" s="31" t="str">
        <x:f>IF(OR(F1369="",G1369=""),"",IF(F1369=G1369,"Agree","Disagree"))</x:f>
      </x:c>
      <x:c r="I1369" s="31"/>
      <x:c r="J1369" s="31" t="str">
        <x:v>No</x:v>
      </x:c>
      <x:c r="K1369" s="31" t="str"/>
      <x:c r="L1369" s="31" t="str"/>
      <x:c r="M1369" s="31" t="str"/>
      <x:c r="N1369" s="31" t="str"/>
    </x:row>
    <x:row r="1370" ht="42" customHeight="1">
      <x:c r="A1370" s="35" t="n">
        <x:v>1368</x:v>
      </x:c>
      <x:c r="B1370" s="31" t="str">
        <x:f>IF('Execution Checklist'!Q1370="","",'Execution Checklist'!Q1370)</x:f>
      </x:c>
      <x:c r="C1370" s="31" t="str">
        <x:v>Place the closed brown cup in the bowl.</x:v>
      </x:c>
      <x:c r="D1370" s="31" t="str">
        <x:v>brown cup A</x:v>
      </x:c>
      <x:c r="E1370" s="31" t="str">
        <x:v>Binary task success; paired with the main matched-control row.</x:v>
      </x:c>
      <x:c r="F1370" s="31"/>
      <x:c r="G1370" s="31"/>
      <x:c r="H1370" s="31" t="str">
        <x:f>IF(OR(F1370="",G1370=""),"",IF(F1370=G1370,"Agree","Disagree"))</x:f>
      </x:c>
      <x:c r="I1370" s="31"/>
      <x:c r="J1370" s="31" t="str">
        <x:v>No</x:v>
      </x:c>
      <x:c r="K1370" s="31" t="str"/>
      <x:c r="L1370" s="31" t="str"/>
      <x:c r="M1370" s="31" t="str"/>
      <x:c r="N1370" s="31" t="str"/>
    </x:row>
    <x:row r="1371" ht="42" customHeight="1">
      <x:c r="A1371" s="35" t="n">
        <x:v>1369</x:v>
      </x:c>
      <x:c r="B1371" s="31" t="str">
        <x:f>IF('Execution Checklist'!Q1371="","",'Execution Checklist'!Q1371)</x:f>
      </x:c>
      <x:c r="C1371" s="31" t="str">
        <x:v>Place the upright yellow-white striped cup in the bowl.</x:v>
      </x:c>
      <x:c r="D1371" s="31" t="str">
        <x:v>yellow-white striped cup B</x:v>
      </x:c>
      <x:c r="E1371" s="31" t="str">
        <x:v>Binary task success; paired with the main matched-control row.</x:v>
      </x:c>
      <x:c r="F1371" s="31"/>
      <x:c r="G1371" s="31"/>
      <x:c r="H1371" s="31" t="str">
        <x:f>IF(OR(F1371="",G1371=""),"",IF(F1371=G1371,"Agree","Disagree"))</x:f>
      </x:c>
      <x:c r="I1371" s="31"/>
      <x:c r="J1371" s="31" t="str">
        <x:v>No</x:v>
      </x:c>
      <x:c r="K1371" s="31" t="str"/>
      <x:c r="L1371" s="31" t="str"/>
      <x:c r="M1371" s="31" t="str"/>
      <x:c r="N1371" s="31" t="str"/>
    </x:row>
    <x:row r="1372" ht="42" customHeight="1">
      <x:c r="A1372" s="35" t="n">
        <x:v>1370</x:v>
      </x:c>
      <x:c r="B1372" s="31" t="str">
        <x:f>IF('Execution Checklist'!Q1372="","",'Execution Checklist'!Q1372)</x:f>
      </x:c>
      <x:c r="C1372" s="31" t="str">
        <x:v>Place a glass spice container in the bowl.</x:v>
      </x:c>
      <x:c r="D1372" s="31" t="str">
        <x:v>glass spice container B</x:v>
      </x:c>
      <x:c r="E1372" s="31" t="str">
        <x:v>Binary task success; paired with the main transfer row.</x:v>
      </x:c>
      <x:c r="F1372" s="31"/>
      <x:c r="G1372" s="31"/>
      <x:c r="H1372" s="31" t="str">
        <x:f>IF(OR(F1372="",G1372=""),"",IF(F1372=G1372,"Agree","Disagree"))</x:f>
      </x:c>
      <x:c r="I1372" s="31"/>
      <x:c r="J1372" s="31" t="str">
        <x:v>No</x:v>
      </x:c>
      <x:c r="K1372" s="31" t="str"/>
      <x:c r="L1372" s="31" t="str"/>
      <x:c r="M1372" s="31" t="str"/>
      <x:c r="N1372" s="31" t="str"/>
    </x:row>
    <x:row r="1373" ht="42" customHeight="1">
      <x:c r="A1373" s="35" t="n">
        <x:v>1371</x:v>
      </x:c>
      <x:c r="B1373" s="31" t="str">
        <x:f>IF('Execution Checklist'!Q1373="","",'Execution Checklist'!Q1373)</x:f>
      </x:c>
      <x:c r="C1373" s="31" t="str">
        <x:v>Place the closed yellow-white striped cup in the bowl.</x:v>
      </x:c>
      <x:c r="D1373" s="31" t="str">
        <x:v>yellow-white striped cup A</x:v>
      </x:c>
      <x:c r="E1373" s="31" t="str">
        <x:v>Binary task success; paired with the main matched-control row.</x:v>
      </x:c>
      <x:c r="F1373" s="31"/>
      <x:c r="G1373" s="31"/>
      <x:c r="H1373" s="31" t="str">
        <x:f>IF(OR(F1373="",G1373=""),"",IF(F1373=G1373,"Agree","Disagree"))</x:f>
      </x:c>
      <x:c r="I1373" s="31"/>
      <x:c r="J1373" s="31" t="str">
        <x:v>No</x:v>
      </x:c>
      <x:c r="K1373" s="31" t="str"/>
      <x:c r="L1373" s="31" t="str"/>
      <x:c r="M1373" s="31" t="str"/>
      <x:c r="N1373" s="31" t="str"/>
    </x:row>
    <x:row r="1374" ht="42" customHeight="1">
      <x:c r="A1374" s="35" t="n">
        <x:v>1372</x:v>
      </x:c>
      <x:c r="B1374" s="31" t="str">
        <x:f>IF('Execution Checklist'!Q1374="","",'Execution Checklist'!Q1374)</x:f>
      </x:c>
      <x:c r="C1374" s="31" t="str">
        <x:v>Place the closed yellow-white striped cup in the bowl.</x:v>
      </x:c>
      <x:c r="D1374" s="31" t="str">
        <x:v>yellow-white striped cup A</x:v>
      </x:c>
      <x:c r="E1374" s="31" t="str">
        <x:v>Binary task success; paired with the main matched-control row.</x:v>
      </x:c>
      <x:c r="F1374" s="31"/>
      <x:c r="G1374" s="31"/>
      <x:c r="H1374" s="31" t="str">
        <x:f>IF(OR(F1374="",G1374=""),"",IF(F1374=G1374,"Agree","Disagree"))</x:f>
      </x:c>
      <x:c r="I1374" s="31"/>
      <x:c r="J1374" s="31" t="str">
        <x:v>No</x:v>
      </x:c>
      <x:c r="K1374" s="31" t="str"/>
      <x:c r="L1374" s="31" t="str"/>
      <x:c r="M1374" s="31" t="str"/>
      <x:c r="N1374" s="31" t="str"/>
    </x:row>
    <x:row r="1375" ht="42" customHeight="1">
      <x:c r="A1375" s="35" t="n">
        <x:v>1373</x:v>
      </x:c>
      <x:c r="B1375" s="31" t="str">
        <x:f>IF('Execution Checklist'!Q1375="","",'Execution Checklist'!Q1375)</x:f>
      </x:c>
      <x:c r="C1375" s="31" t="str">
        <x:v>Place the closed glass spice container in the bowl.</x:v>
      </x:c>
      <x:c r="D1375" s="31" t="str">
        <x:v>glass spice container B</x:v>
      </x:c>
      <x:c r="E1375" s="31" t="str">
        <x:v>Binary task success; paired with the main matched-control row.</x:v>
      </x:c>
      <x:c r="F1375" s="31"/>
      <x:c r="G1375" s="31"/>
      <x:c r="H1375" s="31" t="str">
        <x:f>IF(OR(F1375="",G1375=""),"",IF(F1375=G1375,"Agree","Disagree"))</x:f>
      </x:c>
      <x:c r="I1375" s="31"/>
      <x:c r="J1375" s="31" t="str">
        <x:v>No</x:v>
      </x:c>
      <x:c r="K1375" s="31" t="str"/>
      <x:c r="L1375" s="31" t="str"/>
      <x:c r="M1375" s="31" t="str"/>
      <x:c r="N1375" s="31" t="str"/>
    </x:row>
    <x:row r="1376" ht="42" customHeight="1">
      <x:c r="A1376" s="35" t="n">
        <x:v>1374</x:v>
      </x:c>
      <x:c r="B1376" s="31" t="str">
        <x:f>IF('Execution Checklist'!Q1376="","",'Execution Checklist'!Q1376)</x:f>
      </x:c>
      <x:c r="C1376" s="31" t="str">
        <x:v>Place the closed glass spice container in the bowl.</x:v>
      </x:c>
      <x:c r="D1376" s="31" t="str">
        <x:v>glass spice container B</x:v>
      </x:c>
      <x:c r="E1376" s="31" t="str">
        <x:v>Binary task success; paired with the main matched-control row.</x:v>
      </x:c>
      <x:c r="F1376" s="31"/>
      <x:c r="G1376" s="31"/>
      <x:c r="H1376" s="31" t="str">
        <x:f>IF(OR(F1376="",G1376=""),"",IF(F1376=G1376,"Agree","Disagree"))</x:f>
      </x:c>
      <x:c r="I1376" s="31"/>
      <x:c r="J1376" s="31" t="str">
        <x:v>No</x:v>
      </x:c>
      <x:c r="K1376" s="31" t="str"/>
      <x:c r="L1376" s="31" t="str"/>
      <x:c r="M1376" s="31" t="str"/>
      <x:c r="N1376" s="31" t="str"/>
    </x:row>
    <x:row r="1377" ht="42" customHeight="1">
      <x:c r="A1377" s="35" t="n">
        <x:v>1375</x:v>
      </x:c>
      <x:c r="B1377" s="31" t="str">
        <x:f>IF('Execution Checklist'!Q1377="","",'Execution Checklist'!Q1377)</x:f>
      </x:c>
      <x:c r="C1377" s="31" t="str">
        <x:v>Place the open white cup in the bowl.</x:v>
      </x:c>
      <x:c r="D1377" s="31" t="str">
        <x:v>white cup B</x:v>
      </x:c>
      <x:c r="E1377" s="31" t="str">
        <x:v>Binary task success using the task-specific rubric.</x:v>
      </x:c>
      <x:c r="F1377" s="31"/>
      <x:c r="G1377" s="31"/>
      <x:c r="H1377" s="31" t="str">
        <x:f>IF(OR(F1377="",G1377=""),"",IF(F1377=G1377,"Agree","Disagree"))</x:f>
      </x:c>
      <x:c r="I1377" s="31"/>
      <x:c r="J1377" s="31" t="str">
        <x:v>No</x:v>
      </x:c>
      <x:c r="K1377" s="31" t="str"/>
      <x:c r="L1377" s="31" t="str"/>
      <x:c r="M1377" s="31" t="str"/>
      <x:c r="N1377" s="31" t="str"/>
    </x:row>
    <x:row r="1378" ht="42" customHeight="1">
      <x:c r="A1378" s="35" t="n">
        <x:v>1376</x:v>
      </x:c>
      <x:c r="B1378" s="31" t="str">
        <x:f>IF('Execution Checklist'!Q1378="","",'Execution Checklist'!Q1378)</x:f>
      </x:c>
      <x:c r="C1378" s="31" t="str">
        <x:v>Place the upside-down white cup in the bowl.</x:v>
      </x:c>
      <x:c r="D1378" s="31" t="str">
        <x:v>white cup A</x:v>
      </x:c>
      <x:c r="E1378" s="31" t="str">
        <x:v>Binary task success using the task-specific rubric.</x:v>
      </x:c>
      <x:c r="F1378" s="31"/>
      <x:c r="G1378" s="31"/>
      <x:c r="H1378" s="31" t="str">
        <x:f>IF(OR(F1378="",G1378=""),"",IF(F1378=G1378,"Agree","Disagree"))</x:f>
      </x:c>
      <x:c r="I1378" s="31"/>
      <x:c r="J1378" s="31" t="str">
        <x:v>No</x:v>
      </x:c>
      <x:c r="K1378" s="31" t="str"/>
      <x:c r="L1378" s="31" t="str"/>
      <x:c r="M1378" s="31" t="str"/>
      <x:c r="N1378" s="31" t="str"/>
    </x:row>
    <x:row r="1379" ht="42" customHeight="1">
      <x:c r="A1379" s="35" t="n">
        <x:v>1377</x:v>
      </x:c>
      <x:c r="B1379" s="31" t="str">
        <x:f>IF('Execution Checklist'!Q1379="","",'Execution Checklist'!Q1379)</x:f>
      </x:c>
      <x:c r="C1379" s="31" t="str">
        <x:v>Place a white cup in the bowl.</x:v>
      </x:c>
      <x:c r="D1379" s="31" t="str">
        <x:v>white cup B</x:v>
      </x:c>
      <x:c r="E1379" s="31" t="str">
        <x:v>Binary task success; paired with the main transfer row.</x:v>
      </x:c>
      <x:c r="F1379" s="31"/>
      <x:c r="G1379" s="31"/>
      <x:c r="H1379" s="31" t="str">
        <x:f>IF(OR(F1379="",G1379=""),"",IF(F1379=G1379,"Agree","Disagree"))</x:f>
      </x:c>
      <x:c r="I1379" s="31"/>
      <x:c r="J1379" s="31" t="str">
        <x:v>No</x:v>
      </x:c>
      <x:c r="K1379" s="31" t="str"/>
      <x:c r="L1379" s="31" t="str"/>
      <x:c r="M1379" s="31" t="str"/>
      <x:c r="N1379" s="31" t="str"/>
    </x:row>
    <x:row r="1380" ht="42" customHeight="1">
      <x:c r="A1380" s="35" t="n">
        <x:v>1378</x:v>
      </x:c>
      <x:c r="B1380" s="31" t="str">
        <x:f>IF('Execution Checklist'!Q1380="","",'Execution Checklist'!Q1380)</x:f>
      </x:c>
      <x:c r="C1380" s="31" t="str">
        <x:v>Find the white cup that is turned upside down and move it into the bowl.</x:v>
      </x:c>
      <x:c r="D1380" s="31" t="str">
        <x:v>white cup A</x:v>
      </x:c>
      <x:c r="E1380" s="31" t="str">
        <x:v>Binary task success; compare with the seen-language row sharing Pair ID.</x:v>
      </x:c>
      <x:c r="F1380" s="31"/>
      <x:c r="G1380" s="31"/>
      <x:c r="H1380" s="31" t="str">
        <x:f>IF(OR(F1380="",G1380=""),"",IF(F1380=G1380,"Agree","Disagree"))</x:f>
      </x:c>
      <x:c r="I1380" s="31"/>
      <x:c r="J1380" s="31" t="str">
        <x:v>No</x:v>
      </x:c>
      <x:c r="K1380" s="31" t="str"/>
      <x:c r="L1380" s="31" t="str"/>
      <x:c r="M1380" s="31" t="str"/>
      <x:c r="N1380" s="31" t="str"/>
    </x:row>
    <x:row r="1381" ht="42" customHeight="1">
      <x:c r="A1381" s="35" t="n">
        <x:v>1379</x:v>
      </x:c>
      <x:c r="B1381" s="31" t="str">
        <x:f>IF('Execution Checklist'!Q1381="","",'Execution Checklist'!Q1381)</x:f>
      </x:c>
      <x:c r="C1381" s="31" t="str">
        <x:v>Move the white cup that is open into the bowl.</x:v>
      </x:c>
      <x:c r="D1381" s="31" t="str">
        <x:v>white cup B</x:v>
      </x:c>
      <x:c r="E1381" s="31" t="str">
        <x:v>Binary task success; compare with the seen-language row sharing Pair ID.</x:v>
      </x:c>
      <x:c r="F1381" s="31"/>
      <x:c r="G1381" s="31"/>
      <x:c r="H1381" s="31" t="str">
        <x:f>IF(OR(F1381="",G1381=""),"",IF(F1381=G1381,"Agree","Disagree"))</x:f>
      </x:c>
      <x:c r="I1381" s="31"/>
      <x:c r="J1381" s="31" t="str">
        <x:v>No</x:v>
      </x:c>
      <x:c r="K1381" s="31" t="str"/>
      <x:c r="L1381" s="31" t="str"/>
      <x:c r="M1381" s="31" t="str"/>
      <x:c r="N1381" s="31" t="str"/>
    </x:row>
    <x:row r="1382" ht="42" customHeight="1">
      <x:c r="A1382" s="35" t="n">
        <x:v>1380</x:v>
      </x:c>
      <x:c r="B1382" s="31" t="str">
        <x:f>IF('Execution Checklist'!Q1382="","",'Execution Checklist'!Q1382)</x:f>
      </x:c>
      <x:c r="C1382" s="31" t="str">
        <x:v>Place the open white cup in the bowl.</x:v>
      </x:c>
      <x:c r="D1382" s="31" t="str">
        <x:v>white cup B</x:v>
      </x:c>
      <x:c r="E1382" s="31" t="str">
        <x:v>Binary task success using the task-specific rubric.</x:v>
      </x:c>
      <x:c r="F1382" s="31"/>
      <x:c r="G1382" s="31"/>
      <x:c r="H1382" s="31" t="str">
        <x:f>IF(OR(F1382="",G1382=""),"",IF(F1382=G1382,"Agree","Disagree"))</x:f>
      </x:c>
      <x:c r="I1382" s="31"/>
      <x:c r="J1382" s="31" t="str">
        <x:v>No</x:v>
      </x:c>
      <x:c r="K1382" s="31" t="str"/>
      <x:c r="L1382" s="31" t="str"/>
      <x:c r="M1382" s="31" t="str"/>
      <x:c r="N1382" s="31" t="str"/>
    </x:row>
    <x:row r="1383" ht="42" customHeight="1">
      <x:c r="A1383" s="35" t="n">
        <x:v>1381</x:v>
      </x:c>
      <x:c r="B1383" s="31" t="str">
        <x:f>IF('Execution Checklist'!Q1383="","",'Execution Checklist'!Q1383)</x:f>
      </x:c>
      <x:c r="C1383" s="31" t="str">
        <x:v>Move the yellow-white striped cup that is open into the bowl.</x:v>
      </x:c>
      <x:c r="D1383" s="31" t="str">
        <x:v>yellow-white striped cup B</x:v>
      </x:c>
      <x:c r="E1383" s="31" t="str">
        <x:v>Binary task success; compare with the seen-language row sharing Pair ID.</x:v>
      </x:c>
      <x:c r="F1383" s="31"/>
      <x:c r="G1383" s="31"/>
      <x:c r="H1383" s="31" t="str">
        <x:f>IF(OR(F1383="",G1383=""),"",IF(F1383=G1383,"Agree","Disagree"))</x:f>
      </x:c>
      <x:c r="I1383" s="31"/>
      <x:c r="J1383" s="31" t="str">
        <x:v>No</x:v>
      </x:c>
      <x:c r="K1383" s="31" t="str"/>
      <x:c r="L1383" s="31" t="str"/>
      <x:c r="M1383" s="31" t="str"/>
      <x:c r="N1383" s="31" t="str"/>
    </x:row>
    <x:row r="1384" ht="42" customHeight="1">
      <x:c r="A1384" s="35" t="n">
        <x:v>1382</x:v>
      </x:c>
      <x:c r="B1384" s="31" t="str">
        <x:f>IF('Execution Checklist'!Q1384="","",'Execution Checklist'!Q1384)</x:f>
      </x:c>
      <x:c r="C1384" s="31" t="str">
        <x:v>Place a brown cup in the bowl.</x:v>
      </x:c>
      <x:c r="D1384" s="31" t="str">
        <x:v>brown cup A</x:v>
      </x:c>
      <x:c r="E1384" s="31" t="str">
        <x:v>Binary task success; paired with the main transfer row.</x:v>
      </x:c>
      <x:c r="F1384" s="31"/>
      <x:c r="G1384" s="31"/>
      <x:c r="H1384" s="31" t="str">
        <x:f>IF(OR(F1384="",G1384=""),"",IF(F1384=G1384,"Agree","Disagree"))</x:f>
      </x:c>
      <x:c r="I1384" s="31"/>
      <x:c r="J1384" s="31" t="str">
        <x:v>No</x:v>
      </x:c>
      <x:c r="K1384" s="31" t="str"/>
      <x:c r="L1384" s="31" t="str"/>
      <x:c r="M1384" s="31" t="str"/>
      <x:c r="N1384" s="31" t="str"/>
    </x:row>
    <x:row r="1385" ht="42" customHeight="1">
      <x:c r="A1385" s="35" t="n">
        <x:v>1383</x:v>
      </x:c>
      <x:c r="B1385" s="31" t="str">
        <x:f>IF('Execution Checklist'!Q1385="","",'Execution Checklist'!Q1385)</x:f>
      </x:c>
      <x:c r="C1385" s="31" t="str">
        <x:v>Place a yellow-white striped cup in the bowl.</x:v>
      </x:c>
      <x:c r="D1385" s="31" t="str">
        <x:v>yellow-white striped cup B</x:v>
      </x:c>
      <x:c r="E1385" s="31" t="str">
        <x:v>Binary task success; paired with the main transfer row.</x:v>
      </x:c>
      <x:c r="F1385" s="31"/>
      <x:c r="G1385" s="31"/>
      <x:c r="H1385" s="31" t="str">
        <x:f>IF(OR(F1385="",G1385=""),"",IF(F1385=G1385,"Agree","Disagree"))</x:f>
      </x:c>
      <x:c r="I1385" s="31"/>
      <x:c r="J1385" s="31" t="str">
        <x:v>No</x:v>
      </x:c>
      <x:c r="K1385" s="31" t="str"/>
      <x:c r="L1385" s="31" t="str"/>
      <x:c r="M1385" s="31" t="str"/>
      <x:c r="N1385" s="31" t="str"/>
    </x:row>
    <x:row r="1386" ht="42" customHeight="1">
      <x:c r="A1386" s="35" t="n">
        <x:v>1384</x:v>
      </x:c>
      <x:c r="B1386" s="31" t="str">
        <x:f>IF('Execution Checklist'!Q1386="","",'Execution Checklist'!Q1386)</x:f>
      </x:c>
      <x:c r="C1386" s="31" t="str">
        <x:v>Place a white cup in the bowl.</x:v>
      </x:c>
      <x:c r="D1386" s="31" t="str">
        <x:v>white cup B</x:v>
      </x:c>
      <x:c r="E1386" s="31" t="str">
        <x:v>Binary task success; paired with the main transfer row.</x:v>
      </x:c>
      <x:c r="F1386" s="31"/>
      <x:c r="G1386" s="31"/>
      <x:c r="H1386" s="31" t="str">
        <x:f>IF(OR(F1386="",G1386=""),"",IF(F1386=G1386,"Agree","Disagree"))</x:f>
      </x:c>
      <x:c r="I1386" s="31"/>
      <x:c r="J1386" s="31" t="str">
        <x:v>No</x:v>
      </x:c>
      <x:c r="K1386" s="31" t="str"/>
      <x:c r="L1386" s="31" t="str"/>
      <x:c r="M1386" s="31" t="str"/>
      <x:c r="N1386" s="31" t="str"/>
    </x:row>
    <x:row r="1387" ht="42" customHeight="1">
      <x:c r="A1387" s="35" t="n">
        <x:v>1385</x:v>
      </x:c>
      <x:c r="B1387" s="31" t="str">
        <x:f>IF('Execution Checklist'!Q1387="","",'Execution Checklist'!Q1387)</x:f>
      </x:c>
      <x:c r="C1387" s="31" t="str">
        <x:v>Place a glass spice container in the bowl.</x:v>
      </x:c>
      <x:c r="D1387" s="31" t="str">
        <x:v>glass spice container A</x:v>
      </x:c>
      <x:c r="E1387" s="31" t="str">
        <x:v>Binary task success; paired with the main transfer row.</x:v>
      </x:c>
      <x:c r="F1387" s="31"/>
      <x:c r="G1387" s="31"/>
      <x:c r="H1387" s="31" t="str">
        <x:f>IF(OR(F1387="",G1387=""),"",IF(F1387=G1387,"Agree","Disagree"))</x:f>
      </x:c>
      <x:c r="I1387" s="31"/>
      <x:c r="J1387" s="31" t="str">
        <x:v>No</x:v>
      </x:c>
      <x:c r="K1387" s="31" t="str"/>
      <x:c r="L1387" s="31" t="str"/>
      <x:c r="M1387" s="31" t="str"/>
      <x:c r="N1387" s="31" t="str"/>
    </x:row>
    <x:row r="1388" ht="42" customHeight="1">
      <x:c r="A1388" s="35" t="n">
        <x:v>1386</x:v>
      </x:c>
      <x:c r="B1388" s="31" t="str">
        <x:f>IF('Execution Checklist'!Q1388="","",'Execution Checklist'!Q1388)</x:f>
      </x:c>
      <x:c r="C1388" s="31" t="str">
        <x:v>Move the open brown cup into the bowl.</x:v>
      </x:c>
      <x:c r="D1388" s="31" t="str">
        <x:v>brown cup B</x:v>
      </x:c>
      <x:c r="E1388" s="31" t="str">
        <x:v>Binary task success using the task-specific rubric.</x:v>
      </x:c>
      <x:c r="F1388" s="31"/>
      <x:c r="G1388" s="31"/>
      <x:c r="H1388" s="31" t="str">
        <x:f>IF(OR(F1388="",G1388=""),"",IF(F1388=G1388,"Agree","Disagree"))</x:f>
      </x:c>
      <x:c r="I1388" s="31"/>
      <x:c r="J1388" s="31" t="str">
        <x:v>No</x:v>
      </x:c>
      <x:c r="K1388" s="31" t="str"/>
      <x:c r="L1388" s="31" t="str"/>
      <x:c r="M1388" s="31" t="str"/>
      <x:c r="N1388" s="31" t="str"/>
    </x:row>
    <x:row r="1389" ht="42" customHeight="1">
      <x:c r="A1389" s="35" t="n">
        <x:v>1387</x:v>
      </x:c>
      <x:c r="B1389" s="31" t="str">
        <x:f>IF('Execution Checklist'!Q1389="","",'Execution Checklist'!Q1389)</x:f>
      </x:c>
      <x:c r="C1389" s="31" t="str">
        <x:v>Place the upside-down glass spice container in the bowl.</x:v>
      </x:c>
      <x:c r="D1389" s="31" t="str">
        <x:v>glass spice container B</x:v>
      </x:c>
      <x:c r="E1389" s="31" t="str">
        <x:v>Binary task success using the task-specific rubric.</x:v>
      </x:c>
      <x:c r="F1389" s="31"/>
      <x:c r="G1389" s="31"/>
      <x:c r="H1389" s="31" t="str">
        <x:f>IF(OR(F1389="",G1389=""),"",IF(F1389=G1389,"Agree","Disagree"))</x:f>
      </x:c>
      <x:c r="I1389" s="31"/>
      <x:c r="J1389" s="31" t="str">
        <x:v>No</x:v>
      </x:c>
      <x:c r="K1389" s="31" t="str"/>
      <x:c r="L1389" s="31" t="str"/>
      <x:c r="M1389" s="31" t="str"/>
      <x:c r="N1389" s="31" t="str"/>
    </x:row>
    <x:row r="1390" ht="42" customHeight="1">
      <x:c r="A1390" s="35" t="n">
        <x:v>1388</x:v>
      </x:c>
      <x:c r="B1390" s="31" t="str">
        <x:f>IF('Execution Checklist'!Q1390="","",'Execution Checklist'!Q1390)</x:f>
      </x:c>
      <x:c r="C1390" s="31" t="str">
        <x:v>Place the upright glass spice container in the bowl.</x:v>
      </x:c>
      <x:c r="D1390" s="31" t="str">
        <x:v>glass spice container A</x:v>
      </x:c>
      <x:c r="E1390" s="31" t="str">
        <x:v>Binary task success; paired with the main matched-control row.</x:v>
      </x:c>
      <x:c r="F1390" s="31"/>
      <x:c r="G1390" s="31"/>
      <x:c r="H1390" s="31" t="str">
        <x:f>IF(OR(F1390="",G1390=""),"",IF(F1390=G1390,"Agree","Disagree"))</x:f>
      </x:c>
      <x:c r="I1390" s="31"/>
      <x:c r="J1390" s="31" t="str">
        <x:v>No</x:v>
      </x:c>
      <x:c r="K1390" s="31" t="str"/>
      <x:c r="L1390" s="31" t="str"/>
      <x:c r="M1390" s="31" t="str"/>
      <x:c r="N1390" s="31" t="str"/>
    </x:row>
    <x:row r="1391" ht="42" customHeight="1">
      <x:c r="A1391" s="35" t="n">
        <x:v>1389</x:v>
      </x:c>
      <x:c r="B1391" s="31" t="str">
        <x:f>IF('Execution Checklist'!Q1391="","",'Execution Checklist'!Q1391)</x:f>
      </x:c>
      <x:c r="C1391" s="31" t="str">
        <x:v>Place a yellow-white striped cup in the bowl.</x:v>
      </x:c>
      <x:c r="D1391" s="31" t="str">
        <x:v>yellow-white striped cup A</x:v>
      </x:c>
      <x:c r="E1391" s="31" t="str">
        <x:v>Binary task success; paired with the main transfer row.</x:v>
      </x:c>
      <x:c r="F1391" s="31"/>
      <x:c r="G1391" s="31"/>
      <x:c r="H1391" s="31" t="str">
        <x:f>IF(OR(F1391="",G1391=""),"",IF(F1391=G1391,"Agree","Disagree"))</x:f>
      </x:c>
      <x:c r="I1391" s="31"/>
      <x:c r="J1391" s="31" t="str">
        <x:v>No</x:v>
      </x:c>
      <x:c r="K1391" s="31" t="str"/>
      <x:c r="L1391" s="31" t="str"/>
      <x:c r="M1391" s="31" t="str"/>
      <x:c r="N1391" s="31" t="str"/>
    </x:row>
    <x:row r="1392" ht="42" customHeight="1">
      <x:c r="A1392" s="35" t="n">
        <x:v>1390</x:v>
      </x:c>
      <x:c r="B1392" s="31" t="str">
        <x:f>IF('Execution Checklist'!Q1392="","",'Execution Checklist'!Q1392)</x:f>
      </x:c>
      <x:c r="C1392" s="31" t="str">
        <x:v>Move a glass spice container into the bowl.</x:v>
      </x:c>
      <x:c r="D1392" s="31" t="str">
        <x:v>glass spice container A</x:v>
      </x:c>
      <x:c r="E1392" s="31" t="str">
        <x:v>Binary task success using the task-specific rubric.</x:v>
      </x:c>
      <x:c r="F1392" s="31"/>
      <x:c r="G1392" s="31"/>
      <x:c r="H1392" s="31" t="str">
        <x:f>IF(OR(F1392="",G1392=""),"",IF(F1392=G1392,"Agree","Disagree"))</x:f>
      </x:c>
      <x:c r="I1392" s="31"/>
      <x:c r="J1392" s="31" t="str">
        <x:v>No</x:v>
      </x:c>
      <x:c r="K1392" s="31" t="str"/>
      <x:c r="L1392" s="31" t="str"/>
      <x:c r="M1392" s="31" t="str"/>
      <x:c r="N1392" s="31" t="str"/>
    </x:row>
    <x:row r="1393" ht="42" customHeight="1">
      <x:c r="A1393" s="35" t="n">
        <x:v>1391</x:v>
      </x:c>
      <x:c r="B1393" s="31" t="str">
        <x:f>IF('Execution Checklist'!Q1393="","",'Execution Checklist'!Q1393)</x:f>
      </x:c>
      <x:c r="C1393" s="31" t="str">
        <x:v>Place the upright glass spice container in the bowl.</x:v>
      </x:c>
      <x:c r="D1393" s="31" t="str">
        <x:v>glass spice container A</x:v>
      </x:c>
      <x:c r="E1393" s="31" t="str">
        <x:v>Binary task success; paired with the main matched-control row.</x:v>
      </x:c>
      <x:c r="F1393" s="31"/>
      <x:c r="G1393" s="31"/>
      <x:c r="H1393" s="31" t="str">
        <x:f>IF(OR(F1393="",G1393=""),"",IF(F1393=G1393,"Agree","Disagree"))</x:f>
      </x:c>
      <x:c r="I1393" s="31"/>
      <x:c r="J1393" s="31" t="str">
        <x:v>No</x:v>
      </x:c>
      <x:c r="K1393" s="31" t="str"/>
      <x:c r="L1393" s="31" t="str"/>
      <x:c r="M1393" s="31" t="str"/>
      <x:c r="N1393" s="31" t="str"/>
    </x:row>
    <x:row r="1394" ht="42" customHeight="1">
      <x:c r="A1394" s="35" t="n">
        <x:v>1392</x:v>
      </x:c>
      <x:c r="B1394" s="31" t="str">
        <x:f>IF('Execution Checklist'!Q1394="","",'Execution Checklist'!Q1394)</x:f>
      </x:c>
      <x:c r="C1394" s="31" t="str">
        <x:v>Place a yellow-white striped cup in the bowl.</x:v>
      </x:c>
      <x:c r="D1394" s="31" t="str">
        <x:v>yellow-white striped cup B</x:v>
      </x:c>
      <x:c r="E1394" s="31" t="str">
        <x:v>Binary task success; paired with the main transfer row.</x:v>
      </x:c>
      <x:c r="F1394" s="31"/>
      <x:c r="G1394" s="31"/>
      <x:c r="H1394" s="31" t="str">
        <x:f>IF(OR(F1394="",G1394=""),"",IF(F1394=G1394,"Agree","Disagree"))</x:f>
      </x:c>
      <x:c r="I1394" s="31"/>
      <x:c r="J1394" s="31" t="str">
        <x:v>No</x:v>
      </x:c>
      <x:c r="K1394" s="31" t="str"/>
      <x:c r="L1394" s="31" t="str"/>
      <x:c r="M1394" s="31" t="str"/>
      <x:c r="N1394" s="31" t="str"/>
    </x:row>
    <x:row r="1395" ht="42" customHeight="1">
      <x:c r="A1395" s="35" t="n">
        <x:v>1393</x:v>
      </x:c>
      <x:c r="B1395" s="31" t="str">
        <x:f>IF('Execution Checklist'!Q1395="","",'Execution Checklist'!Q1395)</x:f>
      </x:c>
      <x:c r="C1395" s="31" t="str">
        <x:v>Place a brown cup in the bowl.</x:v>
      </x:c>
      <x:c r="D1395" s="31" t="str">
        <x:v>brown cup B</x:v>
      </x:c>
      <x:c r="E1395" s="31" t="str">
        <x:v>Binary task success; paired with the main transfer row.</x:v>
      </x:c>
      <x:c r="F1395" s="31"/>
      <x:c r="G1395" s="31"/>
      <x:c r="H1395" s="31" t="str">
        <x:f>IF(OR(F1395="",G1395=""),"",IF(F1395=G1395,"Agree","Disagree"))</x:f>
      </x:c>
      <x:c r="I1395" s="31"/>
      <x:c r="J1395" s="31" t="str">
        <x:v>No</x:v>
      </x:c>
      <x:c r="K1395" s="31" t="str"/>
      <x:c r="L1395" s="31" t="str"/>
      <x:c r="M1395" s="31" t="str"/>
      <x:c r="N1395" s="31" t="str"/>
    </x:row>
    <x:row r="1396" ht="42" customHeight="1">
      <x:c r="A1396" s="35" t="n">
        <x:v>1394</x:v>
      </x:c>
      <x:c r="B1396" s="31" t="str">
        <x:f>IF('Execution Checklist'!Q1396="","",'Execution Checklist'!Q1396)</x:f>
      </x:c>
      <x:c r="C1396" s="31" t="str">
        <x:v>Place the closed brown cup in the bowl.</x:v>
      </x:c>
      <x:c r="D1396" s="31" t="str">
        <x:v>No prespecified task success under blank language; record any action/selected target.</x:v>
      </x:c>
      <x:c r="E1396" s="31" t="str">
        <x:v>Do not score ordinary task success. Record action occurrence and agreement with the parent correct-prompt rollout.</x:v>
      </x:c>
      <x:c r="F1396" s="31"/>
      <x:c r="G1396" s="31"/>
      <x:c r="H1396" s="31" t="str">
        <x:f>IF(OR(F1396="",G1396=""),"",IF(F1396=G1396,"Agree","Disagree"))</x:f>
      </x:c>
      <x:c r="I1396" s="31"/>
      <x:c r="J1396" s="31" t="str">
        <x:v>No</x:v>
      </x:c>
      <x:c r="K1396" s="31" t="str"/>
      <x:c r="L1396" s="31" t="str"/>
      <x:c r="M1396" s="31" t="str"/>
      <x:c r="N1396" s="31" t="str"/>
    </x:row>
    <x:row r="1397" ht="42" customHeight="1">
      <x:c r="A1397" s="35" t="n">
        <x:v>1395</x:v>
      </x:c>
      <x:c r="B1397" s="31" t="str">
        <x:f>IF('Execution Checklist'!Q1397="","",'Execution Checklist'!Q1397)</x:f>
      </x:c>
      <x:c r="C1397" s="31" t="str">
        <x:v>Place the closed yellow-white striped cup in the bowl.</x:v>
      </x:c>
      <x:c r="D1397" s="31" t="str">
        <x:v>No prespecified task success under blank language; record any action/selected target.</x:v>
      </x:c>
      <x:c r="E1397" s="31" t="str">
        <x:v>Do not score ordinary task success. Record action occurrence and agreement with the parent correct-prompt rollout.</x:v>
      </x:c>
      <x:c r="F1397" s="31"/>
      <x:c r="G1397" s="31"/>
      <x:c r="H1397" s="31" t="str">
        <x:f>IF(OR(F1397="",G1397=""),"",IF(F1397=G1397,"Agree","Disagree"))</x:f>
      </x:c>
      <x:c r="I1397" s="31"/>
      <x:c r="J1397" s="31" t="str">
        <x:v>No</x:v>
      </x:c>
      <x:c r="K1397" s="31" t="str"/>
      <x:c r="L1397" s="31" t="str"/>
      <x:c r="M1397" s="31" t="str"/>
      <x:c r="N1397" s="31" t="str"/>
    </x:row>
    <x:row r="1398" ht="42" customHeight="1">
      <x:c r="A1398" s="35" t="n">
        <x:v>1396</x:v>
      </x:c>
      <x:c r="B1398" s="31" t="str">
        <x:f>IF('Execution Checklist'!Q1398="","",'Execution Checklist'!Q1398)</x:f>
      </x:c>
      <x:c r="C1398" s="31" t="str">
        <x:v>Place the open white cup in the bowl.</x:v>
      </x:c>
      <x:c r="D1398" s="31" t="str">
        <x:v>white cup B</x:v>
      </x:c>
      <x:c r="E1398" s="31" t="str">
        <x:v>Binary success for the counterfactual instruction and paired action-switch analysis versus the parent.</x:v>
      </x:c>
      <x:c r="F1398" s="31"/>
      <x:c r="G1398" s="31"/>
      <x:c r="H1398" s="31" t="str">
        <x:f>IF(OR(F1398="",G1398=""),"",IF(F1398=G1398,"Agree","Disagree"))</x:f>
      </x:c>
      <x:c r="I1398" s="31"/>
      <x:c r="J1398" s="31" t="str">
        <x:v>No</x:v>
      </x:c>
      <x:c r="K1398" s="31" t="str"/>
      <x:c r="L1398" s="31" t="str"/>
      <x:c r="M1398" s="31" t="str"/>
      <x:c r="N1398" s="31" t="str"/>
    </x:row>
    <x:row r="1399" ht="42" customHeight="1">
      <x:c r="A1399" s="35" t="n">
        <x:v>1397</x:v>
      </x:c>
      <x:c r="B1399" s="31" t="str">
        <x:f>IF('Execution Checklist'!Q1399="","",'Execution Checklist'!Q1399)</x:f>
      </x:c>
      <x:c r="C1399" s="31" t="str">
        <x:v>Put the open glass spice container in the bowl.</x:v>
      </x:c>
      <x:c r="D1399" s="31" t="str">
        <x:v>glass spice container B</x:v>
      </x:c>
      <x:c r="E1399" s="31" t="str">
        <x:v>Binary task success using the task-specific rubric.</x:v>
      </x:c>
      <x:c r="F1399" s="31"/>
      <x:c r="G1399" s="31"/>
      <x:c r="H1399" s="31" t="str">
        <x:f>IF(OR(F1399="",G1399=""),"",IF(F1399=G1399,"Agree","Disagree"))</x:f>
      </x:c>
      <x:c r="I1399" s="31"/>
      <x:c r="J1399" s="31" t="str">
        <x:v>No</x:v>
      </x:c>
      <x:c r="K1399" s="31" t="str"/>
      <x:c r="L1399" s="31" t="str"/>
      <x:c r="M1399" s="31" t="str"/>
      <x:c r="N1399" s="31" t="str"/>
    </x:row>
    <x:row r="1400" ht="42" customHeight="1">
      <x:c r="A1400" s="35" t="n">
        <x:v>1398</x:v>
      </x:c>
      <x:c r="B1400" s="31" t="str">
        <x:f>IF('Execution Checklist'!Q1400="","",'Execution Checklist'!Q1400)</x:f>
      </x:c>
      <x:c r="C1400" s="31" t="str">
        <x:v>Place the upright yellow-white striped cup in the bowl.</x:v>
      </x:c>
      <x:c r="D1400" s="31" t="str">
        <x:v>yellow-white striped cup B</x:v>
      </x:c>
      <x:c r="E1400" s="31" t="str">
        <x:v>Binary task success; paired with the main matched-control row.</x:v>
      </x:c>
      <x:c r="F1400" s="31"/>
      <x:c r="G1400" s="31"/>
      <x:c r="H1400" s="31" t="str">
        <x:f>IF(OR(F1400="",G1400=""),"",IF(F1400=G1400,"Agree","Disagree"))</x:f>
      </x:c>
      <x:c r="I1400" s="31"/>
      <x:c r="J1400" s="31" t="str">
        <x:v>No</x:v>
      </x:c>
      <x:c r="K1400" s="31" t="str"/>
      <x:c r="L1400" s="31" t="str"/>
      <x:c r="M1400" s="31" t="str"/>
      <x:c r="N1400" s="31" t="str"/>
    </x:row>
    <x:row r="1401" ht="42" customHeight="1">
      <x:c r="A1401" s="35" t="n">
        <x:v>1399</x:v>
      </x:c>
      <x:c r="B1401" s="31" t="str">
        <x:f>IF('Execution Checklist'!Q1401="","",'Execution Checklist'!Q1401)</x:f>
      </x:c>
      <x:c r="C1401" s="31" t="str">
        <x:v>Place a brown cup in the bowl.</x:v>
      </x:c>
      <x:c r="D1401" s="31" t="str">
        <x:v>brown cup B</x:v>
      </x:c>
      <x:c r="E1401" s="31" t="str">
        <x:v>Binary task success; paired with the main transfer row.</x:v>
      </x:c>
      <x:c r="F1401" s="31"/>
      <x:c r="G1401" s="31"/>
      <x:c r="H1401" s="31" t="str">
        <x:f>IF(OR(F1401="",G1401=""),"",IF(F1401=G1401,"Agree","Disagree"))</x:f>
      </x:c>
      <x:c r="I1401" s="31"/>
      <x:c r="J1401" s="31" t="str">
        <x:v>No</x:v>
      </x:c>
      <x:c r="K1401" s="31" t="str"/>
      <x:c r="L1401" s="31" t="str"/>
      <x:c r="M1401" s="31" t="str"/>
      <x:c r="N1401" s="31" t="str"/>
    </x:row>
    <x:row r="1402" ht="42" customHeight="1">
      <x:c r="A1402" s="35" t="n">
        <x:v>1400</x:v>
      </x:c>
      <x:c r="B1402" s="31" t="str">
        <x:f>IF('Execution Checklist'!Q1402="","",'Execution Checklist'!Q1402)</x:f>
      </x:c>
      <x:c r="C1402" s="31" t="str">
        <x:v>Place a white cup in the bowl.</x:v>
      </x:c>
      <x:c r="D1402" s="31" t="str">
        <x:v>white cup A</x:v>
      </x:c>
      <x:c r="E1402" s="31" t="str">
        <x:v>Binary task success; paired with the main transfer row.</x:v>
      </x:c>
      <x:c r="F1402" s="31"/>
      <x:c r="G1402" s="31"/>
      <x:c r="H1402" s="31" t="str">
        <x:f>IF(OR(F1402="",G1402=""),"",IF(F1402=G1402,"Agree","Disagree"))</x:f>
      </x:c>
      <x:c r="I1402" s="31"/>
      <x:c r="J1402" s="31" t="str">
        <x:v>No</x:v>
      </x:c>
      <x:c r="K1402" s="31" t="str"/>
      <x:c r="L1402" s="31" t="str"/>
      <x:c r="M1402" s="31" t="str"/>
      <x:c r="N1402" s="31" t="str"/>
    </x:row>
    <x:row r="1403" ht="42" customHeight="1">
      <x:c r="A1403" s="35" t="n">
        <x:v>1401</x:v>
      </x:c>
      <x:c r="B1403" s="31" t="str">
        <x:f>IF('Execution Checklist'!Q1403="","",'Execution Checklist'!Q1403)</x:f>
      </x:c>
      <x:c r="C1403" s="31" t="str">
        <x:v>Place the closed brown cup in the bowl.</x:v>
      </x:c>
      <x:c r="D1403" s="31" t="str">
        <x:v>brown cup A</x:v>
      </x:c>
      <x:c r="E1403" s="31" t="str">
        <x:v>Binary task success; paired with the main matched-control row.</x:v>
      </x:c>
      <x:c r="F1403" s="31"/>
      <x:c r="G1403" s="31"/>
      <x:c r="H1403" s="31" t="str">
        <x:f>IF(OR(F1403="",G1403=""),"",IF(F1403=G1403,"Agree","Disagree"))</x:f>
      </x:c>
      <x:c r="I1403" s="31"/>
      <x:c r="J1403" s="31" t="str">
        <x:v>No</x:v>
      </x:c>
      <x:c r="K1403" s="31" t="str"/>
      <x:c r="L1403" s="31" t="str"/>
      <x:c r="M1403" s="31" t="str"/>
      <x:c r="N1403" s="31" t="str"/>
    </x:row>
    <x:row r="1404" ht="42" customHeight="1">
      <x:c r="A1404" s="35" t="n">
        <x:v>1402</x:v>
      </x:c>
      <x:c r="B1404" s="31" t="str">
        <x:f>IF('Execution Checklist'!Q1404="","",'Execution Checklist'!Q1404)</x:f>
      </x:c>
      <x:c r="C1404" s="31" t="str">
        <x:v>Place a brown cup in the bowl.</x:v>
      </x:c>
      <x:c r="D1404" s="31" t="str">
        <x:v>brown cup A</x:v>
      </x:c>
      <x:c r="E1404" s="31" t="str">
        <x:v>Binary task success; paired with the main transfer row.</x:v>
      </x:c>
      <x:c r="F1404" s="31"/>
      <x:c r="G1404" s="31"/>
      <x:c r="H1404" s="31" t="str">
        <x:f>IF(OR(F1404="",G1404=""),"",IF(F1404=G1404,"Agree","Disagree"))</x:f>
      </x:c>
      <x:c r="I1404" s="31"/>
      <x:c r="J1404" s="31" t="str">
        <x:v>No</x:v>
      </x:c>
      <x:c r="K1404" s="31" t="str"/>
      <x:c r="L1404" s="31" t="str"/>
      <x:c r="M1404" s="31" t="str"/>
      <x:c r="N1404" s="31" t="str"/>
    </x:row>
    <x:row r="1405" ht="42" customHeight="1">
      <x:c r="A1405" s="35" t="n">
        <x:v>1403</x:v>
      </x:c>
      <x:c r="B1405" s="31" t="str">
        <x:f>IF('Execution Checklist'!Q1405="","",'Execution Checklist'!Q1405)</x:f>
      </x:c>
      <x:c r="C1405" s="31" t="str">
        <x:v>Move the open white cup into the bowl.</x:v>
      </x:c>
      <x:c r="D1405" s="31" t="str">
        <x:v>white cup A</x:v>
      </x:c>
      <x:c r="E1405" s="31" t="str">
        <x:v>Binary task success using the task-specific rubric.</x:v>
      </x:c>
      <x:c r="F1405" s="31"/>
      <x:c r="G1405" s="31"/>
      <x:c r="H1405" s="31" t="str">
        <x:f>IF(OR(F1405="",G1405=""),"",IF(F1405=G1405,"Agree","Disagree"))</x:f>
      </x:c>
      <x:c r="I1405" s="31"/>
      <x:c r="J1405" s="31" t="str">
        <x:v>No</x:v>
      </x:c>
      <x:c r="K1405" s="31" t="str"/>
      <x:c r="L1405" s="31" t="str"/>
      <x:c r="M1405" s="31" t="str"/>
      <x:c r="N1405" s="31" t="str"/>
    </x:row>
    <x:row r="1406" ht="42" customHeight="1">
      <x:c r="A1406" s="35" t="n">
        <x:v>1404</x:v>
      </x:c>
      <x:c r="B1406" s="31" t="str">
        <x:f>IF('Execution Checklist'!Q1406="","",'Execution Checklist'!Q1406)</x:f>
      </x:c>
      <x:c r="C1406" s="31" t="str">
        <x:v>Place the open glass spice container in the bowl.</x:v>
      </x:c>
      <x:c r="D1406" s="31" t="str">
        <x:v>glass spice container A</x:v>
      </x:c>
      <x:c r="E1406" s="31" t="str">
        <x:v>Binary success for the counterfactual instruction and paired action-switch analysis versus the parent.</x:v>
      </x:c>
      <x:c r="F1406" s="31"/>
      <x:c r="G1406" s="31"/>
      <x:c r="H1406" s="31" t="str">
        <x:f>IF(OR(F1406="",G1406=""),"",IF(F1406=G1406,"Agree","Disagree"))</x:f>
      </x:c>
      <x:c r="I1406" s="31"/>
      <x:c r="J1406" s="31" t="str">
        <x:v>No</x:v>
      </x:c>
      <x:c r="K1406" s="31" t="str"/>
      <x:c r="L1406" s="31" t="str"/>
      <x:c r="M1406" s="31" t="str"/>
      <x:c r="N1406" s="31" t="str"/>
    </x:row>
    <x:row r="1407" ht="42" customHeight="1">
      <x:c r="A1407" s="35" t="n">
        <x:v>1405</x:v>
      </x:c>
      <x:c r="B1407" s="31" t="str">
        <x:f>IF('Execution Checklist'!Q1407="","",'Execution Checklist'!Q1407)</x:f>
      </x:c>
      <x:c r="C1407" s="31" t="str">
        <x:v>Place a glass spice container in the bowl.</x:v>
      </x:c>
      <x:c r="D1407" s="31" t="str">
        <x:v>glass spice container B</x:v>
      </x:c>
      <x:c r="E1407" s="31" t="str">
        <x:v>Binary task success; paired with the main transfer row.</x:v>
      </x:c>
      <x:c r="F1407" s="31"/>
      <x:c r="G1407" s="31"/>
      <x:c r="H1407" s="31" t="str">
        <x:f>IF(OR(F1407="",G1407=""),"",IF(F1407=G1407,"Agree","Disagree"))</x:f>
      </x:c>
      <x:c r="I1407" s="31"/>
      <x:c r="J1407" s="31" t="str">
        <x:v>No</x:v>
      </x:c>
      <x:c r="K1407" s="31" t="str"/>
      <x:c r="L1407" s="31" t="str"/>
      <x:c r="M1407" s="31" t="str"/>
      <x:c r="N1407" s="31" t="str"/>
    </x:row>
    <x:row r="1408" ht="42" customHeight="1">
      <x:c r="A1408" s="35" t="n">
        <x:v>1406</x:v>
      </x:c>
      <x:c r="B1408" s="31" t="str">
        <x:f>IF('Execution Checklist'!Q1408="","",'Execution Checklist'!Q1408)</x:f>
      </x:c>
      <x:c r="C1408" s="31" t="str">
        <x:v>Place a glass spice container in the bowl.</x:v>
      </x:c>
      <x:c r="D1408" s="31" t="str">
        <x:v>glass spice container A</x:v>
      </x:c>
      <x:c r="E1408" s="31" t="str">
        <x:v>Binary task success; paired with the main transfer row.</x:v>
      </x:c>
      <x:c r="F1408" s="31"/>
      <x:c r="G1408" s="31"/>
      <x:c r="H1408" s="31" t="str">
        <x:f>IF(OR(F1408="",G1408=""),"",IF(F1408=G1408,"Agree","Disagree"))</x:f>
      </x:c>
      <x:c r="I1408" s="31"/>
      <x:c r="J1408" s="31" t="str">
        <x:v>No</x:v>
      </x:c>
      <x:c r="K1408" s="31" t="str"/>
      <x:c r="L1408" s="31" t="str"/>
      <x:c r="M1408" s="31" t="str"/>
      <x:c r="N1408" s="31" t="str"/>
    </x:row>
    <x:row r="1409" ht="42" customHeight="1">
      <x:c r="A1409" s="35" t="n">
        <x:v>1407</x:v>
      </x:c>
      <x:c r="B1409" s="31" t="str">
        <x:f>IF('Execution Checklist'!Q1409="","",'Execution Checklist'!Q1409)</x:f>
      </x:c>
      <x:c r="C1409" s="31" t="str">
        <x:v>Put a brown cup in the bowl.</x:v>
      </x:c>
      <x:c r="D1409" s="31" t="str">
        <x:v>brown cup B</x:v>
      </x:c>
      <x:c r="E1409" s="31" t="str">
        <x:v>Binary task success using the task-specific rubric.</x:v>
      </x:c>
      <x:c r="F1409" s="31"/>
      <x:c r="G1409" s="31"/>
      <x:c r="H1409" s="31" t="str">
        <x:f>IF(OR(F1409="",G1409=""),"",IF(F1409=G1409,"Agree","Disagree"))</x:f>
      </x:c>
      <x:c r="I1409" s="31"/>
      <x:c r="J1409" s="31" t="str">
        <x:v>No</x:v>
      </x:c>
      <x:c r="K1409" s="31" t="str"/>
      <x:c r="L1409" s="31" t="str"/>
      <x:c r="M1409" s="31" t="str"/>
      <x:c r="N1409" s="31" t="str"/>
    </x:row>
    <x:row r="1410" ht="42" customHeight="1">
      <x:c r="A1410" s="35" t="n">
        <x:v>1408</x:v>
      </x:c>
      <x:c r="B1410" s="31" t="str">
        <x:f>IF('Execution Checklist'!Q1410="","",'Execution Checklist'!Q1410)</x:f>
      </x:c>
      <x:c r="C1410" s="31" t="str">
        <x:v>Place the open white cup in the bowl.</x:v>
      </x:c>
      <x:c r="D1410" s="31" t="str">
        <x:v>white cup B</x:v>
      </x:c>
      <x:c r="E1410" s="31" t="str">
        <x:v>Binary task success using the task-specific rubric.</x:v>
      </x:c>
      <x:c r="F1410" s="31"/>
      <x:c r="G1410" s="31"/>
      <x:c r="H1410" s="31" t="str">
        <x:f>IF(OR(F1410="",G1410=""),"",IF(F1410=G1410,"Agree","Disagree"))</x:f>
      </x:c>
      <x:c r="I1410" s="31"/>
      <x:c r="J1410" s="31" t="str">
        <x:v>No</x:v>
      </x:c>
      <x:c r="K1410" s="31" t="str"/>
      <x:c r="L1410" s="31" t="str"/>
      <x:c r="M1410" s="31" t="str"/>
      <x:c r="N1410" s="31" t="str"/>
    </x:row>
    <x:row r="1411" ht="42" customHeight="1">
      <x:c r="A1411" s="35" t="n">
        <x:v>1409</x:v>
      </x:c>
      <x:c r="B1411" s="31" t="str">
        <x:f>IF('Execution Checklist'!Q1411="","",'Execution Checklist'!Q1411)</x:f>
      </x:c>
      <x:c r="C1411" s="31" t="str">
        <x:v>Place a white cup in the bowl.</x:v>
      </x:c>
      <x:c r="D1411" s="31" t="str">
        <x:v>white cup A</x:v>
      </x:c>
      <x:c r="E1411" s="31" t="str">
        <x:v>Binary task success; paired with the main transfer row.</x:v>
      </x:c>
      <x:c r="F1411" s="31"/>
      <x:c r="G1411" s="31"/>
      <x:c r="H1411" s="31" t="str">
        <x:f>IF(OR(F1411="",G1411=""),"",IF(F1411=G1411,"Agree","Disagree"))</x:f>
      </x:c>
      <x:c r="I1411" s="31"/>
      <x:c r="J1411" s="31" t="str">
        <x:v>No</x:v>
      </x:c>
      <x:c r="K1411" s="31" t="str"/>
      <x:c r="L1411" s="31" t="str"/>
      <x:c r="M1411" s="31" t="str"/>
      <x:c r="N1411" s="31" t="str"/>
    </x:row>
    <x:row r="1412" ht="42" customHeight="1">
      <x:c r="A1412" s="35" t="n">
        <x:v>1410</x:v>
      </x:c>
      <x:c r="B1412" s="31" t="str">
        <x:f>IF('Execution Checklist'!Q1412="","",'Execution Checklist'!Q1412)</x:f>
      </x:c>
      <x:c r="C1412" s="31" t="str">
        <x:v>Place the open yellow-white striped cup in the bowl.</x:v>
      </x:c>
      <x:c r="D1412" s="31" t="str">
        <x:v>yellow-white striped cup B</x:v>
      </x:c>
      <x:c r="E1412" s="31" t="str">
        <x:v>Binary task success using the task-specific rubric.</x:v>
      </x:c>
      <x:c r="F1412" s="31"/>
      <x:c r="G1412" s="31"/>
      <x:c r="H1412" s="31" t="str">
        <x:f>IF(OR(F1412="",G1412=""),"",IF(F1412=G1412,"Agree","Disagree"))</x:f>
      </x:c>
      <x:c r="I1412" s="31"/>
      <x:c r="J1412" s="31" t="str">
        <x:v>No</x:v>
      </x:c>
      <x:c r="K1412" s="31" t="str"/>
      <x:c r="L1412" s="31" t="str"/>
      <x:c r="M1412" s="31" t="str"/>
      <x:c r="N1412" s="31" t="str"/>
    </x:row>
    <x:row r="1413" ht="42" customHeight="1">
      <x:c r="A1413" s="35" t="n">
        <x:v>1411</x:v>
      </x:c>
      <x:c r="B1413" s="31" t="str">
        <x:f>IF('Execution Checklist'!Q1413="","",'Execution Checklist'!Q1413)</x:f>
      </x:c>
      <x:c r="C1413" s="31" t="str">
        <x:v>Place the closed glass spice container in the bowl.</x:v>
      </x:c>
      <x:c r="D1413" s="31" t="str">
        <x:v>No prespecified task success under blank language; record any action/selected target.</x:v>
      </x:c>
      <x:c r="E1413" s="31" t="str">
        <x:v>Do not score ordinary task success. Record action occurrence and agreement with the parent correct-prompt rollout.</x:v>
      </x:c>
      <x:c r="F1413" s="31"/>
      <x:c r="G1413" s="31"/>
      <x:c r="H1413" s="31" t="str">
        <x:f>IF(OR(F1413="",G1413=""),"",IF(F1413=G1413,"Agree","Disagree"))</x:f>
      </x:c>
      <x:c r="I1413" s="31"/>
      <x:c r="J1413" s="31" t="str">
        <x:v>No</x:v>
      </x:c>
      <x:c r="K1413" s="31" t="str"/>
      <x:c r="L1413" s="31" t="str"/>
      <x:c r="M1413" s="31" t="str"/>
      <x:c r="N1413" s="31" t="str"/>
    </x:row>
    <x:row r="1414" ht="42" customHeight="1">
      <x:c r="A1414" s="35" t="n">
        <x:v>1412</x:v>
      </x:c>
      <x:c r="B1414" s="31" t="str">
        <x:f>IF('Execution Checklist'!Q1414="","",'Execution Checklist'!Q1414)</x:f>
      </x:c>
      <x:c r="C1414" s="31" t="str">
        <x:v>Move the overturned glass spice container into the bowl.</x:v>
      </x:c>
      <x:c r="D1414" s="31" t="str">
        <x:v>glass spice container B</x:v>
      </x:c>
      <x:c r="E1414" s="31" t="str">
        <x:v>Binary task success; compare with the seen-language row sharing Pair ID.</x:v>
      </x:c>
      <x:c r="F1414" s="31"/>
      <x:c r="G1414" s="31"/>
      <x:c r="H1414" s="31" t="str">
        <x:f>IF(OR(F1414="",G1414=""),"",IF(F1414=G1414,"Agree","Disagree"))</x:f>
      </x:c>
      <x:c r="I1414" s="31"/>
      <x:c r="J1414" s="31" t="str">
        <x:v>No</x:v>
      </x:c>
      <x:c r="K1414" s="31" t="str"/>
      <x:c r="L1414" s="31" t="str"/>
      <x:c r="M1414" s="31" t="str"/>
      <x:c r="N1414" s="31" t="str"/>
    </x:row>
    <x:row r="1415" ht="42" customHeight="1">
      <x:c r="A1415" s="35" t="n">
        <x:v>1413</x:v>
      </x:c>
      <x:c r="B1415" s="31" t="str">
        <x:f>IF('Execution Checklist'!Q1415="","",'Execution Checklist'!Q1415)</x:f>
      </x:c>
      <x:c r="C1415" s="31" t="str">
        <x:v>Find the white cup with its opening uncovered and move it into the bowl.</x:v>
      </x:c>
      <x:c r="D1415" s="31" t="str">
        <x:v>white cup B</x:v>
      </x:c>
      <x:c r="E1415" s="31" t="str">
        <x:v>Binary task success; compare with the seen-language row sharing Pair ID.</x:v>
      </x:c>
      <x:c r="F1415" s="31"/>
      <x:c r="G1415" s="31"/>
      <x:c r="H1415" s="31" t="str">
        <x:f>IF(OR(F1415="",G1415=""),"",IF(F1415=G1415,"Agree","Disagree"))</x:f>
      </x:c>
      <x:c r="I1415" s="31"/>
      <x:c r="J1415" s="31" t="str">
        <x:v>No</x:v>
      </x:c>
      <x:c r="K1415" s="31" t="str"/>
      <x:c r="L1415" s="31" t="str"/>
      <x:c r="M1415" s="31" t="str"/>
      <x:c r="N1415" s="31" t="str"/>
    </x:row>
    <x:row r="1416" ht="42" customHeight="1">
      <x:c r="A1416" s="35" t="n">
        <x:v>1414</x:v>
      </x:c>
      <x:c r="B1416" s="31" t="str">
        <x:f>IF('Execution Checklist'!Q1416="","",'Execution Checklist'!Q1416)</x:f>
      </x:c>
      <x:c r="C1416" s="31" t="str">
        <x:v>Place the closed white cup in the bowl.</x:v>
      </x:c>
      <x:c r="D1416" s="31" t="str">
        <x:v>white cup A</x:v>
      </x:c>
      <x:c r="E1416" s="31" t="str">
        <x:v>Binary task success; paired with the main matched-control row.</x:v>
      </x:c>
      <x:c r="F1416" s="31"/>
      <x:c r="G1416" s="31"/>
      <x:c r="H1416" s="31" t="str">
        <x:f>IF(OR(F1416="",G1416=""),"",IF(F1416=G1416,"Agree","Disagree"))</x:f>
      </x:c>
      <x:c r="I1416" s="31"/>
      <x:c r="J1416" s="31" t="str">
        <x:v>No</x:v>
      </x:c>
      <x:c r="K1416" s="31" t="str"/>
      <x:c r="L1416" s="31" t="str"/>
      <x:c r="M1416" s="31" t="str"/>
      <x:c r="N1416" s="31" t="str"/>
    </x:row>
    <x:row r="1417" ht="42" customHeight="1">
      <x:c r="A1417" s="35" t="n">
        <x:v>1415</x:v>
      </x:c>
      <x:c r="B1417" s="31" t="str">
        <x:f>IF('Execution Checklist'!Q1417="","",'Execution Checklist'!Q1417)</x:f>
      </x:c>
      <x:c r="C1417" s="31" t="str">
        <x:v>Put the open white cup in the bowl.</x:v>
      </x:c>
      <x:c r="D1417" s="31" t="str">
        <x:v>white cup B</x:v>
      </x:c>
      <x:c r="E1417" s="31" t="str">
        <x:v>Binary task success; compare with the seen-language row sharing Pair ID.</x:v>
      </x:c>
      <x:c r="F1417" s="31"/>
      <x:c r="G1417" s="31"/>
      <x:c r="H1417" s="31" t="str">
        <x:f>IF(OR(F1417="",G1417=""),"",IF(F1417=G1417,"Agree","Disagree"))</x:f>
      </x:c>
      <x:c r="I1417" s="31"/>
      <x:c r="J1417" s="31" t="str">
        <x:v>No</x:v>
      </x:c>
      <x:c r="K1417" s="31" t="str"/>
      <x:c r="L1417" s="31" t="str"/>
      <x:c r="M1417" s="31" t="str"/>
      <x:c r="N1417" s="31" t="str"/>
    </x:row>
    <x:row r="1418" ht="42" customHeight="1">
      <x:c r="A1418" s="35" t="n">
        <x:v>1416</x:v>
      </x:c>
      <x:c r="B1418" s="31" t="str">
        <x:f>IF('Execution Checklist'!Q1418="","",'Execution Checklist'!Q1418)</x:f>
      </x:c>
      <x:c r="C1418" s="31" t="str">
        <x:v>Place the open brown cup in the bowl.</x:v>
      </x:c>
      <x:c r="D1418" s="31" t="str">
        <x:v>brown cup B</x:v>
      </x:c>
      <x:c r="E1418" s="31" t="str">
        <x:v>Binary success for the counterfactual instruction and paired action-switch analysis versus the parent.</x:v>
      </x:c>
      <x:c r="F1418" s="31"/>
      <x:c r="G1418" s="31"/>
      <x:c r="H1418" s="31" t="str">
        <x:f>IF(OR(F1418="",G1418=""),"",IF(F1418=G1418,"Agree","Disagree"))</x:f>
      </x:c>
      <x:c r="I1418" s="31"/>
      <x:c r="J1418" s="31" t="str">
        <x:v>No</x:v>
      </x:c>
      <x:c r="K1418" s="31" t="str"/>
      <x:c r="L1418" s="31" t="str"/>
      <x:c r="M1418" s="31" t="str"/>
      <x:c r="N1418" s="31" t="str"/>
    </x:row>
    <x:row r="1419" ht="42" customHeight="1">
      <x:c r="A1419" s="35" t="n">
        <x:v>1417</x:v>
      </x:c>
      <x:c r="B1419" s="31" t="str">
        <x:f>IF('Execution Checklist'!Q1419="","",'Execution Checklist'!Q1419)</x:f>
      </x:c>
      <x:c r="C1419" s="31" t="str">
        <x:v>Place the closed white cup in the bowl.</x:v>
      </x:c>
      <x:c r="D1419" s="31" t="str">
        <x:v>No prespecified task success under blank language; record any action/selected target.</x:v>
      </x:c>
      <x:c r="E1419" s="31" t="str">
        <x:v>Do not score ordinary task success. Record action occurrence and agreement with the parent correct-prompt rollout.</x:v>
      </x:c>
      <x:c r="F1419" s="31"/>
      <x:c r="G1419" s="31"/>
      <x:c r="H1419" s="31" t="str">
        <x:f>IF(OR(F1419="",G1419=""),"",IF(F1419=G1419,"Agree","Disagree"))</x:f>
      </x:c>
      <x:c r="I1419" s="31"/>
      <x:c r="J1419" s="31" t="str">
        <x:v>No</x:v>
      </x:c>
      <x:c r="K1419" s="31" t="str"/>
      <x:c r="L1419" s="31" t="str"/>
      <x:c r="M1419" s="31" t="str"/>
      <x:c r="N1419" s="31" t="str"/>
    </x:row>
    <x:row r="1420" ht="42" customHeight="1">
      <x:c r="A1420" s="35" t="n">
        <x:v>1418</x:v>
      </x:c>
      <x:c r="B1420" s="31" t="str">
        <x:f>IF('Execution Checklist'!Q1420="","",'Execution Checklist'!Q1420)</x:f>
      </x:c>
      <x:c r="C1420" s="31" t="str">
        <x:v>Place the open yellow-white striped cup in the bowl.</x:v>
      </x:c>
      <x:c r="D1420" s="31" t="str">
        <x:v>yellow-white striped cup B</x:v>
      </x:c>
      <x:c r="E1420" s="31" t="str">
        <x:v>Binary success for the counterfactual instruction and paired action-switch analysis versus the parent.</x:v>
      </x:c>
      <x:c r="F1420" s="31"/>
      <x:c r="G1420" s="31"/>
      <x:c r="H1420" s="31" t="str">
        <x:f>IF(OR(F1420="",G1420=""),"",IF(F1420=G1420,"Agree","Disagree"))</x:f>
      </x:c>
      <x:c r="I1420" s="31"/>
      <x:c r="J1420" s="31" t="str">
        <x:v>No</x:v>
      </x:c>
      <x:c r="K1420" s="31" t="str"/>
      <x:c r="L1420" s="31" t="str"/>
      <x:c r="M1420" s="31" t="str"/>
      <x:c r="N1420" s="31" t="str"/>
    </x:row>
    <x:row r="1421" ht="42" customHeight="1">
      <x:c r="A1421" s="35" t="n">
        <x:v>1419</x:v>
      </x:c>
      <x:c r="B1421" s="31" t="str">
        <x:f>IF('Execution Checklist'!Q1421="","",'Execution Checklist'!Q1421)</x:f>
      </x:c>
      <x:c r="C1421" s="31" t="str">
        <x:v>Place the closed white cup in the bowl.</x:v>
      </x:c>
      <x:c r="D1421" s="31" t="str">
        <x:v>white cup A</x:v>
      </x:c>
      <x:c r="E1421" s="31" t="str">
        <x:v>Binary task success; paired with the main matched-control row.</x:v>
      </x:c>
      <x:c r="F1421" s="31"/>
      <x:c r="G1421" s="31"/>
      <x:c r="H1421" s="31" t="str">
        <x:f>IF(OR(F1421="",G1421=""),"",IF(F1421=G1421,"Agree","Disagree"))</x:f>
      </x:c>
      <x:c r="I1421" s="31"/>
      <x:c r="J1421" s="31" t="str">
        <x:v>No</x:v>
      </x:c>
      <x:c r="K1421" s="31" t="str"/>
      <x:c r="L1421" s="31" t="str"/>
      <x:c r="M1421" s="31" t="str"/>
      <x:c r="N1421" s="31" t="str"/>
    </x:row>
    <x:row r="1422" ht="42" customHeight="1">
      <x:c r="A1422" s="35" t="n">
        <x:v>1420</x:v>
      </x:c>
      <x:c r="B1422" s="31" t="str">
        <x:f>IF('Execution Checklist'!Q1422="","",'Execution Checklist'!Q1422)</x:f>
      </x:c>
      <x:c r="C1422" s="31" t="str">
        <x:v>Place the upside-down white cup in the bowl.</x:v>
      </x:c>
      <x:c r="D1422" s="31" t="str">
        <x:v>white cup A</x:v>
      </x:c>
      <x:c r="E1422" s="31" t="str">
        <x:v>Binary task success using the task-specific rubric.</x:v>
      </x:c>
      <x:c r="F1422" s="31"/>
      <x:c r="G1422" s="31"/>
      <x:c r="H1422" s="31" t="str">
        <x:f>IF(OR(F1422="",G1422=""),"",IF(F1422=G1422,"Agree","Disagree"))</x:f>
      </x:c>
      <x:c r="I1422" s="31"/>
      <x:c r="J1422" s="31" t="str">
        <x:v>No</x:v>
      </x:c>
      <x:c r="K1422" s="31" t="str"/>
      <x:c r="L1422" s="31" t="str"/>
      <x:c r="M1422" s="31" t="str"/>
      <x:c r="N1422" s="31" t="str"/>
    </x:row>
    <x:row r="1423" ht="42" customHeight="1">
      <x:c r="A1423" s="35" t="n">
        <x:v>1421</x:v>
      </x:c>
      <x:c r="B1423" s="31" t="str">
        <x:f>IF('Execution Checklist'!Q1423="","",'Execution Checklist'!Q1423)</x:f>
      </x:c>
      <x:c r="C1423" s="31" t="str">
        <x:v>Place the upright white cup in the bowl.</x:v>
      </x:c>
      <x:c r="D1423" s="31" t="str">
        <x:v>white cup B</x:v>
      </x:c>
      <x:c r="E1423" s="31" t="str">
        <x:v>Binary task success; paired with the main matched-control row.</x:v>
      </x:c>
      <x:c r="F1423" s="31"/>
      <x:c r="G1423" s="31"/>
      <x:c r="H1423" s="31" t="str">
        <x:f>IF(OR(F1423="",G1423=""),"",IF(F1423=G1423,"Agree","Disagree"))</x:f>
      </x:c>
      <x:c r="I1423" s="31"/>
      <x:c r="J1423" s="31" t="str">
        <x:v>No</x:v>
      </x:c>
      <x:c r="K1423" s="31" t="str"/>
      <x:c r="L1423" s="31" t="str"/>
      <x:c r="M1423" s="31" t="str"/>
      <x:c r="N1423" s="31" t="str"/>
    </x:row>
    <x:row r="1424" ht="42" customHeight="1">
      <x:c r="A1424" s="35" t="n">
        <x:v>1422</x:v>
      </x:c>
      <x:c r="B1424" s="31" t="str">
        <x:f>IF('Execution Checklist'!Q1424="","",'Execution Checklist'!Q1424)</x:f>
      </x:c>
      <x:c r="C1424" s="31" t="str">
        <x:v>Place the upright brown cup in the bowl.</x:v>
      </x:c>
      <x:c r="D1424" s="31" t="str">
        <x:v>brown cup B</x:v>
      </x:c>
      <x:c r="E1424" s="31" t="str">
        <x:v>Binary task success; paired with the main matched-control row.</x:v>
      </x:c>
      <x:c r="F1424" s="31"/>
      <x:c r="G1424" s="31"/>
      <x:c r="H1424" s="31" t="str">
        <x:f>IF(OR(F1424="",G1424=""),"",IF(F1424=G1424,"Agree","Disagree"))</x:f>
      </x:c>
      <x:c r="I1424" s="31"/>
      <x:c r="J1424" s="31" t="str">
        <x:v>No</x:v>
      </x:c>
      <x:c r="K1424" s="31" t="str"/>
      <x:c r="L1424" s="31" t="str"/>
      <x:c r="M1424" s="31" t="str"/>
      <x:c r="N1424" s="31" t="str"/>
    </x:row>
    <x:row r="1425" ht="42" customHeight="1">
      <x:c r="A1425" s="35" t="n">
        <x:v>1423</x:v>
      </x:c>
      <x:c r="B1425" s="31" t="str">
        <x:f>IF('Execution Checklist'!Q1425="","",'Execution Checklist'!Q1425)</x:f>
      </x:c>
      <x:c r="C1425" s="31" t="str">
        <x:v>Place a yellow-white striped cup in the bowl.</x:v>
      </x:c>
      <x:c r="D1425" s="31" t="str">
        <x:v>yellow-white striped cup A</x:v>
      </x:c>
      <x:c r="E1425" s="31" t="str">
        <x:v>Binary task success; paired with the main transfer row.</x:v>
      </x:c>
      <x:c r="F1425" s="31"/>
      <x:c r="G1425" s="31"/>
      <x:c r="H1425" s="31" t="str">
        <x:f>IF(OR(F1425="",G1425=""),"",IF(F1425=G1425,"Agree","Disagree"))</x:f>
      </x:c>
      <x:c r="I1425" s="31"/>
      <x:c r="J1425" s="31" t="str">
        <x:v>No</x:v>
      </x:c>
      <x:c r="K1425" s="31" t="str"/>
      <x:c r="L1425" s="31" t="str"/>
      <x:c r="M1425" s="31" t="str"/>
      <x:c r="N1425" s="31" t="str"/>
    </x:row>
    <x:row r="1426" ht="42" customHeight="1">
      <x:c r="A1426" s="35" t="n">
        <x:v>1424</x:v>
      </x:c>
      <x:c r="B1426" s="31" t="str">
        <x:f>IF('Execution Checklist'!Q1426="","",'Execution Checklist'!Q1426)</x:f>
      </x:c>
      <x:c r="C1426" s="31" t="str">
        <x:v>Put a yellow-white striped cup in the bowl.</x:v>
      </x:c>
      <x:c r="D1426" s="31" t="str">
        <x:v>yellow-white striped cup A</x:v>
      </x:c>
      <x:c r="E1426" s="31" t="str">
        <x:v>Binary task success using the task-specific rubric.</x:v>
      </x:c>
      <x:c r="F1426" s="31"/>
      <x:c r="G1426" s="31"/>
      <x:c r="H1426" s="31" t="str">
        <x:f>IF(OR(F1426="",G1426=""),"",IF(F1426=G1426,"Agree","Disagree"))</x:f>
      </x:c>
      <x:c r="I1426" s="31"/>
      <x:c r="J1426" s="31" t="str">
        <x:v>No</x:v>
      </x:c>
      <x:c r="K1426" s="31" t="str"/>
      <x:c r="L1426" s="31" t="str"/>
      <x:c r="M1426" s="31" t="str"/>
      <x:c r="N1426" s="31" t="str"/>
    </x:row>
    <x:row r="1427" ht="42" customHeight="1">
      <x:c r="A1427" s="35" t="n">
        <x:v>1425</x:v>
      </x:c>
      <x:c r="B1427" s="31" t="str">
        <x:f>IF('Execution Checklist'!Q1427="","",'Execution Checklist'!Q1427)</x:f>
      </x:c>
      <x:c r="C1427" s="31" t="str">
        <x:v>Place the upright brown cup in the bowl.</x:v>
      </x:c>
      <x:c r="D1427" s="31" t="str">
        <x:v>brown cup B</x:v>
      </x:c>
      <x:c r="E1427" s="31" t="str">
        <x:v>Binary task success; paired with the main matched-control row.</x:v>
      </x:c>
      <x:c r="F1427" s="31"/>
      <x:c r="G1427" s="31"/>
      <x:c r="H1427" s="31" t="str">
        <x:f>IF(OR(F1427="",G1427=""),"",IF(F1427=G1427,"Agree","Disagree"))</x:f>
      </x:c>
      <x:c r="I1427" s="31"/>
      <x:c r="J1427" s="31" t="str">
        <x:v>No</x:v>
      </x:c>
      <x:c r="K1427" s="31" t="str"/>
      <x:c r="L1427" s="31" t="str"/>
      <x:c r="M1427" s="31" t="str"/>
      <x:c r="N1427" s="31" t="str"/>
    </x:row>
    <x:row r="1428" ht="42" customHeight="1">
      <x:c r="A1428" s="35" t="n">
        <x:v>1426</x:v>
      </x:c>
      <x:c r="B1428" s="31" t="str">
        <x:f>IF('Execution Checklist'!Q1428="","",'Execution Checklist'!Q1428)</x:f>
      </x:c>
      <x:c r="C1428" s="31" t="str">
        <x:v>Move the red block to the side of the pink marker facing the robot.</x:v>
      </x:c>
      <x:c r="D1428" s="31" t="str">
        <x:v>red block</x:v>
      </x:c>
      <x:c r="E1428" s="31" t="str">
        <x:v>Binary task success; compare with the seen-language row sharing Pair ID.</x:v>
      </x:c>
      <x:c r="F1428" s="31"/>
      <x:c r="G1428" s="31"/>
      <x:c r="H1428" s="31" t="str">
        <x:f>IF(OR(F1428="",G1428=""),"",IF(F1428=G1428,"Agree","Disagree"))</x:f>
      </x:c>
      <x:c r="I1428" s="31"/>
      <x:c r="J1428" s="31" t="str">
        <x:v>No</x:v>
      </x:c>
      <x:c r="K1428" s="31" t="str"/>
      <x:c r="L1428" s="31" t="str"/>
      <x:c r="M1428" s="31" t="str"/>
      <x:c r="N1428" s="31" t="str"/>
    </x:row>
    <x:row r="1429" ht="42" customHeight="1">
      <x:c r="A1429" s="35" t="n">
        <x:v>1427</x:v>
      </x:c>
      <x:c r="B1429" s="31" t="str">
        <x:f>IF('Execution Checklist'!Q1429="","",'Execution Checklist'!Q1429)</x:f>
      </x:c>
      <x:c r="C1429" s="31" t="str">
        <x:v>Place the red block beside the green pen.</x:v>
      </x:c>
      <x:c r="D1429" s="31" t="str">
        <x:v>red block near green pen</x:v>
      </x:c>
      <x:c r="E1429" s="31" t="str">
        <x:v>Binary task success; paired with the main transfer row.</x:v>
      </x:c>
      <x:c r="F1429" s="31"/>
      <x:c r="G1429" s="31"/>
      <x:c r="H1429" s="31" t="str">
        <x:f>IF(OR(F1429="",G1429=""),"",IF(F1429=G1429,"Agree","Disagree"))</x:f>
      </x:c>
      <x:c r="I1429" s="31"/>
      <x:c r="J1429" s="31" t="str">
        <x:v>No</x:v>
      </x:c>
      <x:c r="K1429" s="31" t="str"/>
      <x:c r="L1429" s="31" t="str"/>
      <x:c r="M1429" s="31" t="str"/>
      <x:c r="N1429" s="31" t="str"/>
    </x:row>
    <x:row r="1430" ht="42" customHeight="1">
      <x:c r="A1430" s="35" t="n">
        <x:v>1428</x:v>
      </x:c>
      <x:c r="B1430" s="31" t="str">
        <x:f>IF('Execution Checklist'!Q1430="","",'Execution Checklist'!Q1430)</x:f>
      </x:c>
      <x:c r="C1430" s="31" t="str">
        <x:v>Place the green pen to the right of the red block.</x:v>
      </x:c>
      <x:c r="D1430" s="31" t="str">
        <x:v>green pen → to the right of red block</x:v>
      </x:c>
      <x:c r="E1430" s="31" t="str">
        <x:v>Binary task success; paired with the main matched-control row.</x:v>
      </x:c>
      <x:c r="F1430" s="31"/>
      <x:c r="G1430" s="31"/>
      <x:c r="H1430" s="31" t="str">
        <x:f>IF(OR(F1430="",G1430=""),"",IF(F1430=G1430,"Agree","Disagree"))</x:f>
      </x:c>
      <x:c r="I1430" s="31"/>
      <x:c r="J1430" s="31" t="str">
        <x:v>No</x:v>
      </x:c>
      <x:c r="K1430" s="31" t="str"/>
      <x:c r="L1430" s="31" t="str"/>
      <x:c r="M1430" s="31" t="str"/>
      <x:c r="N1430" s="31" t="str"/>
    </x:row>
    <x:row r="1431" ht="42" customHeight="1">
      <x:c r="A1431" s="35" t="n">
        <x:v>1429</x:v>
      </x:c>
      <x:c r="B1431" s="31" t="str">
        <x:f>IF('Execution Checklist'!Q1431="","",'Execution Checklist'!Q1431)</x:f>
      </x:c>
      <x:c r="C1431" s="31" t="str">
        <x:v>Place the green pen behind the red block.</x:v>
      </x:c>
      <x:c r="D1431" s="31" t="str">
        <x:v>green pen → behind red block</x:v>
      </x:c>
      <x:c r="E1431" s="31" t="str">
        <x:v>Binary task success; paired with the main matched-control row.</x:v>
      </x:c>
      <x:c r="F1431" s="31"/>
      <x:c r="G1431" s="31"/>
      <x:c r="H1431" s="31" t="str">
        <x:f>IF(OR(F1431="",G1431=""),"",IF(F1431=G1431,"Agree","Disagree"))</x:f>
      </x:c>
      <x:c r="I1431" s="31"/>
      <x:c r="J1431" s="31" t="str">
        <x:v>No</x:v>
      </x:c>
      <x:c r="K1431" s="31" t="str"/>
      <x:c r="L1431" s="31" t="str"/>
      <x:c r="M1431" s="31" t="str"/>
      <x:c r="N1431" s="31" t="str"/>
    </x:row>
    <x:row r="1432" ht="42" customHeight="1">
      <x:c r="A1432" s="35" t="n">
        <x:v>1430</x:v>
      </x:c>
      <x:c r="B1432" s="31" t="str">
        <x:f>IF('Execution Checklist'!Q1432="","",'Execution Checklist'!Q1432)</x:f>
      </x:c>
      <x:c r="C1432" s="31" t="str">
        <x:v>Place the green pen to the right of the red block.</x:v>
      </x:c>
      <x:c r="D1432" s="31" t="str">
        <x:v>green pen → to the right of red block</x:v>
      </x:c>
      <x:c r="E1432" s="31" t="str">
        <x:v>Binary success for the counterfactual instruction and paired action-switch analysis versus the parent.</x:v>
      </x:c>
      <x:c r="F1432" s="31"/>
      <x:c r="G1432" s="31"/>
      <x:c r="H1432" s="31" t="str">
        <x:f>IF(OR(F1432="",G1432=""),"",IF(F1432=G1432,"Agree","Disagree"))</x:f>
      </x:c>
      <x:c r="I1432" s="31"/>
      <x:c r="J1432" s="31" t="str">
        <x:v>No</x:v>
      </x:c>
      <x:c r="K1432" s="31" t="str"/>
      <x:c r="L1432" s="31" t="str"/>
      <x:c r="M1432" s="31" t="str"/>
      <x:c r="N1432" s="31" t="str"/>
    </x:row>
    <x:row r="1433" ht="42" customHeight="1">
      <x:c r="A1433" s="35" t="n">
        <x:v>1431</x:v>
      </x:c>
      <x:c r="B1433" s="31" t="str">
        <x:f>IF('Execution Checklist'!Q1433="","",'Execution Checklist'!Q1433)</x:f>
      </x:c>
      <x:c r="C1433" s="31" t="str">
        <x:v>Move the red block to the side of the pink marker facing the robot.</x:v>
      </x:c>
      <x:c r="D1433" s="31" t="str">
        <x:v>red block</x:v>
      </x:c>
      <x:c r="E1433" s="31" t="str">
        <x:v>Binary task success; compare with the seen-language row sharing Pair ID.</x:v>
      </x:c>
      <x:c r="F1433" s="31"/>
      <x:c r="G1433" s="31"/>
      <x:c r="H1433" s="31" t="str">
        <x:f>IF(OR(F1433="",G1433=""),"",IF(F1433=G1433,"Agree","Disagree"))</x:f>
      </x:c>
      <x:c r="I1433" s="31"/>
      <x:c r="J1433" s="31" t="str">
        <x:v>No</x:v>
      </x:c>
      <x:c r="K1433" s="31" t="str"/>
      <x:c r="L1433" s="31" t="str"/>
      <x:c r="M1433" s="31" t="str"/>
      <x:c r="N1433" s="31" t="str"/>
    </x:row>
    <x:row r="1434" ht="42" customHeight="1">
      <x:c r="A1434" s="35" t="n">
        <x:v>1432</x:v>
      </x:c>
      <x:c r="B1434" s="31" t="str">
        <x:f>IF('Execution Checklist'!Q1434="","",'Execution Checklist'!Q1434)</x:f>
      </x:c>
      <x:c r="C1434" s="31" t="str">
        <x:v>Place the green pen near the red block.</x:v>
      </x:c>
      <x:c r="D1434" s="31" t="str">
        <x:v>green pen near red block</x:v>
      </x:c>
      <x:c r="E1434" s="31" t="str">
        <x:v>Binary task success; paired with the main transfer row.</x:v>
      </x:c>
      <x:c r="F1434" s="31"/>
      <x:c r="G1434" s="31"/>
      <x:c r="H1434" s="31" t="str">
        <x:f>IF(OR(F1434="",G1434=""),"",IF(F1434=G1434,"Agree","Disagree"))</x:f>
      </x:c>
      <x:c r="I1434" s="31"/>
      <x:c r="J1434" s="31" t="str">
        <x:v>No</x:v>
      </x:c>
      <x:c r="K1434" s="31" t="str"/>
      <x:c r="L1434" s="31" t="str"/>
      <x:c r="M1434" s="31" t="str"/>
      <x:c r="N1434" s="31" t="str"/>
    </x:row>
    <x:row r="1435" ht="42" customHeight="1">
      <x:c r="A1435" s="35" t="n">
        <x:v>1433</x:v>
      </x:c>
      <x:c r="B1435" s="31" t="str">
        <x:f>IF('Execution Checklist'!Q1435="","",'Execution Checklist'!Q1435)</x:f>
      </x:c>
      <x:c r="C1435" s="31" t="str">
        <x:v>Place the red block to the right of the green pen.</x:v>
      </x:c>
      <x:c r="D1435" s="31" t="str">
        <x:v>red block → to the right of green pen</x:v>
      </x:c>
      <x:c r="E1435" s="31" t="str">
        <x:v>Binary task success; paired with the main matched-control row.</x:v>
      </x:c>
      <x:c r="F1435" s="31"/>
      <x:c r="G1435" s="31"/>
      <x:c r="H1435" s="31" t="str">
        <x:f>IF(OR(F1435="",G1435=""),"",IF(F1435=G1435,"Agree","Disagree"))</x:f>
      </x:c>
      <x:c r="I1435" s="31"/>
      <x:c r="J1435" s="31" t="str">
        <x:v>No</x:v>
      </x:c>
      <x:c r="K1435" s="31" t="str"/>
      <x:c r="L1435" s="31" t="str"/>
      <x:c r="M1435" s="31" t="str"/>
      <x:c r="N1435" s="31" t="str"/>
    </x:row>
    <x:row r="1436" ht="42" customHeight="1">
      <x:c r="A1436" s="35" t="n">
        <x:v>1434</x:v>
      </x:c>
      <x:c r="B1436" s="31" t="str">
        <x:f>IF('Execution Checklist'!Q1436="","",'Execution Checklist'!Q1436)</x:f>
      </x:c>
      <x:c r="C1436" s="31" t="str">
        <x:v>Move the red block to the side of the pink marker facing the robot.</x:v>
      </x:c>
      <x:c r="D1436" s="31" t="str">
        <x:v>red block</x:v>
      </x:c>
      <x:c r="E1436" s="31" t="str">
        <x:v>Binary task success; compare with the seen-language row sharing Pair ID.</x:v>
      </x:c>
      <x:c r="F1436" s="31"/>
      <x:c r="G1436" s="31"/>
      <x:c r="H1436" s="31" t="str">
        <x:f>IF(OR(F1436="",G1436=""),"",IF(F1436=G1436,"Agree","Disagree"))</x:f>
      </x:c>
      <x:c r="I1436" s="31"/>
      <x:c r="J1436" s="31" t="str">
        <x:v>No</x:v>
      </x:c>
      <x:c r="K1436" s="31" t="str"/>
      <x:c r="L1436" s="31" t="str"/>
      <x:c r="M1436" s="31" t="str"/>
      <x:c r="N1436" s="31" t="str"/>
    </x:row>
    <x:row r="1437" ht="42" customHeight="1">
      <x:c r="A1437" s="35" t="n">
        <x:v>1435</x:v>
      </x:c>
      <x:c r="B1437" s="31" t="str">
        <x:f>IF('Execution Checklist'!Q1437="","",'Execution Checklist'!Q1437)</x:f>
      </x:c>
      <x:c r="C1437" s="31" t="str">
        <x:v>Place the red block beside the green pen.</x:v>
      </x:c>
      <x:c r="D1437" s="31" t="str">
        <x:v>red block near green pen</x:v>
      </x:c>
      <x:c r="E1437" s="31" t="str">
        <x:v>Binary task success; paired with the main transfer row.</x:v>
      </x:c>
      <x:c r="F1437" s="31"/>
      <x:c r="G1437" s="31"/>
      <x:c r="H1437" s="31" t="str">
        <x:f>IF(OR(F1437="",G1437=""),"",IF(F1437=G1437,"Agree","Disagree"))</x:f>
      </x:c>
      <x:c r="I1437" s="31"/>
      <x:c r="J1437" s="31" t="str">
        <x:v>No</x:v>
      </x:c>
      <x:c r="K1437" s="31" t="str"/>
      <x:c r="L1437" s="31" t="str"/>
      <x:c r="M1437" s="31" t="str"/>
      <x:c r="N1437" s="31" t="str"/>
    </x:row>
    <x:row r="1438" ht="42" customHeight="1">
      <x:c r="A1438" s="35" t="n">
        <x:v>1436</x:v>
      </x:c>
      <x:c r="B1438" s="31" t="str">
        <x:f>IF('Execution Checklist'!Q1438="","",'Execution Checklist'!Q1438)</x:f>
      </x:c>
      <x:c r="C1438" s="31" t="str">
        <x:v>Place the blue block in front of the green pen.</x:v>
      </x:c>
      <x:c r="D1438" s="31" t="str">
        <x:v>blue block</x:v>
      </x:c>
      <x:c r="E1438" s="31" t="str">
        <x:v>Binary task success using the task-specific rubric.</x:v>
      </x:c>
      <x:c r="F1438" s="31"/>
      <x:c r="G1438" s="31"/>
      <x:c r="H1438" s="31" t="str">
        <x:f>IF(OR(F1438="",G1438=""),"",IF(F1438=G1438,"Agree","Disagree"))</x:f>
      </x:c>
      <x:c r="I1438" s="31"/>
      <x:c r="J1438" s="31" t="str">
        <x:v>No</x:v>
      </x:c>
      <x:c r="K1438" s="31" t="str"/>
      <x:c r="L1438" s="31" t="str"/>
      <x:c r="M1438" s="31" t="str"/>
      <x:c r="N1438" s="31" t="str"/>
    </x:row>
    <x:row r="1439" ht="42" customHeight="1">
      <x:c r="A1439" s="35" t="n">
        <x:v>1437</x:v>
      </x:c>
      <x:c r="B1439" s="31" t="str">
        <x:f>IF('Execution Checklist'!Q1439="","",'Execution Checklist'!Q1439)</x:f>
      </x:c>
      <x:c r="C1439" s="31" t="str">
        <x:v>Place the green pen to the left of the red block.</x:v>
      </x:c>
      <x:c r="D1439" s="31" t="str">
        <x:v>green pen → to the left of red block</x:v>
      </x:c>
      <x:c r="E1439" s="31" t="str">
        <x:v>Binary task success; paired with the main matched-control row.</x:v>
      </x:c>
      <x:c r="F1439" s="31"/>
      <x:c r="G1439" s="31"/>
      <x:c r="H1439" s="31" t="str">
        <x:f>IF(OR(F1439="",G1439=""),"",IF(F1439=G1439,"Agree","Disagree"))</x:f>
      </x:c>
      <x:c r="I1439" s="31"/>
      <x:c r="J1439" s="31" t="str">
        <x:v>No</x:v>
      </x:c>
      <x:c r="K1439" s="31" t="str"/>
      <x:c r="L1439" s="31" t="str"/>
      <x:c r="M1439" s="31" t="str"/>
      <x:c r="N1439" s="31" t="str"/>
    </x:row>
    <x:row r="1440" ht="42" customHeight="1">
      <x:c r="A1440" s="35" t="n">
        <x:v>1438</x:v>
      </x:c>
      <x:c r="B1440" s="31" t="str">
        <x:f>IF('Execution Checklist'!Q1440="","",'Execution Checklist'!Q1440)</x:f>
      </x:c>
      <x:c r="C1440" s="31" t="str">
        <x:v>Place the red block near the green pen.</x:v>
      </x:c>
      <x:c r="D1440" s="31" t="str">
        <x:v>red block near green pen</x:v>
      </x:c>
      <x:c r="E1440" s="31" t="str">
        <x:v>Binary task success; paired with the main transfer row.</x:v>
      </x:c>
      <x:c r="F1440" s="31"/>
      <x:c r="G1440" s="31"/>
      <x:c r="H1440" s="31" t="str">
        <x:f>IF(OR(F1440="",G1440=""),"",IF(F1440=G1440,"Agree","Disagree"))</x:f>
      </x:c>
      <x:c r="I1440" s="31"/>
      <x:c r="J1440" s="31" t="str">
        <x:v>No</x:v>
      </x:c>
      <x:c r="K1440" s="31" t="str"/>
      <x:c r="L1440" s="31" t="str"/>
      <x:c r="M1440" s="31" t="str"/>
      <x:c r="N1440" s="31" t="str"/>
    </x:row>
    <x:row r="1441" ht="42" customHeight="1">
      <x:c r="A1441" s="35" t="n">
        <x:v>1439</x:v>
      </x:c>
      <x:c r="B1441" s="31" t="str">
        <x:f>IF('Execution Checklist'!Q1441="","",'Execution Checklist'!Q1441)</x:f>
      </x:c>
      <x:c r="C1441" s="31" t="str">
        <x:v>Place the red block behind the green pen.</x:v>
      </x:c>
      <x:c r="D1441" s="31" t="str">
        <x:v>red block → behind green pen</x:v>
      </x:c>
      <x:c r="E1441" s="31" t="str">
        <x:v>Binary task success; paired with the main matched-control row.</x:v>
      </x:c>
      <x:c r="F1441" s="31"/>
      <x:c r="G1441" s="31"/>
      <x:c r="H1441" s="31" t="str">
        <x:f>IF(OR(F1441="",G1441=""),"",IF(F1441=G1441,"Agree","Disagree"))</x:f>
      </x:c>
      <x:c r="I1441" s="31"/>
      <x:c r="J1441" s="31" t="str">
        <x:v>No</x:v>
      </x:c>
      <x:c r="K1441" s="31" t="str"/>
      <x:c r="L1441" s="31" t="str"/>
      <x:c r="M1441" s="31" t="str"/>
      <x:c r="N1441" s="31" t="str"/>
    </x:row>
    <x:row r="1442" ht="42" customHeight="1">
      <x:c r="A1442" s="35" t="n">
        <x:v>1440</x:v>
      </x:c>
      <x:c r="B1442" s="31" t="str">
        <x:f>IF('Execution Checklist'!Q1442="","",'Execution Checklist'!Q1442)</x:f>
      </x:c>
      <x:c r="C1442" s="31" t="str">
        <x:v>Move the green pen to the front of the pink marker.</x:v>
      </x:c>
      <x:c r="D1442" s="31" t="str">
        <x:v>green pen</x:v>
      </x:c>
      <x:c r="E1442" s="31" t="str">
        <x:v>Binary task success using the task-specific rubric.</x:v>
      </x:c>
      <x:c r="F1442" s="31"/>
      <x:c r="G1442" s="31"/>
      <x:c r="H1442" s="31" t="str">
        <x:f>IF(OR(F1442="",G1442=""),"",IF(F1442=G1442,"Agree","Disagree"))</x:f>
      </x:c>
      <x:c r="I1442" s="31"/>
      <x:c r="J1442" s="31" t="str">
        <x:v>No</x:v>
      </x:c>
      <x:c r="K1442" s="31" t="str"/>
      <x:c r="L1442" s="31" t="str"/>
      <x:c r="M1442" s="31" t="str"/>
      <x:c r="N1442" s="31" t="str"/>
    </x:row>
    <x:row r="1443" ht="42" customHeight="1">
      <x:c r="A1443" s="35" t="n">
        <x:v>1441</x:v>
      </x:c>
      <x:c r="B1443" s="31" t="str">
        <x:f>IF('Execution Checklist'!Q1443="","",'Execution Checklist'!Q1443)</x:f>
      </x:c>
      <x:c r="C1443" s="31" t="str">
        <x:v>Place the green pen near the red block.</x:v>
      </x:c>
      <x:c r="D1443" s="31" t="str">
        <x:v>green pen near red block</x:v>
      </x:c>
      <x:c r="E1443" s="31" t="str">
        <x:v>Binary task success; paired with the main transfer row.</x:v>
      </x:c>
      <x:c r="F1443" s="31"/>
      <x:c r="G1443" s="31"/>
      <x:c r="H1443" s="31" t="str">
        <x:f>IF(OR(F1443="",G1443=""),"",IF(F1443=G1443,"Agree","Disagree"))</x:f>
      </x:c>
      <x:c r="I1443" s="31"/>
      <x:c r="J1443" s="31" t="str">
        <x:v>No</x:v>
      </x:c>
      <x:c r="K1443" s="31" t="str"/>
      <x:c r="L1443" s="31" t="str"/>
      <x:c r="M1443" s="31" t="str"/>
      <x:c r="N1443" s="31" t="str"/>
    </x:row>
    <x:row r="1444" ht="42" customHeight="1">
      <x:c r="A1444" s="35" t="n">
        <x:v>1442</x:v>
      </x:c>
      <x:c r="B1444" s="31" t="str">
        <x:f>IF('Execution Checklist'!Q1444="","",'Execution Checklist'!Q1444)</x:f>
      </x:c>
      <x:c r="C1444" s="31" t="str">
        <x:v>Place the green pen to the left of the red block.</x:v>
      </x:c>
      <x:c r="D1444" s="31" t="str">
        <x:v>No prespecified task success under blank language; record any action/selected target.</x:v>
      </x:c>
      <x:c r="E1444" s="31" t="str">
        <x:v>Do not score ordinary task success. Record action occurrence and agreement with the parent correct-prompt rollout.</x:v>
      </x:c>
      <x:c r="F1444" s="31"/>
      <x:c r="G1444" s="31"/>
      <x:c r="H1444" s="31" t="str">
        <x:f>IF(OR(F1444="",G1444=""),"",IF(F1444=G1444,"Agree","Disagree"))</x:f>
      </x:c>
      <x:c r="I1444" s="31"/>
      <x:c r="J1444" s="31" t="str">
        <x:v>No</x:v>
      </x:c>
      <x:c r="K1444" s="31" t="str"/>
      <x:c r="L1444" s="31" t="str"/>
      <x:c r="M1444" s="31" t="str"/>
      <x:c r="N1444" s="31" t="str"/>
    </x:row>
    <x:row r="1445" ht="42" customHeight="1">
      <x:c r="A1445" s="35" t="n">
        <x:v>1443</x:v>
      </x:c>
      <x:c r="B1445" s="31" t="str">
        <x:f>IF('Execution Checklist'!Q1445="","",'Execution Checklist'!Q1445)</x:f>
      </x:c>
      <x:c r="C1445" s="31" t="str">
        <x:v>Place the red block to the right of the blue block.</x:v>
      </x:c>
      <x:c r="D1445" s="31" t="str">
        <x:v>red block</x:v>
      </x:c>
      <x:c r="E1445" s="31" t="str">
        <x:v>Binary task success using the task-specific rubric.</x:v>
      </x:c>
      <x:c r="F1445" s="31"/>
      <x:c r="G1445" s="31"/>
      <x:c r="H1445" s="31" t="str">
        <x:f>IF(OR(F1445="",G1445=""),"",IF(F1445=G1445,"Agree","Disagree"))</x:f>
      </x:c>
      <x:c r="I1445" s="31"/>
      <x:c r="J1445" s="31" t="str">
        <x:v>No</x:v>
      </x:c>
      <x:c r="K1445" s="31" t="str"/>
      <x:c r="L1445" s="31" t="str"/>
      <x:c r="M1445" s="31" t="str"/>
      <x:c r="N1445" s="31" t="str"/>
    </x:row>
    <x:row r="1446" ht="42" customHeight="1">
      <x:c r="A1446" s="35" t="n">
        <x:v>1444</x:v>
      </x:c>
      <x:c r="B1446" s="31" t="str">
        <x:f>IF('Execution Checklist'!Q1446="","",'Execution Checklist'!Q1446)</x:f>
      </x:c>
      <x:c r="C1446" s="31" t="str">
        <x:v>Place the green pen behind the red block.</x:v>
      </x:c>
      <x:c r="D1446" s="31" t="str">
        <x:v>green pen → behind red block</x:v>
      </x:c>
      <x:c r="E1446" s="31" t="str">
        <x:v>Binary success for the counterfactual instruction and paired action-switch analysis versus the parent.</x:v>
      </x:c>
      <x:c r="F1446" s="31"/>
      <x:c r="G1446" s="31"/>
      <x:c r="H1446" s="31" t="str">
        <x:f>IF(OR(F1446="",G1446=""),"",IF(F1446=G1446,"Agree","Disagree"))</x:f>
      </x:c>
      <x:c r="I1446" s="31"/>
      <x:c r="J1446" s="31" t="str">
        <x:v>No</x:v>
      </x:c>
      <x:c r="K1446" s="31" t="str"/>
      <x:c r="L1446" s="31" t="str"/>
      <x:c r="M1446" s="31" t="str"/>
      <x:c r="N1446" s="31" t="str"/>
    </x:row>
    <x:row r="1447" ht="42" customHeight="1">
      <x:c r="A1447" s="35" t="n">
        <x:v>1445</x:v>
      </x:c>
      <x:c r="B1447" s="31" t="str">
        <x:f>IF('Execution Checklist'!Q1447="","",'Execution Checklist'!Q1447)</x:f>
      </x:c>
      <x:c r="C1447" s="31" t="str">
        <x:v>Move the red block to the side of the pink marker facing the robot.</x:v>
      </x:c>
      <x:c r="D1447" s="31" t="str">
        <x:v>red block</x:v>
      </x:c>
      <x:c r="E1447" s="31" t="str">
        <x:v>Binary task success; compare with the seen-language row sharing Pair ID.</x:v>
      </x:c>
      <x:c r="F1447" s="31"/>
      <x:c r="G1447" s="31"/>
      <x:c r="H1447" s="31" t="str">
        <x:f>IF(OR(F1447="",G1447=""),"",IF(F1447=G1447,"Agree","Disagree"))</x:f>
      </x:c>
      <x:c r="I1447" s="31"/>
      <x:c r="J1447" s="31" t="str">
        <x:v>No</x:v>
      </x:c>
      <x:c r="K1447" s="31" t="str"/>
      <x:c r="L1447" s="31" t="str"/>
      <x:c r="M1447" s="31" t="str"/>
      <x:c r="N1447" s="31" t="str"/>
    </x:row>
    <x:row r="1448" ht="42" customHeight="1">
      <x:c r="A1448" s="35" t="n">
        <x:v>1446</x:v>
      </x:c>
      <x:c r="B1448" s="31" t="str">
        <x:f>IF('Execution Checklist'!Q1448="","",'Execution Checklist'!Q1448)</x:f>
      </x:c>
      <x:c r="C1448" s="31" t="str">
        <x:v>Place the green pen to the right of the red block.</x:v>
      </x:c>
      <x:c r="D1448" s="31" t="str">
        <x:v>green pen → to the right of red block</x:v>
      </x:c>
      <x:c r="E1448" s="31" t="str">
        <x:v>Binary task success; paired with the main matched-control row.</x:v>
      </x:c>
      <x:c r="F1448" s="31"/>
      <x:c r="G1448" s="31"/>
      <x:c r="H1448" s="31" t="str">
        <x:f>IF(OR(F1448="",G1448=""),"",IF(F1448=G1448,"Agree","Disagree"))</x:f>
      </x:c>
      <x:c r="I1448" s="31"/>
      <x:c r="J1448" s="31" t="str">
        <x:v>No</x:v>
      </x:c>
      <x:c r="K1448" s="31" t="str"/>
      <x:c r="L1448" s="31" t="str"/>
      <x:c r="M1448" s="31" t="str"/>
      <x:c r="N1448" s="31" t="str"/>
    </x:row>
    <x:row r="1449" ht="42" customHeight="1">
      <x:c r="A1449" s="35" t="n">
        <x:v>1447</x:v>
      </x:c>
      <x:c r="B1449" s="31" t="str">
        <x:f>IF('Execution Checklist'!Q1449="","",'Execution Checklist'!Q1449)</x:f>
      </x:c>
      <x:c r="C1449" s="31" t="str">
        <x:v>Place the green pen in front of the red block.</x:v>
      </x:c>
      <x:c r="D1449" s="31" t="str">
        <x:v>No prespecified task success under blank language; record any action/selected target.</x:v>
      </x:c>
      <x:c r="E1449" s="31" t="str">
        <x:v>Do not score ordinary task success. Record action occurrence and agreement with the parent correct-prompt rollout.</x:v>
      </x:c>
      <x:c r="F1449" s="31"/>
      <x:c r="G1449" s="31"/>
      <x:c r="H1449" s="31" t="str">
        <x:f>IF(OR(F1449="",G1449=""),"",IF(F1449=G1449,"Agree","Disagree"))</x:f>
      </x:c>
      <x:c r="I1449" s="31"/>
      <x:c r="J1449" s="31" t="str">
        <x:v>No</x:v>
      </x:c>
      <x:c r="K1449" s="31" t="str"/>
      <x:c r="L1449" s="31" t="str"/>
      <x:c r="M1449" s="31" t="str"/>
      <x:c r="N1449" s="31" t="str"/>
    </x:row>
    <x:row r="1450" ht="42" customHeight="1">
      <x:c r="A1450" s="35" t="n">
        <x:v>1448</x:v>
      </x:c>
      <x:c r="B1450" s="31" t="str">
        <x:f>IF('Execution Checklist'!Q1450="","",'Execution Checklist'!Q1450)</x:f>
      </x:c>
      <x:c r="C1450" s="31" t="str">
        <x:v>Place the green pen to the right of the pink marker.</x:v>
      </x:c>
      <x:c r="D1450" s="31" t="str">
        <x:v>green pen</x:v>
      </x:c>
      <x:c r="E1450" s="31" t="str">
        <x:v>Binary task success using the task-specific rubric.</x:v>
      </x:c>
      <x:c r="F1450" s="31"/>
      <x:c r="G1450" s="31"/>
      <x:c r="H1450" s="31" t="str">
        <x:f>IF(OR(F1450="",G1450=""),"",IF(F1450=G1450,"Agree","Disagree"))</x:f>
      </x:c>
      <x:c r="I1450" s="31"/>
      <x:c r="J1450" s="31" t="str">
        <x:v>No</x:v>
      </x:c>
      <x:c r="K1450" s="31" t="str"/>
      <x:c r="L1450" s="31" t="str"/>
      <x:c r="M1450" s="31" t="str"/>
      <x:c r="N1450" s="31" t="str"/>
    </x:row>
    <x:row r="1451" ht="42" customHeight="1">
      <x:c r="A1451" s="35" t="n">
        <x:v>1449</x:v>
      </x:c>
      <x:c r="B1451" s="31" t="str">
        <x:f>IF('Execution Checklist'!Q1451="","",'Execution Checklist'!Q1451)</x:f>
      </x:c>
      <x:c r="C1451" s="31" t="str">
        <x:v>Place the green pen in front of the red block.</x:v>
      </x:c>
      <x:c r="D1451" s="31" t="str">
        <x:v>green pen → in front of red block</x:v>
      </x:c>
      <x:c r="E1451" s="31" t="str">
        <x:v>Binary task success; paired with the main matched-control row.</x:v>
      </x:c>
      <x:c r="F1451" s="31"/>
      <x:c r="G1451" s="31"/>
      <x:c r="H1451" s="31" t="str">
        <x:f>IF(OR(F1451="",G1451=""),"",IF(F1451=G1451,"Agree","Disagree"))</x:f>
      </x:c>
      <x:c r="I1451" s="31"/>
      <x:c r="J1451" s="31" t="str">
        <x:v>No</x:v>
      </x:c>
      <x:c r="K1451" s="31" t="str"/>
      <x:c r="L1451" s="31" t="str"/>
      <x:c r="M1451" s="31" t="str"/>
      <x:c r="N1451" s="31" t="str"/>
    </x:row>
    <x:row r="1452" ht="42" customHeight="1">
      <x:c r="A1452" s="35" t="n">
        <x:v>1450</x:v>
      </x:c>
      <x:c r="B1452" s="31" t="str">
        <x:f>IF('Execution Checklist'!Q1452="","",'Execution Checklist'!Q1452)</x:f>
      </x:c>
      <x:c r="C1452" s="31" t="str">
        <x:v>Place the green pen to the right of the pink marker.</x:v>
      </x:c>
      <x:c r="D1452" s="31" t="str">
        <x:v>green pen</x:v>
      </x:c>
      <x:c r="E1452" s="31" t="str">
        <x:v>Binary task success using the task-specific rubric.</x:v>
      </x:c>
      <x:c r="F1452" s="31"/>
      <x:c r="G1452" s="31"/>
      <x:c r="H1452" s="31" t="str">
        <x:f>IF(OR(F1452="",G1452=""),"",IF(F1452=G1452,"Agree","Disagree"))</x:f>
      </x:c>
      <x:c r="I1452" s="31"/>
      <x:c r="J1452" s="31" t="str">
        <x:v>No</x:v>
      </x:c>
      <x:c r="K1452" s="31" t="str"/>
      <x:c r="L1452" s="31" t="str"/>
      <x:c r="M1452" s="31" t="str"/>
      <x:c r="N1452" s="31" t="str"/>
    </x:row>
    <x:row r="1453" ht="42" customHeight="1">
      <x:c r="A1453" s="35" t="n">
        <x:v>1451</x:v>
      </x:c>
      <x:c r="B1453" s="31" t="str">
        <x:f>IF('Execution Checklist'!Q1453="","",'Execution Checklist'!Q1453)</x:f>
      </x:c>
      <x:c r="C1453" s="31" t="str">
        <x:v>Place the green pen next to the red block.</x:v>
      </x:c>
      <x:c r="D1453" s="31" t="str">
        <x:v>green pen near red block</x:v>
      </x:c>
      <x:c r="E1453" s="31" t="str">
        <x:v>Binary task success; paired with the main transfer row.</x:v>
      </x:c>
      <x:c r="F1453" s="31"/>
      <x:c r="G1453" s="31"/>
      <x:c r="H1453" s="31" t="str">
        <x:f>IF(OR(F1453="",G1453=""),"",IF(F1453=G1453,"Agree","Disagree"))</x:f>
      </x:c>
      <x:c r="I1453" s="31"/>
      <x:c r="J1453" s="31" t="str">
        <x:v>No</x:v>
      </x:c>
      <x:c r="K1453" s="31" t="str"/>
      <x:c r="L1453" s="31" t="str"/>
      <x:c r="M1453" s="31" t="str"/>
      <x:c r="N1453" s="31" t="str"/>
    </x:row>
    <x:row r="1454" ht="42" customHeight="1">
      <x:c r="A1454" s="35" t="n">
        <x:v>1452</x:v>
      </x:c>
      <x:c r="B1454" s="31" t="str">
        <x:f>IF('Execution Checklist'!Q1454="","",'Execution Checklist'!Q1454)</x:f>
      </x:c>
      <x:c r="C1454" s="31" t="str">
        <x:v>Place the red block near the green pen.</x:v>
      </x:c>
      <x:c r="D1454" s="31" t="str">
        <x:v>red block near green pen</x:v>
      </x:c>
      <x:c r="E1454" s="31" t="str">
        <x:v>Binary task success; paired with the main transfer row.</x:v>
      </x:c>
      <x:c r="F1454" s="31"/>
      <x:c r="G1454" s="31"/>
      <x:c r="H1454" s="31" t="str">
        <x:f>IF(OR(F1454="",G1454=""),"",IF(F1454=G1454,"Agree","Disagree"))</x:f>
      </x:c>
      <x:c r="I1454" s="31"/>
      <x:c r="J1454" s="31" t="str">
        <x:v>No</x:v>
      </x:c>
      <x:c r="K1454" s="31" t="str"/>
      <x:c r="L1454" s="31" t="str"/>
      <x:c r="M1454" s="31" t="str"/>
      <x:c r="N1454" s="31" t="str"/>
    </x:row>
    <x:row r="1455" ht="42" customHeight="1">
      <x:c r="A1455" s="35" t="n">
        <x:v>1453</x:v>
      </x:c>
      <x:c r="B1455" s="31" t="str">
        <x:f>IF('Execution Checklist'!Q1455="","",'Execution Checklist'!Q1455)</x:f>
      </x:c>
      <x:c r="C1455" s="31" t="str">
        <x:v>Put the green pen on the table in front of the pink marker.</x:v>
      </x:c>
      <x:c r="D1455" s="31" t="str">
        <x:v>green pen</x:v>
      </x:c>
      <x:c r="E1455" s="31" t="str">
        <x:v>Binary task success using the task-specific rubric.</x:v>
      </x:c>
      <x:c r="F1455" s="31"/>
      <x:c r="G1455" s="31"/>
      <x:c r="H1455" s="31" t="str">
        <x:f>IF(OR(F1455="",G1455=""),"",IF(F1455=G1455,"Agree","Disagree"))</x:f>
      </x:c>
      <x:c r="I1455" s="31"/>
      <x:c r="J1455" s="31" t="str">
        <x:v>No</x:v>
      </x:c>
      <x:c r="K1455" s="31" t="str"/>
      <x:c r="L1455" s="31" t="str"/>
      <x:c r="M1455" s="31" t="str"/>
      <x:c r="N1455" s="31" t="str"/>
    </x:row>
    <x:row r="1456" ht="42" customHeight="1">
      <x:c r="A1456" s="35" t="n">
        <x:v>1454</x:v>
      </x:c>
      <x:c r="B1456" s="31" t="str">
        <x:f>IF('Execution Checklist'!Q1456="","",'Execution Checklist'!Q1456)</x:f>
      </x:c>
      <x:c r="C1456" s="31" t="str">
        <x:v>Place the red block near the green pen.</x:v>
      </x:c>
      <x:c r="D1456" s="31" t="str">
        <x:v>red block near green pen</x:v>
      </x:c>
      <x:c r="E1456" s="31" t="str">
        <x:v>Binary task success; paired with the main transfer row.</x:v>
      </x:c>
      <x:c r="F1456" s="31"/>
      <x:c r="G1456" s="31"/>
      <x:c r="H1456" s="31" t="str">
        <x:f>IF(OR(F1456="",G1456=""),"",IF(F1456=G1456,"Agree","Disagree"))</x:f>
      </x:c>
      <x:c r="I1456" s="31"/>
      <x:c r="J1456" s="31" t="str">
        <x:v>No</x:v>
      </x:c>
      <x:c r="K1456" s="31" t="str"/>
      <x:c r="L1456" s="31" t="str"/>
      <x:c r="M1456" s="31" t="str"/>
      <x:c r="N1456" s="31" t="str"/>
    </x:row>
    <x:row r="1457" ht="42" customHeight="1">
      <x:c r="A1457" s="35" t="n">
        <x:v>1455</x:v>
      </x:c>
      <x:c r="B1457" s="31" t="str">
        <x:f>IF('Execution Checklist'!Q1457="","",'Execution Checklist'!Q1457)</x:f>
      </x:c>
      <x:c r="C1457" s="31" t="str">
        <x:v>Move the red block to the side of the pink marker facing the robot.</x:v>
      </x:c>
      <x:c r="D1457" s="31" t="str">
        <x:v>red block</x:v>
      </x:c>
      <x:c r="E1457" s="31" t="str">
        <x:v>Binary task success; compare with the seen-language row sharing Pair ID.</x:v>
      </x:c>
      <x:c r="F1457" s="31"/>
      <x:c r="G1457" s="31"/>
      <x:c r="H1457" s="31" t="str">
        <x:f>IF(OR(F1457="",G1457=""),"",IF(F1457=G1457,"Agree","Disagree"))</x:f>
      </x:c>
      <x:c r="I1457" s="31"/>
      <x:c r="J1457" s="31" t="str">
        <x:v>No</x:v>
      </x:c>
      <x:c r="K1457" s="31" t="str"/>
      <x:c r="L1457" s="31" t="str"/>
      <x:c r="M1457" s="31" t="str"/>
      <x:c r="N1457" s="31" t="str"/>
    </x:row>
    <x:row r="1458" ht="42" customHeight="1">
      <x:c r="A1458" s="35" t="n">
        <x:v>1456</x:v>
      </x:c>
      <x:c r="B1458" s="31" t="str">
        <x:f>IF('Execution Checklist'!Q1458="","",'Execution Checklist'!Q1458)</x:f>
      </x:c>
      <x:c r="C1458" s="31" t="str">
        <x:v>Place the green pen behind the red block.</x:v>
      </x:c>
      <x:c r="D1458" s="31" t="str">
        <x:v>green pen → behind red block</x:v>
      </x:c>
      <x:c r="E1458" s="31" t="str">
        <x:v>Binary task success; paired with the main matched-control row.</x:v>
      </x:c>
      <x:c r="F1458" s="31"/>
      <x:c r="G1458" s="31"/>
      <x:c r="H1458" s="31" t="str">
        <x:f>IF(OR(F1458="",G1458=""),"",IF(F1458=G1458,"Agree","Disagree"))</x:f>
      </x:c>
      <x:c r="I1458" s="31"/>
      <x:c r="J1458" s="31" t="str">
        <x:v>No</x:v>
      </x:c>
      <x:c r="K1458" s="31" t="str"/>
      <x:c r="L1458" s="31" t="str"/>
      <x:c r="M1458" s="31" t="str"/>
      <x:c r="N1458" s="31" t="str"/>
    </x:row>
    <x:row r="1459" ht="42" customHeight="1">
      <x:c r="A1459" s="35" t="n">
        <x:v>1457</x:v>
      </x:c>
      <x:c r="B1459" s="31" t="str">
        <x:f>IF('Execution Checklist'!Q1459="","",'Execution Checklist'!Q1459)</x:f>
      </x:c>
      <x:c r="C1459" s="31" t="str">
        <x:v>Place the red block in front of the green pen.</x:v>
      </x:c>
      <x:c r="D1459" s="31" t="str">
        <x:v>red block → in front of green pen</x:v>
      </x:c>
      <x:c r="E1459" s="31" t="str">
        <x:v>Binary task success; paired with the main matched-control row.</x:v>
      </x:c>
      <x:c r="F1459" s="31"/>
      <x:c r="G1459" s="31"/>
      <x:c r="H1459" s="31" t="str">
        <x:f>IF(OR(F1459="",G1459=""),"",IF(F1459=G1459,"Agree","Disagree"))</x:f>
      </x:c>
      <x:c r="I1459" s="31"/>
      <x:c r="J1459" s="31" t="str">
        <x:v>No</x:v>
      </x:c>
      <x:c r="K1459" s="31" t="str"/>
      <x:c r="L1459" s="31" t="str"/>
      <x:c r="M1459" s="31" t="str"/>
      <x:c r="N1459" s="31" t="str"/>
    </x:row>
    <x:row r="1460" ht="42" customHeight="1">
      <x:c r="A1460" s="35" t="n">
        <x:v>1458</x:v>
      </x:c>
      <x:c r="B1460" s="31" t="str">
        <x:f>IF('Execution Checklist'!Q1460="","",'Execution Checklist'!Q1460)</x:f>
      </x:c>
      <x:c r="C1460" s="31" t="str">
        <x:v>Place the red block next to the green pen.</x:v>
      </x:c>
      <x:c r="D1460" s="31" t="str">
        <x:v>red block near green pen</x:v>
      </x:c>
      <x:c r="E1460" s="31" t="str">
        <x:v>Binary task success; paired with the main transfer row.</x:v>
      </x:c>
      <x:c r="F1460" s="31"/>
      <x:c r="G1460" s="31"/>
      <x:c r="H1460" s="31" t="str">
        <x:f>IF(OR(F1460="",G1460=""),"",IF(F1460=G1460,"Agree","Disagree"))</x:f>
      </x:c>
      <x:c r="I1460" s="31"/>
      <x:c r="J1460" s="31" t="str">
        <x:v>No</x:v>
      </x:c>
      <x:c r="K1460" s="31" t="str"/>
      <x:c r="L1460" s="31" t="str"/>
      <x:c r="M1460" s="31" t="str"/>
      <x:c r="N1460" s="31" t="str"/>
    </x:row>
    <x:row r="1461" ht="42" customHeight="1">
      <x:c r="A1461" s="35" t="n">
        <x:v>1459</x:v>
      </x:c>
      <x:c r="B1461" s="31" t="str">
        <x:f>IF('Execution Checklist'!Q1461="","",'Execution Checklist'!Q1461)</x:f>
      </x:c>
      <x:c r="C1461" s="31" t="str">
        <x:v>Place the green pen next to the red block.</x:v>
      </x:c>
      <x:c r="D1461" s="31" t="str">
        <x:v>green pen near red block</x:v>
      </x:c>
      <x:c r="E1461" s="31" t="str">
        <x:v>Binary task success; paired with the main transfer row.</x:v>
      </x:c>
      <x:c r="F1461" s="31"/>
      <x:c r="G1461" s="31"/>
      <x:c r="H1461" s="31" t="str">
        <x:f>IF(OR(F1461="",G1461=""),"",IF(F1461=G1461,"Agree","Disagree"))</x:f>
      </x:c>
      <x:c r="I1461" s="31"/>
      <x:c r="J1461" s="31" t="str">
        <x:v>No</x:v>
      </x:c>
      <x:c r="K1461" s="31" t="str"/>
      <x:c r="L1461" s="31" t="str"/>
      <x:c r="M1461" s="31" t="str"/>
      <x:c r="N1461" s="31" t="str"/>
    </x:row>
    <x:row r="1462" ht="42" customHeight="1">
      <x:c r="A1462" s="35" t="n">
        <x:v>1460</x:v>
      </x:c>
      <x:c r="B1462" s="31" t="str">
        <x:f>IF('Execution Checklist'!Q1462="","",'Execution Checklist'!Q1462)</x:f>
      </x:c>
      <x:c r="C1462" s="31" t="str">
        <x:v>Move the red block to the side of the pink marker facing the robot.</x:v>
      </x:c>
      <x:c r="D1462" s="31" t="str">
        <x:v>red block</x:v>
      </x:c>
      <x:c r="E1462" s="31" t="str">
        <x:v>Binary task success; compare with the seen-language row sharing Pair ID.</x:v>
      </x:c>
      <x:c r="F1462" s="31"/>
      <x:c r="G1462" s="31"/>
      <x:c r="H1462" s="31" t="str">
        <x:f>IF(OR(F1462="",G1462=""),"",IF(F1462=G1462,"Agree","Disagree"))</x:f>
      </x:c>
      <x:c r="I1462" s="31"/>
      <x:c r="J1462" s="31" t="str">
        <x:v>No</x:v>
      </x:c>
      <x:c r="K1462" s="31" t="str"/>
      <x:c r="L1462" s="31" t="str"/>
      <x:c r="M1462" s="31" t="str"/>
      <x:c r="N1462" s="31" t="str"/>
    </x:row>
    <x:row r="1463" ht="42" customHeight="1">
      <x:c r="A1463" s="35" t="n">
        <x:v>1461</x:v>
      </x:c>
      <x:c r="B1463" s="31" t="str">
        <x:f>IF('Execution Checklist'!Q1463="","",'Execution Checklist'!Q1463)</x:f>
      </x:c>
      <x:c r="C1463" s="31" t="str">
        <x:v>Place the green pen near the red block.</x:v>
      </x:c>
      <x:c r="D1463" s="31" t="str">
        <x:v>green pen near red block</x:v>
      </x:c>
      <x:c r="E1463" s="31" t="str">
        <x:v>Binary task success; paired with the main transfer row.</x:v>
      </x:c>
      <x:c r="F1463" s="31"/>
      <x:c r="G1463" s="31"/>
      <x:c r="H1463" s="31" t="str">
        <x:f>IF(OR(F1463="",G1463=""),"",IF(F1463=G1463,"Agree","Disagree"))</x:f>
      </x:c>
      <x:c r="I1463" s="31"/>
      <x:c r="J1463" s="31" t="str">
        <x:v>No</x:v>
      </x:c>
      <x:c r="K1463" s="31" t="str"/>
      <x:c r="L1463" s="31" t="str"/>
      <x:c r="M1463" s="31" t="str"/>
      <x:c r="N1463" s="31" t="str"/>
    </x:row>
    <x:row r="1464" ht="42" customHeight="1">
      <x:c r="A1464" s="35" t="n">
        <x:v>1462</x:v>
      </x:c>
      <x:c r="B1464" s="31" t="str">
        <x:f>IF('Execution Checklist'!Q1464="","",'Execution Checklist'!Q1464)</x:f>
      </x:c>
      <x:c r="C1464" s="31" t="str">
        <x:v>Place the green pen to the right of the red block.</x:v>
      </x:c>
      <x:c r="D1464" s="31" t="str">
        <x:v>No prespecified task success under blank language; record any action/selected target.</x:v>
      </x:c>
      <x:c r="E1464" s="31" t="str">
        <x:v>Do not score ordinary task success. Record action occurrence and agreement with the parent correct-prompt rollout.</x:v>
      </x:c>
      <x:c r="F1464" s="31"/>
      <x:c r="G1464" s="31"/>
      <x:c r="H1464" s="31" t="str">
        <x:f>IF(OR(F1464="",G1464=""),"",IF(F1464=G1464,"Agree","Disagree"))</x:f>
      </x:c>
      <x:c r="I1464" s="31"/>
      <x:c r="J1464" s="31" t="str">
        <x:v>No</x:v>
      </x:c>
      <x:c r="K1464" s="31" t="str"/>
      <x:c r="L1464" s="31" t="str"/>
      <x:c r="M1464" s="31" t="str"/>
      <x:c r="N1464" s="31" t="str"/>
    </x:row>
    <x:row r="1465" ht="42" customHeight="1">
      <x:c r="A1465" s="35" t="n">
        <x:v>1463</x:v>
      </x:c>
      <x:c r="B1465" s="31" t="str">
        <x:f>IF('Execution Checklist'!Q1465="","",'Execution Checklist'!Q1465)</x:f>
      </x:c>
      <x:c r="C1465" s="31" t="str">
        <x:v>Place the red block behind the green pen.</x:v>
      </x:c>
      <x:c r="D1465" s="31" t="str">
        <x:v>red block → behind green pen</x:v>
      </x:c>
      <x:c r="E1465" s="31" t="str">
        <x:v>Binary task success; paired with the main matched-control row.</x:v>
      </x:c>
      <x:c r="F1465" s="31"/>
      <x:c r="G1465" s="31"/>
      <x:c r="H1465" s="31" t="str">
        <x:f>IF(OR(F1465="",G1465=""),"",IF(F1465=G1465,"Agree","Disagree"))</x:f>
      </x:c>
      <x:c r="I1465" s="31"/>
      <x:c r="J1465" s="31" t="str">
        <x:v>No</x:v>
      </x:c>
      <x:c r="K1465" s="31" t="str"/>
      <x:c r="L1465" s="31" t="str"/>
      <x:c r="M1465" s="31" t="str"/>
      <x:c r="N1465" s="31" t="str"/>
    </x:row>
    <x:row r="1466" ht="42" customHeight="1">
      <x:c r="A1466" s="35" t="n">
        <x:v>1464</x:v>
      </x:c>
      <x:c r="B1466" s="31" t="str">
        <x:f>IF('Execution Checklist'!Q1466="","",'Execution Checklist'!Q1466)</x:f>
      </x:c>
      <x:c r="C1466" s="31" t="str">
        <x:v>Place the green pen beside the red block.</x:v>
      </x:c>
      <x:c r="D1466" s="31" t="str">
        <x:v>green pen near red block</x:v>
      </x:c>
      <x:c r="E1466" s="31" t="str">
        <x:v>Binary task success; paired with the main transfer row.</x:v>
      </x:c>
      <x:c r="F1466" s="31"/>
      <x:c r="G1466" s="31"/>
      <x:c r="H1466" s="31" t="str">
        <x:f>IF(OR(F1466="",G1466=""),"",IF(F1466=G1466,"Agree","Disagree"))</x:f>
      </x:c>
      <x:c r="I1466" s="31"/>
      <x:c r="J1466" s="31" t="str">
        <x:v>No</x:v>
      </x:c>
      <x:c r="K1466" s="31" t="str"/>
      <x:c r="L1466" s="31" t="str"/>
      <x:c r="M1466" s="31" t="str"/>
      <x:c r="N1466" s="31" t="str"/>
    </x:row>
    <x:row r="1467" ht="42" customHeight="1">
      <x:c r="A1467" s="35" t="n">
        <x:v>1465</x:v>
      </x:c>
      <x:c r="B1467" s="31" t="str">
        <x:f>IF('Execution Checklist'!Q1467="","",'Execution Checklist'!Q1467)</x:f>
      </x:c>
      <x:c r="C1467" s="31" t="str">
        <x:v>Place the red block next to the green pen.</x:v>
      </x:c>
      <x:c r="D1467" s="31" t="str">
        <x:v>red block near green pen</x:v>
      </x:c>
      <x:c r="E1467" s="31" t="str">
        <x:v>Binary task success; paired with the main transfer row.</x:v>
      </x:c>
      <x:c r="F1467" s="31"/>
      <x:c r="G1467" s="31"/>
      <x:c r="H1467" s="31" t="str">
        <x:f>IF(OR(F1467="",G1467=""),"",IF(F1467=G1467,"Agree","Disagree"))</x:f>
      </x:c>
      <x:c r="I1467" s="31"/>
      <x:c r="J1467" s="31" t="str">
        <x:v>No</x:v>
      </x:c>
      <x:c r="K1467" s="31" t="str"/>
      <x:c r="L1467" s="31" t="str"/>
      <x:c r="M1467" s="31" t="str"/>
      <x:c r="N1467" s="31" t="str"/>
    </x:row>
    <x:row r="1468" ht="42" customHeight="1">
      <x:c r="A1468" s="35" t="n">
        <x:v>1466</x:v>
      </x:c>
      <x:c r="B1468" s="31" t="str">
        <x:f>IF('Execution Checklist'!Q1468="","",'Execution Checklist'!Q1468)</x:f>
      </x:c>
      <x:c r="C1468" s="31" t="str">
        <x:v>Place the green pen behind the pink marker.</x:v>
      </x:c>
      <x:c r="D1468" s="31" t="str">
        <x:v>green pen</x:v>
      </x:c>
      <x:c r="E1468" s="31" t="str">
        <x:v>Binary task success using the task-specific rubric.</x:v>
      </x:c>
      <x:c r="F1468" s="31"/>
      <x:c r="G1468" s="31"/>
      <x:c r="H1468" s="31" t="str">
        <x:f>IF(OR(F1468="",G1468=""),"",IF(F1468=G1468,"Agree","Disagree"))</x:f>
      </x:c>
      <x:c r="I1468" s="31"/>
      <x:c r="J1468" s="31" t="str">
        <x:v>No</x:v>
      </x:c>
      <x:c r="K1468" s="31" t="str"/>
      <x:c r="L1468" s="31" t="str"/>
      <x:c r="M1468" s="31" t="str"/>
      <x:c r="N1468" s="31" t="str"/>
    </x:row>
    <x:row r="1469" ht="42" customHeight="1">
      <x:c r="A1469" s="35" t="n">
        <x:v>1467</x:v>
      </x:c>
      <x:c r="B1469" s="31" t="str">
        <x:f>IF('Execution Checklist'!Q1469="","",'Execution Checklist'!Q1469)</x:f>
      </x:c>
      <x:c r="C1469" s="31" t="str">
        <x:v>Place the red block to the left of the blue block.</x:v>
      </x:c>
      <x:c r="D1469" s="31" t="str">
        <x:v>red block</x:v>
      </x:c>
      <x:c r="E1469" s="31" t="str">
        <x:v>Binary task success using the task-specific rubric.</x:v>
      </x:c>
      <x:c r="F1469" s="31"/>
      <x:c r="G1469" s="31"/>
      <x:c r="H1469" s="31" t="str">
        <x:f>IF(OR(F1469="",G1469=""),"",IF(F1469=G1469,"Agree","Disagree"))</x:f>
      </x:c>
      <x:c r="I1469" s="31"/>
      <x:c r="J1469" s="31" t="str">
        <x:v>No</x:v>
      </x:c>
      <x:c r="K1469" s="31" t="str"/>
      <x:c r="L1469" s="31" t="str"/>
      <x:c r="M1469" s="31" t="str"/>
      <x:c r="N1469" s="31" t="str"/>
    </x:row>
    <x:row r="1470" ht="42" customHeight="1">
      <x:c r="A1470" s="35" t="n">
        <x:v>1468</x:v>
      </x:c>
      <x:c r="B1470" s="31" t="str">
        <x:f>IF('Execution Checklist'!Q1470="","",'Execution Checklist'!Q1470)</x:f>
      </x:c>
      <x:c r="C1470" s="31" t="str">
        <x:v>Place the red block in front of the green pen.</x:v>
      </x:c>
      <x:c r="D1470" s="31" t="str">
        <x:v>red block → in front of green pen</x:v>
      </x:c>
      <x:c r="E1470" s="31" t="str">
        <x:v>Binary task success; paired with the main matched-control row.</x:v>
      </x:c>
      <x:c r="F1470" s="31"/>
      <x:c r="G1470" s="31"/>
      <x:c r="H1470" s="31" t="str">
        <x:f>IF(OR(F1470="",G1470=""),"",IF(F1470=G1470,"Agree","Disagree"))</x:f>
      </x:c>
      <x:c r="I1470" s="31"/>
      <x:c r="J1470" s="31" t="str">
        <x:v>No</x:v>
      </x:c>
      <x:c r="K1470" s="31" t="str"/>
      <x:c r="L1470" s="31" t="str"/>
      <x:c r="M1470" s="31" t="str"/>
      <x:c r="N1470" s="31" t="str"/>
    </x:row>
    <x:row r="1471" ht="42" customHeight="1">
      <x:c r="A1471" s="35" t="n">
        <x:v>1469</x:v>
      </x:c>
      <x:c r="B1471" s="31" t="str">
        <x:f>IF('Execution Checklist'!Q1471="","",'Execution Checklist'!Q1471)</x:f>
      </x:c>
      <x:c r="C1471" s="31" t="str">
        <x:v>Place the green pen behind the pink marker.</x:v>
      </x:c>
      <x:c r="D1471" s="31" t="str">
        <x:v>green pen</x:v>
      </x:c>
      <x:c r="E1471" s="31" t="str">
        <x:v>Binary task success using the task-specific rubric.</x:v>
      </x:c>
      <x:c r="F1471" s="31"/>
      <x:c r="G1471" s="31"/>
      <x:c r="H1471" s="31" t="str">
        <x:f>IF(OR(F1471="",G1471=""),"",IF(F1471=G1471,"Agree","Disagree"))</x:f>
      </x:c>
      <x:c r="I1471" s="31"/>
      <x:c r="J1471" s="31" t="str">
        <x:v>No</x:v>
      </x:c>
      <x:c r="K1471" s="31" t="str"/>
      <x:c r="L1471" s="31" t="str"/>
      <x:c r="M1471" s="31" t="str"/>
      <x:c r="N1471" s="31" t="str"/>
    </x:row>
    <x:row r="1472" ht="42" customHeight="1">
      <x:c r="A1472" s="35" t="n">
        <x:v>1470</x:v>
      </x:c>
      <x:c r="B1472" s="31" t="str">
        <x:f>IF('Execution Checklist'!Q1472="","",'Execution Checklist'!Q1472)</x:f>
      </x:c>
      <x:c r="C1472" s="31" t="str">
        <x:v>Place the green pen to the left of the pink marker.</x:v>
      </x:c>
      <x:c r="D1472" s="31" t="str">
        <x:v>green pen</x:v>
      </x:c>
      <x:c r="E1472" s="31" t="str">
        <x:v>Binary task success using the task-specific rubric.</x:v>
      </x:c>
      <x:c r="F1472" s="31"/>
      <x:c r="G1472" s="31"/>
      <x:c r="H1472" s="31" t="str">
        <x:f>IF(OR(F1472="",G1472=""),"",IF(F1472=G1472,"Agree","Disagree"))</x:f>
      </x:c>
      <x:c r="I1472" s="31"/>
      <x:c r="J1472" s="31" t="str">
        <x:v>No</x:v>
      </x:c>
      <x:c r="K1472" s="31" t="str"/>
      <x:c r="L1472" s="31" t="str"/>
      <x:c r="M1472" s="31" t="str"/>
      <x:c r="N1472" s="31" t="str"/>
    </x:row>
    <x:row r="1473" ht="42" customHeight="1">
      <x:c r="A1473" s="35" t="n">
        <x:v>1471</x:v>
      </x:c>
      <x:c r="B1473" s="31" t="str">
        <x:f>IF('Execution Checklist'!Q1473="","",'Execution Checklist'!Q1473)</x:f>
      </x:c>
      <x:c r="C1473" s="31" t="str">
        <x:v>Place the green pen in front of the pink marker.</x:v>
      </x:c>
      <x:c r="D1473" s="31" t="str">
        <x:v>green pen</x:v>
      </x:c>
      <x:c r="E1473" s="31" t="str">
        <x:v>Binary task success using the task-specific rubric.</x:v>
      </x:c>
      <x:c r="F1473" s="31"/>
      <x:c r="G1473" s="31"/>
      <x:c r="H1473" s="31" t="str">
        <x:f>IF(OR(F1473="",G1473=""),"",IF(F1473=G1473,"Agree","Disagree"))</x:f>
      </x:c>
      <x:c r="I1473" s="31"/>
      <x:c r="J1473" s="31" t="str">
        <x:v>No</x:v>
      </x:c>
      <x:c r="K1473" s="31" t="str"/>
      <x:c r="L1473" s="31" t="str"/>
      <x:c r="M1473" s="31" t="str"/>
      <x:c r="N1473" s="31" t="str"/>
    </x:row>
    <x:row r="1474" ht="42" customHeight="1">
      <x:c r="A1474" s="35" t="n">
        <x:v>1472</x:v>
      </x:c>
      <x:c r="B1474" s="31" t="str">
        <x:f>IF('Execution Checklist'!Q1474="","",'Execution Checklist'!Q1474)</x:f>
      </x:c>
      <x:c r="C1474" s="31" t="str">
        <x:v>Place the red block to the right of the green pen.</x:v>
      </x:c>
      <x:c r="D1474" s="31" t="str">
        <x:v>red block → to the right of green pen</x:v>
      </x:c>
      <x:c r="E1474" s="31" t="str">
        <x:v>Binary task success; paired with the main matched-control row.</x:v>
      </x:c>
      <x:c r="F1474" s="31"/>
      <x:c r="G1474" s="31"/>
      <x:c r="H1474" s="31" t="str">
        <x:f>IF(OR(F1474="",G1474=""),"",IF(F1474=G1474,"Agree","Disagree"))</x:f>
      </x:c>
      <x:c r="I1474" s="31"/>
      <x:c r="J1474" s="31" t="str">
        <x:v>No</x:v>
      </x:c>
      <x:c r="K1474" s="31" t="str"/>
      <x:c r="L1474" s="31" t="str"/>
      <x:c r="M1474" s="31" t="str"/>
      <x:c r="N1474" s="31" t="str"/>
    </x:row>
    <x:row r="1475" ht="42" customHeight="1">
      <x:c r="A1475" s="35" t="n">
        <x:v>1473</x:v>
      </x:c>
      <x:c r="B1475" s="31" t="str">
        <x:f>IF('Execution Checklist'!Q1475="","",'Execution Checklist'!Q1475)</x:f>
      </x:c>
      <x:c r="C1475" s="31" t="str">
        <x:v>Place the green pen beside the red block.</x:v>
      </x:c>
      <x:c r="D1475" s="31" t="str">
        <x:v>green pen near red block</x:v>
      </x:c>
      <x:c r="E1475" s="31" t="str">
        <x:v>Binary task success; paired with the main transfer row.</x:v>
      </x:c>
      <x:c r="F1475" s="31"/>
      <x:c r="G1475" s="31"/>
      <x:c r="H1475" s="31" t="str">
        <x:f>IF(OR(F1475="",G1475=""),"",IF(F1475=G1475,"Agree","Disagree"))</x:f>
      </x:c>
      <x:c r="I1475" s="31"/>
      <x:c r="J1475" s="31" t="str">
        <x:v>No</x:v>
      </x:c>
      <x:c r="K1475" s="31" t="str"/>
      <x:c r="L1475" s="31" t="str"/>
      <x:c r="M1475" s="31" t="str"/>
      <x:c r="N1475" s="31" t="str"/>
    </x:row>
    <x:row r="1476" ht="42" customHeight="1">
      <x:c r="A1476" s="35" t="n">
        <x:v>1474</x:v>
      </x:c>
      <x:c r="B1476" s="31" t="str">
        <x:f>IF('Execution Checklist'!Q1476="","",'Execution Checklist'!Q1476)</x:f>
      </x:c>
      <x:c r="C1476" s="31" t="str">
        <x:v>Place the red block to the left of the green pen.</x:v>
      </x:c>
      <x:c r="D1476" s="31" t="str">
        <x:v>red block → to the left of green pen</x:v>
      </x:c>
      <x:c r="E1476" s="31" t="str">
        <x:v>Binary task success; paired with the main matched-control row.</x:v>
      </x:c>
      <x:c r="F1476" s="31"/>
      <x:c r="G1476" s="31"/>
      <x:c r="H1476" s="31" t="str">
        <x:f>IF(OR(F1476="",G1476=""),"",IF(F1476=G1476,"Agree","Disagree"))</x:f>
      </x:c>
      <x:c r="I1476" s="31"/>
      <x:c r="J1476" s="31" t="str">
        <x:v>No</x:v>
      </x:c>
      <x:c r="K1476" s="31" t="str"/>
      <x:c r="L1476" s="31" t="str"/>
      <x:c r="M1476" s="31" t="str"/>
      <x:c r="N1476" s="31" t="str"/>
    </x:row>
    <x:row r="1477" ht="42" customHeight="1">
      <x:c r="A1477" s="35" t="n">
        <x:v>1475</x:v>
      </x:c>
      <x:c r="B1477" s="31" t="str">
        <x:f>IF('Execution Checklist'!Q1477="","",'Execution Checklist'!Q1477)</x:f>
      </x:c>
      <x:c r="C1477" s="31" t="str">
        <x:v>Move the red block to the side of the pink marker facing the robot.</x:v>
      </x:c>
      <x:c r="D1477" s="31" t="str">
        <x:v>red block</x:v>
      </x:c>
      <x:c r="E1477" s="31" t="str">
        <x:v>Binary task success; compare with the seen-language row sharing Pair ID.</x:v>
      </x:c>
      <x:c r="F1477" s="31"/>
      <x:c r="G1477" s="31"/>
      <x:c r="H1477" s="31" t="str">
        <x:f>IF(OR(F1477="",G1477=""),"",IF(F1477=G1477,"Agree","Disagree"))</x:f>
      </x:c>
      <x:c r="I1477" s="31"/>
      <x:c r="J1477" s="31" t="str">
        <x:v>No</x:v>
      </x:c>
      <x:c r="K1477" s="31" t="str"/>
      <x:c r="L1477" s="31" t="str"/>
      <x:c r="M1477" s="31" t="str"/>
      <x:c r="N1477" s="31" t="str"/>
    </x:row>
    <x:row r="1478" ht="42" customHeight="1">
      <x:c r="A1478" s="35" t="n">
        <x:v>1476</x:v>
      </x:c>
      <x:c r="B1478" s="31" t="str">
        <x:f>IF('Execution Checklist'!Q1478="","",'Execution Checklist'!Q1478)</x:f>
      </x:c>
      <x:c r="C1478" s="31" t="str">
        <x:v>Place the red block to the left of the green pen.</x:v>
      </x:c>
      <x:c r="D1478" s="31" t="str">
        <x:v>red block → to the left of green pen</x:v>
      </x:c>
      <x:c r="E1478" s="31" t="str">
        <x:v>Binary task success; paired with the main matched-control row.</x:v>
      </x:c>
      <x:c r="F1478" s="31"/>
      <x:c r="G1478" s="31"/>
      <x:c r="H1478" s="31" t="str">
        <x:f>IF(OR(F1478="",G1478=""),"",IF(F1478=G1478,"Agree","Disagree"))</x:f>
      </x:c>
      <x:c r="I1478" s="31"/>
      <x:c r="J1478" s="31" t="str">
        <x:v>No</x:v>
      </x:c>
      <x:c r="K1478" s="31" t="str"/>
      <x:c r="L1478" s="31" t="str"/>
      <x:c r="M1478" s="31" t="str"/>
      <x:c r="N1478" s="31" t="str"/>
    </x:row>
    <x:row r="1479" ht="42" customHeight="1">
      <x:c r="A1479" s="35" t="n">
        <x:v>1477</x:v>
      </x:c>
      <x:c r="B1479" s="31" t="str">
        <x:f>IF('Execution Checklist'!Q1479="","",'Execution Checklist'!Q1479)</x:f>
      </x:c>
      <x:c r="C1479" s="31" t="str">
        <x:v>Place the green pen beside the red block.</x:v>
      </x:c>
      <x:c r="D1479" s="31" t="str">
        <x:v>green pen near red block</x:v>
      </x:c>
      <x:c r="E1479" s="31" t="str">
        <x:v>Binary task success; paired with the main transfer row.</x:v>
      </x:c>
      <x:c r="F1479" s="31"/>
      <x:c r="G1479" s="31"/>
      <x:c r="H1479" s="31" t="str">
        <x:f>IF(OR(F1479="",G1479=""),"",IF(F1479=G1479,"Agree","Disagree"))</x:f>
      </x:c>
      <x:c r="I1479" s="31"/>
      <x:c r="J1479" s="31" t="str">
        <x:v>No</x:v>
      </x:c>
      <x:c r="K1479" s="31" t="str"/>
      <x:c r="L1479" s="31" t="str"/>
      <x:c r="M1479" s="31" t="str"/>
      <x:c r="N1479" s="31" t="str"/>
    </x:row>
    <x:row r="1480" ht="42" customHeight="1">
      <x:c r="A1480" s="35" t="n">
        <x:v>1478</x:v>
      </x:c>
      <x:c r="B1480" s="31" t="str">
        <x:f>IF('Execution Checklist'!Q1480="","",'Execution Checklist'!Q1480)</x:f>
      </x:c>
      <x:c r="C1480" s="31" t="str">
        <x:v>Place the green pen behind the red block.</x:v>
      </x:c>
      <x:c r="D1480" s="31" t="str">
        <x:v>No prespecified task success under blank language; record any action/selected target.</x:v>
      </x:c>
      <x:c r="E1480" s="31" t="str">
        <x:v>Do not score ordinary task success. Record action occurrence and agreement with the parent correct-prompt rollout.</x:v>
      </x:c>
      <x:c r="F1480" s="31"/>
      <x:c r="G1480" s="31"/>
      <x:c r="H1480" s="31" t="str">
        <x:f>IF(OR(F1480="",G1480=""),"",IF(F1480=G1480,"Agree","Disagree"))</x:f>
      </x:c>
      <x:c r="I1480" s="31"/>
      <x:c r="J1480" s="31" t="str">
        <x:v>No</x:v>
      </x:c>
      <x:c r="K1480" s="31" t="str"/>
      <x:c r="L1480" s="31" t="str"/>
      <x:c r="M1480" s="31" t="str"/>
      <x:c r="N1480" s="31" t="str"/>
    </x:row>
    <x:row r="1481" ht="42" customHeight="1">
      <x:c r="A1481" s="35" t="n">
        <x:v>1479</x:v>
      </x:c>
      <x:c r="B1481" s="31" t="str">
        <x:f>IF('Execution Checklist'!Q1481="","",'Execution Checklist'!Q1481)</x:f>
      </x:c>
      <x:c r="C1481" s="31" t="str">
        <x:v>Place the red block beside the green pen.</x:v>
      </x:c>
      <x:c r="D1481" s="31" t="str">
        <x:v>red block near green pen</x:v>
      </x:c>
      <x:c r="E1481" s="31" t="str">
        <x:v>Binary task success; paired with the main transfer row.</x:v>
      </x:c>
      <x:c r="F1481" s="31"/>
      <x:c r="G1481" s="31"/>
      <x:c r="H1481" s="31" t="str">
        <x:f>IF(OR(F1481="",G1481=""),"",IF(F1481=G1481,"Agree","Disagree"))</x:f>
      </x:c>
      <x:c r="I1481" s="31"/>
      <x:c r="J1481" s="31" t="str">
        <x:v>No</x:v>
      </x:c>
      <x:c r="K1481" s="31" t="str"/>
      <x:c r="L1481" s="31" t="str"/>
      <x:c r="M1481" s="31" t="str"/>
      <x:c r="N1481" s="31" t="str"/>
    </x:row>
    <x:row r="1482" ht="42" customHeight="1">
      <x:c r="A1482" s="35" t="n">
        <x:v>1480</x:v>
      </x:c>
      <x:c r="B1482" s="31" t="str">
        <x:f>IF('Execution Checklist'!Q1482="","",'Execution Checklist'!Q1482)</x:f>
      </x:c>
      <x:c r="C1482" s="31" t="str">
        <x:v>Move the red block to the side of the pink marker facing the robot.</x:v>
      </x:c>
      <x:c r="D1482" s="31" t="str">
        <x:v>red block</x:v>
      </x:c>
      <x:c r="E1482" s="31" t="str">
        <x:v>Binary task success; compare with the seen-language row sharing Pair ID.</x:v>
      </x:c>
      <x:c r="F1482" s="31"/>
      <x:c r="G1482" s="31"/>
      <x:c r="H1482" s="31" t="str">
        <x:f>IF(OR(F1482="",G1482=""),"",IF(F1482=G1482,"Agree","Disagree"))</x:f>
      </x:c>
      <x:c r="I1482" s="31"/>
      <x:c r="J1482" s="31" t="str">
        <x:v>No</x:v>
      </x:c>
      <x:c r="K1482" s="31" t="str"/>
      <x:c r="L1482" s="31" t="str"/>
      <x:c r="M1482" s="31" t="str"/>
      <x:c r="N1482" s="31" t="str"/>
    </x:row>
    <x:row r="1483" ht="42" customHeight="1">
      <x:c r="A1483" s="35" t="n">
        <x:v>1481</x:v>
      </x:c>
      <x:c r="B1483" s="31" t="str">
        <x:f>IF('Execution Checklist'!Q1483="","",'Execution Checklist'!Q1483)</x:f>
      </x:c>
      <x:c r="C1483" s="31" t="str">
        <x:v>Place the pink marker in front of the blue block.</x:v>
      </x:c>
      <x:c r="D1483" s="31" t="str">
        <x:v>pink marker</x:v>
      </x:c>
      <x:c r="E1483" s="31" t="str">
        <x:v>Binary task success using the task-specific rubric.</x:v>
      </x:c>
      <x:c r="F1483" s="31"/>
      <x:c r="G1483" s="31"/>
      <x:c r="H1483" s="31" t="str">
        <x:f>IF(OR(F1483="",G1483=""),"",IF(F1483=G1483,"Agree","Disagree"))</x:f>
      </x:c>
      <x:c r="I1483" s="31"/>
      <x:c r="J1483" s="31" t="str">
        <x:v>No</x:v>
      </x:c>
      <x:c r="K1483" s="31" t="str"/>
      <x:c r="L1483" s="31" t="str"/>
      <x:c r="M1483" s="31" t="str"/>
      <x:c r="N1483" s="31" t="str"/>
    </x:row>
    <x:row r="1484" ht="42" customHeight="1">
      <x:c r="A1484" s="35" t="n">
        <x:v>1482</x:v>
      </x:c>
      <x:c r="B1484" s="31" t="str">
        <x:f>IF('Execution Checklist'!Q1484="","",'Execution Checklist'!Q1484)</x:f>
      </x:c>
      <x:c r="C1484" s="31" t="str">
        <x:v>Place the green pen to the left of the red block.</x:v>
      </x:c>
      <x:c r="D1484" s="31" t="str">
        <x:v>green pen → to the left of red block</x:v>
      </x:c>
      <x:c r="E1484" s="31" t="str">
        <x:v>Binary task success; paired with the main matched-control row.</x:v>
      </x:c>
      <x:c r="F1484" s="31"/>
      <x:c r="G1484" s="31"/>
      <x:c r="H1484" s="31" t="str">
        <x:f>IF(OR(F1484="",G1484=""),"",IF(F1484=G1484,"Agree","Disagree"))</x:f>
      </x:c>
      <x:c r="I1484" s="31"/>
      <x:c r="J1484" s="31" t="str">
        <x:v>No</x:v>
      </x:c>
      <x:c r="K1484" s="31" t="str"/>
      <x:c r="L1484" s="31" t="str"/>
      <x:c r="M1484" s="31" t="str"/>
      <x:c r="N1484" s="31" t="str"/>
    </x:row>
    <x:row r="1485" ht="42" customHeight="1">
      <x:c r="A1485" s="35" t="n">
        <x:v>1483</x:v>
      </x:c>
      <x:c r="B1485" s="31" t="str">
        <x:f>IF('Execution Checklist'!Q1485="","",'Execution Checklist'!Q1485)</x:f>
      </x:c>
      <x:c r="C1485" s="31" t="str">
        <x:v>Place the pink marker to the right of the blue block.</x:v>
      </x:c>
      <x:c r="D1485" s="31" t="str">
        <x:v>pink marker</x:v>
      </x:c>
      <x:c r="E1485" s="31" t="str">
        <x:v>Binary task success using the task-specific rubric.</x:v>
      </x:c>
      <x:c r="F1485" s="31"/>
      <x:c r="G1485" s="31"/>
      <x:c r="H1485" s="31" t="str">
        <x:f>IF(OR(F1485="",G1485=""),"",IF(F1485=G1485,"Agree","Disagree"))</x:f>
      </x:c>
      <x:c r="I1485" s="31"/>
      <x:c r="J1485" s="31" t="str">
        <x:v>No</x:v>
      </x:c>
      <x:c r="K1485" s="31" t="str"/>
      <x:c r="L1485" s="31" t="str"/>
      <x:c r="M1485" s="31" t="str"/>
      <x:c r="N1485" s="31" t="str"/>
    </x:row>
    <x:row r="1486" ht="42" customHeight="1">
      <x:c r="A1486" s="35" t="n">
        <x:v>1484</x:v>
      </x:c>
      <x:c r="B1486" s="31" t="str">
        <x:f>IF('Execution Checklist'!Q1486="","",'Execution Checklist'!Q1486)</x:f>
      </x:c>
      <x:c r="C1486" s="31" t="str">
        <x:v>Place the green pen in front of the red block.</x:v>
      </x:c>
      <x:c r="D1486" s="31" t="str">
        <x:v>green pen → in front of red block</x:v>
      </x:c>
      <x:c r="E1486" s="31" t="str">
        <x:v>Binary task success; paired with the main matched-control row.</x:v>
      </x:c>
      <x:c r="F1486" s="31"/>
      <x:c r="G1486" s="31"/>
      <x:c r="H1486" s="31" t="str">
        <x:f>IF(OR(F1486="",G1486=""),"",IF(F1486=G1486,"Agree","Disagree"))</x:f>
      </x:c>
      <x:c r="I1486" s="31"/>
      <x:c r="J1486" s="31" t="str">
        <x:v>No</x:v>
      </x:c>
      <x:c r="K1486" s="31" t="str"/>
      <x:c r="L1486" s="31" t="str"/>
      <x:c r="M1486" s="31" t="str"/>
      <x:c r="N1486" s="31" t="str"/>
    </x:row>
    <x:row r="1487" ht="42" customHeight="1">
      <x:c r="A1487" s="35" t="n">
        <x:v>1485</x:v>
      </x:c>
      <x:c r="B1487" s="31" t="str">
        <x:f>IF('Execution Checklist'!Q1487="","",'Execution Checklist'!Q1487)</x:f>
      </x:c>
      <x:c r="C1487" s="31" t="str">
        <x:v>Place the green pen in front of the red block.</x:v>
      </x:c>
      <x:c r="D1487" s="31" t="str">
        <x:v>green pen → in front of red block</x:v>
      </x:c>
      <x:c r="E1487" s="31" t="str">
        <x:v>Binary success for the counterfactual instruction and paired action-switch analysis versus the parent.</x:v>
      </x:c>
      <x:c r="F1487" s="31"/>
      <x:c r="G1487" s="31"/>
      <x:c r="H1487" s="31" t="str">
        <x:f>IF(OR(F1487="",G1487=""),"",IF(F1487=G1487,"Agree","Disagree"))</x:f>
      </x:c>
      <x:c r="I1487" s="31"/>
      <x:c r="J1487" s="31" t="str">
        <x:v>No</x:v>
      </x:c>
      <x:c r="K1487" s="31" t="str"/>
      <x:c r="L1487" s="31" t="str"/>
      <x:c r="M1487" s="31" t="str"/>
      <x:c r="N1487" s="31" t="str"/>
    </x:row>
    <x:row r="1488" ht="42" customHeight="1">
      <x:c r="A1488" s="35" t="n">
        <x:v>1486</x:v>
      </x:c>
      <x:c r="B1488" s="31" t="str">
        <x:f>IF('Execution Checklist'!Q1488="","",'Execution Checklist'!Q1488)</x:f>
      </x:c>
      <x:c r="C1488" s="31" t="str">
        <x:v>Place the blue block behind the green pen.</x:v>
      </x:c>
      <x:c r="D1488" s="31" t="str">
        <x:v>blue block</x:v>
      </x:c>
      <x:c r="E1488" s="31" t="str">
        <x:v>Binary task success using the task-specific rubric.</x:v>
      </x:c>
      <x:c r="F1488" s="31"/>
      <x:c r="G1488" s="31"/>
      <x:c r="H1488" s="31" t="str">
        <x:f>IF(OR(F1488="",G1488=""),"",IF(F1488=G1488,"Agree","Disagree"))</x:f>
      </x:c>
      <x:c r="I1488" s="31"/>
      <x:c r="J1488" s="31" t="str">
        <x:v>No</x:v>
      </x:c>
      <x:c r="K1488" s="31" t="str"/>
      <x:c r="L1488" s="31" t="str"/>
      <x:c r="M1488" s="31" t="str"/>
      <x:c r="N1488" s="31" t="str"/>
    </x:row>
    <x:row r="1489" ht="42" customHeight="1">
      <x:c r="A1489" s="35" t="n">
        <x:v>1487</x:v>
      </x:c>
      <x:c r="B1489" s="31" t="str">
        <x:f>IF('Execution Checklist'!Q1489="","",'Execution Checklist'!Q1489)</x:f>
      </x:c>
      <x:c r="C1489" s="31" t="str">
        <x:v>Place the green pen to the left of the red block.</x:v>
      </x:c>
      <x:c r="D1489" s="31" t="str">
        <x:v>green pen → to the left of red block</x:v>
      </x:c>
      <x:c r="E1489" s="31" t="str">
        <x:v>Binary success for the counterfactual instruction and paired action-switch analysis versus the parent.</x:v>
      </x:c>
      <x:c r="F1489" s="31"/>
      <x:c r="G1489" s="31"/>
      <x:c r="H1489" s="31" t="str">
        <x:f>IF(OR(F1489="",G1489=""),"",IF(F1489=G1489,"Agree","Disagree"))</x:f>
      </x:c>
      <x:c r="I1489" s="31"/>
      <x:c r="J1489" s="31" t="str">
        <x:v>No</x:v>
      </x:c>
      <x:c r="K1489" s="31" t="str"/>
      <x:c r="L1489" s="31" t="str"/>
      <x:c r="M1489" s="31" t="str"/>
      <x:c r="N1489" s="31" t="str"/>
    </x:row>
    <x:row r="1490" ht="42" customHeight="1">
      <x:c r="A1490" s="35" t="n">
        <x:v>1488</x:v>
      </x:c>
      <x:c r="B1490" s="31" t="str">
        <x:f>IF('Execution Checklist'!Q1490="","",'Execution Checklist'!Q1490)</x:f>
      </x:c>
      <x:c r="C1490" s="31" t="str">
        <x:v>Place a white cup in the bowl.</x:v>
      </x:c>
      <x:c r="D1490" s="31" t="str">
        <x:v>white cup B</x:v>
      </x:c>
      <x:c r="E1490" s="31" t="str">
        <x:v>Binary task success; paired with the main transfer row.</x:v>
      </x:c>
      <x:c r="F1490" s="31"/>
      <x:c r="G1490" s="31"/>
      <x:c r="H1490" s="31" t="str">
        <x:f>IF(OR(F1490="",G1490=""),"",IF(F1490=G1490,"Agree","Disagree"))</x:f>
      </x:c>
      <x:c r="I1490" s="31"/>
      <x:c r="J1490" s="31" t="str">
        <x:v>No</x:v>
      </x:c>
      <x:c r="K1490" s="31" t="str"/>
      <x:c r="L1490" s="31" t="str"/>
      <x:c r="M1490" s="31" t="str"/>
      <x:c r="N1490" s="31" t="str"/>
    </x:row>
    <x:row r="1491" ht="42" customHeight="1">
      <x:c r="A1491" s="35" t="n">
        <x:v>1489</x:v>
      </x:c>
      <x:c r="B1491" s="31" t="str">
        <x:f>IF('Execution Checklist'!Q1491="","",'Execution Checklist'!Q1491)</x:f>
      </x:c>
      <x:c r="C1491" s="31" t="str">
        <x:v>Place the upside-down white cup in the bowl.</x:v>
      </x:c>
      <x:c r="D1491" s="31" t="str">
        <x:v>white cup A</x:v>
      </x:c>
      <x:c r="E1491" s="31" t="str">
        <x:v>Binary task success using the task-specific rubric.</x:v>
      </x:c>
      <x:c r="F1491" s="31"/>
      <x:c r="G1491" s="31"/>
      <x:c r="H1491" s="31" t="str">
        <x:f>IF(OR(F1491="",G1491=""),"",IF(F1491=G1491,"Agree","Disagree"))</x:f>
      </x:c>
      <x:c r="I1491" s="31"/>
      <x:c r="J1491" s="31" t="str">
        <x:v>No</x:v>
      </x:c>
      <x:c r="K1491" s="31" t="str"/>
      <x:c r="L1491" s="31" t="str"/>
      <x:c r="M1491" s="31" t="str"/>
      <x:c r="N1491" s="31" t="str"/>
    </x:row>
    <x:row r="1492" ht="42" customHeight="1">
      <x:c r="A1492" s="35" t="n">
        <x:v>1490</x:v>
      </x:c>
      <x:c r="B1492" s="31" t="str">
        <x:f>IF('Execution Checklist'!Q1492="","",'Execution Checklist'!Q1492)</x:f>
      </x:c>
      <x:c r="C1492" s="31" t="str">
        <x:v>Place the closed glass spice container in the bowl.</x:v>
      </x:c>
      <x:c r="D1492" s="31" t="str">
        <x:v>glass spice container B</x:v>
      </x:c>
      <x:c r="E1492" s="31" t="str">
        <x:v>Binary task success; paired with the main matched-control row.</x:v>
      </x:c>
      <x:c r="F1492" s="31"/>
      <x:c r="G1492" s="31"/>
      <x:c r="H1492" s="31" t="str">
        <x:f>IF(OR(F1492="",G1492=""),"",IF(F1492=G1492,"Agree","Disagree"))</x:f>
      </x:c>
      <x:c r="I1492" s="31"/>
      <x:c r="J1492" s="31" t="str">
        <x:v>No</x:v>
      </x:c>
      <x:c r="K1492" s="31" t="str"/>
      <x:c r="L1492" s="31" t="str"/>
      <x:c r="M1492" s="31" t="str"/>
      <x:c r="N1492" s="31" t="str"/>
    </x:row>
    <x:row r="1493" ht="42" customHeight="1">
      <x:c r="A1493" s="35" t="n">
        <x:v>1491</x:v>
      </x:c>
      <x:c r="B1493" s="31" t="str">
        <x:f>IF('Execution Checklist'!Q1493="","",'Execution Checklist'!Q1493)</x:f>
      </x:c>
      <x:c r="C1493" s="31" t="str">
        <x:v>Place the open glass spice container in the bowl.</x:v>
      </x:c>
      <x:c r="D1493" s="31" t="str">
        <x:v>glass spice container A</x:v>
      </x:c>
      <x:c r="E1493" s="31" t="str">
        <x:v>Binary success for the counterfactual instruction and paired action-switch analysis versus the parent.</x:v>
      </x:c>
      <x:c r="F1493" s="31"/>
      <x:c r="G1493" s="31"/>
      <x:c r="H1493" s="31" t="str">
        <x:f>IF(OR(F1493="",G1493=""),"",IF(F1493=G1493,"Agree","Disagree"))</x:f>
      </x:c>
      <x:c r="I1493" s="31"/>
      <x:c r="J1493" s="31" t="str">
        <x:v>No</x:v>
      </x:c>
      <x:c r="K1493" s="31" t="str"/>
      <x:c r="L1493" s="31" t="str"/>
      <x:c r="M1493" s="31" t="str"/>
      <x:c r="N1493" s="31" t="str"/>
    </x:row>
    <x:row r="1494" ht="42" customHeight="1">
      <x:c r="A1494" s="35" t="n">
        <x:v>1492</x:v>
      </x:c>
      <x:c r="B1494" s="31" t="str">
        <x:f>IF('Execution Checklist'!Q1494="","",'Execution Checklist'!Q1494)</x:f>
      </x:c>
      <x:c r="C1494" s="31" t="str">
        <x:v>Place the upside-down white cup in the bowl.</x:v>
      </x:c>
      <x:c r="D1494" s="31" t="str">
        <x:v>white cup A</x:v>
      </x:c>
      <x:c r="E1494" s="31" t="str">
        <x:v>Binary task success using the task-specific rubric.</x:v>
      </x:c>
      <x:c r="F1494" s="31"/>
      <x:c r="G1494" s="31"/>
      <x:c r="H1494" s="31" t="str">
        <x:f>IF(OR(F1494="",G1494=""),"",IF(F1494=G1494,"Agree","Disagree"))</x:f>
      </x:c>
      <x:c r="I1494" s="31"/>
      <x:c r="J1494" s="31" t="str">
        <x:v>No</x:v>
      </x:c>
      <x:c r="K1494" s="31" t="str"/>
      <x:c r="L1494" s="31" t="str"/>
      <x:c r="M1494" s="31" t="str"/>
      <x:c r="N1494" s="31" t="str"/>
    </x:row>
    <x:row r="1495" ht="42" customHeight="1">
      <x:c r="A1495" s="35" t="n">
        <x:v>1493</x:v>
      </x:c>
      <x:c r="B1495" s="31" t="str">
        <x:f>IF('Execution Checklist'!Q1495="","",'Execution Checklist'!Q1495)</x:f>
      </x:c>
      <x:c r="C1495" s="31" t="str">
        <x:v>Move the overturned glass spice container into the bowl.</x:v>
      </x:c>
      <x:c r="D1495" s="31" t="str">
        <x:v>glass spice container B</x:v>
      </x:c>
      <x:c r="E1495" s="31" t="str">
        <x:v>Binary task success; compare with the seen-language row sharing Pair ID.</x:v>
      </x:c>
      <x:c r="F1495" s="31"/>
      <x:c r="G1495" s="31"/>
      <x:c r="H1495" s="31" t="str">
        <x:f>IF(OR(F1495="",G1495=""),"",IF(F1495=G1495,"Agree","Disagree"))</x:f>
      </x:c>
      <x:c r="I1495" s="31"/>
      <x:c r="J1495" s="31" t="str">
        <x:v>No</x:v>
      </x:c>
      <x:c r="K1495" s="31" t="str"/>
      <x:c r="L1495" s="31" t="str"/>
      <x:c r="M1495" s="31" t="str"/>
      <x:c r="N1495" s="31" t="str"/>
    </x:row>
    <x:row r="1496" ht="42" customHeight="1">
      <x:c r="A1496" s="35" t="n">
        <x:v>1494</x:v>
      </x:c>
      <x:c r="B1496" s="31" t="str">
        <x:f>IF('Execution Checklist'!Q1496="","",'Execution Checklist'!Q1496)</x:f>
      </x:c>
      <x:c r="C1496" s="31" t="str">
        <x:v>Find the white cup that is turned upside down and move it into the bowl.</x:v>
      </x:c>
      <x:c r="D1496" s="31" t="str">
        <x:v>white cup A</x:v>
      </x:c>
      <x:c r="E1496" s="31" t="str">
        <x:v>Binary task success; compare with the seen-language row sharing Pair ID.</x:v>
      </x:c>
      <x:c r="F1496" s="31"/>
      <x:c r="G1496" s="31"/>
      <x:c r="H1496" s="31" t="str">
        <x:f>IF(OR(F1496="",G1496=""),"",IF(F1496=G1496,"Agree","Disagree"))</x:f>
      </x:c>
      <x:c r="I1496" s="31"/>
      <x:c r="J1496" s="31" t="str">
        <x:v>No</x:v>
      </x:c>
      <x:c r="K1496" s="31" t="str"/>
      <x:c r="L1496" s="31" t="str"/>
      <x:c r="M1496" s="31" t="str"/>
      <x:c r="N1496" s="31" t="str"/>
    </x:row>
    <x:row r="1497" ht="42" customHeight="1">
      <x:c r="A1497" s="35" t="n">
        <x:v>1495</x:v>
      </x:c>
      <x:c r="B1497" s="31" t="str">
        <x:f>IF('Execution Checklist'!Q1497="","",'Execution Checklist'!Q1497)</x:f>
      </x:c>
      <x:c r="C1497" s="31" t="str">
        <x:v>Move the yellow-white striped cup that is open into the bowl.</x:v>
      </x:c>
      <x:c r="D1497" s="31" t="str">
        <x:v>yellow-white striped cup B</x:v>
      </x:c>
      <x:c r="E1497" s="31" t="str">
        <x:v>Binary task success; compare with the seen-language row sharing Pair ID.</x:v>
      </x:c>
      <x:c r="F1497" s="31"/>
      <x:c r="G1497" s="31"/>
      <x:c r="H1497" s="31" t="str">
        <x:f>IF(OR(F1497="",G1497=""),"",IF(F1497=G1497,"Agree","Disagree"))</x:f>
      </x:c>
      <x:c r="I1497" s="31"/>
      <x:c r="J1497" s="31" t="str">
        <x:v>No</x:v>
      </x:c>
      <x:c r="K1497" s="31" t="str"/>
      <x:c r="L1497" s="31" t="str"/>
      <x:c r="M1497" s="31" t="str"/>
      <x:c r="N1497" s="31" t="str"/>
    </x:row>
    <x:row r="1498" ht="42" customHeight="1">
      <x:c r="A1498" s="35" t="n">
        <x:v>1496</x:v>
      </x:c>
      <x:c r="B1498" s="31" t="str">
        <x:f>IF('Execution Checklist'!Q1498="","",'Execution Checklist'!Q1498)</x:f>
      </x:c>
      <x:c r="C1498" s="31" t="str">
        <x:v>Find the white cup with its opening uncovered and move it into the bowl.</x:v>
      </x:c>
      <x:c r="D1498" s="31" t="str">
        <x:v>white cup B</x:v>
      </x:c>
      <x:c r="E1498" s="31" t="str">
        <x:v>Binary task success; compare with the seen-language row sharing Pair ID.</x:v>
      </x:c>
      <x:c r="F1498" s="31"/>
      <x:c r="G1498" s="31"/>
      <x:c r="H1498" s="31" t="str">
        <x:f>IF(OR(F1498="",G1498=""),"",IF(F1498=G1498,"Agree","Disagree"))</x:f>
      </x:c>
      <x:c r="I1498" s="31"/>
      <x:c r="J1498" s="31" t="str">
        <x:v>No</x:v>
      </x:c>
      <x:c r="K1498" s="31" t="str"/>
      <x:c r="L1498" s="31" t="str"/>
      <x:c r="M1498" s="31" t="str"/>
      <x:c r="N1498" s="31" t="str"/>
    </x:row>
    <x:row r="1499" ht="42" customHeight="1">
      <x:c r="A1499" s="35" t="n">
        <x:v>1497</x:v>
      </x:c>
      <x:c r="B1499" s="31" t="str">
        <x:f>IF('Execution Checklist'!Q1499="","",'Execution Checklist'!Q1499)</x:f>
      </x:c>
      <x:c r="C1499" s="31" t="str">
        <x:v>Place a glass spice container in the bowl.</x:v>
      </x:c>
      <x:c r="D1499" s="31" t="str">
        <x:v>glass spice container B</x:v>
      </x:c>
      <x:c r="E1499" s="31" t="str">
        <x:v>Binary task success; paired with the main transfer row.</x:v>
      </x:c>
      <x:c r="F1499" s="31"/>
      <x:c r="G1499" s="31"/>
      <x:c r="H1499" s="31" t="str">
        <x:f>IF(OR(F1499="",G1499=""),"",IF(F1499=G1499,"Agree","Disagree"))</x:f>
      </x:c>
      <x:c r="I1499" s="31"/>
      <x:c r="J1499" s="31" t="str">
        <x:v>No</x:v>
      </x:c>
      <x:c r="K1499" s="31" t="str"/>
      <x:c r="L1499" s="31" t="str"/>
      <x:c r="M1499" s="31" t="str"/>
      <x:c r="N1499" s="31" t="str"/>
    </x:row>
    <x:row r="1500" ht="42" customHeight="1">
      <x:c r="A1500" s="35" t="n">
        <x:v>1498</x:v>
      </x:c>
      <x:c r="B1500" s="31" t="str">
        <x:f>IF('Execution Checklist'!Q1500="","",'Execution Checklist'!Q1500)</x:f>
      </x:c>
      <x:c r="C1500" s="31" t="str">
        <x:v>Place the upright brown cup in the bowl.</x:v>
      </x:c>
      <x:c r="D1500" s="31" t="str">
        <x:v>brown cup B</x:v>
      </x:c>
      <x:c r="E1500" s="31" t="str">
        <x:v>Binary task success; paired with the main matched-control row.</x:v>
      </x:c>
      <x:c r="F1500" s="31"/>
      <x:c r="G1500" s="31"/>
      <x:c r="H1500" s="31" t="str">
        <x:f>IF(OR(F1500="",G1500=""),"",IF(F1500=G1500,"Agree","Disagree"))</x:f>
      </x:c>
      <x:c r="I1500" s="31"/>
      <x:c r="J1500" s="31" t="str">
        <x:v>No</x:v>
      </x:c>
      <x:c r="K1500" s="31" t="str"/>
      <x:c r="L1500" s="31" t="str"/>
      <x:c r="M1500" s="31" t="str"/>
      <x:c r="N1500" s="31" t="str"/>
    </x:row>
    <x:row r="1501" ht="42" customHeight="1">
      <x:c r="A1501" s="35" t="n">
        <x:v>1499</x:v>
      </x:c>
      <x:c r="B1501" s="31" t="str">
        <x:f>IF('Execution Checklist'!Q1501="","",'Execution Checklist'!Q1501)</x:f>
      </x:c>
      <x:c r="C1501" s="31" t="str">
        <x:v>Place the open white cup in the bowl.</x:v>
      </x:c>
      <x:c r="D1501" s="31" t="str">
        <x:v>white cup B</x:v>
      </x:c>
      <x:c r="E1501" s="31" t="str">
        <x:v>Binary task success using the task-specific rubric.</x:v>
      </x:c>
      <x:c r="F1501" s="31"/>
      <x:c r="G1501" s="31"/>
      <x:c r="H1501" s="31" t="str">
        <x:f>IF(OR(F1501="",G1501=""),"",IF(F1501=G1501,"Agree","Disagree"))</x:f>
      </x:c>
      <x:c r="I1501" s="31"/>
      <x:c r="J1501" s="31" t="str">
        <x:v>No</x:v>
      </x:c>
      <x:c r="K1501" s="31" t="str"/>
      <x:c r="L1501" s="31" t="str"/>
      <x:c r="M1501" s="31" t="str"/>
      <x:c r="N1501" s="31" t="str"/>
    </x:row>
    <x:row r="1502" ht="42" customHeight="1">
      <x:c r="A1502" s="35" t="n">
        <x:v>1500</x:v>
      </x:c>
      <x:c r="B1502" s="31" t="str">
        <x:f>IF('Execution Checklist'!Q1502="","",'Execution Checklist'!Q1502)</x:f>
      </x:c>
      <x:c r="C1502" s="31" t="str">
        <x:v>Place the upside-down glass spice container in the bowl.</x:v>
      </x:c>
      <x:c r="D1502" s="31" t="str">
        <x:v>glass spice container B</x:v>
      </x:c>
      <x:c r="E1502" s="31" t="str">
        <x:v>Binary task success using the task-specific rubric.</x:v>
      </x:c>
      <x:c r="F1502" s="31"/>
      <x:c r="G1502" s="31"/>
      <x:c r="H1502" s="31" t="str">
        <x:f>IF(OR(F1502="",G1502=""),"",IF(F1502=G1502,"Agree","Disagree"))</x:f>
      </x:c>
      <x:c r="I1502" s="31"/>
      <x:c r="J1502" s="31" t="str">
        <x:v>No</x:v>
      </x:c>
      <x:c r="K1502" s="31" t="str"/>
      <x:c r="L1502" s="31" t="str"/>
      <x:c r="M1502" s="31" t="str"/>
      <x:c r="N1502" s="31" t="str"/>
    </x:row>
    <x:row r="1503" ht="42" customHeight="1">
      <x:c r="A1503" s="35" t="n">
        <x:v>1501</x:v>
      </x:c>
      <x:c r="B1503" s="31" t="str">
        <x:f>IF('Execution Checklist'!Q1503="","",'Execution Checklist'!Q1503)</x:f>
      </x:c>
      <x:c r="C1503" s="31" t="str">
        <x:v>Move the white cup that is open into the bowl.</x:v>
      </x:c>
      <x:c r="D1503" s="31" t="str">
        <x:v>white cup B</x:v>
      </x:c>
      <x:c r="E1503" s="31" t="str">
        <x:v>Binary task success; compare with the seen-language row sharing Pair ID.</x:v>
      </x:c>
      <x:c r="F1503" s="31"/>
      <x:c r="G1503" s="31"/>
      <x:c r="H1503" s="31" t="str">
        <x:f>IF(OR(F1503="",G1503=""),"",IF(F1503=G1503,"Agree","Disagree"))</x:f>
      </x:c>
      <x:c r="I1503" s="31"/>
      <x:c r="J1503" s="31" t="str">
        <x:v>No</x:v>
      </x:c>
      <x:c r="K1503" s="31" t="str"/>
      <x:c r="L1503" s="31" t="str"/>
      <x:c r="M1503" s="31" t="str"/>
      <x:c r="N1503" s="31" t="str"/>
    </x:row>
    <x:row r="1504" ht="42" customHeight="1">
      <x:c r="A1504" s="35" t="n">
        <x:v>1502</x:v>
      </x:c>
      <x:c r="B1504" s="31" t="str">
        <x:f>IF('Execution Checklist'!Q1504="","",'Execution Checklist'!Q1504)</x:f>
      </x:c>
      <x:c r="C1504" s="31" t="str">
        <x:v>Place a yellow-white striped cup in the bowl.</x:v>
      </x:c>
      <x:c r="D1504" s="31" t="str">
        <x:v>yellow-white striped cup B</x:v>
      </x:c>
      <x:c r="E1504" s="31" t="str">
        <x:v>Binary task success; paired with the main transfer row.</x:v>
      </x:c>
      <x:c r="F1504" s="31"/>
      <x:c r="G1504" s="31"/>
      <x:c r="H1504" s="31" t="str">
        <x:f>IF(OR(F1504="",G1504=""),"",IF(F1504=G1504,"Agree","Disagree"))</x:f>
      </x:c>
      <x:c r="I1504" s="31"/>
      <x:c r="J1504" s="31" t="str">
        <x:v>No</x:v>
      </x:c>
      <x:c r="K1504" s="31" t="str"/>
      <x:c r="L1504" s="31" t="str"/>
      <x:c r="M1504" s="31" t="str"/>
      <x:c r="N1504" s="31" t="str"/>
    </x:row>
    <x:row r="1505" ht="42" customHeight="1">
      <x:c r="A1505" s="35" t="n">
        <x:v>1503</x:v>
      </x:c>
      <x:c r="B1505" s="31" t="str">
        <x:f>IF('Execution Checklist'!Q1505="","",'Execution Checklist'!Q1505)</x:f>
      </x:c>
      <x:c r="C1505" s="31" t="str">
        <x:v>Place a brown cup in the bowl.</x:v>
      </x:c>
      <x:c r="D1505" s="31" t="str">
        <x:v>brown cup B</x:v>
      </x:c>
      <x:c r="E1505" s="31" t="str">
        <x:v>Binary task success; paired with the main transfer row.</x:v>
      </x:c>
      <x:c r="F1505" s="31"/>
      <x:c r="G1505" s="31"/>
      <x:c r="H1505" s="31" t="str">
        <x:f>IF(OR(F1505="",G1505=""),"",IF(F1505=G1505,"Agree","Disagree"))</x:f>
      </x:c>
      <x:c r="I1505" s="31"/>
      <x:c r="J1505" s="31" t="str">
        <x:v>No</x:v>
      </x:c>
      <x:c r="K1505" s="31" t="str"/>
      <x:c r="L1505" s="31" t="str"/>
      <x:c r="M1505" s="31" t="str"/>
      <x:c r="N1505" s="31" t="str"/>
    </x:row>
    <x:row r="1506" ht="42" customHeight="1">
      <x:c r="A1506" s="35" t="n">
        <x:v>1504</x:v>
      </x:c>
      <x:c r="B1506" s="31" t="str">
        <x:f>IF('Execution Checklist'!Q1506="","",'Execution Checklist'!Q1506)</x:f>
      </x:c>
      <x:c r="C1506" s="31" t="str">
        <x:v>Place a white cup in the bowl.</x:v>
      </x:c>
      <x:c r="D1506" s="31" t="str">
        <x:v>white cup A</x:v>
      </x:c>
      <x:c r="E1506" s="31" t="str">
        <x:v>Binary task success; paired with the main transfer row.</x:v>
      </x:c>
      <x:c r="F1506" s="31"/>
      <x:c r="G1506" s="31"/>
      <x:c r="H1506" s="31" t="str">
        <x:f>IF(OR(F1506="",G1506=""),"",IF(F1506=G1506,"Agree","Disagree"))</x:f>
      </x:c>
      <x:c r="I1506" s="31"/>
      <x:c r="J1506" s="31" t="str">
        <x:v>No</x:v>
      </x:c>
      <x:c r="K1506" s="31" t="str"/>
      <x:c r="L1506" s="31" t="str"/>
      <x:c r="M1506" s="31" t="str"/>
      <x:c r="N1506" s="31" t="str"/>
    </x:row>
    <x:row r="1507" ht="42" customHeight="1">
      <x:c r="A1507" s="35" t="n">
        <x:v>1505</x:v>
      </x:c>
      <x:c r="B1507" s="31" t="str">
        <x:f>IF('Execution Checklist'!Q1507="","",'Execution Checklist'!Q1507)</x:f>
      </x:c>
      <x:c r="C1507" s="31" t="str">
        <x:v>Place a brown cup in the bowl.</x:v>
      </x:c>
      <x:c r="D1507" s="31" t="str">
        <x:v>brown cup A</x:v>
      </x:c>
      <x:c r="E1507" s="31" t="str">
        <x:v>Binary task success; paired with the main transfer row.</x:v>
      </x:c>
      <x:c r="F1507" s="31"/>
      <x:c r="G1507" s="31"/>
      <x:c r="H1507" s="31" t="str">
        <x:f>IF(OR(F1507="",G1507=""),"",IF(F1507=G1507,"Agree","Disagree"))</x:f>
      </x:c>
      <x:c r="I1507" s="31"/>
      <x:c r="J1507" s="31" t="str">
        <x:v>No</x:v>
      </x:c>
      <x:c r="K1507" s="31" t="str"/>
      <x:c r="L1507" s="31" t="str"/>
      <x:c r="M1507" s="31" t="str"/>
      <x:c r="N1507" s="31" t="str"/>
    </x:row>
    <x:row r="1508" ht="42" customHeight="1">
      <x:c r="A1508" s="35" t="n">
        <x:v>1506</x:v>
      </x:c>
      <x:c r="B1508" s="31" t="str">
        <x:f>IF('Execution Checklist'!Q1508="","",'Execution Checklist'!Q1508)</x:f>
      </x:c>
      <x:c r="C1508" s="31" t="str">
        <x:v>Place the closed yellow-white striped cup in the bowl.</x:v>
      </x:c>
      <x:c r="D1508" s="31" t="str">
        <x:v>yellow-white striped cup A</x:v>
      </x:c>
      <x:c r="E1508" s="31" t="str">
        <x:v>Binary task success; paired with the main matched-control row.</x:v>
      </x:c>
      <x:c r="F1508" s="31"/>
      <x:c r="G1508" s="31"/>
      <x:c r="H1508" s="31" t="str">
        <x:f>IF(OR(F1508="",G1508=""),"",IF(F1508=G1508,"Agree","Disagree"))</x:f>
      </x:c>
      <x:c r="I1508" s="31"/>
      <x:c r="J1508" s="31" t="str">
        <x:v>No</x:v>
      </x:c>
      <x:c r="K1508" s="31" t="str"/>
      <x:c r="L1508" s="31" t="str"/>
      <x:c r="M1508" s="31" t="str"/>
      <x:c r="N1508" s="31" t="str"/>
    </x:row>
    <x:row r="1509" ht="42" customHeight="1">
      <x:c r="A1509" s="35" t="n">
        <x:v>1507</x:v>
      </x:c>
      <x:c r="B1509" s="31" t="str">
        <x:f>IF('Execution Checklist'!Q1509="","",'Execution Checklist'!Q1509)</x:f>
      </x:c>
      <x:c r="C1509" s="31" t="str">
        <x:v>Place the upright white cup in the bowl.</x:v>
      </x:c>
      <x:c r="D1509" s="31" t="str">
        <x:v>white cup B</x:v>
      </x:c>
      <x:c r="E1509" s="31" t="str">
        <x:v>Binary task success; paired with the main matched-control row.</x:v>
      </x:c>
      <x:c r="F1509" s="31"/>
      <x:c r="G1509" s="31"/>
      <x:c r="H1509" s="31" t="str">
        <x:f>IF(OR(F1509="",G1509=""),"",IF(F1509=G1509,"Agree","Disagree"))</x:f>
      </x:c>
      <x:c r="I1509" s="31"/>
      <x:c r="J1509" s="31" t="str">
        <x:v>No</x:v>
      </x:c>
      <x:c r="K1509" s="31" t="str"/>
      <x:c r="L1509" s="31" t="str"/>
      <x:c r="M1509" s="31" t="str"/>
      <x:c r="N1509" s="31" t="str"/>
    </x:row>
    <x:row r="1510" ht="42" customHeight="1">
      <x:c r="A1510" s="35" t="n">
        <x:v>1508</x:v>
      </x:c>
      <x:c r="B1510" s="31" t="str">
        <x:f>IF('Execution Checklist'!Q1510="","",'Execution Checklist'!Q1510)</x:f>
      </x:c>
      <x:c r="C1510" s="31" t="str">
        <x:v>Place the open white cup in the bowl.</x:v>
      </x:c>
      <x:c r="D1510" s="31" t="str">
        <x:v>white cup B</x:v>
      </x:c>
      <x:c r="E1510" s="31" t="str">
        <x:v>Binary success for the counterfactual instruction and paired action-switch analysis versus the parent.</x:v>
      </x:c>
      <x:c r="F1510" s="31"/>
      <x:c r="G1510" s="31"/>
      <x:c r="H1510" s="31" t="str">
        <x:f>IF(OR(F1510="",G1510=""),"",IF(F1510=G1510,"Agree","Disagree"))</x:f>
      </x:c>
      <x:c r="I1510" s="31"/>
      <x:c r="J1510" s="31" t="str">
        <x:v>No</x:v>
      </x:c>
      <x:c r="K1510" s="31" t="str"/>
      <x:c r="L1510" s="31" t="str"/>
      <x:c r="M1510" s="31" t="str"/>
      <x:c r="N1510" s="31" t="str"/>
    </x:row>
    <x:row r="1511" ht="42" customHeight="1">
      <x:c r="A1511" s="35" t="n">
        <x:v>1509</x:v>
      </x:c>
      <x:c r="B1511" s="31" t="str">
        <x:f>IF('Execution Checklist'!Q1511="","",'Execution Checklist'!Q1511)</x:f>
      </x:c>
      <x:c r="C1511" s="31" t="str">
        <x:v>Place a glass spice container in the bowl.</x:v>
      </x:c>
      <x:c r="D1511" s="31" t="str">
        <x:v>glass spice container A</x:v>
      </x:c>
      <x:c r="E1511" s="31" t="str">
        <x:v>Binary task success; paired with the main transfer row.</x:v>
      </x:c>
      <x:c r="F1511" s="31"/>
      <x:c r="G1511" s="31"/>
      <x:c r="H1511" s="31" t="str">
        <x:f>IF(OR(F1511="",G1511=""),"",IF(F1511=G1511,"Agree","Disagree"))</x:f>
      </x:c>
      <x:c r="I1511" s="31"/>
      <x:c r="J1511" s="31" t="str">
        <x:v>No</x:v>
      </x:c>
      <x:c r="K1511" s="31" t="str"/>
      <x:c r="L1511" s="31" t="str"/>
      <x:c r="M1511" s="31" t="str"/>
      <x:c r="N1511" s="31" t="str"/>
    </x:row>
    <x:row r="1512" ht="42" customHeight="1">
      <x:c r="A1512" s="35" t="n">
        <x:v>1510</x:v>
      </x:c>
      <x:c r="B1512" s="31" t="str">
        <x:f>IF('Execution Checklist'!Q1512="","",'Execution Checklist'!Q1512)</x:f>
      </x:c>
      <x:c r="C1512" s="31" t="str">
        <x:v>Place the closed white cup in the bowl.</x:v>
      </x:c>
      <x:c r="D1512" s="31" t="str">
        <x:v>white cup A</x:v>
      </x:c>
      <x:c r="E1512" s="31" t="str">
        <x:v>Binary task success; paired with the main matched-control row.</x:v>
      </x:c>
      <x:c r="F1512" s="31"/>
      <x:c r="G1512" s="31"/>
      <x:c r="H1512" s="31" t="str">
        <x:f>IF(OR(F1512="",G1512=""),"",IF(F1512=G1512,"Agree","Disagree"))</x:f>
      </x:c>
      <x:c r="I1512" s="31"/>
      <x:c r="J1512" s="31" t="str">
        <x:v>No</x:v>
      </x:c>
      <x:c r="K1512" s="31" t="str"/>
      <x:c r="L1512" s="31" t="str"/>
      <x:c r="M1512" s="31" t="str"/>
      <x:c r="N1512" s="31" t="str"/>
    </x:row>
    <x:row r="1513" ht="42" customHeight="1">
      <x:c r="A1513" s="35" t="n">
        <x:v>1511</x:v>
      </x:c>
      <x:c r="B1513" s="31" t="str">
        <x:f>IF('Execution Checklist'!Q1513="","",'Execution Checklist'!Q1513)</x:f>
      </x:c>
      <x:c r="C1513" s="31" t="str">
        <x:v>Place a yellow-white striped cup in the bowl.</x:v>
      </x:c>
      <x:c r="D1513" s="31" t="str">
        <x:v>yellow-white striped cup A</x:v>
      </x:c>
      <x:c r="E1513" s="31" t="str">
        <x:v>Binary task success; paired with the main transfer row.</x:v>
      </x:c>
      <x:c r="F1513" s="31"/>
      <x:c r="G1513" s="31"/>
      <x:c r="H1513" s="31" t="str">
        <x:f>IF(OR(F1513="",G1513=""),"",IF(F1513=G1513,"Agree","Disagree"))</x:f>
      </x:c>
      <x:c r="I1513" s="31"/>
      <x:c r="J1513" s="31" t="str">
        <x:v>No</x:v>
      </x:c>
      <x:c r="K1513" s="31" t="str"/>
      <x:c r="L1513" s="31" t="str"/>
      <x:c r="M1513" s="31" t="str"/>
      <x:c r="N1513" s="31" t="str"/>
    </x:row>
    <x:row r="1514" ht="42" customHeight="1">
      <x:c r="A1514" s="35" t="n">
        <x:v>1512</x:v>
      </x:c>
      <x:c r="B1514" s="31" t="str">
        <x:f>IF('Execution Checklist'!Q1514="","",'Execution Checklist'!Q1514)</x:f>
      </x:c>
      <x:c r="C1514" s="31" t="str">
        <x:v>Put a yellow-white striped cup in the bowl.</x:v>
      </x:c>
      <x:c r="D1514" s="31" t="str">
        <x:v>yellow-white striped cup A</x:v>
      </x:c>
      <x:c r="E1514" s="31" t="str">
        <x:v>Binary task success using the task-specific rubric.</x:v>
      </x:c>
      <x:c r="F1514" s="31"/>
      <x:c r="G1514" s="31"/>
      <x:c r="H1514" s="31" t="str">
        <x:f>IF(OR(F1514="",G1514=""),"",IF(F1514=G1514,"Agree","Disagree"))</x:f>
      </x:c>
      <x:c r="I1514" s="31"/>
      <x:c r="J1514" s="31" t="str">
        <x:v>No</x:v>
      </x:c>
      <x:c r="K1514" s="31" t="str"/>
      <x:c r="L1514" s="31" t="str"/>
      <x:c r="M1514" s="31" t="str"/>
      <x:c r="N1514" s="31" t="str"/>
    </x:row>
    <x:row r="1515" ht="42" customHeight="1">
      <x:c r="A1515" s="35" t="n">
        <x:v>1513</x:v>
      </x:c>
      <x:c r="B1515" s="31" t="str">
        <x:f>IF('Execution Checklist'!Q1515="","",'Execution Checklist'!Q1515)</x:f>
      </x:c>
      <x:c r="C1515" s="31" t="str">
        <x:v>Place the closed brown cup in the bowl.</x:v>
      </x:c>
      <x:c r="D1515" s="31" t="str">
        <x:v>brown cup A</x:v>
      </x:c>
      <x:c r="E1515" s="31" t="str">
        <x:v>Binary task success; paired with the main matched-control row.</x:v>
      </x:c>
      <x:c r="F1515" s="31"/>
      <x:c r="G1515" s="31"/>
      <x:c r="H1515" s="31" t="str">
        <x:f>IF(OR(F1515="",G1515=""),"",IF(F1515=G1515,"Agree","Disagree"))</x:f>
      </x:c>
      <x:c r="I1515" s="31"/>
      <x:c r="J1515" s="31" t="str">
        <x:v>No</x:v>
      </x:c>
      <x:c r="K1515" s="31" t="str"/>
      <x:c r="L1515" s="31" t="str"/>
      <x:c r="M1515" s="31" t="str"/>
      <x:c r="N1515" s="31" t="str"/>
    </x:row>
    <x:row r="1516" ht="42" customHeight="1">
      <x:c r="A1516" s="35" t="n">
        <x:v>1514</x:v>
      </x:c>
      <x:c r="B1516" s="31" t="str">
        <x:f>IF('Execution Checklist'!Q1516="","",'Execution Checklist'!Q1516)</x:f>
      </x:c>
      <x:c r="C1516" s="31" t="str">
        <x:v>Place the open yellow-white striped cup in the bowl.</x:v>
      </x:c>
      <x:c r="D1516" s="31" t="str">
        <x:v>yellow-white striped cup B</x:v>
      </x:c>
      <x:c r="E1516" s="31" t="str">
        <x:v>Binary success for the counterfactual instruction and paired action-switch analysis versus the parent.</x:v>
      </x:c>
      <x:c r="F1516" s="31"/>
      <x:c r="G1516" s="31"/>
      <x:c r="H1516" s="31" t="str">
        <x:f>IF(OR(F1516="",G1516=""),"",IF(F1516=G1516,"Agree","Disagree"))</x:f>
      </x:c>
      <x:c r="I1516" s="31"/>
      <x:c r="J1516" s="31" t="str">
        <x:v>No</x:v>
      </x:c>
      <x:c r="K1516" s="31" t="str"/>
      <x:c r="L1516" s="31" t="str"/>
      <x:c r="M1516" s="31" t="str"/>
      <x:c r="N1516" s="31" t="str"/>
    </x:row>
    <x:row r="1517" ht="42" customHeight="1">
      <x:c r="A1517" s="35" t="n">
        <x:v>1515</x:v>
      </x:c>
      <x:c r="B1517" s="31" t="str">
        <x:f>IF('Execution Checklist'!Q1517="","",'Execution Checklist'!Q1517)</x:f>
      </x:c>
      <x:c r="C1517" s="31" t="str">
        <x:v>Put the inverted white cup into the bowl.</x:v>
      </x:c>
      <x:c r="D1517" s="31" t="str">
        <x:v>white cup A</x:v>
      </x:c>
      <x:c r="E1517" s="31" t="str">
        <x:v>Binary task success; compare with the seen-language row sharing Pair ID.</x:v>
      </x:c>
      <x:c r="F1517" s="31"/>
      <x:c r="G1517" s="31"/>
      <x:c r="H1517" s="31" t="str">
        <x:f>IF(OR(F1517="",G1517=""),"",IF(F1517=G1517,"Agree","Disagree"))</x:f>
      </x:c>
      <x:c r="I1517" s="31"/>
      <x:c r="J1517" s="31" t="str">
        <x:v>No</x:v>
      </x:c>
      <x:c r="K1517" s="31" t="str"/>
      <x:c r="L1517" s="31" t="str"/>
      <x:c r="M1517" s="31" t="str"/>
      <x:c r="N1517" s="31" t="str"/>
    </x:row>
    <x:row r="1518" ht="42" customHeight="1">
      <x:c r="A1518" s="35" t="n">
        <x:v>1516</x:v>
      </x:c>
      <x:c r="B1518" s="31" t="str">
        <x:f>IF('Execution Checklist'!Q1518="","",'Execution Checklist'!Q1518)</x:f>
      </x:c>
      <x:c r="C1518" s="31" t="str">
        <x:v>Place the upright glass spice container in the bowl.</x:v>
      </x:c>
      <x:c r="D1518" s="31" t="str">
        <x:v>glass spice container A</x:v>
      </x:c>
      <x:c r="E1518" s="31" t="str">
        <x:v>Binary task success; paired with the main matched-control row.</x:v>
      </x:c>
      <x:c r="F1518" s="31"/>
      <x:c r="G1518" s="31"/>
      <x:c r="H1518" s="31" t="str">
        <x:f>IF(OR(F1518="",G1518=""),"",IF(F1518=G1518,"Agree","Disagree"))</x:f>
      </x:c>
      <x:c r="I1518" s="31"/>
      <x:c r="J1518" s="31" t="str">
        <x:v>No</x:v>
      </x:c>
      <x:c r="K1518" s="31" t="str"/>
      <x:c r="L1518" s="31" t="str"/>
      <x:c r="M1518" s="31" t="str"/>
      <x:c r="N1518" s="31" t="str"/>
    </x:row>
    <x:row r="1519" ht="42" customHeight="1">
      <x:c r="A1519" s="35" t="n">
        <x:v>1517</x:v>
      </x:c>
      <x:c r="B1519" s="31" t="str">
        <x:f>IF('Execution Checklist'!Q1519="","",'Execution Checklist'!Q1519)</x:f>
      </x:c>
      <x:c r="C1519" s="31" t="str">
        <x:v>Place the closed yellow-white striped cup in the bowl.</x:v>
      </x:c>
      <x:c r="D1519" s="31" t="str">
        <x:v>yellow-white striped cup A</x:v>
      </x:c>
      <x:c r="E1519" s="31" t="str">
        <x:v>Binary task success; paired with the main matched-control row.</x:v>
      </x:c>
      <x:c r="F1519" s="31"/>
      <x:c r="G1519" s="31"/>
      <x:c r="H1519" s="31" t="str">
        <x:f>IF(OR(F1519="",G1519=""),"",IF(F1519=G1519,"Agree","Disagree"))</x:f>
      </x:c>
      <x:c r="I1519" s="31"/>
      <x:c r="J1519" s="31" t="str">
        <x:v>No</x:v>
      </x:c>
      <x:c r="K1519" s="31" t="str"/>
      <x:c r="L1519" s="31" t="str"/>
      <x:c r="M1519" s="31" t="str"/>
      <x:c r="N1519" s="31" t="str"/>
    </x:row>
    <x:row r="1520" ht="42" customHeight="1">
      <x:c r="A1520" s="35" t="n">
        <x:v>1518</x:v>
      </x:c>
      <x:c r="B1520" s="31" t="str">
        <x:f>IF('Execution Checklist'!Q1520="","",'Execution Checklist'!Q1520)</x:f>
      </x:c>
      <x:c r="C1520" s="31" t="str">
        <x:v>Place a white cup in the bowl.</x:v>
      </x:c>
      <x:c r="D1520" s="31" t="str">
        <x:v>white cup A</x:v>
      </x:c>
      <x:c r="E1520" s="31" t="str">
        <x:v>Binary task success; paired with the main transfer row.</x:v>
      </x:c>
      <x:c r="F1520" s="31"/>
      <x:c r="G1520" s="31"/>
      <x:c r="H1520" s="31" t="str">
        <x:f>IF(OR(F1520="",G1520=""),"",IF(F1520=G1520,"Agree","Disagree"))</x:f>
      </x:c>
      <x:c r="I1520" s="31"/>
      <x:c r="J1520" s="31" t="str">
        <x:v>No</x:v>
      </x:c>
      <x:c r="K1520" s="31" t="str"/>
      <x:c r="L1520" s="31" t="str"/>
      <x:c r="M1520" s="31" t="str"/>
      <x:c r="N1520" s="31" t="str"/>
    </x:row>
    <x:row r="1521" ht="42" customHeight="1">
      <x:c r="A1521" s="35" t="n">
        <x:v>1519</x:v>
      </x:c>
      <x:c r="B1521" s="31" t="str">
        <x:f>IF('Execution Checklist'!Q1521="","",'Execution Checklist'!Q1521)</x:f>
      </x:c>
      <x:c r="C1521" s="31" t="str">
        <x:v>Place the open white cup in the bowl.</x:v>
      </x:c>
      <x:c r="D1521" s="31" t="str">
        <x:v>white cup B</x:v>
      </x:c>
      <x:c r="E1521" s="31" t="str">
        <x:v>Binary task success using the task-specific rubric.</x:v>
      </x:c>
      <x:c r="F1521" s="31"/>
      <x:c r="G1521" s="31"/>
      <x:c r="H1521" s="31" t="str">
        <x:f>IF(OR(F1521="",G1521=""),"",IF(F1521=G1521,"Agree","Disagree"))</x:f>
      </x:c>
      <x:c r="I1521" s="31"/>
      <x:c r="J1521" s="31" t="str">
        <x:v>No</x:v>
      </x:c>
      <x:c r="K1521" s="31" t="str"/>
      <x:c r="L1521" s="31" t="str"/>
      <x:c r="M1521" s="31" t="str"/>
      <x:c r="N1521" s="31" t="str"/>
    </x:row>
    <x:row r="1522" ht="42" customHeight="1">
      <x:c r="A1522" s="35" t="n">
        <x:v>1520</x:v>
      </x:c>
      <x:c r="B1522" s="31" t="str">
        <x:f>IF('Execution Checklist'!Q1522="","",'Execution Checklist'!Q1522)</x:f>
      </x:c>
      <x:c r="C1522" s="31" t="str">
        <x:v>Put the open white cup in the bowl.</x:v>
      </x:c>
      <x:c r="D1522" s="31" t="str">
        <x:v>white cup B</x:v>
      </x:c>
      <x:c r="E1522" s="31" t="str">
        <x:v>Binary task success; compare with the seen-language row sharing Pair ID.</x:v>
      </x:c>
      <x:c r="F1522" s="31"/>
      <x:c r="G1522" s="31"/>
      <x:c r="H1522" s="31" t="str">
        <x:f>IF(OR(F1522="",G1522=""),"",IF(F1522=G1522,"Agree","Disagree"))</x:f>
      </x:c>
      <x:c r="I1522" s="31"/>
      <x:c r="J1522" s="31" t="str">
        <x:v>No</x:v>
      </x:c>
      <x:c r="K1522" s="31" t="str"/>
      <x:c r="L1522" s="31" t="str"/>
      <x:c r="M1522" s="31" t="str"/>
      <x:c r="N1522" s="31" t="str"/>
    </x:row>
    <x:row r="1523" ht="42" customHeight="1">
      <x:c r="A1523" s="35" t="n">
        <x:v>1521</x:v>
      </x:c>
      <x:c r="B1523" s="31" t="str">
        <x:f>IF('Execution Checklist'!Q1523="","",'Execution Checklist'!Q1523)</x:f>
      </x:c>
      <x:c r="C1523" s="31" t="str">
        <x:v>Put a brown cup in the bowl.</x:v>
      </x:c>
      <x:c r="D1523" s="31" t="str">
        <x:v>brown cup B</x:v>
      </x:c>
      <x:c r="E1523" s="31" t="str">
        <x:v>Binary task success using the task-specific rubric.</x:v>
      </x:c>
      <x:c r="F1523" s="31"/>
      <x:c r="G1523" s="31"/>
      <x:c r="H1523" s="31" t="str">
        <x:f>IF(OR(F1523="",G1523=""),"",IF(F1523=G1523,"Agree","Disagree"))</x:f>
      </x:c>
      <x:c r="I1523" s="31"/>
      <x:c r="J1523" s="31" t="str">
        <x:v>No</x:v>
      </x:c>
      <x:c r="K1523" s="31" t="str"/>
      <x:c r="L1523" s="31" t="str"/>
      <x:c r="M1523" s="31" t="str"/>
      <x:c r="N1523" s="31" t="str"/>
    </x:row>
    <x:row r="1524" ht="42" customHeight="1">
      <x:c r="A1524" s="35" t="n">
        <x:v>1522</x:v>
      </x:c>
      <x:c r="B1524" s="31" t="str">
        <x:f>IF('Execution Checklist'!Q1524="","",'Execution Checklist'!Q1524)</x:f>
      </x:c>
      <x:c r="C1524" s="31" t="str">
        <x:v>Move a glass spice container into the bowl.</x:v>
      </x:c>
      <x:c r="D1524" s="31" t="str">
        <x:v>glass spice container A</x:v>
      </x:c>
      <x:c r="E1524" s="31" t="str">
        <x:v>Binary task success using the task-specific rubric.</x:v>
      </x:c>
      <x:c r="F1524" s="31"/>
      <x:c r="G1524" s="31"/>
      <x:c r="H1524" s="31" t="str">
        <x:f>IF(OR(F1524="",G1524=""),"",IF(F1524=G1524,"Agree","Disagree"))</x:f>
      </x:c>
      <x:c r="I1524" s="31"/>
      <x:c r="J1524" s="31" t="str">
        <x:v>No</x:v>
      </x:c>
      <x:c r="K1524" s="31" t="str"/>
      <x:c r="L1524" s="31" t="str"/>
      <x:c r="M1524" s="31" t="str"/>
      <x:c r="N1524" s="31" t="str"/>
    </x:row>
    <x:row r="1525" ht="42" customHeight="1">
      <x:c r="A1525" s="35" t="n">
        <x:v>1523</x:v>
      </x:c>
      <x:c r="B1525" s="31" t="str">
        <x:f>IF('Execution Checklist'!Q1525="","",'Execution Checklist'!Q1525)</x:f>
      </x:c>
      <x:c r="C1525" s="31" t="str">
        <x:v>Place the open brown cup in the bowl.</x:v>
      </x:c>
      <x:c r="D1525" s="31" t="str">
        <x:v>brown cup B</x:v>
      </x:c>
      <x:c r="E1525" s="31" t="str">
        <x:v>Binary success for the counterfactual instruction and paired action-switch analysis versus the parent.</x:v>
      </x:c>
      <x:c r="F1525" s="31"/>
      <x:c r="G1525" s="31"/>
      <x:c r="H1525" s="31" t="str">
        <x:f>IF(OR(F1525="",G1525=""),"",IF(F1525=G1525,"Agree","Disagree"))</x:f>
      </x:c>
      <x:c r="I1525" s="31"/>
      <x:c r="J1525" s="31" t="str">
        <x:v>No</x:v>
      </x:c>
      <x:c r="K1525" s="31" t="str"/>
      <x:c r="L1525" s="31" t="str"/>
      <x:c r="M1525" s="31" t="str"/>
      <x:c r="N1525" s="31" t="str"/>
    </x:row>
    <x:row r="1526" ht="42" customHeight="1">
      <x:c r="A1526" s="35" t="n">
        <x:v>1524</x:v>
      </x:c>
      <x:c r="B1526" s="31" t="str">
        <x:f>IF('Execution Checklist'!Q1526="","",'Execution Checklist'!Q1526)</x:f>
      </x:c>
      <x:c r="C1526" s="31" t="str">
        <x:v>Move the open white cup into the bowl.</x:v>
      </x:c>
      <x:c r="D1526" s="31" t="str">
        <x:v>white cup A</x:v>
      </x:c>
      <x:c r="E1526" s="31" t="str">
        <x:v>Binary task success using the task-specific rubric.</x:v>
      </x:c>
      <x:c r="F1526" s="31"/>
      <x:c r="G1526" s="31"/>
      <x:c r="H1526" s="31" t="str">
        <x:f>IF(OR(F1526="",G1526=""),"",IF(F1526=G1526,"Agree","Disagree"))</x:f>
      </x:c>
      <x:c r="I1526" s="31"/>
      <x:c r="J1526" s="31" t="str">
        <x:v>No</x:v>
      </x:c>
      <x:c r="K1526" s="31" t="str"/>
      <x:c r="L1526" s="31" t="str"/>
      <x:c r="M1526" s="31" t="str"/>
      <x:c r="N1526" s="31" t="str"/>
    </x:row>
    <x:row r="1527" ht="42" customHeight="1">
      <x:c r="A1527" s="35" t="n">
        <x:v>1525</x:v>
      </x:c>
      <x:c r="B1527" s="31" t="str">
        <x:f>IF('Execution Checklist'!Q1527="","",'Execution Checklist'!Q1527)</x:f>
      </x:c>
      <x:c r="C1527" s="31" t="str">
        <x:v>Place a yellow-white striped cup in the bowl.</x:v>
      </x:c>
      <x:c r="D1527" s="31" t="str">
        <x:v>yellow-white striped cup A</x:v>
      </x:c>
      <x:c r="E1527" s="31" t="str">
        <x:v>Binary task success; paired with the main transfer row.</x:v>
      </x:c>
      <x:c r="F1527" s="31"/>
      <x:c r="G1527" s="31"/>
      <x:c r="H1527" s="31" t="str">
        <x:f>IF(OR(F1527="",G1527=""),"",IF(F1527=G1527,"Agree","Disagree"))</x:f>
      </x:c>
      <x:c r="I1527" s="31"/>
      <x:c r="J1527" s="31" t="str">
        <x:v>No</x:v>
      </x:c>
      <x:c r="K1527" s="31" t="str"/>
      <x:c r="L1527" s="31" t="str"/>
      <x:c r="M1527" s="31" t="str"/>
      <x:c r="N1527" s="31" t="str"/>
    </x:row>
    <x:row r="1528" ht="42" customHeight="1">
      <x:c r="A1528" s="35" t="n">
        <x:v>1526</x:v>
      </x:c>
      <x:c r="B1528" s="31" t="str">
        <x:f>IF('Execution Checklist'!Q1528="","",'Execution Checklist'!Q1528)</x:f>
      </x:c>
      <x:c r="C1528" s="31" t="str">
        <x:v>Place the open white cup in the bowl.</x:v>
      </x:c>
      <x:c r="D1528" s="31" t="str">
        <x:v>white cup B</x:v>
      </x:c>
      <x:c r="E1528" s="31" t="str">
        <x:v>Binary task success using the task-specific rubric.</x:v>
      </x:c>
      <x:c r="F1528" s="31"/>
      <x:c r="G1528" s="31"/>
      <x:c r="H1528" s="31" t="str">
        <x:f>IF(OR(F1528="",G1528=""),"",IF(F1528=G1528,"Agree","Disagree"))</x:f>
      </x:c>
      <x:c r="I1528" s="31"/>
      <x:c r="J1528" s="31" t="str">
        <x:v>No</x:v>
      </x:c>
      <x:c r="K1528" s="31" t="str"/>
      <x:c r="L1528" s="31" t="str"/>
      <x:c r="M1528" s="31" t="str"/>
      <x:c r="N1528" s="31" t="str"/>
    </x:row>
    <x:row r="1529" ht="42" customHeight="1">
      <x:c r="A1529" s="35" t="n">
        <x:v>1527</x:v>
      </x:c>
      <x:c r="B1529" s="31" t="str">
        <x:f>IF('Execution Checklist'!Q1529="","",'Execution Checklist'!Q1529)</x:f>
      </x:c>
      <x:c r="C1529" s="31" t="str">
        <x:v>Place the closed yellow-white striped cup in the bowl.</x:v>
      </x:c>
      <x:c r="D1529" s="31" t="str">
        <x:v>No prespecified task success under blank language; record any action/selected target.</x:v>
      </x:c>
      <x:c r="E1529" s="31" t="str">
        <x:v>Do not score ordinary task success. Record action occurrence and agreement with the parent correct-prompt rollout.</x:v>
      </x:c>
      <x:c r="F1529" s="31"/>
      <x:c r="G1529" s="31"/>
      <x:c r="H1529" s="31" t="str">
        <x:f>IF(OR(F1529="",G1529=""),"",IF(F1529=G1529,"Agree","Disagree"))</x:f>
      </x:c>
      <x:c r="I1529" s="31"/>
      <x:c r="J1529" s="31" t="str">
        <x:v>No</x:v>
      </x:c>
      <x:c r="K1529" s="31" t="str"/>
      <x:c r="L1529" s="31" t="str"/>
      <x:c r="M1529" s="31" t="str"/>
      <x:c r="N1529" s="31" t="str"/>
    </x:row>
    <x:row r="1530" ht="42" customHeight="1">
      <x:c r="A1530" s="35" t="n">
        <x:v>1528</x:v>
      </x:c>
      <x:c r="B1530" s="31" t="str">
        <x:f>IF('Execution Checklist'!Q1530="","",'Execution Checklist'!Q1530)</x:f>
      </x:c>
      <x:c r="C1530" s="31" t="str">
        <x:v>Move the overturned white cup into the bowl.</x:v>
      </x:c>
      <x:c r="D1530" s="31" t="str">
        <x:v>white cup A</x:v>
      </x:c>
      <x:c r="E1530" s="31" t="str">
        <x:v>Binary task success; compare with the seen-language row sharing Pair ID.</x:v>
      </x:c>
      <x:c r="F1530" s="31"/>
      <x:c r="G1530" s="31"/>
      <x:c r="H1530" s="31" t="str">
        <x:f>IF(OR(F1530="",G1530=""),"",IF(F1530=G1530,"Agree","Disagree"))</x:f>
      </x:c>
      <x:c r="I1530" s="31"/>
      <x:c r="J1530" s="31" t="str">
        <x:v>No</x:v>
      </x:c>
      <x:c r="K1530" s="31" t="str"/>
      <x:c r="L1530" s="31" t="str"/>
      <x:c r="M1530" s="31" t="str"/>
      <x:c r="N1530" s="31" t="str"/>
    </x:row>
    <x:row r="1531" ht="42" customHeight="1">
      <x:c r="A1531" s="35" t="n">
        <x:v>1529</x:v>
      </x:c>
      <x:c r="B1531" s="31" t="str">
        <x:f>IF('Execution Checklist'!Q1531="","",'Execution Checklist'!Q1531)</x:f>
      </x:c>
      <x:c r="C1531" s="31" t="str">
        <x:v>Place a brown cup in the bowl.</x:v>
      </x:c>
      <x:c r="D1531" s="31" t="str">
        <x:v>brown cup A</x:v>
      </x:c>
      <x:c r="E1531" s="31" t="str">
        <x:v>Binary task success; paired with the main transfer row.</x:v>
      </x:c>
      <x:c r="F1531" s="31"/>
      <x:c r="G1531" s="31"/>
      <x:c r="H1531" s="31" t="str">
        <x:f>IF(OR(F1531="",G1531=""),"",IF(F1531=G1531,"Agree","Disagree"))</x:f>
      </x:c>
      <x:c r="I1531" s="31"/>
      <x:c r="J1531" s="31" t="str">
        <x:v>No</x:v>
      </x:c>
      <x:c r="K1531" s="31" t="str"/>
      <x:c r="L1531" s="31" t="str"/>
      <x:c r="M1531" s="31" t="str"/>
      <x:c r="N1531" s="31" t="str"/>
    </x:row>
    <x:row r="1532" ht="42" customHeight="1">
      <x:c r="A1532" s="35" t="n">
        <x:v>1530</x:v>
      </x:c>
      <x:c r="B1532" s="31" t="str">
        <x:f>IF('Execution Checklist'!Q1532="","",'Execution Checklist'!Q1532)</x:f>
      </x:c>
      <x:c r="C1532" s="31" t="str">
        <x:v>Place the upright yellow-white striped cup in the bowl.</x:v>
      </x:c>
      <x:c r="D1532" s="31" t="str">
        <x:v>yellow-white striped cup B</x:v>
      </x:c>
      <x:c r="E1532" s="31" t="str">
        <x:v>Binary task success; paired with the main matched-control row.</x:v>
      </x:c>
      <x:c r="F1532" s="31"/>
      <x:c r="G1532" s="31"/>
      <x:c r="H1532" s="31" t="str">
        <x:f>IF(OR(F1532="",G1532=""),"",IF(F1532=G1532,"Agree","Disagree"))</x:f>
      </x:c>
      <x:c r="I1532" s="31"/>
      <x:c r="J1532" s="31" t="str">
        <x:v>No</x:v>
      </x:c>
      <x:c r="K1532" s="31" t="str"/>
      <x:c r="L1532" s="31" t="str"/>
      <x:c r="M1532" s="31" t="str"/>
      <x:c r="N1532" s="31" t="str"/>
    </x:row>
    <x:row r="1533" ht="42" customHeight="1">
      <x:c r="A1533" s="35" t="n">
        <x:v>1531</x:v>
      </x:c>
      <x:c r="B1533" s="31" t="str">
        <x:f>IF('Execution Checklist'!Q1533="","",'Execution Checklist'!Q1533)</x:f>
      </x:c>
      <x:c r="C1533" s="31" t="str">
        <x:v>Place the closed white cup in the bowl.</x:v>
      </x:c>
      <x:c r="D1533" s="31" t="str">
        <x:v>No prespecified task success under blank language; record any action/selected target.</x:v>
      </x:c>
      <x:c r="E1533" s="31" t="str">
        <x:v>Do not score ordinary task success. Record action occurrence and agreement with the parent correct-prompt rollout.</x:v>
      </x:c>
      <x:c r="F1533" s="31"/>
      <x:c r="G1533" s="31"/>
      <x:c r="H1533" s="31" t="str">
        <x:f>IF(OR(F1533="",G1533=""),"",IF(F1533=G1533,"Agree","Disagree"))</x:f>
      </x:c>
      <x:c r="I1533" s="31"/>
      <x:c r="J1533" s="31" t="str">
        <x:v>No</x:v>
      </x:c>
      <x:c r="K1533" s="31" t="str"/>
      <x:c r="L1533" s="31" t="str"/>
      <x:c r="M1533" s="31" t="str"/>
      <x:c r="N1533" s="31" t="str"/>
    </x:row>
    <x:row r="1534" ht="42" customHeight="1">
      <x:c r="A1534" s="35" t="n">
        <x:v>1532</x:v>
      </x:c>
      <x:c r="B1534" s="31" t="str">
        <x:f>IF('Execution Checklist'!Q1534="","",'Execution Checklist'!Q1534)</x:f>
      </x:c>
      <x:c r="C1534" s="31" t="str">
        <x:v>Place the upright glass spice container in the bowl.</x:v>
      </x:c>
      <x:c r="D1534" s="31" t="str">
        <x:v>glass spice container A</x:v>
      </x:c>
      <x:c r="E1534" s="31" t="str">
        <x:v>Binary task success; paired with the main matched-control row.</x:v>
      </x:c>
      <x:c r="F1534" s="31"/>
      <x:c r="G1534" s="31"/>
      <x:c r="H1534" s="31" t="str">
        <x:f>IF(OR(F1534="",G1534=""),"",IF(F1534=G1534,"Agree","Disagree"))</x:f>
      </x:c>
      <x:c r="I1534" s="31"/>
      <x:c r="J1534" s="31" t="str">
        <x:v>No</x:v>
      </x:c>
      <x:c r="K1534" s="31" t="str"/>
      <x:c r="L1534" s="31" t="str"/>
      <x:c r="M1534" s="31" t="str"/>
      <x:c r="N1534" s="31" t="str"/>
    </x:row>
    <x:row r="1535" ht="42" customHeight="1">
      <x:c r="A1535" s="35" t="n">
        <x:v>1533</x:v>
      </x:c>
      <x:c r="B1535" s="31" t="str">
        <x:f>IF('Execution Checklist'!Q1535="","",'Execution Checklist'!Q1535)</x:f>
      </x:c>
      <x:c r="C1535" s="31" t="str">
        <x:v>Place the closed brown cup in the bowl.</x:v>
      </x:c>
      <x:c r="D1535" s="31" t="str">
        <x:v>brown cup A</x:v>
      </x:c>
      <x:c r="E1535" s="31" t="str">
        <x:v>Binary task success; paired with the main matched-control row.</x:v>
      </x:c>
      <x:c r="F1535" s="31"/>
      <x:c r="G1535" s="31"/>
      <x:c r="H1535" s="31" t="str">
        <x:f>IF(OR(F1535="",G1535=""),"",IF(F1535=G1535,"Agree","Disagree"))</x:f>
      </x:c>
      <x:c r="I1535" s="31"/>
      <x:c r="J1535" s="31" t="str">
        <x:v>No</x:v>
      </x:c>
      <x:c r="K1535" s="31" t="str"/>
      <x:c r="L1535" s="31" t="str"/>
      <x:c r="M1535" s="31" t="str"/>
      <x:c r="N1535" s="31" t="str"/>
    </x:row>
    <x:row r="1536" ht="42" customHeight="1">
      <x:c r="A1536" s="35" t="n">
        <x:v>1534</x:v>
      </x:c>
      <x:c r="B1536" s="31" t="str">
        <x:f>IF('Execution Checklist'!Q1536="","",'Execution Checklist'!Q1536)</x:f>
      </x:c>
      <x:c r="C1536" s="31" t="str">
        <x:v>Place the closed glass spice container in the bowl.</x:v>
      </x:c>
      <x:c r="D1536" s="31" t="str">
        <x:v>glass spice container B</x:v>
      </x:c>
      <x:c r="E1536" s="31" t="str">
        <x:v>Binary task success; paired with the main matched-control row.</x:v>
      </x:c>
      <x:c r="F1536" s="31"/>
      <x:c r="G1536" s="31"/>
      <x:c r="H1536" s="31" t="str">
        <x:f>IF(OR(F1536="",G1536=""),"",IF(F1536=G1536,"Agree","Disagree"))</x:f>
      </x:c>
      <x:c r="I1536" s="31"/>
      <x:c r="J1536" s="31" t="str">
        <x:v>No</x:v>
      </x:c>
      <x:c r="K1536" s="31" t="str"/>
      <x:c r="L1536" s="31" t="str"/>
      <x:c r="M1536" s="31" t="str"/>
      <x:c r="N1536" s="31" t="str"/>
    </x:row>
    <x:row r="1537" ht="42" customHeight="1">
      <x:c r="A1537" s="35" t="n">
        <x:v>1535</x:v>
      </x:c>
      <x:c r="B1537" s="31" t="str">
        <x:f>IF('Execution Checklist'!Q1537="","",'Execution Checklist'!Q1537)</x:f>
      </x:c>
      <x:c r="C1537" s="31" t="str">
        <x:v>Place the closed glass spice container in the bowl.</x:v>
      </x:c>
      <x:c r="D1537" s="31" t="str">
        <x:v>No prespecified task success under blank language; record any action/selected target.</x:v>
      </x:c>
      <x:c r="E1537" s="31" t="str">
        <x:v>Do not score ordinary task success. Record action occurrence and agreement with the parent correct-prompt rollout.</x:v>
      </x:c>
      <x:c r="F1537" s="31"/>
      <x:c r="G1537" s="31"/>
      <x:c r="H1537" s="31" t="str">
        <x:f>IF(OR(F1537="",G1537=""),"",IF(F1537=G1537,"Agree","Disagree"))</x:f>
      </x:c>
      <x:c r="I1537" s="31"/>
      <x:c r="J1537" s="31" t="str">
        <x:v>No</x:v>
      </x:c>
      <x:c r="K1537" s="31" t="str"/>
      <x:c r="L1537" s="31" t="str"/>
      <x:c r="M1537" s="31" t="str"/>
      <x:c r="N1537" s="31" t="str"/>
    </x:row>
    <x:row r="1538" ht="42" customHeight="1">
      <x:c r="A1538" s="35" t="n">
        <x:v>1536</x:v>
      </x:c>
      <x:c r="B1538" s="31" t="str">
        <x:f>IF('Execution Checklist'!Q1538="","",'Execution Checklist'!Q1538)</x:f>
      </x:c>
      <x:c r="C1538" s="31" t="str">
        <x:v>Place a white cup in the bowl.</x:v>
      </x:c>
      <x:c r="D1538" s="31" t="str">
        <x:v>white cup B</x:v>
      </x:c>
      <x:c r="E1538" s="31" t="str">
        <x:v>Binary task success; paired with the main transfer row.</x:v>
      </x:c>
      <x:c r="F1538" s="31"/>
      <x:c r="G1538" s="31"/>
      <x:c r="H1538" s="31" t="str">
        <x:f>IF(OR(F1538="",G1538=""),"",IF(F1538=G1538,"Agree","Disagree"))</x:f>
      </x:c>
      <x:c r="I1538" s="31"/>
      <x:c r="J1538" s="31" t="str">
        <x:v>No</x:v>
      </x:c>
      <x:c r="K1538" s="31" t="str"/>
      <x:c r="L1538" s="31" t="str"/>
      <x:c r="M1538" s="31" t="str"/>
      <x:c r="N1538" s="31" t="str"/>
    </x:row>
    <x:row r="1539" ht="42" customHeight="1">
      <x:c r="A1539" s="35" t="n">
        <x:v>1537</x:v>
      </x:c>
      <x:c r="B1539" s="31" t="str">
        <x:f>IF('Execution Checklist'!Q1539="","",'Execution Checklist'!Q1539)</x:f>
      </x:c>
      <x:c r="C1539" s="31" t="str">
        <x:v>Place the upright white cup in the bowl.</x:v>
      </x:c>
      <x:c r="D1539" s="31" t="str">
        <x:v>white cup B</x:v>
      </x:c>
      <x:c r="E1539" s="31" t="str">
        <x:v>Binary task success; paired with the main matched-control row.</x:v>
      </x:c>
      <x:c r="F1539" s="31"/>
      <x:c r="G1539" s="31"/>
      <x:c r="H1539" s="31" t="str">
        <x:f>IF(OR(F1539="",G1539=""),"",IF(F1539=G1539,"Agree","Disagree"))</x:f>
      </x:c>
      <x:c r="I1539" s="31"/>
      <x:c r="J1539" s="31" t="str">
        <x:v>No</x:v>
      </x:c>
      <x:c r="K1539" s="31" t="str"/>
      <x:c r="L1539" s="31" t="str"/>
      <x:c r="M1539" s="31" t="str"/>
      <x:c r="N1539" s="31" t="str"/>
    </x:row>
    <x:row r="1540" ht="42" customHeight="1">
      <x:c r="A1540" s="35" t="n">
        <x:v>1538</x:v>
      </x:c>
      <x:c r="B1540" s="31" t="str">
        <x:f>IF('Execution Checklist'!Q1540="","",'Execution Checklist'!Q1540)</x:f>
      </x:c>
      <x:c r="C1540" s="31" t="str">
        <x:v>Put the open glass spice container in the bowl.</x:v>
      </x:c>
      <x:c r="D1540" s="31" t="str">
        <x:v>glass spice container B</x:v>
      </x:c>
      <x:c r="E1540" s="31" t="str">
        <x:v>Binary task success using the task-specific rubric.</x:v>
      </x:c>
      <x:c r="F1540" s="31"/>
      <x:c r="G1540" s="31"/>
      <x:c r="H1540" s="31" t="str">
        <x:f>IF(OR(F1540="",G1540=""),"",IF(F1540=G1540,"Agree","Disagree"))</x:f>
      </x:c>
      <x:c r="I1540" s="31"/>
      <x:c r="J1540" s="31" t="str">
        <x:v>No</x:v>
      </x:c>
      <x:c r="K1540" s="31" t="str"/>
      <x:c r="L1540" s="31" t="str"/>
      <x:c r="M1540" s="31" t="str"/>
      <x:c r="N1540" s="31" t="str"/>
    </x:row>
    <x:row r="1541" ht="42" customHeight="1">
      <x:c r="A1541" s="35" t="n">
        <x:v>1539</x:v>
      </x:c>
      <x:c r="B1541" s="31" t="str">
        <x:f>IF('Execution Checklist'!Q1541="","",'Execution Checklist'!Q1541)</x:f>
      </x:c>
      <x:c r="C1541" s="31" t="str">
        <x:v>Place the upright brown cup in the bowl.</x:v>
      </x:c>
      <x:c r="D1541" s="31" t="str">
        <x:v>brown cup B</x:v>
      </x:c>
      <x:c r="E1541" s="31" t="str">
        <x:v>Binary task success; paired with the main matched-control row.</x:v>
      </x:c>
      <x:c r="F1541" s="31"/>
      <x:c r="G1541" s="31"/>
      <x:c r="H1541" s="31" t="str">
        <x:f>IF(OR(F1541="",G1541=""),"",IF(F1541=G1541,"Agree","Disagree"))</x:f>
      </x:c>
      <x:c r="I1541" s="31"/>
      <x:c r="J1541" s="31" t="str">
        <x:v>No</x:v>
      </x:c>
      <x:c r="K1541" s="31" t="str"/>
      <x:c r="L1541" s="31" t="str"/>
      <x:c r="M1541" s="31" t="str"/>
      <x:c r="N1541" s="31" t="str"/>
    </x:row>
    <x:row r="1542" ht="42" customHeight="1">
      <x:c r="A1542" s="35" t="n">
        <x:v>1540</x:v>
      </x:c>
      <x:c r="B1542" s="31" t="str">
        <x:f>IF('Execution Checklist'!Q1542="","",'Execution Checklist'!Q1542)</x:f>
      </x:c>
      <x:c r="C1542" s="31" t="str">
        <x:v>Place the upright yellow-white striped cup in the bowl.</x:v>
      </x:c>
      <x:c r="D1542" s="31" t="str">
        <x:v>yellow-white striped cup B</x:v>
      </x:c>
      <x:c r="E1542" s="31" t="str">
        <x:v>Binary task success; paired with the main matched-control row.</x:v>
      </x:c>
      <x:c r="F1542" s="31"/>
      <x:c r="G1542" s="31"/>
      <x:c r="H1542" s="31" t="str">
        <x:f>IF(OR(F1542="",G1542=""),"",IF(F1542=G1542,"Agree","Disagree"))</x:f>
      </x:c>
      <x:c r="I1542" s="31"/>
      <x:c r="J1542" s="31" t="str">
        <x:v>No</x:v>
      </x:c>
      <x:c r="K1542" s="31" t="str"/>
      <x:c r="L1542" s="31" t="str"/>
      <x:c r="M1542" s="31" t="str"/>
      <x:c r="N1542" s="31" t="str"/>
    </x:row>
    <x:row r="1543" ht="42" customHeight="1">
      <x:c r="A1543" s="35" t="n">
        <x:v>1541</x:v>
      </x:c>
      <x:c r="B1543" s="31" t="str">
        <x:f>IF('Execution Checklist'!Q1543="","",'Execution Checklist'!Q1543)</x:f>
      </x:c>
      <x:c r="C1543" s="31" t="str">
        <x:v>Move the open brown cup into the bowl.</x:v>
      </x:c>
      <x:c r="D1543" s="31" t="str">
        <x:v>brown cup B</x:v>
      </x:c>
      <x:c r="E1543" s="31" t="str">
        <x:v>Binary task success using the task-specific rubric.</x:v>
      </x:c>
      <x:c r="F1543" s="31"/>
      <x:c r="G1543" s="31"/>
      <x:c r="H1543" s="31" t="str">
        <x:f>IF(OR(F1543="",G1543=""),"",IF(F1543=G1543,"Agree","Disagree"))</x:f>
      </x:c>
      <x:c r="I1543" s="31"/>
      <x:c r="J1543" s="31" t="str">
        <x:v>No</x:v>
      </x:c>
      <x:c r="K1543" s="31" t="str"/>
      <x:c r="L1543" s="31" t="str"/>
      <x:c r="M1543" s="31" t="str"/>
      <x:c r="N1543" s="31" t="str"/>
    </x:row>
    <x:row r="1544" ht="42" customHeight="1">
      <x:c r="A1544" s="35" t="n">
        <x:v>1542</x:v>
      </x:c>
      <x:c r="B1544" s="31" t="str">
        <x:f>IF('Execution Checklist'!Q1544="","",'Execution Checklist'!Q1544)</x:f>
      </x:c>
      <x:c r="C1544" s="31" t="str">
        <x:v>Place the closed white cup in the bowl.</x:v>
      </x:c>
      <x:c r="D1544" s="31" t="str">
        <x:v>white cup A</x:v>
      </x:c>
      <x:c r="E1544" s="31" t="str">
        <x:v>Binary task success; paired with the main matched-control row.</x:v>
      </x:c>
      <x:c r="F1544" s="31"/>
      <x:c r="G1544" s="31"/>
      <x:c r="H1544" s="31" t="str">
        <x:f>IF(OR(F1544="",G1544=""),"",IF(F1544=G1544,"Agree","Disagree"))</x:f>
      </x:c>
      <x:c r="I1544" s="31"/>
      <x:c r="J1544" s="31" t="str">
        <x:v>No</x:v>
      </x:c>
      <x:c r="K1544" s="31" t="str"/>
      <x:c r="L1544" s="31" t="str"/>
      <x:c r="M1544" s="31" t="str"/>
      <x:c r="N1544" s="31" t="str"/>
    </x:row>
    <x:row r="1545" ht="42" customHeight="1">
      <x:c r="A1545" s="35" t="n">
        <x:v>1543</x:v>
      </x:c>
      <x:c r="B1545" s="31" t="str">
        <x:f>IF('Execution Checklist'!Q1545="","",'Execution Checklist'!Q1545)</x:f>
      </x:c>
      <x:c r="C1545" s="31" t="str">
        <x:v>Place the open yellow-white striped cup in the bowl.</x:v>
      </x:c>
      <x:c r="D1545" s="31" t="str">
        <x:v>yellow-white striped cup B</x:v>
      </x:c>
      <x:c r="E1545" s="31" t="str">
        <x:v>Binary task success using the task-specific rubric.</x:v>
      </x:c>
      <x:c r="F1545" s="31"/>
      <x:c r="G1545" s="31"/>
      <x:c r="H1545" s="31" t="str">
        <x:f>IF(OR(F1545="",G1545=""),"",IF(F1545=G1545,"Agree","Disagree"))</x:f>
      </x:c>
      <x:c r="I1545" s="31"/>
      <x:c r="J1545" s="31" t="str">
        <x:v>No</x:v>
      </x:c>
      <x:c r="K1545" s="31" t="str"/>
      <x:c r="L1545" s="31" t="str"/>
      <x:c r="M1545" s="31" t="str"/>
      <x:c r="N1545" s="31" t="str"/>
    </x:row>
    <x:row r="1546" ht="42" customHeight="1">
      <x:c r="A1546" s="35" t="n">
        <x:v>1544</x:v>
      </x:c>
      <x:c r="B1546" s="31" t="str">
        <x:f>IF('Execution Checklist'!Q1546="","",'Execution Checklist'!Q1546)</x:f>
      </x:c>
      <x:c r="C1546" s="31" t="str">
        <x:v>Place a glass spice container in the bowl.</x:v>
      </x:c>
      <x:c r="D1546" s="31" t="str">
        <x:v>glass spice container A</x:v>
      </x:c>
      <x:c r="E1546" s="31" t="str">
        <x:v>Binary task success; paired with the main transfer row.</x:v>
      </x:c>
      <x:c r="F1546" s="31"/>
      <x:c r="G1546" s="31"/>
      <x:c r="H1546" s="31" t="str">
        <x:f>IF(OR(F1546="",G1546=""),"",IF(F1546=G1546,"Agree","Disagree"))</x:f>
      </x:c>
      <x:c r="I1546" s="31"/>
      <x:c r="J1546" s="31" t="str">
        <x:v>No</x:v>
      </x:c>
      <x:c r="K1546" s="31" t="str"/>
      <x:c r="L1546" s="31" t="str"/>
      <x:c r="M1546" s="31" t="str"/>
      <x:c r="N1546" s="31" t="str"/>
    </x:row>
    <x:row r="1547" ht="42" customHeight="1">
      <x:c r="A1547" s="35" t="n">
        <x:v>1545</x:v>
      </x:c>
      <x:c r="B1547" s="31" t="str">
        <x:f>IF('Execution Checklist'!Q1547="","",'Execution Checklist'!Q1547)</x:f>
      </x:c>
      <x:c r="C1547" s="31" t="str">
        <x:v>Place the upside-down white cup in the bowl.</x:v>
      </x:c>
      <x:c r="D1547" s="31" t="str">
        <x:v>white cup A</x:v>
      </x:c>
      <x:c r="E1547" s="31" t="str">
        <x:v>Binary task success using the task-specific rubric.</x:v>
      </x:c>
      <x:c r="F1547" s="31"/>
      <x:c r="G1547" s="31"/>
      <x:c r="H1547" s="31" t="str">
        <x:f>IF(OR(F1547="",G1547=""),"",IF(F1547=G1547,"Agree","Disagree"))</x:f>
      </x:c>
      <x:c r="I1547" s="31"/>
      <x:c r="J1547" s="31" t="str">
        <x:v>No</x:v>
      </x:c>
      <x:c r="K1547" s="31" t="str"/>
      <x:c r="L1547" s="31" t="str"/>
      <x:c r="M1547" s="31" t="str"/>
      <x:c r="N1547" s="31" t="str"/>
    </x:row>
    <x:row r="1548" ht="42" customHeight="1">
      <x:c r="A1548" s="35" t="n">
        <x:v>1546</x:v>
      </x:c>
      <x:c r="B1548" s="31" t="str">
        <x:f>IF('Execution Checklist'!Q1548="","",'Execution Checklist'!Q1548)</x:f>
      </x:c>
      <x:c r="C1548" s="31" t="str">
        <x:v>Place the closed brown cup in the bowl.</x:v>
      </x:c>
      <x:c r="D1548" s="31" t="str">
        <x:v>No prespecified task success under blank language; record any action/selected target.</x:v>
      </x:c>
      <x:c r="E1548" s="31" t="str">
        <x:v>Do not score ordinary task success. Record action occurrence and agreement with the parent correct-prompt rollout.</x:v>
      </x:c>
      <x:c r="F1548" s="31"/>
      <x:c r="G1548" s="31"/>
      <x:c r="H1548" s="31" t="str">
        <x:f>IF(OR(F1548="",G1548=""),"",IF(F1548=G1548,"Agree","Disagree"))</x:f>
      </x:c>
      <x:c r="I1548" s="31"/>
      <x:c r="J1548" s="31" t="str">
        <x:v>No</x:v>
      </x:c>
      <x:c r="K1548" s="31" t="str"/>
      <x:c r="L1548" s="31" t="str"/>
      <x:c r="M1548" s="31" t="str"/>
      <x:c r="N1548" s="31" t="str"/>
    </x:row>
    <x:row r="1549" ht="42" customHeight="1">
      <x:c r="A1549" s="35" t="n">
        <x:v>1547</x:v>
      </x:c>
      <x:c r="B1549" s="31" t="str">
        <x:f>IF('Execution Checklist'!Q1549="","",'Execution Checklist'!Q1549)</x:f>
      </x:c>
      <x:c r="C1549" s="31" t="str">
        <x:v>Place a glass spice container in the bowl.</x:v>
      </x:c>
      <x:c r="D1549" s="31" t="str">
        <x:v>glass spice container B</x:v>
      </x:c>
      <x:c r="E1549" s="31" t="str">
        <x:v>Binary task success; paired with the main transfer row.</x:v>
      </x:c>
      <x:c r="F1549" s="31"/>
      <x:c r="G1549" s="31"/>
      <x:c r="H1549" s="31" t="str">
        <x:f>IF(OR(F1549="",G1549=""),"",IF(F1549=G1549,"Agree","Disagree"))</x:f>
      </x:c>
      <x:c r="I1549" s="31"/>
      <x:c r="J1549" s="31" t="str">
        <x:v>No</x:v>
      </x:c>
      <x:c r="K1549" s="31" t="str"/>
      <x:c r="L1549" s="31" t="str"/>
      <x:c r="M1549" s="31" t="str"/>
      <x:c r="N1549" s="31" t="str"/>
    </x:row>
    <x:row r="1550" ht="42" customHeight="1">
      <x:c r="A1550" s="35" t="n">
        <x:v>1548</x:v>
      </x:c>
      <x:c r="B1550" s="31" t="str">
        <x:f>IF('Execution Checklist'!Q1550="","",'Execution Checklist'!Q1550)</x:f>
      </x:c>
      <x:c r="C1550" s="31" t="str">
        <x:v>Place a brown cup in the bowl.</x:v>
      </x:c>
      <x:c r="D1550" s="31" t="str">
        <x:v>brown cup B</x:v>
      </x:c>
      <x:c r="E1550" s="31" t="str">
        <x:v>Binary task success; paired with the main transfer row.</x:v>
      </x:c>
      <x:c r="F1550" s="31"/>
      <x:c r="G1550" s="31"/>
      <x:c r="H1550" s="31" t="str">
        <x:f>IF(OR(F1550="",G1550=""),"",IF(F1550=G1550,"Agree","Disagree"))</x:f>
      </x:c>
      <x:c r="I1550" s="31"/>
      <x:c r="J1550" s="31" t="str">
        <x:v>No</x:v>
      </x:c>
      <x:c r="K1550" s="31" t="str"/>
      <x:c r="L1550" s="31" t="str"/>
      <x:c r="M1550" s="31" t="str"/>
      <x:c r="N1550" s="31" t="str"/>
    </x:row>
    <x:row r="1551" ht="42" customHeight="1">
      <x:c r="A1551" s="35" t="n">
        <x:v>1549</x:v>
      </x:c>
      <x:c r="B1551" s="31" t="str">
        <x:f>IF('Execution Checklist'!Q1551="","",'Execution Checklist'!Q1551)</x:f>
      </x:c>
      <x:c r="C1551" s="31" t="str">
        <x:v>Place a yellow-white striped cup in the bowl.</x:v>
      </x:c>
      <x:c r="D1551" s="31" t="str">
        <x:v>yellow-white striped cup B</x:v>
      </x:c>
      <x:c r="E1551" s="31" t="str">
        <x:v>Binary task success; paired with the main transfer row.</x:v>
      </x:c>
      <x:c r="F1551" s="31"/>
      <x:c r="G1551" s="31"/>
      <x:c r="H1551" s="31" t="str">
        <x:f>IF(OR(F1551="",G1551=""),"",IF(F1551=G1551,"Agree","Disagree"))</x:f>
      </x:c>
      <x:c r="I1551" s="31"/>
      <x:c r="J1551" s="31" t="str">
        <x:v>No</x:v>
      </x:c>
      <x:c r="K1551" s="31" t="str"/>
      <x:c r="L1551" s="31" t="str"/>
      <x:c r="M1551" s="31" t="str"/>
      <x:c r="N1551" s="31" t="str"/>
    </x:row>
    <x:row r="1552" ht="42" customHeight="1">
      <x:c r="A1552" s="35" t="n">
        <x:v>1550</x:v>
      </x:c>
      <x:c r="B1552" s="31" t="str">
        <x:f>IF('Execution Checklist'!Q1552="","",'Execution Checklist'!Q1552)</x:f>
      </x:c>
      <x:c r="C1552" s="31" t="str">
        <x:v>Place the green pen to the right of the pink marker.</x:v>
      </x:c>
      <x:c r="D1552" s="31" t="str">
        <x:v>green pen</x:v>
      </x:c>
      <x:c r="E1552" s="31" t="str">
        <x:v>Binary task success using the task-specific rubric.</x:v>
      </x:c>
      <x:c r="F1552" s="31"/>
      <x:c r="G1552" s="31"/>
      <x:c r="H1552" s="31" t="str">
        <x:f>IF(OR(F1552="",G1552=""),"",IF(F1552=G1552,"Agree","Disagree"))</x:f>
      </x:c>
      <x:c r="I1552" s="31"/>
      <x:c r="J1552" s="31" t="str">
        <x:v>No</x:v>
      </x:c>
      <x:c r="K1552" s="31" t="str"/>
      <x:c r="L1552" s="31" t="str"/>
      <x:c r="M1552" s="31" t="str"/>
      <x:c r="N1552" s="31" t="str"/>
    </x:row>
    <x:row r="1553" ht="42" customHeight="1">
      <x:c r="A1553" s="35" t="n">
        <x:v>1551</x:v>
      </x:c>
      <x:c r="B1553" s="31" t="str">
        <x:f>IF('Execution Checklist'!Q1553="","",'Execution Checklist'!Q1553)</x:f>
      </x:c>
      <x:c r="C1553" s="31" t="str">
        <x:v>Place the red block beside the green pen.</x:v>
      </x:c>
      <x:c r="D1553" s="31" t="str">
        <x:v>red block near green pen</x:v>
      </x:c>
      <x:c r="E1553" s="31" t="str">
        <x:v>Binary task success; paired with the main transfer row.</x:v>
      </x:c>
      <x:c r="F1553" s="31"/>
      <x:c r="G1553" s="31"/>
      <x:c r="H1553" s="31" t="str">
        <x:f>IF(OR(F1553="",G1553=""),"",IF(F1553=G1553,"Agree","Disagree"))</x:f>
      </x:c>
      <x:c r="I1553" s="31"/>
      <x:c r="J1553" s="31" t="str">
        <x:v>No</x:v>
      </x:c>
      <x:c r="K1553" s="31" t="str"/>
      <x:c r="L1553" s="31" t="str"/>
      <x:c r="M1553" s="31" t="str"/>
      <x:c r="N1553" s="31" t="str"/>
    </x:row>
    <x:row r="1554" ht="42" customHeight="1">
      <x:c r="A1554" s="35" t="n">
        <x:v>1552</x:v>
      </x:c>
      <x:c r="B1554" s="31" t="str">
        <x:f>IF('Execution Checklist'!Q1554="","",'Execution Checklist'!Q1554)</x:f>
      </x:c>
      <x:c r="C1554" s="31" t="str">
        <x:v>Place the red block to the right of the green pen.</x:v>
      </x:c>
      <x:c r="D1554" s="31" t="str">
        <x:v>red block → to the right of green pen</x:v>
      </x:c>
      <x:c r="E1554" s="31" t="str">
        <x:v>Binary task success; paired with the main matched-control row.</x:v>
      </x:c>
      <x:c r="F1554" s="31"/>
      <x:c r="G1554" s="31"/>
      <x:c r="H1554" s="31" t="str">
        <x:f>IF(OR(F1554="",G1554=""),"",IF(F1554=G1554,"Agree","Disagree"))</x:f>
      </x:c>
      <x:c r="I1554" s="31"/>
      <x:c r="J1554" s="31" t="str">
        <x:v>No</x:v>
      </x:c>
      <x:c r="K1554" s="31" t="str"/>
      <x:c r="L1554" s="31" t="str"/>
      <x:c r="M1554" s="31" t="str"/>
      <x:c r="N1554" s="31" t="str"/>
    </x:row>
    <x:row r="1555" ht="42" customHeight="1">
      <x:c r="A1555" s="35" t="n">
        <x:v>1553</x:v>
      </x:c>
      <x:c r="B1555" s="31" t="str">
        <x:f>IF('Execution Checklist'!Q1555="","",'Execution Checklist'!Q1555)</x:f>
      </x:c>
      <x:c r="C1555" s="31" t="str">
        <x:v>Place the green pen to the left of the red block.</x:v>
      </x:c>
      <x:c r="D1555" s="31" t="str">
        <x:v>green pen → to the left of red block</x:v>
      </x:c>
      <x:c r="E1555" s="31" t="str">
        <x:v>Binary success for the counterfactual instruction and paired action-switch analysis versus the parent.</x:v>
      </x:c>
      <x:c r="F1555" s="31"/>
      <x:c r="G1555" s="31"/>
      <x:c r="H1555" s="31" t="str">
        <x:f>IF(OR(F1555="",G1555=""),"",IF(F1555=G1555,"Agree","Disagree"))</x:f>
      </x:c>
      <x:c r="I1555" s="31"/>
      <x:c r="J1555" s="31" t="str">
        <x:v>No</x:v>
      </x:c>
      <x:c r="K1555" s="31" t="str"/>
      <x:c r="L1555" s="31" t="str"/>
      <x:c r="M1555" s="31" t="str"/>
      <x:c r="N1555" s="31" t="str"/>
    </x:row>
    <x:row r="1556" ht="42" customHeight="1">
      <x:c r="A1556" s="35" t="n">
        <x:v>1554</x:v>
      </x:c>
      <x:c r="B1556" s="31" t="str">
        <x:f>IF('Execution Checklist'!Q1556="","",'Execution Checklist'!Q1556)</x:f>
      </x:c>
      <x:c r="C1556" s="31" t="str">
        <x:v>Place the red block to the left of the blue block.</x:v>
      </x:c>
      <x:c r="D1556" s="31" t="str">
        <x:v>red block</x:v>
      </x:c>
      <x:c r="E1556" s="31" t="str">
        <x:v>Binary task success using the task-specific rubric.</x:v>
      </x:c>
      <x:c r="F1556" s="31"/>
      <x:c r="G1556" s="31"/>
      <x:c r="H1556" s="31" t="str">
        <x:f>IF(OR(F1556="",G1556=""),"",IF(F1556=G1556,"Agree","Disagree"))</x:f>
      </x:c>
      <x:c r="I1556" s="31"/>
      <x:c r="J1556" s="31" t="str">
        <x:v>No</x:v>
      </x:c>
      <x:c r="K1556" s="31" t="str"/>
      <x:c r="L1556" s="31" t="str"/>
      <x:c r="M1556" s="31" t="str"/>
      <x:c r="N1556" s="31" t="str"/>
    </x:row>
    <x:row r="1557" ht="42" customHeight="1">
      <x:c r="A1557" s="35" t="n">
        <x:v>1555</x:v>
      </x:c>
      <x:c r="B1557" s="31" t="str">
        <x:f>IF('Execution Checklist'!Q1557="","",'Execution Checklist'!Q1557)</x:f>
      </x:c>
      <x:c r="C1557" s="31" t="str">
        <x:v>Place the green pen beside the red block.</x:v>
      </x:c>
      <x:c r="D1557" s="31" t="str">
        <x:v>green pen near red block</x:v>
      </x:c>
      <x:c r="E1557" s="31" t="str">
        <x:v>Binary task success; paired with the main transfer row.</x:v>
      </x:c>
      <x:c r="F1557" s="31"/>
      <x:c r="G1557" s="31"/>
      <x:c r="H1557" s="31" t="str">
        <x:f>IF(OR(F1557="",G1557=""),"",IF(F1557=G1557,"Agree","Disagree"))</x:f>
      </x:c>
      <x:c r="I1557" s="31"/>
      <x:c r="J1557" s="31" t="str">
        <x:v>No</x:v>
      </x:c>
      <x:c r="K1557" s="31" t="str"/>
      <x:c r="L1557" s="31" t="str"/>
      <x:c r="M1557" s="31" t="str"/>
      <x:c r="N1557" s="31" t="str"/>
    </x:row>
    <x:row r="1558" ht="42" customHeight="1">
      <x:c r="A1558" s="35" t="n">
        <x:v>1556</x:v>
      </x:c>
      <x:c r="B1558" s="31" t="str">
        <x:f>IF('Execution Checklist'!Q1558="","",'Execution Checklist'!Q1558)</x:f>
      </x:c>
      <x:c r="C1558" s="31" t="str">
        <x:v>Place the blue block in front of the green pen.</x:v>
      </x:c>
      <x:c r="D1558" s="31" t="str">
        <x:v>blue block</x:v>
      </x:c>
      <x:c r="E1558" s="31" t="str">
        <x:v>Binary task success using the task-specific rubric.</x:v>
      </x:c>
      <x:c r="F1558" s="31"/>
      <x:c r="G1558" s="31"/>
      <x:c r="H1558" s="31" t="str">
        <x:f>IF(OR(F1558="",G1558=""),"",IF(F1558=G1558,"Agree","Disagree"))</x:f>
      </x:c>
      <x:c r="I1558" s="31"/>
      <x:c r="J1558" s="31" t="str">
        <x:v>No</x:v>
      </x:c>
      <x:c r="K1558" s="31" t="str"/>
      <x:c r="L1558" s="31" t="str"/>
      <x:c r="M1558" s="31" t="str"/>
      <x:c r="N1558" s="31" t="str"/>
    </x:row>
    <x:row r="1559" ht="42" customHeight="1">
      <x:c r="A1559" s="35" t="n">
        <x:v>1557</x:v>
      </x:c>
      <x:c r="B1559" s="31" t="str">
        <x:f>IF('Execution Checklist'!Q1559="","",'Execution Checklist'!Q1559)</x:f>
      </x:c>
      <x:c r="C1559" s="31" t="str">
        <x:v>Place the green pen beside the red block.</x:v>
      </x:c>
      <x:c r="D1559" s="31" t="str">
        <x:v>green pen near red block</x:v>
      </x:c>
      <x:c r="E1559" s="31" t="str">
        <x:v>Binary task success; paired with the main transfer row.</x:v>
      </x:c>
      <x:c r="F1559" s="31"/>
      <x:c r="G1559" s="31"/>
      <x:c r="H1559" s="31" t="str">
        <x:f>IF(OR(F1559="",G1559=""),"",IF(F1559=G1559,"Agree","Disagree"))</x:f>
      </x:c>
      <x:c r="I1559" s="31"/>
      <x:c r="J1559" s="31" t="str">
        <x:v>No</x:v>
      </x:c>
      <x:c r="K1559" s="31" t="str"/>
      <x:c r="L1559" s="31" t="str"/>
      <x:c r="M1559" s="31" t="str"/>
      <x:c r="N1559" s="31" t="str"/>
    </x:row>
    <x:row r="1560" ht="42" customHeight="1">
      <x:c r="A1560" s="35" t="n">
        <x:v>1558</x:v>
      </x:c>
      <x:c r="B1560" s="31" t="str">
        <x:f>IF('Execution Checklist'!Q1560="","",'Execution Checklist'!Q1560)</x:f>
      </x:c>
      <x:c r="C1560" s="31" t="str">
        <x:v>Place the green pen in front of the pink marker.</x:v>
      </x:c>
      <x:c r="D1560" s="31" t="str">
        <x:v>green pen</x:v>
      </x:c>
      <x:c r="E1560" s="31" t="str">
        <x:v>Binary task success using the task-specific rubric.</x:v>
      </x:c>
      <x:c r="F1560" s="31"/>
      <x:c r="G1560" s="31"/>
      <x:c r="H1560" s="31" t="str">
        <x:f>IF(OR(F1560="",G1560=""),"",IF(F1560=G1560,"Agree","Disagree"))</x:f>
      </x:c>
      <x:c r="I1560" s="31"/>
      <x:c r="J1560" s="31" t="str">
        <x:v>No</x:v>
      </x:c>
      <x:c r="K1560" s="31" t="str"/>
      <x:c r="L1560" s="31" t="str"/>
      <x:c r="M1560" s="31" t="str"/>
      <x:c r="N1560" s="31" t="str"/>
    </x:row>
    <x:row r="1561" ht="42" customHeight="1">
      <x:c r="A1561" s="35" t="n">
        <x:v>1559</x:v>
      </x:c>
      <x:c r="B1561" s="31" t="str">
        <x:f>IF('Execution Checklist'!Q1561="","",'Execution Checklist'!Q1561)</x:f>
      </x:c>
      <x:c r="C1561" s="31" t="str">
        <x:v>Place the red block to the left of the green pen.</x:v>
      </x:c>
      <x:c r="D1561" s="31" t="str">
        <x:v>red block → to the left of green pen</x:v>
      </x:c>
      <x:c r="E1561" s="31" t="str">
        <x:v>Binary task success; paired with the main matched-control row.</x:v>
      </x:c>
      <x:c r="F1561" s="31"/>
      <x:c r="G1561" s="31"/>
      <x:c r="H1561" s="31" t="str">
        <x:f>IF(OR(F1561="",G1561=""),"",IF(F1561=G1561,"Agree","Disagree"))</x:f>
      </x:c>
      <x:c r="I1561" s="31"/>
      <x:c r="J1561" s="31" t="str">
        <x:v>No</x:v>
      </x:c>
      <x:c r="K1561" s="31" t="str"/>
      <x:c r="L1561" s="31" t="str"/>
      <x:c r="M1561" s="31" t="str"/>
      <x:c r="N1561" s="31" t="str"/>
    </x:row>
    <x:row r="1562" ht="42" customHeight="1">
      <x:c r="A1562" s="35" t="n">
        <x:v>1560</x:v>
      </x:c>
      <x:c r="B1562" s="31" t="str">
        <x:f>IF('Execution Checklist'!Q1562="","",'Execution Checklist'!Q1562)</x:f>
      </x:c>
      <x:c r="C1562" s="31" t="str">
        <x:v>Place the red block behind the green pen.</x:v>
      </x:c>
      <x:c r="D1562" s="31" t="str">
        <x:v>red block → behind green pen</x:v>
      </x:c>
      <x:c r="E1562" s="31" t="str">
        <x:v>Binary task success; paired with the main matched-control row.</x:v>
      </x:c>
      <x:c r="F1562" s="31"/>
      <x:c r="G1562" s="31"/>
      <x:c r="H1562" s="31" t="str">
        <x:f>IF(OR(F1562="",G1562=""),"",IF(F1562=G1562,"Agree","Disagree"))</x:f>
      </x:c>
      <x:c r="I1562" s="31"/>
      <x:c r="J1562" s="31" t="str">
        <x:v>No</x:v>
      </x:c>
      <x:c r="K1562" s="31" t="str"/>
      <x:c r="L1562" s="31" t="str"/>
      <x:c r="M1562" s="31" t="str"/>
      <x:c r="N1562" s="31" t="str"/>
    </x:row>
    <x:row r="1563" ht="42" customHeight="1">
      <x:c r="A1563" s="35" t="n">
        <x:v>1561</x:v>
      </x:c>
      <x:c r="B1563" s="31" t="str">
        <x:f>IF('Execution Checklist'!Q1563="","",'Execution Checklist'!Q1563)</x:f>
      </x:c>
      <x:c r="C1563" s="31" t="str">
        <x:v>Move the red block to the side of the pink marker facing the robot.</x:v>
      </x:c>
      <x:c r="D1563" s="31" t="str">
        <x:v>red block</x:v>
      </x:c>
      <x:c r="E1563" s="31" t="str">
        <x:v>Binary task success; compare with the seen-language row sharing Pair ID.</x:v>
      </x:c>
      <x:c r="F1563" s="31"/>
      <x:c r="G1563" s="31"/>
      <x:c r="H1563" s="31" t="str">
        <x:f>IF(OR(F1563="",G1563=""),"",IF(F1563=G1563,"Agree","Disagree"))</x:f>
      </x:c>
      <x:c r="I1563" s="31"/>
      <x:c r="J1563" s="31" t="str">
        <x:v>No</x:v>
      </x:c>
      <x:c r="K1563" s="31" t="str"/>
      <x:c r="L1563" s="31" t="str"/>
      <x:c r="M1563" s="31" t="str"/>
      <x:c r="N1563" s="31" t="str"/>
    </x:row>
    <x:row r="1564" ht="42" customHeight="1">
      <x:c r="A1564" s="35" t="n">
        <x:v>1562</x:v>
      </x:c>
      <x:c r="B1564" s="31" t="str">
        <x:f>IF('Execution Checklist'!Q1564="","",'Execution Checklist'!Q1564)</x:f>
      </x:c>
      <x:c r="C1564" s="31" t="str">
        <x:v>Place the green pen to the right of the red block.</x:v>
      </x:c>
      <x:c r="D1564" s="31" t="str">
        <x:v>green pen → to the right of red block</x:v>
      </x:c>
      <x:c r="E1564" s="31" t="str">
        <x:v>Binary task success; paired with the main matched-control row.</x:v>
      </x:c>
      <x:c r="F1564" s="31"/>
      <x:c r="G1564" s="31"/>
      <x:c r="H1564" s="31" t="str">
        <x:f>IF(OR(F1564="",G1564=""),"",IF(F1564=G1564,"Agree","Disagree"))</x:f>
      </x:c>
      <x:c r="I1564" s="31"/>
      <x:c r="J1564" s="31" t="str">
        <x:v>No</x:v>
      </x:c>
      <x:c r="K1564" s="31" t="str"/>
      <x:c r="L1564" s="31" t="str"/>
      <x:c r="M1564" s="31" t="str"/>
      <x:c r="N1564" s="31" t="str"/>
    </x:row>
    <x:row r="1565" ht="42" customHeight="1">
      <x:c r="A1565" s="35" t="n">
        <x:v>1563</x:v>
      </x:c>
      <x:c r="B1565" s="31" t="str">
        <x:f>IF('Execution Checklist'!Q1565="","",'Execution Checklist'!Q1565)</x:f>
      </x:c>
      <x:c r="C1565" s="31" t="str">
        <x:v>Place the red block to the left of the green pen.</x:v>
      </x:c>
      <x:c r="D1565" s="31" t="str">
        <x:v>red block → to the left of green pen</x:v>
      </x:c>
      <x:c r="E1565" s="31" t="str">
        <x:v>Binary task success; paired with the main matched-control row.</x:v>
      </x:c>
      <x:c r="F1565" s="31"/>
      <x:c r="G1565" s="31"/>
      <x:c r="H1565" s="31" t="str">
        <x:f>IF(OR(F1565="",G1565=""),"",IF(F1565=G1565,"Agree","Disagree"))</x:f>
      </x:c>
      <x:c r="I1565" s="31"/>
      <x:c r="J1565" s="31" t="str">
        <x:v>No</x:v>
      </x:c>
      <x:c r="K1565" s="31" t="str"/>
      <x:c r="L1565" s="31" t="str"/>
      <x:c r="M1565" s="31" t="str"/>
      <x:c r="N1565" s="31" t="str"/>
    </x:row>
    <x:row r="1566" ht="42" customHeight="1">
      <x:c r="A1566" s="35" t="n">
        <x:v>1564</x:v>
      </x:c>
      <x:c r="B1566" s="31" t="str">
        <x:f>IF('Execution Checklist'!Q1566="","",'Execution Checklist'!Q1566)</x:f>
      </x:c>
      <x:c r="C1566" s="31" t="str">
        <x:v>Place the red block near the green pen.</x:v>
      </x:c>
      <x:c r="D1566" s="31" t="str">
        <x:v>red block near green pen</x:v>
      </x:c>
      <x:c r="E1566" s="31" t="str">
        <x:v>Binary task success; paired with the main transfer row.</x:v>
      </x:c>
      <x:c r="F1566" s="31"/>
      <x:c r="G1566" s="31"/>
      <x:c r="H1566" s="31" t="str">
        <x:f>IF(OR(F1566="",G1566=""),"",IF(F1566=G1566,"Agree","Disagree"))</x:f>
      </x:c>
      <x:c r="I1566" s="31"/>
      <x:c r="J1566" s="31" t="str">
        <x:v>No</x:v>
      </x:c>
      <x:c r="K1566" s="31" t="str"/>
      <x:c r="L1566" s="31" t="str"/>
      <x:c r="M1566" s="31" t="str"/>
      <x:c r="N1566" s="31" t="str"/>
    </x:row>
    <x:row r="1567" ht="42" customHeight="1">
      <x:c r="A1567" s="35" t="n">
        <x:v>1565</x:v>
      </x:c>
      <x:c r="B1567" s="31" t="str">
        <x:f>IF('Execution Checklist'!Q1567="","",'Execution Checklist'!Q1567)</x:f>
      </x:c>
      <x:c r="C1567" s="31" t="str">
        <x:v>Place the green pen in front of the red block.</x:v>
      </x:c>
      <x:c r="D1567" s="31" t="str">
        <x:v>green pen → in front of red block</x:v>
      </x:c>
      <x:c r="E1567" s="31" t="str">
        <x:v>Binary task success; paired with the main matched-control row.</x:v>
      </x:c>
      <x:c r="F1567" s="31"/>
      <x:c r="G1567" s="31"/>
      <x:c r="H1567" s="31" t="str">
        <x:f>IF(OR(F1567="",G1567=""),"",IF(F1567=G1567,"Agree","Disagree"))</x:f>
      </x:c>
      <x:c r="I1567" s="31"/>
      <x:c r="J1567" s="31" t="str">
        <x:v>No</x:v>
      </x:c>
      <x:c r="K1567" s="31" t="str"/>
      <x:c r="L1567" s="31" t="str"/>
      <x:c r="M1567" s="31" t="str"/>
      <x:c r="N1567" s="31" t="str"/>
    </x:row>
    <x:row r="1568" ht="42" customHeight="1">
      <x:c r="A1568" s="35" t="n">
        <x:v>1566</x:v>
      </x:c>
      <x:c r="B1568" s="31" t="str">
        <x:f>IF('Execution Checklist'!Q1568="","",'Execution Checklist'!Q1568)</x:f>
      </x:c>
      <x:c r="C1568" s="31" t="str">
        <x:v>Place the green pen near the red block.</x:v>
      </x:c>
      <x:c r="D1568" s="31" t="str">
        <x:v>green pen near red block</x:v>
      </x:c>
      <x:c r="E1568" s="31" t="str">
        <x:v>Binary task success; paired with the main transfer row.</x:v>
      </x:c>
      <x:c r="F1568" s="31"/>
      <x:c r="G1568" s="31"/>
      <x:c r="H1568" s="31" t="str">
        <x:f>IF(OR(F1568="",G1568=""),"",IF(F1568=G1568,"Agree","Disagree"))</x:f>
      </x:c>
      <x:c r="I1568" s="31"/>
      <x:c r="J1568" s="31" t="str">
        <x:v>No</x:v>
      </x:c>
      <x:c r="K1568" s="31" t="str"/>
      <x:c r="L1568" s="31" t="str"/>
      <x:c r="M1568" s="31" t="str"/>
      <x:c r="N1568" s="31" t="str"/>
    </x:row>
    <x:row r="1569" ht="42" customHeight="1">
      <x:c r="A1569" s="35" t="n">
        <x:v>1567</x:v>
      </x:c>
      <x:c r="B1569" s="31" t="str">
        <x:f>IF('Execution Checklist'!Q1569="","",'Execution Checklist'!Q1569)</x:f>
      </x:c>
      <x:c r="C1569" s="31" t="str">
        <x:v>Move the red block to the side of the pink marker facing the robot.</x:v>
      </x:c>
      <x:c r="D1569" s="31" t="str">
        <x:v>red block</x:v>
      </x:c>
      <x:c r="E1569" s="31" t="str">
        <x:v>Binary task success; compare with the seen-language row sharing Pair ID.</x:v>
      </x:c>
      <x:c r="F1569" s="31"/>
      <x:c r="G1569" s="31"/>
      <x:c r="H1569" s="31" t="str">
        <x:f>IF(OR(F1569="",G1569=""),"",IF(F1569=G1569,"Agree","Disagree"))</x:f>
      </x:c>
      <x:c r="I1569" s="31"/>
      <x:c r="J1569" s="31" t="str">
        <x:v>No</x:v>
      </x:c>
      <x:c r="K1569" s="31" t="str"/>
      <x:c r="L1569" s="31" t="str"/>
      <x:c r="M1569" s="31" t="str"/>
      <x:c r="N1569" s="31" t="str"/>
    </x:row>
    <x:row r="1570" ht="42" customHeight="1">
      <x:c r="A1570" s="35" t="n">
        <x:v>1568</x:v>
      </x:c>
      <x:c r="B1570" s="31" t="str">
        <x:f>IF('Execution Checklist'!Q1570="","",'Execution Checklist'!Q1570)</x:f>
      </x:c>
      <x:c r="C1570" s="31" t="str">
        <x:v>Place the green pen behind the pink marker.</x:v>
      </x:c>
      <x:c r="D1570" s="31" t="str">
        <x:v>green pen</x:v>
      </x:c>
      <x:c r="E1570" s="31" t="str">
        <x:v>Binary task success using the task-specific rubric.</x:v>
      </x:c>
      <x:c r="F1570" s="31"/>
      <x:c r="G1570" s="31"/>
      <x:c r="H1570" s="31" t="str">
        <x:f>IF(OR(F1570="",G1570=""),"",IF(F1570=G1570,"Agree","Disagree"))</x:f>
      </x:c>
      <x:c r="I1570" s="31"/>
      <x:c r="J1570" s="31" t="str">
        <x:v>No</x:v>
      </x:c>
      <x:c r="K1570" s="31" t="str"/>
      <x:c r="L1570" s="31" t="str"/>
      <x:c r="M1570" s="31" t="str"/>
      <x:c r="N1570" s="31" t="str"/>
    </x:row>
    <x:row r="1571" ht="42" customHeight="1">
      <x:c r="A1571" s="35" t="n">
        <x:v>1569</x:v>
      </x:c>
      <x:c r="B1571" s="31" t="str">
        <x:f>IF('Execution Checklist'!Q1571="","",'Execution Checklist'!Q1571)</x:f>
      </x:c>
      <x:c r="C1571" s="31" t="str">
        <x:v>Move the red block to the side of the pink marker facing the robot.</x:v>
      </x:c>
      <x:c r="D1571" s="31" t="str">
        <x:v>red block</x:v>
      </x:c>
      <x:c r="E1571" s="31" t="str">
        <x:v>Binary task success; compare with the seen-language row sharing Pair ID.</x:v>
      </x:c>
      <x:c r="F1571" s="31"/>
      <x:c r="G1571" s="31"/>
      <x:c r="H1571" s="31" t="str">
        <x:f>IF(OR(F1571="",G1571=""),"",IF(F1571=G1571,"Agree","Disagree"))</x:f>
      </x:c>
      <x:c r="I1571" s="31"/>
      <x:c r="J1571" s="31" t="str">
        <x:v>No</x:v>
      </x:c>
      <x:c r="K1571" s="31" t="str"/>
      <x:c r="L1571" s="31" t="str"/>
      <x:c r="M1571" s="31" t="str"/>
      <x:c r="N1571" s="31" t="str"/>
    </x:row>
    <x:row r="1572" ht="42" customHeight="1">
      <x:c r="A1572" s="35" t="n">
        <x:v>1570</x:v>
      </x:c>
      <x:c r="B1572" s="31" t="str">
        <x:f>IF('Execution Checklist'!Q1572="","",'Execution Checklist'!Q1572)</x:f>
      </x:c>
      <x:c r="C1572" s="31" t="str">
        <x:v>Place the green pen to the left of the pink marker.</x:v>
      </x:c>
      <x:c r="D1572" s="31" t="str">
        <x:v>green pen</x:v>
      </x:c>
      <x:c r="E1572" s="31" t="str">
        <x:v>Binary task success using the task-specific rubric.</x:v>
      </x:c>
      <x:c r="F1572" s="31"/>
      <x:c r="G1572" s="31"/>
      <x:c r="H1572" s="31" t="str">
        <x:f>IF(OR(F1572="",G1572=""),"",IF(F1572=G1572,"Agree","Disagree"))</x:f>
      </x:c>
      <x:c r="I1572" s="31"/>
      <x:c r="J1572" s="31" t="str">
        <x:v>No</x:v>
      </x:c>
      <x:c r="K1572" s="31" t="str"/>
      <x:c r="L1572" s="31" t="str"/>
      <x:c r="M1572" s="31" t="str"/>
      <x:c r="N1572" s="31" t="str"/>
    </x:row>
    <x:row r="1573" ht="42" customHeight="1">
      <x:c r="A1573" s="35" t="n">
        <x:v>1571</x:v>
      </x:c>
      <x:c r="B1573" s="31" t="str">
        <x:f>IF('Execution Checklist'!Q1573="","",'Execution Checklist'!Q1573)</x:f>
      </x:c>
      <x:c r="C1573" s="31" t="str">
        <x:v>Place the green pen in front of the red block.</x:v>
      </x:c>
      <x:c r="D1573" s="31" t="str">
        <x:v>green pen → in front of red block</x:v>
      </x:c>
      <x:c r="E1573" s="31" t="str">
        <x:v>Binary success for the counterfactual instruction and paired action-switch analysis versus the parent.</x:v>
      </x:c>
      <x:c r="F1573" s="31"/>
      <x:c r="G1573" s="31"/>
      <x:c r="H1573" s="31" t="str">
        <x:f>IF(OR(F1573="",G1573=""),"",IF(F1573=G1573,"Agree","Disagree"))</x:f>
      </x:c>
      <x:c r="I1573" s="31"/>
      <x:c r="J1573" s="31" t="str">
        <x:v>No</x:v>
      </x:c>
      <x:c r="K1573" s="31" t="str"/>
      <x:c r="L1573" s="31" t="str"/>
      <x:c r="M1573" s="31" t="str"/>
      <x:c r="N1573" s="31" t="str"/>
    </x:row>
    <x:row r="1574" ht="42" customHeight="1">
      <x:c r="A1574" s="35" t="n">
        <x:v>1572</x:v>
      </x:c>
      <x:c r="B1574" s="31" t="str">
        <x:f>IF('Execution Checklist'!Q1574="","",'Execution Checklist'!Q1574)</x:f>
      </x:c>
      <x:c r="C1574" s="31" t="str">
        <x:v>Move the green pen to the front of the pink marker.</x:v>
      </x:c>
      <x:c r="D1574" s="31" t="str">
        <x:v>green pen</x:v>
      </x:c>
      <x:c r="E1574" s="31" t="str">
        <x:v>Binary task success using the task-specific rubric.</x:v>
      </x:c>
      <x:c r="F1574" s="31"/>
      <x:c r="G1574" s="31"/>
      <x:c r="H1574" s="31" t="str">
        <x:f>IF(OR(F1574="",G1574=""),"",IF(F1574=G1574,"Agree","Disagree"))</x:f>
      </x:c>
      <x:c r="I1574" s="31"/>
      <x:c r="J1574" s="31" t="str">
        <x:v>No</x:v>
      </x:c>
      <x:c r="K1574" s="31" t="str"/>
      <x:c r="L1574" s="31" t="str"/>
      <x:c r="M1574" s="31" t="str"/>
      <x:c r="N1574" s="31" t="str"/>
    </x:row>
    <x:row r="1575" ht="42" customHeight="1">
      <x:c r="A1575" s="35" t="n">
        <x:v>1573</x:v>
      </x:c>
      <x:c r="B1575" s="31" t="str">
        <x:f>IF('Execution Checklist'!Q1575="","",'Execution Checklist'!Q1575)</x:f>
      </x:c>
      <x:c r="C1575" s="31" t="str">
        <x:v>Place the red block near the green pen.</x:v>
      </x:c>
      <x:c r="D1575" s="31" t="str">
        <x:v>red block near green pen</x:v>
      </x:c>
      <x:c r="E1575" s="31" t="str">
        <x:v>Binary task success; paired with the main transfer row.</x:v>
      </x:c>
      <x:c r="F1575" s="31"/>
      <x:c r="G1575" s="31"/>
      <x:c r="H1575" s="31" t="str">
        <x:f>IF(OR(F1575="",G1575=""),"",IF(F1575=G1575,"Agree","Disagree"))</x:f>
      </x:c>
      <x:c r="I1575" s="31"/>
      <x:c r="J1575" s="31" t="str">
        <x:v>No</x:v>
      </x:c>
      <x:c r="K1575" s="31" t="str"/>
      <x:c r="L1575" s="31" t="str"/>
      <x:c r="M1575" s="31" t="str"/>
      <x:c r="N1575" s="31" t="str"/>
    </x:row>
    <x:row r="1576" ht="42" customHeight="1">
      <x:c r="A1576" s="35" t="n">
        <x:v>1574</x:v>
      </x:c>
      <x:c r="B1576" s="31" t="str">
        <x:f>IF('Execution Checklist'!Q1576="","",'Execution Checklist'!Q1576)</x:f>
      </x:c>
      <x:c r="C1576" s="31" t="str">
        <x:v>Place the green pen near the red block.</x:v>
      </x:c>
      <x:c r="D1576" s="31" t="str">
        <x:v>green pen near red block</x:v>
      </x:c>
      <x:c r="E1576" s="31" t="str">
        <x:v>Binary task success; paired with the main transfer row.</x:v>
      </x:c>
      <x:c r="F1576" s="31"/>
      <x:c r="G1576" s="31"/>
      <x:c r="H1576" s="31" t="str">
        <x:f>IF(OR(F1576="",G1576=""),"",IF(F1576=G1576,"Agree","Disagree"))</x:f>
      </x:c>
      <x:c r="I1576" s="31"/>
      <x:c r="J1576" s="31" t="str">
        <x:v>No</x:v>
      </x:c>
      <x:c r="K1576" s="31" t="str"/>
      <x:c r="L1576" s="31" t="str"/>
      <x:c r="M1576" s="31" t="str"/>
      <x:c r="N1576" s="31" t="str"/>
    </x:row>
    <x:row r="1577" ht="42" customHeight="1">
      <x:c r="A1577" s="35" t="n">
        <x:v>1575</x:v>
      </x:c>
      <x:c r="B1577" s="31" t="str">
        <x:f>IF('Execution Checklist'!Q1577="","",'Execution Checklist'!Q1577)</x:f>
      </x:c>
      <x:c r="C1577" s="31" t="str">
        <x:v>Put the green pen on the table in front of the pink marker.</x:v>
      </x:c>
      <x:c r="D1577" s="31" t="str">
        <x:v>green pen</x:v>
      </x:c>
      <x:c r="E1577" s="31" t="str">
        <x:v>Binary task success using the task-specific rubric.</x:v>
      </x:c>
      <x:c r="F1577" s="31"/>
      <x:c r="G1577" s="31"/>
      <x:c r="H1577" s="31" t="str">
        <x:f>IF(OR(F1577="",G1577=""),"",IF(F1577=G1577,"Agree","Disagree"))</x:f>
      </x:c>
      <x:c r="I1577" s="31"/>
      <x:c r="J1577" s="31" t="str">
        <x:v>No</x:v>
      </x:c>
      <x:c r="K1577" s="31" t="str"/>
      <x:c r="L1577" s="31" t="str"/>
      <x:c r="M1577" s="31" t="str"/>
      <x:c r="N1577" s="31" t="str"/>
    </x:row>
    <x:row r="1578" ht="42" customHeight="1">
      <x:c r="A1578" s="35" t="n">
        <x:v>1576</x:v>
      </x:c>
      <x:c r="B1578" s="31" t="str">
        <x:f>IF('Execution Checklist'!Q1578="","",'Execution Checklist'!Q1578)</x:f>
      </x:c>
      <x:c r="C1578" s="31" t="str">
        <x:v>Place the pink marker in front of the blue block.</x:v>
      </x:c>
      <x:c r="D1578" s="31" t="str">
        <x:v>pink marker</x:v>
      </x:c>
      <x:c r="E1578" s="31" t="str">
        <x:v>Binary task success using the task-specific rubric.</x:v>
      </x:c>
      <x:c r="F1578" s="31"/>
      <x:c r="G1578" s="31"/>
      <x:c r="H1578" s="31" t="str">
        <x:f>IF(OR(F1578="",G1578=""),"",IF(F1578=G1578,"Agree","Disagree"))</x:f>
      </x:c>
      <x:c r="I1578" s="31"/>
      <x:c r="J1578" s="31" t="str">
        <x:v>No</x:v>
      </x:c>
      <x:c r="K1578" s="31" t="str"/>
      <x:c r="L1578" s="31" t="str"/>
      <x:c r="M1578" s="31" t="str"/>
      <x:c r="N1578" s="31" t="str"/>
    </x:row>
    <x:row r="1579" ht="42" customHeight="1">
      <x:c r="A1579" s="35" t="n">
        <x:v>1577</x:v>
      </x:c>
      <x:c r="B1579" s="31" t="str">
        <x:f>IF('Execution Checklist'!Q1579="","",'Execution Checklist'!Q1579)</x:f>
      </x:c>
      <x:c r="C1579" s="31" t="str">
        <x:v>Place the green pen behind the red block.</x:v>
      </x:c>
      <x:c r="D1579" s="31" t="str">
        <x:v>green pen → behind red block</x:v>
      </x:c>
      <x:c r="E1579" s="31" t="str">
        <x:v>Binary success for the counterfactual instruction and paired action-switch analysis versus the parent.</x:v>
      </x:c>
      <x:c r="F1579" s="31"/>
      <x:c r="G1579" s="31"/>
      <x:c r="H1579" s="31" t="str">
        <x:f>IF(OR(F1579="",G1579=""),"",IF(F1579=G1579,"Agree","Disagree"))</x:f>
      </x:c>
      <x:c r="I1579" s="31"/>
      <x:c r="J1579" s="31" t="str">
        <x:v>No</x:v>
      </x:c>
      <x:c r="K1579" s="31" t="str"/>
      <x:c r="L1579" s="31" t="str"/>
      <x:c r="M1579" s="31" t="str"/>
      <x:c r="N1579" s="31" t="str"/>
    </x:row>
    <x:row r="1580" ht="42" customHeight="1">
      <x:c r="A1580" s="35" t="n">
        <x:v>1578</x:v>
      </x:c>
      <x:c r="B1580" s="31" t="str">
        <x:f>IF('Execution Checklist'!Q1580="","",'Execution Checklist'!Q1580)</x:f>
      </x:c>
      <x:c r="C1580" s="31" t="str">
        <x:v>Place the red block beside the green pen.</x:v>
      </x:c>
      <x:c r="D1580" s="31" t="str">
        <x:v>red block near green pen</x:v>
      </x:c>
      <x:c r="E1580" s="31" t="str">
        <x:v>Binary task success; paired with the main transfer row.</x:v>
      </x:c>
      <x:c r="F1580" s="31"/>
      <x:c r="G1580" s="31"/>
      <x:c r="H1580" s="31" t="str">
        <x:f>IF(OR(F1580="",G1580=""),"",IF(F1580=G1580,"Agree","Disagree"))</x:f>
      </x:c>
      <x:c r="I1580" s="31"/>
      <x:c r="J1580" s="31" t="str">
        <x:v>No</x:v>
      </x:c>
      <x:c r="K1580" s="31" t="str"/>
      <x:c r="L1580" s="31" t="str"/>
      <x:c r="M1580" s="31" t="str"/>
      <x:c r="N1580" s="31" t="str"/>
    </x:row>
    <x:row r="1581" ht="42" customHeight="1">
      <x:c r="A1581" s="35" t="n">
        <x:v>1579</x:v>
      </x:c>
      <x:c r="B1581" s="31" t="str">
        <x:f>IF('Execution Checklist'!Q1581="","",'Execution Checklist'!Q1581)</x:f>
      </x:c>
      <x:c r="C1581" s="31" t="str">
        <x:v>Place the green pen beside the red block.</x:v>
      </x:c>
      <x:c r="D1581" s="31" t="str">
        <x:v>green pen near red block</x:v>
      </x:c>
      <x:c r="E1581" s="31" t="str">
        <x:v>Binary task success; paired with the main transfer row.</x:v>
      </x:c>
      <x:c r="F1581" s="31"/>
      <x:c r="G1581" s="31"/>
      <x:c r="H1581" s="31" t="str">
        <x:f>IF(OR(F1581="",G1581=""),"",IF(F1581=G1581,"Agree","Disagree"))</x:f>
      </x:c>
      <x:c r="I1581" s="31"/>
      <x:c r="J1581" s="31" t="str">
        <x:v>No</x:v>
      </x:c>
      <x:c r="K1581" s="31" t="str"/>
      <x:c r="L1581" s="31" t="str"/>
      <x:c r="M1581" s="31" t="str"/>
      <x:c r="N1581" s="31" t="str"/>
    </x:row>
    <x:row r="1582" ht="42" customHeight="1">
      <x:c r="A1582" s="35" t="n">
        <x:v>1580</x:v>
      </x:c>
      <x:c r="B1582" s="31" t="str">
        <x:f>IF('Execution Checklist'!Q1582="","",'Execution Checklist'!Q1582)</x:f>
      </x:c>
      <x:c r="C1582" s="31" t="str">
        <x:v>Place the green pen to the left of the red block.</x:v>
      </x:c>
      <x:c r="D1582" s="31" t="str">
        <x:v>No prespecified task success under blank language; record any action/selected target.</x:v>
      </x:c>
      <x:c r="E1582" s="31" t="str">
        <x:v>Do not score ordinary task success. Record action occurrence and agreement with the parent correct-prompt rollout.</x:v>
      </x:c>
      <x:c r="F1582" s="31"/>
      <x:c r="G1582" s="31"/>
      <x:c r="H1582" s="31" t="str">
        <x:f>IF(OR(F1582="",G1582=""),"",IF(F1582=G1582,"Agree","Disagree"))</x:f>
      </x:c>
      <x:c r="I1582" s="31"/>
      <x:c r="J1582" s="31" t="str">
        <x:v>No</x:v>
      </x:c>
      <x:c r="K1582" s="31" t="str"/>
      <x:c r="L1582" s="31" t="str"/>
      <x:c r="M1582" s="31" t="str"/>
      <x:c r="N1582" s="31" t="str"/>
    </x:row>
    <x:row r="1583" ht="42" customHeight="1">
      <x:c r="A1583" s="35" t="n">
        <x:v>1581</x:v>
      </x:c>
      <x:c r="B1583" s="31" t="str">
        <x:f>IF('Execution Checklist'!Q1583="","",'Execution Checklist'!Q1583)</x:f>
      </x:c>
      <x:c r="C1583" s="31" t="str">
        <x:v>Place the green pen behind the red block.</x:v>
      </x:c>
      <x:c r="D1583" s="31" t="str">
        <x:v>green pen → behind red block</x:v>
      </x:c>
      <x:c r="E1583" s="31" t="str">
        <x:v>Binary task success; paired with the main matched-control row.</x:v>
      </x:c>
      <x:c r="F1583" s="31"/>
      <x:c r="G1583" s="31"/>
      <x:c r="H1583" s="31" t="str">
        <x:f>IF(OR(F1583="",G1583=""),"",IF(F1583=G1583,"Agree","Disagree"))</x:f>
      </x:c>
      <x:c r="I1583" s="31"/>
      <x:c r="J1583" s="31" t="str">
        <x:v>No</x:v>
      </x:c>
      <x:c r="K1583" s="31" t="str"/>
      <x:c r="L1583" s="31" t="str"/>
      <x:c r="M1583" s="31" t="str"/>
      <x:c r="N1583" s="31" t="str"/>
    </x:row>
    <x:row r="1584" ht="42" customHeight="1">
      <x:c r="A1584" s="35" t="n">
        <x:v>1582</x:v>
      </x:c>
      <x:c r="B1584" s="31" t="str">
        <x:f>IF('Execution Checklist'!Q1584="","",'Execution Checklist'!Q1584)</x:f>
      </x:c>
      <x:c r="C1584" s="31" t="str">
        <x:v>Place the green pen behind the red block.</x:v>
      </x:c>
      <x:c r="D1584" s="31" t="str">
        <x:v>green pen → behind red block</x:v>
      </x:c>
      <x:c r="E1584" s="31" t="str">
        <x:v>Binary task success; paired with the main matched-control row.</x:v>
      </x:c>
      <x:c r="F1584" s="31"/>
      <x:c r="G1584" s="31"/>
      <x:c r="H1584" s="31" t="str">
        <x:f>IF(OR(F1584="",G1584=""),"",IF(F1584=G1584,"Agree","Disagree"))</x:f>
      </x:c>
      <x:c r="I1584" s="31"/>
      <x:c r="J1584" s="31" t="str">
        <x:v>No</x:v>
      </x:c>
      <x:c r="K1584" s="31" t="str"/>
      <x:c r="L1584" s="31" t="str"/>
      <x:c r="M1584" s="31" t="str"/>
      <x:c r="N1584" s="31" t="str"/>
    </x:row>
    <x:row r="1585" ht="42" customHeight="1">
      <x:c r="A1585" s="35" t="n">
        <x:v>1583</x:v>
      </x:c>
      <x:c r="B1585" s="31" t="str">
        <x:f>IF('Execution Checklist'!Q1585="","",'Execution Checklist'!Q1585)</x:f>
      </x:c>
      <x:c r="C1585" s="31" t="str">
        <x:v>Place the green pen in front of the red block.</x:v>
      </x:c>
      <x:c r="D1585" s="31" t="str">
        <x:v>No prespecified task success under blank language; record any action/selected target.</x:v>
      </x:c>
      <x:c r="E1585" s="31" t="str">
        <x:v>Do not score ordinary task success. Record action occurrence and agreement with the parent correct-prompt rollout.</x:v>
      </x:c>
      <x:c r="F1585" s="31"/>
      <x:c r="G1585" s="31"/>
      <x:c r="H1585" s="31" t="str">
        <x:f>IF(OR(F1585="",G1585=""),"",IF(F1585=G1585,"Agree","Disagree"))</x:f>
      </x:c>
      <x:c r="I1585" s="31"/>
      <x:c r="J1585" s="31" t="str">
        <x:v>No</x:v>
      </x:c>
      <x:c r="K1585" s="31" t="str"/>
      <x:c r="L1585" s="31" t="str"/>
      <x:c r="M1585" s="31" t="str"/>
      <x:c r="N1585" s="31" t="str"/>
    </x:row>
    <x:row r="1586" ht="42" customHeight="1">
      <x:c r="A1586" s="35" t="n">
        <x:v>1584</x:v>
      </x:c>
      <x:c r="B1586" s="31" t="str">
        <x:f>IF('Execution Checklist'!Q1586="","",'Execution Checklist'!Q1586)</x:f>
      </x:c>
      <x:c r="C1586" s="31" t="str">
        <x:v>Place the green pen behind the red block.</x:v>
      </x:c>
      <x:c r="D1586" s="31" t="str">
        <x:v>No prespecified task success under blank language; record any action/selected target.</x:v>
      </x:c>
      <x:c r="E1586" s="31" t="str">
        <x:v>Do not score ordinary task success. Record action occurrence and agreement with the parent correct-prompt rollout.</x:v>
      </x:c>
      <x:c r="F1586" s="31"/>
      <x:c r="G1586" s="31"/>
      <x:c r="H1586" s="31" t="str">
        <x:f>IF(OR(F1586="",G1586=""),"",IF(F1586=G1586,"Agree","Disagree"))</x:f>
      </x:c>
      <x:c r="I1586" s="31"/>
      <x:c r="J1586" s="31" t="str">
        <x:v>No</x:v>
      </x:c>
      <x:c r="K1586" s="31" t="str"/>
      <x:c r="L1586" s="31" t="str"/>
      <x:c r="M1586" s="31" t="str"/>
      <x:c r="N1586" s="31" t="str"/>
    </x:row>
    <x:row r="1587" ht="42" customHeight="1">
      <x:c r="A1587" s="35" t="n">
        <x:v>1585</x:v>
      </x:c>
      <x:c r="B1587" s="31" t="str">
        <x:f>IF('Execution Checklist'!Q1587="","",'Execution Checklist'!Q1587)</x:f>
      </x:c>
      <x:c r="C1587" s="31" t="str">
        <x:v>Place the red block to the right of the blue block.</x:v>
      </x:c>
      <x:c r="D1587" s="31" t="str">
        <x:v>red block</x:v>
      </x:c>
      <x:c r="E1587" s="31" t="str">
        <x:v>Binary task success using the task-specific rubric.</x:v>
      </x:c>
      <x:c r="F1587" s="31"/>
      <x:c r="G1587" s="31"/>
      <x:c r="H1587" s="31" t="str">
        <x:f>IF(OR(F1587="",G1587=""),"",IF(F1587=G1587,"Agree","Disagree"))</x:f>
      </x:c>
      <x:c r="I1587" s="31"/>
      <x:c r="J1587" s="31" t="str">
        <x:v>No</x:v>
      </x:c>
      <x:c r="K1587" s="31" t="str"/>
      <x:c r="L1587" s="31" t="str"/>
      <x:c r="M1587" s="31" t="str"/>
      <x:c r="N1587" s="31" t="str"/>
    </x:row>
    <x:row r="1588" ht="42" customHeight="1">
      <x:c r="A1588" s="35" t="n">
        <x:v>1586</x:v>
      </x:c>
      <x:c r="B1588" s="31" t="str">
        <x:f>IF('Execution Checklist'!Q1588="","",'Execution Checklist'!Q1588)</x:f>
      </x:c>
      <x:c r="C1588" s="31" t="str">
        <x:v>Place the green pen next to the red block.</x:v>
      </x:c>
      <x:c r="D1588" s="31" t="str">
        <x:v>green pen near red block</x:v>
      </x:c>
      <x:c r="E1588" s="31" t="str">
        <x:v>Binary task success; paired with the main transfer row.</x:v>
      </x:c>
      <x:c r="F1588" s="31"/>
      <x:c r="G1588" s="31"/>
      <x:c r="H1588" s="31" t="str">
        <x:f>IF(OR(F1588="",G1588=""),"",IF(F1588=G1588,"Agree","Disagree"))</x:f>
      </x:c>
      <x:c r="I1588" s="31"/>
      <x:c r="J1588" s="31" t="str">
        <x:v>No</x:v>
      </x:c>
      <x:c r="K1588" s="31" t="str"/>
      <x:c r="L1588" s="31" t="str"/>
      <x:c r="M1588" s="31" t="str"/>
      <x:c r="N1588" s="31" t="str"/>
    </x:row>
    <x:row r="1589" ht="42" customHeight="1">
      <x:c r="A1589" s="35" t="n">
        <x:v>1587</x:v>
      </x:c>
      <x:c r="B1589" s="31" t="str">
        <x:f>IF('Execution Checklist'!Q1589="","",'Execution Checklist'!Q1589)</x:f>
      </x:c>
      <x:c r="C1589" s="31" t="str">
        <x:v>Place the green pen to the right of the pink marker.</x:v>
      </x:c>
      <x:c r="D1589" s="31" t="str">
        <x:v>green pen</x:v>
      </x:c>
      <x:c r="E1589" s="31" t="str">
        <x:v>Binary task success using the task-specific rubric.</x:v>
      </x:c>
      <x:c r="F1589" s="31"/>
      <x:c r="G1589" s="31"/>
      <x:c r="H1589" s="31" t="str">
        <x:f>IF(OR(F1589="",G1589=""),"",IF(F1589=G1589,"Agree","Disagree"))</x:f>
      </x:c>
      <x:c r="I1589" s="31"/>
      <x:c r="J1589" s="31" t="str">
        <x:v>No</x:v>
      </x:c>
      <x:c r="K1589" s="31" t="str"/>
      <x:c r="L1589" s="31" t="str"/>
      <x:c r="M1589" s="31" t="str"/>
      <x:c r="N1589" s="31" t="str"/>
    </x:row>
    <x:row r="1590" ht="42" customHeight="1">
      <x:c r="A1590" s="35" t="n">
        <x:v>1588</x:v>
      </x:c>
      <x:c r="B1590" s="31" t="str">
        <x:f>IF('Execution Checklist'!Q1590="","",'Execution Checklist'!Q1590)</x:f>
      </x:c>
      <x:c r="C1590" s="31" t="str">
        <x:v>Place the red block next to the green pen.</x:v>
      </x:c>
      <x:c r="D1590" s="31" t="str">
        <x:v>red block near green pen</x:v>
      </x:c>
      <x:c r="E1590" s="31" t="str">
        <x:v>Binary task success; paired with the main transfer row.</x:v>
      </x:c>
      <x:c r="F1590" s="31"/>
      <x:c r="G1590" s="31"/>
      <x:c r="H1590" s="31" t="str">
        <x:f>IF(OR(F1590="",G1590=""),"",IF(F1590=G1590,"Agree","Disagree"))</x:f>
      </x:c>
      <x:c r="I1590" s="31"/>
      <x:c r="J1590" s="31" t="str">
        <x:v>No</x:v>
      </x:c>
      <x:c r="K1590" s="31" t="str"/>
      <x:c r="L1590" s="31" t="str"/>
      <x:c r="M1590" s="31" t="str"/>
      <x:c r="N1590" s="31" t="str"/>
    </x:row>
    <x:row r="1591" ht="42" customHeight="1">
      <x:c r="A1591" s="35" t="n">
        <x:v>1589</x:v>
      </x:c>
      <x:c r="B1591" s="31" t="str">
        <x:f>IF('Execution Checklist'!Q1591="","",'Execution Checklist'!Q1591)</x:f>
      </x:c>
      <x:c r="C1591" s="31" t="str">
        <x:v>Place the blue block behind the green pen.</x:v>
      </x:c>
      <x:c r="D1591" s="31" t="str">
        <x:v>blue block</x:v>
      </x:c>
      <x:c r="E1591" s="31" t="str">
        <x:v>Binary task success using the task-specific rubric.</x:v>
      </x:c>
      <x:c r="F1591" s="31"/>
      <x:c r="G1591" s="31"/>
      <x:c r="H1591" s="31" t="str">
        <x:f>IF(OR(F1591="",G1591=""),"",IF(F1591=G1591,"Agree","Disagree"))</x:f>
      </x:c>
      <x:c r="I1591" s="31"/>
      <x:c r="J1591" s="31" t="str">
        <x:v>No</x:v>
      </x:c>
      <x:c r="K1591" s="31" t="str"/>
      <x:c r="L1591" s="31" t="str"/>
      <x:c r="M1591" s="31" t="str"/>
      <x:c r="N1591" s="31" t="str"/>
    </x:row>
    <x:row r="1592" ht="42" customHeight="1">
      <x:c r="A1592" s="35" t="n">
        <x:v>1590</x:v>
      </x:c>
      <x:c r="B1592" s="31" t="str">
        <x:f>IF('Execution Checklist'!Q1592="","",'Execution Checklist'!Q1592)</x:f>
      </x:c>
      <x:c r="C1592" s="31" t="str">
        <x:v>Place the red block near the green pen.</x:v>
      </x:c>
      <x:c r="D1592" s="31" t="str">
        <x:v>red block near green pen</x:v>
      </x:c>
      <x:c r="E1592" s="31" t="str">
        <x:v>Binary task success; paired with the main transfer row.</x:v>
      </x:c>
      <x:c r="F1592" s="31"/>
      <x:c r="G1592" s="31"/>
      <x:c r="H1592" s="31" t="str">
        <x:f>IF(OR(F1592="",G1592=""),"",IF(F1592=G1592,"Agree","Disagree"))</x:f>
      </x:c>
      <x:c r="I1592" s="31"/>
      <x:c r="J1592" s="31" t="str">
        <x:v>No</x:v>
      </x:c>
      <x:c r="K1592" s="31" t="str"/>
      <x:c r="L1592" s="31" t="str"/>
      <x:c r="M1592" s="31" t="str"/>
      <x:c r="N1592" s="31" t="str"/>
    </x:row>
    <x:row r="1593" ht="42" customHeight="1">
      <x:c r="A1593" s="35" t="n">
        <x:v>1591</x:v>
      </x:c>
      <x:c r="B1593" s="31" t="str">
        <x:f>IF('Execution Checklist'!Q1593="","",'Execution Checklist'!Q1593)</x:f>
      </x:c>
      <x:c r="C1593" s="31" t="str">
        <x:v>Move the red block to the side of the pink marker facing the robot.</x:v>
      </x:c>
      <x:c r="D1593" s="31" t="str">
        <x:v>red block</x:v>
      </x:c>
      <x:c r="E1593" s="31" t="str">
        <x:v>Binary task success; compare with the seen-language row sharing Pair ID.</x:v>
      </x:c>
      <x:c r="F1593" s="31"/>
      <x:c r="G1593" s="31"/>
      <x:c r="H1593" s="31" t="str">
        <x:f>IF(OR(F1593="",G1593=""),"",IF(F1593=G1593,"Agree","Disagree"))</x:f>
      </x:c>
      <x:c r="I1593" s="31"/>
      <x:c r="J1593" s="31" t="str">
        <x:v>No</x:v>
      </x:c>
      <x:c r="K1593" s="31" t="str"/>
      <x:c r="L1593" s="31" t="str"/>
      <x:c r="M1593" s="31" t="str"/>
      <x:c r="N1593" s="31" t="str"/>
    </x:row>
    <x:row r="1594" ht="42" customHeight="1">
      <x:c r="A1594" s="35" t="n">
        <x:v>1592</x:v>
      </x:c>
      <x:c r="B1594" s="31" t="str">
        <x:f>IF('Execution Checklist'!Q1594="","",'Execution Checklist'!Q1594)</x:f>
      </x:c>
      <x:c r="C1594" s="31" t="str">
        <x:v>Place the red block in front of the green pen.</x:v>
      </x:c>
      <x:c r="D1594" s="31" t="str">
        <x:v>red block → in front of green pen</x:v>
      </x:c>
      <x:c r="E1594" s="31" t="str">
        <x:v>Binary task success; paired with the main matched-control row.</x:v>
      </x:c>
      <x:c r="F1594" s="31"/>
      <x:c r="G1594" s="31"/>
      <x:c r="H1594" s="31" t="str">
        <x:f>IF(OR(F1594="",G1594=""),"",IF(F1594=G1594,"Agree","Disagree"))</x:f>
      </x:c>
      <x:c r="I1594" s="31"/>
      <x:c r="J1594" s="31" t="str">
        <x:v>No</x:v>
      </x:c>
      <x:c r="K1594" s="31" t="str"/>
      <x:c r="L1594" s="31" t="str"/>
      <x:c r="M1594" s="31" t="str"/>
      <x:c r="N1594" s="31" t="str"/>
    </x:row>
    <x:row r="1595" ht="42" customHeight="1">
      <x:c r="A1595" s="35" t="n">
        <x:v>1593</x:v>
      </x:c>
      <x:c r="B1595" s="31" t="str">
        <x:f>IF('Execution Checklist'!Q1595="","",'Execution Checklist'!Q1595)</x:f>
      </x:c>
      <x:c r="C1595" s="31" t="str">
        <x:v>Place the red block beside the green pen.</x:v>
      </x:c>
      <x:c r="D1595" s="31" t="str">
        <x:v>red block near green pen</x:v>
      </x:c>
      <x:c r="E1595" s="31" t="str">
        <x:v>Binary task success; paired with the main transfer row.</x:v>
      </x:c>
      <x:c r="F1595" s="31"/>
      <x:c r="G1595" s="31"/>
      <x:c r="H1595" s="31" t="str">
        <x:f>IF(OR(F1595="",G1595=""),"",IF(F1595=G1595,"Agree","Disagree"))</x:f>
      </x:c>
      <x:c r="I1595" s="31"/>
      <x:c r="J1595" s="31" t="str">
        <x:v>No</x:v>
      </x:c>
      <x:c r="K1595" s="31" t="str"/>
      <x:c r="L1595" s="31" t="str"/>
      <x:c r="M1595" s="31" t="str"/>
      <x:c r="N1595" s="31" t="str"/>
    </x:row>
    <x:row r="1596" ht="42" customHeight="1">
      <x:c r="A1596" s="35" t="n">
        <x:v>1594</x:v>
      </x:c>
      <x:c r="B1596" s="31" t="str">
        <x:f>IF('Execution Checklist'!Q1596="","",'Execution Checklist'!Q1596)</x:f>
      </x:c>
      <x:c r="C1596" s="31" t="str">
        <x:v>Place the red block behind the green pen.</x:v>
      </x:c>
      <x:c r="D1596" s="31" t="str">
        <x:v>red block → behind green pen</x:v>
      </x:c>
      <x:c r="E1596" s="31" t="str">
        <x:v>Binary task success; paired with the main matched-control row.</x:v>
      </x:c>
      <x:c r="F1596" s="31"/>
      <x:c r="G1596" s="31"/>
      <x:c r="H1596" s="31" t="str">
        <x:f>IF(OR(F1596="",G1596=""),"",IF(F1596=G1596,"Agree","Disagree"))</x:f>
      </x:c>
      <x:c r="I1596" s="31"/>
      <x:c r="J1596" s="31" t="str">
        <x:v>No</x:v>
      </x:c>
      <x:c r="K1596" s="31" t="str"/>
      <x:c r="L1596" s="31" t="str"/>
      <x:c r="M1596" s="31" t="str"/>
      <x:c r="N1596" s="31" t="str"/>
    </x:row>
    <x:row r="1597" ht="42" customHeight="1">
      <x:c r="A1597" s="35" t="n">
        <x:v>1595</x:v>
      </x:c>
      <x:c r="B1597" s="31" t="str">
        <x:f>IF('Execution Checklist'!Q1597="","",'Execution Checklist'!Q1597)</x:f>
      </x:c>
      <x:c r="C1597" s="31" t="str">
        <x:v>Place the red block to the right of the green pen.</x:v>
      </x:c>
      <x:c r="D1597" s="31" t="str">
        <x:v>red block → to the right of green pen</x:v>
      </x:c>
      <x:c r="E1597" s="31" t="str">
        <x:v>Binary task success; paired with the main matched-control row.</x:v>
      </x:c>
      <x:c r="F1597" s="31"/>
      <x:c r="G1597" s="31"/>
      <x:c r="H1597" s="31" t="str">
        <x:f>IF(OR(F1597="",G1597=""),"",IF(F1597=G1597,"Agree","Disagree"))</x:f>
      </x:c>
      <x:c r="I1597" s="31"/>
      <x:c r="J1597" s="31" t="str">
        <x:v>No</x:v>
      </x:c>
      <x:c r="K1597" s="31" t="str"/>
      <x:c r="L1597" s="31" t="str"/>
      <x:c r="M1597" s="31" t="str"/>
      <x:c r="N1597" s="31" t="str"/>
    </x:row>
    <x:row r="1598" ht="42" customHeight="1">
      <x:c r="A1598" s="35" t="n">
        <x:v>1596</x:v>
      </x:c>
      <x:c r="B1598" s="31" t="str">
        <x:f>IF('Execution Checklist'!Q1598="","",'Execution Checklist'!Q1598)</x:f>
      </x:c>
      <x:c r="C1598" s="31" t="str">
        <x:v>Place the red block in front of the green pen.</x:v>
      </x:c>
      <x:c r="D1598" s="31" t="str">
        <x:v>red block → in front of green pen</x:v>
      </x:c>
      <x:c r="E1598" s="31" t="str">
        <x:v>Binary task success; paired with the main matched-control row.</x:v>
      </x:c>
      <x:c r="F1598" s="31"/>
      <x:c r="G1598" s="31"/>
      <x:c r="H1598" s="31" t="str">
        <x:f>IF(OR(F1598="",G1598=""),"",IF(F1598=G1598,"Agree","Disagree"))</x:f>
      </x:c>
      <x:c r="I1598" s="31"/>
      <x:c r="J1598" s="31" t="str">
        <x:v>No</x:v>
      </x:c>
      <x:c r="K1598" s="31" t="str"/>
      <x:c r="L1598" s="31" t="str"/>
      <x:c r="M1598" s="31" t="str"/>
      <x:c r="N1598" s="31" t="str"/>
    </x:row>
    <x:row r="1599" ht="42" customHeight="1">
      <x:c r="A1599" s="35" t="n">
        <x:v>1597</x:v>
      </x:c>
      <x:c r="B1599" s="31" t="str">
        <x:f>IF('Execution Checklist'!Q1599="","",'Execution Checklist'!Q1599)</x:f>
      </x:c>
      <x:c r="C1599" s="31" t="str">
        <x:v>Move the red block to the side of the pink marker facing the robot.</x:v>
      </x:c>
      <x:c r="D1599" s="31" t="str">
        <x:v>red block</x:v>
      </x:c>
      <x:c r="E1599" s="31" t="str">
        <x:v>Binary task success; compare with the seen-language row sharing Pair ID.</x:v>
      </x:c>
      <x:c r="F1599" s="31"/>
      <x:c r="G1599" s="31"/>
      <x:c r="H1599" s="31" t="str">
        <x:f>IF(OR(F1599="",G1599=""),"",IF(F1599=G1599,"Agree","Disagree"))</x:f>
      </x:c>
      <x:c r="I1599" s="31"/>
      <x:c r="J1599" s="31" t="str">
        <x:v>No</x:v>
      </x:c>
      <x:c r="K1599" s="31" t="str"/>
      <x:c r="L1599" s="31" t="str"/>
      <x:c r="M1599" s="31" t="str"/>
      <x:c r="N1599" s="31" t="str"/>
    </x:row>
    <x:row r="1600" ht="42" customHeight="1">
      <x:c r="A1600" s="35" t="n">
        <x:v>1598</x:v>
      </x:c>
      <x:c r="B1600" s="31" t="str">
        <x:f>IF('Execution Checklist'!Q1600="","",'Execution Checklist'!Q1600)</x:f>
      </x:c>
      <x:c r="C1600" s="31" t="str">
        <x:v>Place the green pen to the left of the red block.</x:v>
      </x:c>
      <x:c r="D1600" s="31" t="str">
        <x:v>green pen → to the left of red block</x:v>
      </x:c>
      <x:c r="E1600" s="31" t="str">
        <x:v>Binary task success; paired with the main matched-control row.</x:v>
      </x:c>
      <x:c r="F1600" s="31"/>
      <x:c r="G1600" s="31"/>
      <x:c r="H1600" s="31" t="str">
        <x:f>IF(OR(F1600="",G1600=""),"",IF(F1600=G1600,"Agree","Disagree"))</x:f>
      </x:c>
      <x:c r="I1600" s="31"/>
      <x:c r="J1600" s="31" t="str">
        <x:v>No</x:v>
      </x:c>
      <x:c r="K1600" s="31" t="str"/>
      <x:c r="L1600" s="31" t="str"/>
      <x:c r="M1600" s="31" t="str"/>
      <x:c r="N1600" s="31" t="str"/>
    </x:row>
    <x:row r="1601" ht="42" customHeight="1">
      <x:c r="A1601" s="35" t="n">
        <x:v>1599</x:v>
      </x:c>
      <x:c r="B1601" s="31" t="str">
        <x:f>IF('Execution Checklist'!Q1601="","",'Execution Checklist'!Q1601)</x:f>
      </x:c>
      <x:c r="C1601" s="31" t="str">
        <x:v>Move the red block to the side of the pink marker facing the robot.</x:v>
      </x:c>
      <x:c r="D1601" s="31" t="str">
        <x:v>red block</x:v>
      </x:c>
      <x:c r="E1601" s="31" t="str">
        <x:v>Binary task success; compare with the seen-language row sharing Pair ID.</x:v>
      </x:c>
      <x:c r="F1601" s="31"/>
      <x:c r="G1601" s="31"/>
      <x:c r="H1601" s="31" t="str">
        <x:f>IF(OR(F1601="",G1601=""),"",IF(F1601=G1601,"Agree","Disagree"))</x:f>
      </x:c>
      <x:c r="I1601" s="31"/>
      <x:c r="J1601" s="31" t="str">
        <x:v>No</x:v>
      </x:c>
      <x:c r="K1601" s="31" t="str"/>
      <x:c r="L1601" s="31" t="str"/>
      <x:c r="M1601" s="31" t="str"/>
      <x:c r="N1601" s="31" t="str"/>
    </x:row>
    <x:row r="1602" ht="42" customHeight="1">
      <x:c r="A1602" s="35" t="n">
        <x:v>1600</x:v>
      </x:c>
      <x:c r="B1602" s="31" t="str">
        <x:f>IF('Execution Checklist'!Q1602="","",'Execution Checklist'!Q1602)</x:f>
      </x:c>
      <x:c r="C1602" s="31" t="str">
        <x:v>Move the red block to the side of the pink marker facing the robot.</x:v>
      </x:c>
      <x:c r="D1602" s="31" t="str">
        <x:v>red block</x:v>
      </x:c>
      <x:c r="E1602" s="31" t="str">
        <x:v>Binary task success; compare with the seen-language row sharing Pair ID.</x:v>
      </x:c>
      <x:c r="F1602" s="31"/>
      <x:c r="G1602" s="31"/>
      <x:c r="H1602" s="31" t="str">
        <x:f>IF(OR(F1602="",G1602=""),"",IF(F1602=G1602,"Agree","Disagree"))</x:f>
      </x:c>
      <x:c r="I1602" s="31"/>
      <x:c r="J1602" s="31" t="str">
        <x:v>No</x:v>
      </x:c>
      <x:c r="K1602" s="31" t="str"/>
      <x:c r="L1602" s="31" t="str"/>
      <x:c r="M1602" s="31" t="str"/>
      <x:c r="N1602" s="31" t="str"/>
    </x:row>
    <x:row r="1603" ht="42" customHeight="1">
      <x:c r="A1603" s="35" t="n">
        <x:v>1601</x:v>
      </x:c>
      <x:c r="B1603" s="31" t="str">
        <x:f>IF('Execution Checklist'!Q1603="","",'Execution Checklist'!Q1603)</x:f>
      </x:c>
      <x:c r="C1603" s="31" t="str">
        <x:v>Place the green pen in front of the red block.</x:v>
      </x:c>
      <x:c r="D1603" s="31" t="str">
        <x:v>green pen → in front of red block</x:v>
      </x:c>
      <x:c r="E1603" s="31" t="str">
        <x:v>Binary task success; paired with the main matched-control row.</x:v>
      </x:c>
      <x:c r="F1603" s="31"/>
      <x:c r="G1603" s="31"/>
      <x:c r="H1603" s="31" t="str">
        <x:f>IF(OR(F1603="",G1603=""),"",IF(F1603=G1603,"Agree","Disagree"))</x:f>
      </x:c>
      <x:c r="I1603" s="31"/>
      <x:c r="J1603" s="31" t="str">
        <x:v>No</x:v>
      </x:c>
      <x:c r="K1603" s="31" t="str"/>
      <x:c r="L1603" s="31" t="str"/>
      <x:c r="M1603" s="31" t="str"/>
      <x:c r="N1603" s="31" t="str"/>
    </x:row>
    <x:row r="1604" ht="42" customHeight="1">
      <x:c r="A1604" s="35" t="n">
        <x:v>1602</x:v>
      </x:c>
      <x:c r="B1604" s="31" t="str">
        <x:f>IF('Execution Checklist'!Q1604="","",'Execution Checklist'!Q1604)</x:f>
      </x:c>
      <x:c r="C1604" s="31" t="str">
        <x:v>Place the green pen to the left of the red block.</x:v>
      </x:c>
      <x:c r="D1604" s="31" t="str">
        <x:v>green pen → to the left of red block</x:v>
      </x:c>
      <x:c r="E1604" s="31" t="str">
        <x:v>Binary task success; paired with the main matched-control row.</x:v>
      </x:c>
      <x:c r="F1604" s="31"/>
      <x:c r="G1604" s="31"/>
      <x:c r="H1604" s="31" t="str">
        <x:f>IF(OR(F1604="",G1604=""),"",IF(F1604=G1604,"Agree","Disagree"))</x:f>
      </x:c>
      <x:c r="I1604" s="31"/>
      <x:c r="J1604" s="31" t="str">
        <x:v>No</x:v>
      </x:c>
      <x:c r="K1604" s="31" t="str"/>
      <x:c r="L1604" s="31" t="str"/>
      <x:c r="M1604" s="31" t="str"/>
      <x:c r="N1604" s="31" t="str"/>
    </x:row>
    <x:row r="1605" ht="42" customHeight="1">
      <x:c r="A1605" s="35" t="n">
        <x:v>1603</x:v>
      </x:c>
      <x:c r="B1605" s="31" t="str">
        <x:f>IF('Execution Checklist'!Q1605="","",'Execution Checklist'!Q1605)</x:f>
      </x:c>
      <x:c r="C1605" s="31" t="str">
        <x:v>Place the green pen behind the pink marker.</x:v>
      </x:c>
      <x:c r="D1605" s="31" t="str">
        <x:v>green pen</x:v>
      </x:c>
      <x:c r="E1605" s="31" t="str">
        <x:v>Binary task success using the task-specific rubric.</x:v>
      </x:c>
      <x:c r="F1605" s="31"/>
      <x:c r="G1605" s="31"/>
      <x:c r="H1605" s="31" t="str">
        <x:f>IF(OR(F1605="",G1605=""),"",IF(F1605=G1605,"Agree","Disagree"))</x:f>
      </x:c>
      <x:c r="I1605" s="31"/>
      <x:c r="J1605" s="31" t="str">
        <x:v>No</x:v>
      </x:c>
      <x:c r="K1605" s="31" t="str"/>
      <x:c r="L1605" s="31" t="str"/>
      <x:c r="M1605" s="31" t="str"/>
      <x:c r="N1605" s="31" t="str"/>
    </x:row>
    <x:row r="1606" ht="42" customHeight="1">
      <x:c r="A1606" s="35" t="n">
        <x:v>1604</x:v>
      </x:c>
      <x:c r="B1606" s="31" t="str">
        <x:f>IF('Execution Checklist'!Q1606="","",'Execution Checklist'!Q1606)</x:f>
      </x:c>
      <x:c r="C1606" s="31" t="str">
        <x:v>Place the green pen to the right of the red block.</x:v>
      </x:c>
      <x:c r="D1606" s="31" t="str">
        <x:v>green pen → to the right of red block</x:v>
      </x:c>
      <x:c r="E1606" s="31" t="str">
        <x:v>Binary success for the counterfactual instruction and paired action-switch analysis versus the parent.</x:v>
      </x:c>
      <x:c r="F1606" s="31"/>
      <x:c r="G1606" s="31"/>
      <x:c r="H1606" s="31" t="str">
        <x:f>IF(OR(F1606="",G1606=""),"",IF(F1606=G1606,"Agree","Disagree"))</x:f>
      </x:c>
      <x:c r="I1606" s="31"/>
      <x:c r="J1606" s="31" t="str">
        <x:v>No</x:v>
      </x:c>
      <x:c r="K1606" s="31" t="str"/>
      <x:c r="L1606" s="31" t="str"/>
      <x:c r="M1606" s="31" t="str"/>
      <x:c r="N1606" s="31" t="str"/>
    </x:row>
    <x:row r="1607" ht="42" customHeight="1">
      <x:c r="A1607" s="35" t="n">
        <x:v>1605</x:v>
      </x:c>
      <x:c r="B1607" s="31" t="str">
        <x:f>IF('Execution Checklist'!Q1607="","",'Execution Checklist'!Q1607)</x:f>
      </x:c>
      <x:c r="C1607" s="31" t="str">
        <x:v>Place the pink marker to the right of the blue block.</x:v>
      </x:c>
      <x:c r="D1607" s="31" t="str">
        <x:v>pink marker</x:v>
      </x:c>
      <x:c r="E1607" s="31" t="str">
        <x:v>Binary task success using the task-specific rubric.</x:v>
      </x:c>
      <x:c r="F1607" s="31"/>
      <x:c r="G1607" s="31"/>
      <x:c r="H1607" s="31" t="str">
        <x:f>IF(OR(F1607="",G1607=""),"",IF(F1607=G1607,"Agree","Disagree"))</x:f>
      </x:c>
      <x:c r="I1607" s="31"/>
      <x:c r="J1607" s="31" t="str">
        <x:v>No</x:v>
      </x:c>
      <x:c r="K1607" s="31" t="str"/>
      <x:c r="L1607" s="31" t="str"/>
      <x:c r="M1607" s="31" t="str"/>
      <x:c r="N1607" s="31" t="str"/>
    </x:row>
    <x:row r="1608" ht="42" customHeight="1">
      <x:c r="A1608" s="35" t="n">
        <x:v>1606</x:v>
      </x:c>
      <x:c r="B1608" s="31" t="str">
        <x:f>IF('Execution Checklist'!Q1608="","",'Execution Checklist'!Q1608)</x:f>
      </x:c>
      <x:c r="C1608" s="31" t="str">
        <x:v>Place the green pen to the right of the red block.</x:v>
      </x:c>
      <x:c r="D1608" s="31" t="str">
        <x:v>green pen → to the right of red block</x:v>
      </x:c>
      <x:c r="E1608" s="31" t="str">
        <x:v>Binary task success; paired with the main matched-control row.</x:v>
      </x:c>
      <x:c r="F1608" s="31"/>
      <x:c r="G1608" s="31"/>
      <x:c r="H1608" s="31" t="str">
        <x:f>IF(OR(F1608="",G1608=""),"",IF(F1608=G1608,"Agree","Disagree"))</x:f>
      </x:c>
      <x:c r="I1608" s="31"/>
      <x:c r="J1608" s="31" t="str">
        <x:v>No</x:v>
      </x:c>
      <x:c r="K1608" s="31" t="str"/>
      <x:c r="L1608" s="31" t="str"/>
      <x:c r="M1608" s="31" t="str"/>
      <x:c r="N1608" s="31" t="str"/>
    </x:row>
    <x:row r="1609" ht="42" customHeight="1">
      <x:c r="A1609" s="35" t="n">
        <x:v>1607</x:v>
      </x:c>
      <x:c r="B1609" s="31" t="str">
        <x:f>IF('Execution Checklist'!Q1609="","",'Execution Checklist'!Q1609)</x:f>
      </x:c>
      <x:c r="C1609" s="31" t="str">
        <x:v>Place the red block next to the green pen.</x:v>
      </x:c>
      <x:c r="D1609" s="31" t="str">
        <x:v>red block near green pen</x:v>
      </x:c>
      <x:c r="E1609" s="31" t="str">
        <x:v>Binary task success; paired with the main transfer row.</x:v>
      </x:c>
      <x:c r="F1609" s="31"/>
      <x:c r="G1609" s="31"/>
      <x:c r="H1609" s="31" t="str">
        <x:f>IF(OR(F1609="",G1609=""),"",IF(F1609=G1609,"Agree","Disagree"))</x:f>
      </x:c>
      <x:c r="I1609" s="31"/>
      <x:c r="J1609" s="31" t="str">
        <x:v>No</x:v>
      </x:c>
      <x:c r="K1609" s="31" t="str"/>
      <x:c r="L1609" s="31" t="str"/>
      <x:c r="M1609" s="31" t="str"/>
      <x:c r="N1609" s="31" t="str"/>
    </x:row>
    <x:row r="1610" ht="42" customHeight="1">
      <x:c r="A1610" s="35" t="n">
        <x:v>1608</x:v>
      </x:c>
      <x:c r="B1610" s="31" t="str">
        <x:f>IF('Execution Checklist'!Q1610="","",'Execution Checklist'!Q1610)</x:f>
      </x:c>
      <x:c r="C1610" s="31" t="str">
        <x:v>Move the red block to the side of the pink marker facing the robot.</x:v>
      </x:c>
      <x:c r="D1610" s="31" t="str">
        <x:v>red block</x:v>
      </x:c>
      <x:c r="E1610" s="31" t="str">
        <x:v>Binary task success; compare with the seen-language row sharing Pair ID.</x:v>
      </x:c>
      <x:c r="F1610" s="31"/>
      <x:c r="G1610" s="31"/>
      <x:c r="H1610" s="31" t="str">
        <x:f>IF(OR(F1610="",G1610=""),"",IF(F1610=G1610,"Agree","Disagree"))</x:f>
      </x:c>
      <x:c r="I1610" s="31"/>
      <x:c r="J1610" s="31" t="str">
        <x:v>No</x:v>
      </x:c>
      <x:c r="K1610" s="31" t="str"/>
      <x:c r="L1610" s="31" t="str"/>
      <x:c r="M1610" s="31" t="str"/>
      <x:c r="N1610" s="31" t="str"/>
    </x:row>
    <x:row r="1611" ht="42" customHeight="1">
      <x:c r="A1611" s="35" t="n">
        <x:v>1609</x:v>
      </x:c>
      <x:c r="B1611" s="31" t="str">
        <x:f>IF('Execution Checklist'!Q1611="","",'Execution Checklist'!Q1611)</x:f>
      </x:c>
      <x:c r="C1611" s="31" t="str">
        <x:v>Place the green pen next to the red block.</x:v>
      </x:c>
      <x:c r="D1611" s="31" t="str">
        <x:v>green pen near red block</x:v>
      </x:c>
      <x:c r="E1611" s="31" t="str">
        <x:v>Binary task success; paired with the main transfer row.</x:v>
      </x:c>
      <x:c r="F1611" s="31"/>
      <x:c r="G1611" s="31"/>
      <x:c r="H1611" s="31" t="str">
        <x:f>IF(OR(F1611="",G1611=""),"",IF(F1611=G1611,"Agree","Disagree"))</x:f>
      </x:c>
      <x:c r="I1611" s="31"/>
      <x:c r="J1611" s="31" t="str">
        <x:v>No</x:v>
      </x:c>
      <x:c r="K1611" s="31" t="str"/>
      <x:c r="L1611" s="31" t="str"/>
      <x:c r="M1611" s="31" t="str"/>
      <x:c r="N1611" s="31" t="str"/>
    </x:row>
    <x:row r="1612" ht="42" customHeight="1">
      <x:c r="A1612" s="35" t="n">
        <x:v>1610</x:v>
      </x:c>
      <x:c r="B1612" s="31" t="str">
        <x:f>IF('Execution Checklist'!Q1612="","",'Execution Checklist'!Q1612)</x:f>
      </x:c>
      <x:c r="C1612" s="31" t="str">
        <x:v>Place the green pen to the right of the red block.</x:v>
      </x:c>
      <x:c r="D1612" s="31" t="str">
        <x:v>No prespecified task success under blank language; record any action/selected target.</x:v>
      </x:c>
      <x:c r="E1612" s="31" t="str">
        <x:v>Do not score ordinary task success. Record action occurrence and agreement with the parent correct-prompt rollout.</x:v>
      </x:c>
      <x:c r="F1612" s="31"/>
      <x:c r="G1612" s="31"/>
      <x:c r="H1612" s="31" t="str">
        <x:f>IF(OR(F1612="",G1612=""),"",IF(F1612=G1612,"Agree","Disagree"))</x:f>
      </x:c>
      <x:c r="I1612" s="31"/>
      <x:c r="J1612" s="31" t="str">
        <x:v>No</x:v>
      </x:c>
      <x:c r="K1612" s="31" t="str"/>
      <x:c r="L1612" s="31" t="str"/>
      <x:c r="M1612" s="31" t="str"/>
      <x:c r="N1612" s="31" t="str"/>
    </x:row>
    <x:row r="1613" ht="42" customHeight="1">
      <x:c r="A1613" s="35" t="n">
        <x:v>1611</x:v>
      </x:c>
      <x:c r="B1613" s="31" t="str">
        <x:f>IF('Execution Checklist'!Q1613="","",'Execution Checklist'!Q1613)</x:f>
      </x:c>
      <x:c r="C1613" s="31" t="str">
        <x:v>Place the green pen near the red block.</x:v>
      </x:c>
      <x:c r="D1613" s="31" t="str">
        <x:v>green pen near red block</x:v>
      </x:c>
      <x:c r="E1613" s="31" t="str">
        <x:v>Binary task success; paired with the main transfer row.</x:v>
      </x:c>
      <x:c r="F1613" s="31"/>
      <x:c r="G1613" s="31"/>
      <x:c r="H1613" s="31" t="str">
        <x:f>IF(OR(F1613="",G1613=""),"",IF(F1613=G1613,"Agree","Disagree"))</x:f>
      </x:c>
      <x:c r="I1613" s="31"/>
      <x:c r="J1613" s="31" t="str">
        <x:v>No</x:v>
      </x:c>
      <x:c r="K1613" s="31" t="str"/>
      <x:c r="L1613" s="31" t="str"/>
      <x:c r="M1613" s="31" t="str"/>
      <x:c r="N1613" s="31" t="str"/>
    </x:row>
    <x:row r="1614" ht="42" customHeight="1">
      <x:c r="A1614" s="35" t="n">
        <x:v>1612</x:v>
      </x:c>
      <x:c r="B1614" s="31" t="str">
        <x:f>IF('Execution Checklist'!Q1614="","",'Execution Checklist'!Q1614)</x:f>
      </x:c>
      <x:c r="C1614" s="31" t="str">
        <x:v>Remove the yellow block from the bowl.</x:v>
      </x:c>
      <x:c r="D1614" s="31" t="str">
        <x:v>REMOVE yellow block</x:v>
      </x:c>
      <x:c r="E1614" s="31" t="str">
        <x:v>Binary task success; paired with the main transfer row.</x:v>
      </x:c>
      <x:c r="F1614" s="31"/>
      <x:c r="G1614" s="31"/>
      <x:c r="H1614" s="31" t="str">
        <x:f>IF(OR(F1614="",G1614=""),"",IF(F1614=G1614,"Agree","Disagree"))</x:f>
      </x:c>
      <x:c r="I1614" s="31"/>
      <x:c r="J1614" s="31" t="str">
        <x:v>No</x:v>
      </x:c>
      <x:c r="K1614" s="31" t="str"/>
      <x:c r="L1614" s="31" t="str"/>
      <x:c r="M1614" s="31" t="str"/>
      <x:c r="N1614" s="31" t="str"/>
    </x:row>
    <x:row r="1615" ht="42" customHeight="1">
      <x:c r="A1615" s="35" t="n">
        <x:v>1613</x:v>
      </x:c>
      <x:c r="B1615" s="31" t="str">
        <x:f>IF('Execution Checklist'!Q1615="","",'Execution Checklist'!Q1615)</x:f>
      </x:c>
      <x:c r="C1615" s="31" t="str">
        <x:v>Make the bowl contain exactly two objects.</x:v>
      </x:c>
      <x:c r="D1615" s="31" t="str"/>
      <x:c r="E1615" s="31" t="str">
        <x:v>Binary task success using the task-specific rubric.</x:v>
      </x:c>
      <x:c r="F1615" s="31"/>
      <x:c r="G1615" s="31"/>
      <x:c r="H1615" s="31" t="str">
        <x:f>IF(OR(F1615="",G1615=""),"",IF(F1615=G1615,"Agree","Disagree"))</x:f>
      </x:c>
      <x:c r="I1615" s="31"/>
      <x:c r="J1615" s="31" t="str">
        <x:v>No</x:v>
      </x:c>
      <x:c r="K1615" s="31" t="str"/>
      <x:c r="L1615" s="31" t="str"/>
      <x:c r="M1615" s="31" t="str"/>
      <x:c r="N1615" s="31" t="str"/>
    </x:row>
    <x:row r="1616" ht="42" customHeight="1">
      <x:c r="A1616" s="35" t="n">
        <x:v>1614</x:v>
      </x:c>
      <x:c r="B1616" s="31" t="str">
        <x:f>IF('Execution Checklist'!Q1616="","",'Execution Checklist'!Q1616)</x:f>
      </x:c>
      <x:c r="C1616" s="31" t="str">
        <x:v>Leave exactly three objects in the bowl.</x:v>
      </x:c>
      <x:c r="D1616" s="31" t="str">
        <x:v>ADD one table object</x:v>
      </x:c>
      <x:c r="E1616" s="31" t="str">
        <x:v>Binary task success; paired with the main matched-control row.</x:v>
      </x:c>
      <x:c r="F1616" s="31"/>
      <x:c r="G1616" s="31"/>
      <x:c r="H1616" s="31" t="str">
        <x:f>IF(OR(F1616="",G1616=""),"",IF(F1616=G1616,"Agree","Disagree"))</x:f>
      </x:c>
      <x:c r="I1616" s="31"/>
      <x:c r="J1616" s="31" t="str">
        <x:v>No</x:v>
      </x:c>
      <x:c r="K1616" s="31" t="str"/>
      <x:c r="L1616" s="31" t="str"/>
      <x:c r="M1616" s="31" t="str"/>
      <x:c r="N1616" s="31" t="str"/>
    </x:row>
    <x:row r="1617" ht="42" customHeight="1">
      <x:c r="A1617" s="35" t="n">
        <x:v>1615</x:v>
      </x:c>
      <x:c r="B1617" s="31" t="str">
        <x:f>IF('Execution Checklist'!Q1617="","",'Execution Checklist'!Q1617)</x:f>
      </x:c>
      <x:c r="C1617" s="31" t="str">
        <x:v>Leave no objects in the bowl.</x:v>
      </x:c>
      <x:c r="D1617" s="31" t="str">
        <x:v>blue pen</x:v>
      </x:c>
      <x:c r="E1617" s="31" t="str">
        <x:v>Binary task success using the task-specific rubric.</x:v>
      </x:c>
      <x:c r="F1617" s="31"/>
      <x:c r="G1617" s="31"/>
      <x:c r="H1617" s="31" t="str">
        <x:f>IF(OR(F1617="",G1617=""),"",IF(F1617=G1617,"Agree","Disagree"))</x:f>
      </x:c>
      <x:c r="I1617" s="31"/>
      <x:c r="J1617" s="31" t="str">
        <x:v>No</x:v>
      </x:c>
      <x:c r="K1617" s="31" t="str"/>
      <x:c r="L1617" s="31" t="str"/>
      <x:c r="M1617" s="31" t="str"/>
      <x:c r="N1617" s="31" t="str"/>
    </x:row>
    <x:row r="1618" ht="42" customHeight="1">
      <x:c r="A1618" s="35" t="n">
        <x:v>1616</x:v>
      </x:c>
      <x:c r="B1618" s="31" t="str">
        <x:f>IF('Execution Checklist'!Q1618="","",'Execution Checklist'!Q1618)</x:f>
      </x:c>
      <x:c r="C1618" s="31" t="str">
        <x:v>Leave exactly three objects in the bowl.</x:v>
      </x:c>
      <x:c r="D1618" s="31" t="str">
        <x:v>ADD one table object</x:v>
      </x:c>
      <x:c r="E1618" s="31" t="str">
        <x:v>Binary task success; paired with the main matched-control row.</x:v>
      </x:c>
      <x:c r="F1618" s="31"/>
      <x:c r="G1618" s="31"/>
      <x:c r="H1618" s="31" t="str">
        <x:f>IF(OR(F1618="",G1618=""),"",IF(F1618=G1618,"Agree","Disagree"))</x:f>
      </x:c>
      <x:c r="I1618" s="31"/>
      <x:c r="J1618" s="31" t="str">
        <x:v>No</x:v>
      </x:c>
      <x:c r="K1618" s="31" t="str"/>
      <x:c r="L1618" s="31" t="str"/>
      <x:c r="M1618" s="31" t="str"/>
      <x:c r="N1618" s="31" t="str"/>
    </x:row>
    <x:row r="1619" ht="42" customHeight="1">
      <x:c r="A1619" s="35" t="n">
        <x:v>1617</x:v>
      </x:c>
      <x:c r="B1619" s="31" t="str">
        <x:f>IF('Execution Checklist'!Q1619="","",'Execution Checklist'!Q1619)</x:f>
      </x:c>
      <x:c r="C1619" s="31" t="str">
        <x:v>Remove the green pencil sharpener from the bowl.</x:v>
      </x:c>
      <x:c r="D1619" s="31" t="str">
        <x:v>REMOVE green pencil sharpener</x:v>
      </x:c>
      <x:c r="E1619" s="31" t="str">
        <x:v>Binary task success; paired with the main transfer row.</x:v>
      </x:c>
      <x:c r="F1619" s="31"/>
      <x:c r="G1619" s="31"/>
      <x:c r="H1619" s="31" t="str">
        <x:f>IF(OR(F1619="",G1619=""),"",IF(F1619=G1619,"Agree","Disagree"))</x:f>
      </x:c>
      <x:c r="I1619" s="31"/>
      <x:c r="J1619" s="31" t="str">
        <x:v>No</x:v>
      </x:c>
      <x:c r="K1619" s="31" t="str"/>
      <x:c r="L1619" s="31" t="str"/>
      <x:c r="M1619" s="31" t="str"/>
      <x:c r="N1619" s="31" t="str"/>
    </x:row>
    <x:row r="1620" ht="42" customHeight="1">
      <x:c r="A1620" s="35" t="n">
        <x:v>1618</x:v>
      </x:c>
      <x:c r="B1620" s="31" t="str">
        <x:f>IF('Execution Checklist'!Q1620="","",'Execution Checklist'!Q1620)</x:f>
      </x:c>
      <x:c r="C1620" s="31" t="str">
        <x:v>Leave exactly one object in the bowl.</x:v>
      </x:c>
      <x:c r="D1620" s="31" t="str">
        <x:v>REMOVE one bowl object</x:v>
      </x:c>
      <x:c r="E1620" s="31" t="str">
        <x:v>Binary success for the counterfactual instruction and paired action-switch analysis versus the parent.</x:v>
      </x:c>
      <x:c r="F1620" s="31"/>
      <x:c r="G1620" s="31"/>
      <x:c r="H1620" s="31" t="str">
        <x:f>IF(OR(F1620="",G1620=""),"",IF(F1620=G1620,"Agree","Disagree"))</x:f>
      </x:c>
      <x:c r="I1620" s="31"/>
      <x:c r="J1620" s="31" t="str">
        <x:v>No</x:v>
      </x:c>
      <x:c r="K1620" s="31" t="str"/>
      <x:c r="L1620" s="31" t="str"/>
      <x:c r="M1620" s="31" t="str"/>
      <x:c r="N1620" s="31" t="str"/>
    </x:row>
    <x:row r="1621" ht="42" customHeight="1">
      <x:c r="A1621" s="35" t="n">
        <x:v>1619</x:v>
      </x:c>
      <x:c r="B1621" s="31" t="str">
        <x:f>IF('Execution Checklist'!Q1621="","",'Execution Checklist'!Q1621)</x:f>
      </x:c>
      <x:c r="C1621" s="31" t="str">
        <x:v>Remove the blue pen from the bowl.</x:v>
      </x:c>
      <x:c r="D1621" s="31" t="str">
        <x:v>REMOVE blue pen</x:v>
      </x:c>
      <x:c r="E1621" s="31" t="str">
        <x:v>Binary task success; paired with the main transfer row.</x:v>
      </x:c>
      <x:c r="F1621" s="31"/>
      <x:c r="G1621" s="31"/>
      <x:c r="H1621" s="31" t="str">
        <x:f>IF(OR(F1621="",G1621=""),"",IF(F1621=G1621,"Agree","Disagree"))</x:f>
      </x:c>
      <x:c r="I1621" s="31"/>
      <x:c r="J1621" s="31" t="str">
        <x:v>No</x:v>
      </x:c>
      <x:c r="K1621" s="31" t="str"/>
      <x:c r="L1621" s="31" t="str"/>
      <x:c r="M1621" s="31" t="str"/>
      <x:c r="N1621" s="31" t="str"/>
    </x:row>
    <x:row r="1622" ht="42" customHeight="1">
      <x:c r="A1622" s="35" t="n">
        <x:v>1620</x:v>
      </x:c>
      <x:c r="B1622" s="31" t="str">
        <x:f>IF('Execution Checklist'!Q1622="","",'Execution Checklist'!Q1622)</x:f>
      </x:c>
      <x:c r="C1622" s="31" t="str">
        <x:v>Leave exactly one object in the bowl.</x:v>
      </x:c>
      <x:c r="D1622" s="31" t="str">
        <x:v>REMOVE one bowl object</x:v>
      </x:c>
      <x:c r="E1622" s="31" t="str">
        <x:v>Binary task success; paired with the main matched-control row.</x:v>
      </x:c>
      <x:c r="F1622" s="31"/>
      <x:c r="G1622" s="31"/>
      <x:c r="H1622" s="31" t="str">
        <x:f>IF(OR(F1622="",G1622=""),"",IF(F1622=G1622,"Agree","Disagree"))</x:f>
      </x:c>
      <x:c r="I1622" s="31"/>
      <x:c r="J1622" s="31" t="str">
        <x:v>No</x:v>
      </x:c>
      <x:c r="K1622" s="31" t="str"/>
      <x:c r="L1622" s="31" t="str"/>
      <x:c r="M1622" s="31" t="str"/>
      <x:c r="N1622" s="31" t="str"/>
    </x:row>
    <x:row r="1623" ht="42" customHeight="1">
      <x:c r="A1623" s="35" t="n">
        <x:v>1621</x:v>
      </x:c>
      <x:c r="B1623" s="31" t="str">
        <x:f>IF('Execution Checklist'!Q1623="","",'Execution Checklist'!Q1623)</x:f>
      </x:c>
      <x:c r="C1623" s="31" t="str">
        <x:v>Remove the green pencil sharpener from the bowl.</x:v>
      </x:c>
      <x:c r="D1623" s="31" t="str">
        <x:v>REMOVE green pencil sharpener</x:v>
      </x:c>
      <x:c r="E1623" s="31" t="str">
        <x:v>Binary task success; paired with the main transfer row.</x:v>
      </x:c>
      <x:c r="F1623" s="31"/>
      <x:c r="G1623" s="31"/>
      <x:c r="H1623" s="31" t="str">
        <x:f>IF(OR(F1623="",G1623=""),"",IF(F1623=G1623,"Agree","Disagree"))</x:f>
      </x:c>
      <x:c r="I1623" s="31"/>
      <x:c r="J1623" s="31" t="str">
        <x:v>No</x:v>
      </x:c>
      <x:c r="K1623" s="31" t="str"/>
      <x:c r="L1623" s="31" t="str"/>
      <x:c r="M1623" s="31" t="str"/>
      <x:c r="N1623" s="31" t="str"/>
    </x:row>
    <x:row r="1624" ht="42" customHeight="1">
      <x:c r="A1624" s="35" t="n">
        <x:v>1622</x:v>
      </x:c>
      <x:c r="B1624" s="31" t="str">
        <x:f>IF('Execution Checklist'!Q1624="","",'Execution Checklist'!Q1624)</x:f>
      </x:c>
      <x:c r="C1624" s="31" t="str">
        <x:v>Put the yellow block in the bowl.</x:v>
      </x:c>
      <x:c r="D1624" s="31" t="str">
        <x:v>ADD yellow block</x:v>
      </x:c>
      <x:c r="E1624" s="31" t="str">
        <x:v>Binary task success; paired with the main transfer row.</x:v>
      </x:c>
      <x:c r="F1624" s="31"/>
      <x:c r="G1624" s="31"/>
      <x:c r="H1624" s="31" t="str">
        <x:f>IF(OR(F1624="",G1624=""),"",IF(F1624=G1624,"Agree","Disagree"))</x:f>
      </x:c>
      <x:c r="I1624" s="31"/>
      <x:c r="J1624" s="31" t="str">
        <x:v>No</x:v>
      </x:c>
      <x:c r="K1624" s="31" t="str"/>
      <x:c r="L1624" s="31" t="str"/>
      <x:c r="M1624" s="31" t="str"/>
      <x:c r="N1624" s="31" t="str"/>
    </x:row>
    <x:row r="1625" ht="42" customHeight="1">
      <x:c r="A1625" s="35" t="n">
        <x:v>1623</x:v>
      </x:c>
      <x:c r="B1625" s="31" t="str">
        <x:f>IF('Execution Checklist'!Q1625="","",'Execution Checklist'!Q1625)</x:f>
      </x:c>
      <x:c r="C1625" s="31" t="str">
        <x:v>Finish with two objects in the bowl.</x:v>
      </x:c>
      <x:c r="D1625" s="31" t="str"/>
      <x:c r="E1625" s="31" t="str">
        <x:v>Binary task success; compare with the seen-language row sharing Pair ID.</x:v>
      </x:c>
      <x:c r="F1625" s="31"/>
      <x:c r="G1625" s="31"/>
      <x:c r="H1625" s="31" t="str">
        <x:f>IF(OR(F1625="",G1625=""),"",IF(F1625=G1625,"Agree","Disagree"))</x:f>
      </x:c>
      <x:c r="I1625" s="31"/>
      <x:c r="J1625" s="31" t="str">
        <x:v>No</x:v>
      </x:c>
      <x:c r="K1625" s="31" t="str"/>
      <x:c r="L1625" s="31" t="str"/>
      <x:c r="M1625" s="31" t="str"/>
      <x:c r="N1625" s="31" t="str"/>
    </x:row>
    <x:row r="1626" ht="42" customHeight="1">
      <x:c r="A1626" s="35" t="n">
        <x:v>1624</x:v>
      </x:c>
      <x:c r="B1626" s="31" t="str">
        <x:f>IF('Execution Checklist'!Q1626="","",'Execution Checklist'!Q1626)</x:f>
      </x:c>
      <x:c r="C1626" s="31" t="str">
        <x:v>Finish with two objects in the bowl.</x:v>
      </x:c>
      <x:c r="D1626" s="31" t="str"/>
      <x:c r="E1626" s="31" t="str">
        <x:v>Binary task success; compare with the seen-language row sharing Pair ID.</x:v>
      </x:c>
      <x:c r="F1626" s="31"/>
      <x:c r="G1626" s="31"/>
      <x:c r="H1626" s="31" t="str">
        <x:f>IF(OR(F1626="",G1626=""),"",IF(F1626=G1626,"Agree","Disagree"))</x:f>
      </x:c>
      <x:c r="I1626" s="31"/>
      <x:c r="J1626" s="31" t="str">
        <x:v>No</x:v>
      </x:c>
      <x:c r="K1626" s="31" t="str"/>
      <x:c r="L1626" s="31" t="str"/>
      <x:c r="M1626" s="31" t="str"/>
      <x:c r="N1626" s="31" t="str"/>
    </x:row>
    <x:row r="1627" ht="42" customHeight="1">
      <x:c r="A1627" s="35" t="n">
        <x:v>1625</x:v>
      </x:c>
      <x:c r="B1627" s="31" t="str">
        <x:f>IF('Execution Checklist'!Q1627="","",'Execution Checklist'!Q1627)</x:f>
      </x:c>
      <x:c r="C1627" s="31" t="str">
        <x:v>Leave exactly three objects in the bowl.</x:v>
      </x:c>
      <x:c r="D1627" s="31" t="str">
        <x:v>No prespecified task success under blank language; record any action/selected target.</x:v>
      </x:c>
      <x:c r="E1627" s="31" t="str">
        <x:v>Do not score ordinary task success. Record action occurrence and agreement with the parent correct-prompt rollout.</x:v>
      </x:c>
      <x:c r="F1627" s="31"/>
      <x:c r="G1627" s="31"/>
      <x:c r="H1627" s="31" t="str">
        <x:f>IF(OR(F1627="",G1627=""),"",IF(F1627=G1627,"Agree","Disagree"))</x:f>
      </x:c>
      <x:c r="I1627" s="31"/>
      <x:c r="J1627" s="31" t="str">
        <x:v>No</x:v>
      </x:c>
      <x:c r="K1627" s="31" t="str"/>
      <x:c r="L1627" s="31" t="str"/>
      <x:c r="M1627" s="31" t="str"/>
      <x:c r="N1627" s="31" t="str"/>
    </x:row>
    <x:row r="1628" ht="42" customHeight="1">
      <x:c r="A1628" s="35" t="n">
        <x:v>1626</x:v>
      </x:c>
      <x:c r="B1628" s="31" t="str">
        <x:f>IF('Execution Checklist'!Q1628="","",'Execution Checklist'!Q1628)</x:f>
      </x:c>
      <x:c r="C1628" s="31" t="str">
        <x:v>Make the bowl contain exactly zero objects.</x:v>
      </x:c>
      <x:c r="D1628" s="31" t="str"/>
      <x:c r="E1628" s="31" t="str">
        <x:v>Binary task success using the task-specific rubric.</x:v>
      </x:c>
      <x:c r="F1628" s="31"/>
      <x:c r="G1628" s="31"/>
      <x:c r="H1628" s="31" t="str">
        <x:f>IF(OR(F1628="",G1628=""),"",IF(F1628=G1628,"Agree","Disagree"))</x:f>
      </x:c>
      <x:c r="I1628" s="31"/>
      <x:c r="J1628" s="31" t="str">
        <x:v>No</x:v>
      </x:c>
      <x:c r="K1628" s="31" t="str"/>
      <x:c r="L1628" s="31" t="str"/>
      <x:c r="M1628" s="31" t="str"/>
      <x:c r="N1628" s="31" t="str"/>
    </x:row>
    <x:row r="1629" ht="42" customHeight="1">
      <x:c r="A1629" s="35" t="n">
        <x:v>1627</x:v>
      </x:c>
      <x:c r="B1629" s="31" t="str">
        <x:f>IF('Execution Checklist'!Q1629="","",'Execution Checklist'!Q1629)</x:f>
      </x:c>
      <x:c r="C1629" s="31" t="str">
        <x:v>Put the airplane toy without propellers in the bowl.</x:v>
      </x:c>
      <x:c r="D1629" s="31" t="str">
        <x:v>ADD airplane toy without propellers</x:v>
      </x:c>
      <x:c r="E1629" s="31" t="str">
        <x:v>Binary task success; paired with the main transfer row.</x:v>
      </x:c>
      <x:c r="F1629" s="31"/>
      <x:c r="G1629" s="31"/>
      <x:c r="H1629" s="31" t="str">
        <x:f>IF(OR(F1629="",G1629=""),"",IF(F1629=G1629,"Agree","Disagree"))</x:f>
      </x:c>
      <x:c r="I1629" s="31"/>
      <x:c r="J1629" s="31" t="str">
        <x:v>No</x:v>
      </x:c>
      <x:c r="K1629" s="31" t="str"/>
      <x:c r="L1629" s="31" t="str"/>
      <x:c r="M1629" s="31" t="str"/>
      <x:c r="N1629" s="31" t="str"/>
    </x:row>
    <x:row r="1630" ht="42" customHeight="1">
      <x:c r="A1630" s="35" t="n">
        <x:v>1628</x:v>
      </x:c>
      <x:c r="B1630" s="31" t="str">
        <x:f>IF('Execution Checklist'!Q1630="","",'Execution Checklist'!Q1630)</x:f>
      </x:c>
      <x:c r="C1630" s="31" t="str">
        <x:v>Leave exactly three objects in the bowl.</x:v>
      </x:c>
      <x:c r="D1630" s="31" t="str">
        <x:v>ADD one table object</x:v>
      </x:c>
      <x:c r="E1630" s="31" t="str">
        <x:v>Binary success for the counterfactual instruction and paired action-switch analysis versus the parent.</x:v>
      </x:c>
      <x:c r="F1630" s="31"/>
      <x:c r="G1630" s="31"/>
      <x:c r="H1630" s="31" t="str">
        <x:f>IF(OR(F1630="",G1630=""),"",IF(F1630=G1630,"Agree","Disagree"))</x:f>
      </x:c>
      <x:c r="I1630" s="31"/>
      <x:c r="J1630" s="31" t="str">
        <x:v>No</x:v>
      </x:c>
      <x:c r="K1630" s="31" t="str"/>
      <x:c r="L1630" s="31" t="str"/>
      <x:c r="M1630" s="31" t="str"/>
      <x:c r="N1630" s="31" t="str"/>
    </x:row>
    <x:row r="1631" ht="42" customHeight="1">
      <x:c r="A1631" s="35" t="n">
        <x:v>1629</x:v>
      </x:c>
      <x:c r="B1631" s="31" t="str">
        <x:f>IF('Execution Checklist'!Q1631="","",'Execution Checklist'!Q1631)</x:f>
      </x:c>
      <x:c r="C1631" s="31" t="str">
        <x:v>Make the bowl contain exactly two objects.</x:v>
      </x:c>
      <x:c r="D1631" s="31" t="str"/>
      <x:c r="E1631" s="31" t="str">
        <x:v>Binary task success using the task-specific rubric.</x:v>
      </x:c>
      <x:c r="F1631" s="31"/>
      <x:c r="G1631" s="31"/>
      <x:c r="H1631" s="31" t="str">
        <x:f>IF(OR(F1631="",G1631=""),"",IF(F1631=G1631,"Agree","Disagree"))</x:f>
      </x:c>
      <x:c r="I1631" s="31"/>
      <x:c r="J1631" s="31" t="str">
        <x:v>No</x:v>
      </x:c>
      <x:c r="K1631" s="31" t="str"/>
      <x:c r="L1631" s="31" t="str"/>
      <x:c r="M1631" s="31" t="str"/>
      <x:c r="N1631" s="31" t="str"/>
    </x:row>
    <x:row r="1632" ht="42" customHeight="1">
      <x:c r="A1632" s="35" t="n">
        <x:v>1630</x:v>
      </x:c>
      <x:c r="B1632" s="31" t="str">
        <x:f>IF('Execution Checklist'!Q1632="","",'Execution Checklist'!Q1632)</x:f>
      </x:c>
      <x:c r="C1632" s="31" t="str">
        <x:v>Finish with two objects in the bowl.</x:v>
      </x:c>
      <x:c r="D1632" s="31" t="str"/>
      <x:c r="E1632" s="31" t="str">
        <x:v>Binary task success; compare with the seen-language row sharing Pair ID.</x:v>
      </x:c>
      <x:c r="F1632" s="31"/>
      <x:c r="G1632" s="31"/>
      <x:c r="H1632" s="31" t="str">
        <x:f>IF(OR(F1632="",G1632=""),"",IF(F1632=G1632,"Agree","Disagree"))</x:f>
      </x:c>
      <x:c r="I1632" s="31"/>
      <x:c r="J1632" s="31" t="str">
        <x:v>No</x:v>
      </x:c>
      <x:c r="K1632" s="31" t="str"/>
      <x:c r="L1632" s="31" t="str"/>
      <x:c r="M1632" s="31" t="str"/>
      <x:c r="N1632" s="31" t="str"/>
    </x:row>
    <x:row r="1633" ht="42" customHeight="1">
      <x:c r="A1633" s="35" t="n">
        <x:v>1631</x:v>
      </x:c>
      <x:c r="B1633" s="31" t="str">
        <x:f>IF('Execution Checklist'!Q1633="","",'Execution Checklist'!Q1633)</x:f>
      </x:c>
      <x:c r="C1633" s="31" t="str">
        <x:v>Finish with two objects in the bowl.</x:v>
      </x:c>
      <x:c r="D1633" s="31" t="str"/>
      <x:c r="E1633" s="31" t="str">
        <x:v>Binary task success; compare with the seen-language row sharing Pair ID.</x:v>
      </x:c>
      <x:c r="F1633" s="31"/>
      <x:c r="G1633" s="31"/>
      <x:c r="H1633" s="31" t="str">
        <x:f>IF(OR(F1633="",G1633=""),"",IF(F1633=G1633,"Agree","Disagree"))</x:f>
      </x:c>
      <x:c r="I1633" s="31"/>
      <x:c r="J1633" s="31" t="str">
        <x:v>No</x:v>
      </x:c>
      <x:c r="K1633" s="31" t="str"/>
      <x:c r="L1633" s="31" t="str"/>
      <x:c r="M1633" s="31" t="str"/>
      <x:c r="N1633" s="31" t="str"/>
    </x:row>
    <x:row r="1634" ht="42" customHeight="1">
      <x:c r="A1634" s="35" t="n">
        <x:v>1632</x:v>
      </x:c>
      <x:c r="B1634" s="31" t="str">
        <x:f>IF('Execution Checklist'!Q1634="","",'Execution Checklist'!Q1634)</x:f>
      </x:c>
      <x:c r="C1634" s="31" t="str">
        <x:v>Finish with two objects in the bowl.</x:v>
      </x:c>
      <x:c r="D1634" s="31" t="str"/>
      <x:c r="E1634" s="31" t="str">
        <x:v>Binary task success; compare with the seen-language row sharing Pair ID.</x:v>
      </x:c>
      <x:c r="F1634" s="31"/>
      <x:c r="G1634" s="31"/>
      <x:c r="H1634" s="31" t="str">
        <x:f>IF(OR(F1634="",G1634=""),"",IF(F1634=G1634,"Agree","Disagree"))</x:f>
      </x:c>
      <x:c r="I1634" s="31"/>
      <x:c r="J1634" s="31" t="str">
        <x:v>No</x:v>
      </x:c>
      <x:c r="K1634" s="31" t="str"/>
      <x:c r="L1634" s="31" t="str"/>
      <x:c r="M1634" s="31" t="str"/>
      <x:c r="N1634" s="31" t="str"/>
    </x:row>
    <x:row r="1635" ht="42" customHeight="1">
      <x:c r="A1635" s="35" t="n">
        <x:v>1633</x:v>
      </x:c>
      <x:c r="B1635" s="31" t="str">
        <x:f>IF('Execution Checklist'!Q1635="","",'Execution Checklist'!Q1635)</x:f>
      </x:c>
      <x:c r="C1635" s="31" t="str">
        <x:v>Leave exactly one object in the bowl.</x:v>
      </x:c>
      <x:c r="D1635" s="31" t="str">
        <x:v>REMOVE one bowl object</x:v>
      </x:c>
      <x:c r="E1635" s="31" t="str">
        <x:v>Binary task success; paired with the main matched-control row.</x:v>
      </x:c>
      <x:c r="F1635" s="31"/>
      <x:c r="G1635" s="31"/>
      <x:c r="H1635" s="31" t="str">
        <x:f>IF(OR(F1635="",G1635=""),"",IF(F1635=G1635,"Agree","Disagree"))</x:f>
      </x:c>
      <x:c r="I1635" s="31"/>
      <x:c r="J1635" s="31" t="str">
        <x:v>No</x:v>
      </x:c>
      <x:c r="K1635" s="31" t="str"/>
      <x:c r="L1635" s="31" t="str"/>
      <x:c r="M1635" s="31" t="str"/>
      <x:c r="N1635" s="31" t="str"/>
    </x:row>
    <x:row r="1636" ht="42" customHeight="1">
      <x:c r="A1636" s="35" t="n">
        <x:v>1634</x:v>
      </x:c>
      <x:c r="B1636" s="31" t="str">
        <x:f>IF('Execution Checklist'!Q1636="","",'Execution Checklist'!Q1636)</x:f>
      </x:c>
      <x:c r="C1636" s="31" t="str">
        <x:v>Finish with two objects in the bowl.</x:v>
      </x:c>
      <x:c r="D1636" s="31" t="str"/>
      <x:c r="E1636" s="31" t="str">
        <x:v>Binary task success; compare with the seen-language row sharing Pair ID.</x:v>
      </x:c>
      <x:c r="F1636" s="31"/>
      <x:c r="G1636" s="31"/>
      <x:c r="H1636" s="31" t="str">
        <x:f>IF(OR(F1636="",G1636=""),"",IF(F1636=G1636,"Agree","Disagree"))</x:f>
      </x:c>
      <x:c r="I1636" s="31"/>
      <x:c r="J1636" s="31" t="str">
        <x:v>No</x:v>
      </x:c>
      <x:c r="K1636" s="31" t="str"/>
      <x:c r="L1636" s="31" t="str"/>
      <x:c r="M1636" s="31" t="str"/>
      <x:c r="N1636" s="31" t="str"/>
    </x:row>
    <x:row r="1637" ht="42" customHeight="1">
      <x:c r="A1637" s="35" t="n">
        <x:v>1635</x:v>
      </x:c>
      <x:c r="B1637" s="31" t="str">
        <x:f>IF('Execution Checklist'!Q1637="","",'Execution Checklist'!Q1637)</x:f>
      </x:c>
      <x:c r="C1637" s="31" t="str">
        <x:v>Finish with two objects in the bowl.</x:v>
      </x:c>
      <x:c r="D1637" s="31" t="str"/>
      <x:c r="E1637" s="31" t="str">
        <x:v>Binary task success; compare with the seen-language row sharing Pair ID.</x:v>
      </x:c>
      <x:c r="F1637" s="31"/>
      <x:c r="G1637" s="31"/>
      <x:c r="H1637" s="31" t="str">
        <x:f>IF(OR(F1637="",G1637=""),"",IF(F1637=G1637,"Agree","Disagree"))</x:f>
      </x:c>
      <x:c r="I1637" s="31"/>
      <x:c r="J1637" s="31" t="str">
        <x:v>No</x:v>
      </x:c>
      <x:c r="K1637" s="31" t="str"/>
      <x:c r="L1637" s="31" t="str"/>
      <x:c r="M1637" s="31" t="str"/>
      <x:c r="N1637" s="31" t="str"/>
    </x:row>
    <x:row r="1638" ht="42" customHeight="1">
      <x:c r="A1638" s="35" t="n">
        <x:v>1636</x:v>
      </x:c>
      <x:c r="B1638" s="31" t="str">
        <x:f>IF('Execution Checklist'!Q1638="","",'Execution Checklist'!Q1638)</x:f>
      </x:c>
      <x:c r="C1638" s="31" t="str">
        <x:v>Leave exactly one object in the bowl.</x:v>
      </x:c>
      <x:c r="D1638" s="31" t="str">
        <x:v>REMOVE one bowl object</x:v>
      </x:c>
      <x:c r="E1638" s="31" t="str">
        <x:v>Binary task success; paired with the main matched-control row.</x:v>
      </x:c>
      <x:c r="F1638" s="31"/>
      <x:c r="G1638" s="31"/>
      <x:c r="H1638" s="31" t="str">
        <x:f>IF(OR(F1638="",G1638=""),"",IF(F1638=G1638,"Agree","Disagree"))</x:f>
      </x:c>
      <x:c r="I1638" s="31"/>
      <x:c r="J1638" s="31" t="str">
        <x:v>No</x:v>
      </x:c>
      <x:c r="K1638" s="31" t="str"/>
      <x:c r="L1638" s="31" t="str"/>
      <x:c r="M1638" s="31" t="str"/>
      <x:c r="N1638" s="31" t="str"/>
    </x:row>
    <x:row r="1639" ht="42" customHeight="1">
      <x:c r="A1639" s="35" t="n">
        <x:v>1637</x:v>
      </x:c>
      <x:c r="B1639" s="31" t="str">
        <x:f>IF('Execution Checklist'!Q1639="","",'Execution Checklist'!Q1639)</x:f>
      </x:c>
      <x:c r="C1639" s="31" t="str">
        <x:v>Put the green pencil sharpener in the bowl.</x:v>
      </x:c>
      <x:c r="D1639" s="31" t="str">
        <x:v>ADD green pencil sharpener</x:v>
      </x:c>
      <x:c r="E1639" s="31" t="str">
        <x:v>Binary task success; paired with the main transfer row.</x:v>
      </x:c>
      <x:c r="F1639" s="31"/>
      <x:c r="G1639" s="31"/>
      <x:c r="H1639" s="31" t="str">
        <x:f>IF(OR(F1639="",G1639=""),"",IF(F1639=G1639,"Agree","Disagree"))</x:f>
      </x:c>
      <x:c r="I1639" s="31"/>
      <x:c r="J1639" s="31" t="str">
        <x:v>No</x:v>
      </x:c>
      <x:c r="K1639" s="31" t="str"/>
      <x:c r="L1639" s="31" t="str"/>
      <x:c r="M1639" s="31" t="str"/>
      <x:c r="N1639" s="31" t="str"/>
    </x:row>
    <x:row r="1640" ht="42" customHeight="1">
      <x:c r="A1640" s="35" t="n">
        <x:v>1638</x:v>
      </x:c>
      <x:c r="B1640" s="31" t="str">
        <x:f>IF('Execution Checklist'!Q1640="","",'Execution Checklist'!Q1640)</x:f>
      </x:c>
      <x:c r="C1640" s="31" t="str">
        <x:v>Leave exactly one object in the bowl.</x:v>
      </x:c>
      <x:c r="D1640" s="31" t="str">
        <x:v>REMOVE one bowl object</x:v>
      </x:c>
      <x:c r="E1640" s="31" t="str">
        <x:v>Binary success for the counterfactual instruction and paired action-switch analysis versus the parent.</x:v>
      </x:c>
      <x:c r="F1640" s="31"/>
      <x:c r="G1640" s="31"/>
      <x:c r="H1640" s="31" t="str">
        <x:f>IF(OR(F1640="",G1640=""),"",IF(F1640=G1640,"Agree","Disagree"))</x:f>
      </x:c>
      <x:c r="I1640" s="31"/>
      <x:c r="J1640" s="31" t="str">
        <x:v>No</x:v>
      </x:c>
      <x:c r="K1640" s="31" t="str"/>
      <x:c r="L1640" s="31" t="str"/>
      <x:c r="M1640" s="31" t="str"/>
      <x:c r="N1640" s="31" t="str"/>
    </x:row>
    <x:row r="1641" ht="42" customHeight="1">
      <x:c r="A1641" s="35" t="n">
        <x:v>1639</x:v>
      </x:c>
      <x:c r="B1641" s="31" t="str">
        <x:f>IF('Execution Checklist'!Q1641="","",'Execution Checklist'!Q1641)</x:f>
      </x:c>
      <x:c r="C1641" s="31" t="str">
        <x:v>Leave exactly one object in the bowl.</x:v>
      </x:c>
      <x:c r="D1641" s="31" t="str">
        <x:v>REMOVE one bowl object</x:v>
      </x:c>
      <x:c r="E1641" s="31" t="str">
        <x:v>Binary task success; paired with the main matched-control row.</x:v>
      </x:c>
      <x:c r="F1641" s="31"/>
      <x:c r="G1641" s="31"/>
      <x:c r="H1641" s="31" t="str">
        <x:f>IF(OR(F1641="",G1641=""),"",IF(F1641=G1641,"Agree","Disagree"))</x:f>
      </x:c>
      <x:c r="I1641" s="31"/>
      <x:c r="J1641" s="31" t="str">
        <x:v>No</x:v>
      </x:c>
      <x:c r="K1641" s="31" t="str"/>
      <x:c r="L1641" s="31" t="str"/>
      <x:c r="M1641" s="31" t="str"/>
      <x:c r="N1641" s="31" t="str"/>
    </x:row>
    <x:row r="1642" ht="42" customHeight="1">
      <x:c r="A1642" s="35" t="n">
        <x:v>1640</x:v>
      </x:c>
      <x:c r="B1642" s="31" t="str">
        <x:f>IF('Execution Checklist'!Q1642="","",'Execution Checklist'!Q1642)</x:f>
      </x:c>
      <x:c r="C1642" s="31" t="str">
        <x:v>Leave exactly three objects in the bowl.</x:v>
      </x:c>
      <x:c r="D1642" s="31" t="str">
        <x:v>ADD one table object</x:v>
      </x:c>
      <x:c r="E1642" s="31" t="str">
        <x:v>Binary task success; paired with the main matched-control row.</x:v>
      </x:c>
      <x:c r="F1642" s="31"/>
      <x:c r="G1642" s="31"/>
      <x:c r="H1642" s="31" t="str">
        <x:f>IF(OR(F1642="",G1642=""),"",IF(F1642=G1642,"Agree","Disagree"))</x:f>
      </x:c>
      <x:c r="I1642" s="31"/>
      <x:c r="J1642" s="31" t="str">
        <x:v>No</x:v>
      </x:c>
      <x:c r="K1642" s="31" t="str"/>
      <x:c r="L1642" s="31" t="str"/>
      <x:c r="M1642" s="31" t="str"/>
      <x:c r="N1642" s="31" t="str"/>
    </x:row>
    <x:row r="1643" ht="42" customHeight="1">
      <x:c r="A1643" s="35" t="n">
        <x:v>1641</x:v>
      </x:c>
      <x:c r="B1643" s="31" t="str">
        <x:f>IF('Execution Checklist'!Q1643="","",'Execution Checklist'!Q1643)</x:f>
      </x:c>
      <x:c r="C1643" s="31" t="str">
        <x:v>Leave exactly three objects in the bowl.</x:v>
      </x:c>
      <x:c r="D1643" s="31" t="str">
        <x:v>ADD one table object</x:v>
      </x:c>
      <x:c r="E1643" s="31" t="str">
        <x:v>Binary task success; paired with the main matched-control row.</x:v>
      </x:c>
      <x:c r="F1643" s="31"/>
      <x:c r="G1643" s="31"/>
      <x:c r="H1643" s="31" t="str">
        <x:f>IF(OR(F1643="",G1643=""),"",IF(F1643=G1643,"Agree","Disagree"))</x:f>
      </x:c>
      <x:c r="I1643" s="31"/>
      <x:c r="J1643" s="31" t="str">
        <x:v>No</x:v>
      </x:c>
      <x:c r="K1643" s="31" t="str"/>
      <x:c r="L1643" s="31" t="str"/>
      <x:c r="M1643" s="31" t="str"/>
      <x:c r="N1643" s="31" t="str"/>
    </x:row>
    <x:row r="1644" ht="42" customHeight="1">
      <x:c r="A1644" s="35" t="n">
        <x:v>1642</x:v>
      </x:c>
      <x:c r="B1644" s="31" t="str">
        <x:f>IF('Execution Checklist'!Q1644="","",'Execution Checklist'!Q1644)</x:f>
      </x:c>
      <x:c r="C1644" s="31" t="str">
        <x:v>Leave exactly one object in the bowl.</x:v>
      </x:c>
      <x:c r="D1644" s="31" t="str">
        <x:v>REMOVE one bowl object</x:v>
      </x:c>
      <x:c r="E1644" s="31" t="str">
        <x:v>Binary task success; paired with the main matched-control row.</x:v>
      </x:c>
      <x:c r="F1644" s="31"/>
      <x:c r="G1644" s="31"/>
      <x:c r="H1644" s="31" t="str">
        <x:f>IF(OR(F1644="",G1644=""),"",IF(F1644=G1644,"Agree","Disagree"))</x:f>
      </x:c>
      <x:c r="I1644" s="31"/>
      <x:c r="J1644" s="31" t="str">
        <x:v>No</x:v>
      </x:c>
      <x:c r="K1644" s="31" t="str"/>
      <x:c r="L1644" s="31" t="str"/>
      <x:c r="M1644" s="31" t="str"/>
      <x:c r="N1644" s="31" t="str"/>
    </x:row>
    <x:row r="1645" ht="42" customHeight="1">
      <x:c r="A1645" s="35" t="n">
        <x:v>1643</x:v>
      </x:c>
      <x:c r="B1645" s="31" t="str">
        <x:f>IF('Execution Checklist'!Q1645="","",'Execution Checklist'!Q1645)</x:f>
      </x:c>
      <x:c r="C1645" s="31" t="str">
        <x:v>Adjust the bowl so that it contains zero objects.</x:v>
      </x:c>
      <x:c r="D1645" s="31" t="str"/>
      <x:c r="E1645" s="31" t="str">
        <x:v>Binary task success using the task-specific rubric.</x:v>
      </x:c>
      <x:c r="F1645" s="31"/>
      <x:c r="G1645" s="31"/>
      <x:c r="H1645" s="31" t="str">
        <x:f>IF(OR(F1645="",G1645=""),"",IF(F1645=G1645,"Agree","Disagree"))</x:f>
      </x:c>
      <x:c r="I1645" s="31"/>
      <x:c r="J1645" s="31" t="str">
        <x:v>No</x:v>
      </x:c>
      <x:c r="K1645" s="31" t="str"/>
      <x:c r="L1645" s="31" t="str"/>
      <x:c r="M1645" s="31" t="str"/>
      <x:c r="N1645" s="31" t="str"/>
    </x:row>
    <x:row r="1646" ht="42" customHeight="1">
      <x:c r="A1646" s="35" t="n">
        <x:v>1644</x:v>
      </x:c>
      <x:c r="B1646" s="31" t="str">
        <x:f>IF('Execution Checklist'!Q1646="","",'Execution Checklist'!Q1646)</x:f>
      </x:c>
      <x:c r="C1646" s="31" t="str">
        <x:v>Put the airplane toy without propellers in the bowl.</x:v>
      </x:c>
      <x:c r="D1646" s="31" t="str">
        <x:v>ADD airplane toy without propellers</x:v>
      </x:c>
      <x:c r="E1646" s="31" t="str">
        <x:v>Binary task success; paired with the main transfer row.</x:v>
      </x:c>
      <x:c r="F1646" s="31"/>
      <x:c r="G1646" s="31"/>
      <x:c r="H1646" s="31" t="str">
        <x:f>IF(OR(F1646="",G1646=""),"",IF(F1646=G1646,"Agree","Disagree"))</x:f>
      </x:c>
      <x:c r="I1646" s="31"/>
      <x:c r="J1646" s="31" t="str">
        <x:v>No</x:v>
      </x:c>
      <x:c r="K1646" s="31" t="str"/>
      <x:c r="L1646" s="31" t="str"/>
      <x:c r="M1646" s="31" t="str"/>
      <x:c r="N1646" s="31" t="str"/>
    </x:row>
    <x:row r="1647" ht="42" customHeight="1">
      <x:c r="A1647" s="35" t="n">
        <x:v>1645</x:v>
      </x:c>
      <x:c r="B1647" s="31" t="str">
        <x:f>IF('Execution Checklist'!Q1647="","",'Execution Checklist'!Q1647)</x:f>
      </x:c>
      <x:c r="C1647" s="31" t="str">
        <x:v>Adjust the bowl so that it contains two objects.</x:v>
      </x:c>
      <x:c r="D1647" s="31" t="str"/>
      <x:c r="E1647" s="31" t="str">
        <x:v>Binary task success using the task-specific rubric.</x:v>
      </x:c>
      <x:c r="F1647" s="31"/>
      <x:c r="G1647" s="31"/>
      <x:c r="H1647" s="31" t="str">
        <x:f>IF(OR(F1647="",G1647=""),"",IF(F1647=G1647,"Agree","Disagree"))</x:f>
      </x:c>
      <x:c r="I1647" s="31"/>
      <x:c r="J1647" s="31" t="str">
        <x:v>No</x:v>
      </x:c>
      <x:c r="K1647" s="31" t="str"/>
      <x:c r="L1647" s="31" t="str"/>
      <x:c r="M1647" s="31" t="str"/>
      <x:c r="N1647" s="31" t="str"/>
    </x:row>
    <x:row r="1648" ht="42" customHeight="1">
      <x:c r="A1648" s="35" t="n">
        <x:v>1646</x:v>
      </x:c>
      <x:c r="B1648" s="31" t="str">
        <x:f>IF('Execution Checklist'!Q1648="","",'Execution Checklist'!Q1648)</x:f>
      </x:c>
      <x:c r="C1648" s="31" t="str">
        <x:v>Remove the yellow block from the bowl.</x:v>
      </x:c>
      <x:c r="D1648" s="31" t="str">
        <x:v>REMOVE yellow block</x:v>
      </x:c>
      <x:c r="E1648" s="31" t="str">
        <x:v>Binary task success; paired with the main transfer row.</x:v>
      </x:c>
      <x:c r="F1648" s="31"/>
      <x:c r="G1648" s="31"/>
      <x:c r="H1648" s="31" t="str">
        <x:f>IF(OR(F1648="",G1648=""),"",IF(F1648=G1648,"Agree","Disagree"))</x:f>
      </x:c>
      <x:c r="I1648" s="31"/>
      <x:c r="J1648" s="31" t="str">
        <x:v>No</x:v>
      </x:c>
      <x:c r="K1648" s="31" t="str"/>
      <x:c r="L1648" s="31" t="str"/>
      <x:c r="M1648" s="31" t="str"/>
      <x:c r="N1648" s="31" t="str"/>
    </x:row>
    <x:row r="1649" ht="42" customHeight="1">
      <x:c r="A1649" s="35" t="n">
        <x:v>1647</x:v>
      </x:c>
      <x:c r="B1649" s="31" t="str">
        <x:f>IF('Execution Checklist'!Q1649="","",'Execution Checklist'!Q1649)</x:f>
      </x:c>
      <x:c r="C1649" s="31" t="str">
        <x:v>Remove the airplane toy without propellers from the bowl.</x:v>
      </x:c>
      <x:c r="D1649" s="31" t="str">
        <x:v>REMOVE airplane toy without propellers</x:v>
      </x:c>
      <x:c r="E1649" s="31" t="str">
        <x:v>Binary task success; paired with the main transfer row.</x:v>
      </x:c>
      <x:c r="F1649" s="31"/>
      <x:c r="G1649" s="31"/>
      <x:c r="H1649" s="31" t="str">
        <x:f>IF(OR(F1649="",G1649=""),"",IF(F1649=G1649,"Agree","Disagree"))</x:f>
      </x:c>
      <x:c r="I1649" s="31"/>
      <x:c r="J1649" s="31" t="str">
        <x:v>No</x:v>
      </x:c>
      <x:c r="K1649" s="31" t="str"/>
      <x:c r="L1649" s="31" t="str"/>
      <x:c r="M1649" s="31" t="str"/>
      <x:c r="N1649" s="31" t="str"/>
    </x:row>
    <x:row r="1650" ht="42" customHeight="1">
      <x:c r="A1650" s="35" t="n">
        <x:v>1648</x:v>
      </x:c>
      <x:c r="B1650" s="31" t="str">
        <x:f>IF('Execution Checklist'!Q1650="","",'Execution Checklist'!Q1650)</x:f>
      </x:c>
      <x:c r="C1650" s="31" t="str">
        <x:v>Leave exactly three objects in the bowl.</x:v>
      </x:c>
      <x:c r="D1650" s="31" t="str">
        <x:v>No prespecified task success under blank language; record any action/selected target.</x:v>
      </x:c>
      <x:c r="E1650" s="31" t="str">
        <x:v>Do not score ordinary task success. Record action occurrence and agreement with the parent correct-prompt rollout.</x:v>
      </x:c>
      <x:c r="F1650" s="31"/>
      <x:c r="G1650" s="31"/>
      <x:c r="H1650" s="31" t="str">
        <x:f>IF(OR(F1650="",G1650=""),"",IF(F1650=G1650,"Agree","Disagree"))</x:f>
      </x:c>
      <x:c r="I1650" s="31"/>
      <x:c r="J1650" s="31" t="str">
        <x:v>No</x:v>
      </x:c>
      <x:c r="K1650" s="31" t="str"/>
      <x:c r="L1650" s="31" t="str"/>
      <x:c r="M1650" s="31" t="str"/>
      <x:c r="N1650" s="31" t="str"/>
    </x:row>
    <x:row r="1651" ht="42" customHeight="1">
      <x:c r="A1651" s="35" t="n">
        <x:v>1649</x:v>
      </x:c>
      <x:c r="B1651" s="31" t="str">
        <x:f>IF('Execution Checklist'!Q1651="","",'Execution Checklist'!Q1651)</x:f>
      </x:c>
      <x:c r="C1651" s="31" t="str">
        <x:v>Leave exactly one object in the bowl.</x:v>
      </x:c>
      <x:c r="D1651" s="31" t="str">
        <x:v>No prespecified task success under blank language; record any action/selected target.</x:v>
      </x:c>
      <x:c r="E1651" s="31" t="str">
        <x:v>Do not score ordinary task success. Record action occurrence and agreement with the parent correct-prompt rollout.</x:v>
      </x:c>
      <x:c r="F1651" s="31"/>
      <x:c r="G1651" s="31"/>
      <x:c r="H1651" s="31" t="str">
        <x:f>IF(OR(F1651="",G1651=""),"",IF(F1651=G1651,"Agree","Disagree"))</x:f>
      </x:c>
      <x:c r="I1651" s="31"/>
      <x:c r="J1651" s="31" t="str">
        <x:v>No</x:v>
      </x:c>
      <x:c r="K1651" s="31" t="str"/>
      <x:c r="L1651" s="31" t="str"/>
      <x:c r="M1651" s="31" t="str"/>
      <x:c r="N1651" s="31" t="str"/>
    </x:row>
    <x:row r="1652" ht="42" customHeight="1">
      <x:c r="A1652" s="35" t="n">
        <x:v>1650</x:v>
      </x:c>
      <x:c r="B1652" s="31" t="str">
        <x:f>IF('Execution Checklist'!Q1652="","",'Execution Checklist'!Q1652)</x:f>
      </x:c>
      <x:c r="C1652" s="31" t="str">
        <x:v>Put the green pencil sharpener in the bowl.</x:v>
      </x:c>
      <x:c r="D1652" s="31" t="str">
        <x:v>ADD green pencil sharpener</x:v>
      </x:c>
      <x:c r="E1652" s="31" t="str">
        <x:v>Binary task success; paired with the main transfer row.</x:v>
      </x:c>
      <x:c r="F1652" s="31"/>
      <x:c r="G1652" s="31"/>
      <x:c r="H1652" s="31" t="str">
        <x:f>IF(OR(F1652="",G1652=""),"",IF(F1652=G1652,"Agree","Disagree"))</x:f>
      </x:c>
      <x:c r="I1652" s="31"/>
      <x:c r="J1652" s="31" t="str">
        <x:v>No</x:v>
      </x:c>
      <x:c r="K1652" s="31" t="str"/>
      <x:c r="L1652" s="31" t="str"/>
      <x:c r="M1652" s="31" t="str"/>
      <x:c r="N1652" s="31" t="str"/>
    </x:row>
    <x:row r="1653" ht="42" customHeight="1">
      <x:c r="A1653" s="35" t="n">
        <x:v>1651</x:v>
      </x:c>
      <x:c r="B1653" s="31" t="str">
        <x:f>IF('Execution Checklist'!Q1653="","",'Execution Checklist'!Q1653)</x:f>
      </x:c>
      <x:c r="C1653" s="31" t="str">
        <x:v>Leave exactly one object in the bowl.</x:v>
      </x:c>
      <x:c r="D1653" s="31" t="str">
        <x:v>No prespecified task success under blank language; record any action/selected target.</x:v>
      </x:c>
      <x:c r="E1653" s="31" t="str">
        <x:v>Do not score ordinary task success. Record action occurrence and agreement with the parent correct-prompt rollout.</x:v>
      </x:c>
      <x:c r="F1653" s="31"/>
      <x:c r="G1653" s="31"/>
      <x:c r="H1653" s="31" t="str">
        <x:f>IF(OR(F1653="",G1653=""),"",IF(F1653=G1653,"Agree","Disagree"))</x:f>
      </x:c>
      <x:c r="I1653" s="31"/>
      <x:c r="J1653" s="31" t="str">
        <x:v>No</x:v>
      </x:c>
      <x:c r="K1653" s="31" t="str"/>
      <x:c r="L1653" s="31" t="str"/>
      <x:c r="M1653" s="31" t="str"/>
      <x:c r="N1653" s="31" t="str"/>
    </x:row>
    <x:row r="1654" ht="42" customHeight="1">
      <x:c r="A1654" s="35" t="n">
        <x:v>1652</x:v>
      </x:c>
      <x:c r="B1654" s="31" t="str">
        <x:f>IF('Execution Checklist'!Q1654="","",'Execution Checklist'!Q1654)</x:f>
      </x:c>
      <x:c r="C1654" s="31" t="str">
        <x:v>Leave exactly one object in the bowl.</x:v>
      </x:c>
      <x:c r="D1654" s="31" t="str">
        <x:v>REMOVE one bowl object</x:v>
      </x:c>
      <x:c r="E1654" s="31" t="str">
        <x:v>Binary task success; paired with the main matched-control row.</x:v>
      </x:c>
      <x:c r="F1654" s="31"/>
      <x:c r="G1654" s="31"/>
      <x:c r="H1654" s="31" t="str">
        <x:f>IF(OR(F1654="",G1654=""),"",IF(F1654=G1654,"Agree","Disagree"))</x:f>
      </x:c>
      <x:c r="I1654" s="31"/>
      <x:c r="J1654" s="31" t="str">
        <x:v>No</x:v>
      </x:c>
      <x:c r="K1654" s="31" t="str"/>
      <x:c r="L1654" s="31" t="str"/>
      <x:c r="M1654" s="31" t="str"/>
      <x:c r="N1654" s="31" t="str"/>
    </x:row>
    <x:row r="1655" ht="42" customHeight="1">
      <x:c r="A1655" s="35" t="n">
        <x:v>1653</x:v>
      </x:c>
      <x:c r="B1655" s="31" t="str">
        <x:f>IF('Execution Checklist'!Q1655="","",'Execution Checklist'!Q1655)</x:f>
      </x:c>
      <x:c r="C1655" s="31" t="str">
        <x:v>Remove the yellow block from the bowl.</x:v>
      </x:c>
      <x:c r="D1655" s="31" t="str">
        <x:v>yellow block</x:v>
      </x:c>
      <x:c r="E1655" s="31" t="str">
        <x:v>Binary task success using the task-specific rubric.</x:v>
      </x:c>
      <x:c r="F1655" s="31"/>
      <x:c r="G1655" s="31"/>
      <x:c r="H1655" s="31" t="str">
        <x:f>IF(OR(F1655="",G1655=""),"",IF(F1655=G1655,"Agree","Disagree"))</x:f>
      </x:c>
      <x:c r="I1655" s="31"/>
      <x:c r="J1655" s="31" t="str">
        <x:v>No</x:v>
      </x:c>
      <x:c r="K1655" s="31" t="str"/>
      <x:c r="L1655" s="31" t="str"/>
      <x:c r="M1655" s="31" t="str"/>
      <x:c r="N1655" s="31" t="str"/>
    </x:row>
    <x:row r="1656" ht="42" customHeight="1">
      <x:c r="A1656" s="35" t="n">
        <x:v>1654</x:v>
      </x:c>
      <x:c r="B1656" s="31" t="str">
        <x:f>IF('Execution Checklist'!Q1656="","",'Execution Checklist'!Q1656)</x:f>
      </x:c>
      <x:c r="C1656" s="31" t="str">
        <x:v>Move the airplane toy without propellers into the bowl.</x:v>
      </x:c>
      <x:c r="D1656" s="31" t="str">
        <x:v>airplane toy without propellers</x:v>
      </x:c>
      <x:c r="E1656" s="31" t="str">
        <x:v>Binary task success using the task-specific rubric.</x:v>
      </x:c>
      <x:c r="F1656" s="31"/>
      <x:c r="G1656" s="31"/>
      <x:c r="H1656" s="31" t="str">
        <x:f>IF(OR(F1656="",G1656=""),"",IF(F1656=G1656,"Agree","Disagree"))</x:f>
      </x:c>
      <x:c r="I1656" s="31"/>
      <x:c r="J1656" s="31" t="str">
        <x:v>No</x:v>
      </x:c>
      <x:c r="K1656" s="31" t="str"/>
      <x:c r="L1656" s="31" t="str"/>
      <x:c r="M1656" s="31" t="str"/>
      <x:c r="N1656" s="31" t="str"/>
    </x:row>
    <x:row r="1657" ht="42" customHeight="1">
      <x:c r="A1657" s="35" t="n">
        <x:v>1655</x:v>
      </x:c>
      <x:c r="B1657" s="31" t="str">
        <x:f>IF('Execution Checklist'!Q1657="","",'Execution Checklist'!Q1657)</x:f>
      </x:c>
      <x:c r="C1657" s="31" t="str">
        <x:v>Leave exactly one object in the bowl.</x:v>
      </x:c>
      <x:c r="D1657" s="31" t="str">
        <x:v>REMOVE one bowl object</x:v>
      </x:c>
      <x:c r="E1657" s="31" t="str">
        <x:v>Binary task success; paired with the main matched-control row.</x:v>
      </x:c>
      <x:c r="F1657" s="31"/>
      <x:c r="G1657" s="31"/>
      <x:c r="H1657" s="31" t="str">
        <x:f>IF(OR(F1657="",G1657=""),"",IF(F1657=G1657,"Agree","Disagree"))</x:f>
      </x:c>
      <x:c r="I1657" s="31"/>
      <x:c r="J1657" s="31" t="str">
        <x:v>No</x:v>
      </x:c>
      <x:c r="K1657" s="31" t="str"/>
      <x:c r="L1657" s="31" t="str"/>
      <x:c r="M1657" s="31" t="str"/>
      <x:c r="N1657" s="31" t="str"/>
    </x:row>
    <x:row r="1658" ht="42" customHeight="1">
      <x:c r="A1658" s="35" t="n">
        <x:v>1656</x:v>
      </x:c>
      <x:c r="B1658" s="31" t="str">
        <x:f>IF('Execution Checklist'!Q1658="","",'Execution Checklist'!Q1658)</x:f>
      </x:c>
      <x:c r="C1658" s="31" t="str">
        <x:v>Remove the blue pen from the bowl.</x:v>
      </x:c>
      <x:c r="D1658" s="31" t="str">
        <x:v>REMOVE blue pen</x:v>
      </x:c>
      <x:c r="E1658" s="31" t="str">
        <x:v>Binary task success; paired with the main transfer row.</x:v>
      </x:c>
      <x:c r="F1658" s="31"/>
      <x:c r="G1658" s="31"/>
      <x:c r="H1658" s="31" t="str">
        <x:f>IF(OR(F1658="",G1658=""),"",IF(F1658=G1658,"Agree","Disagree"))</x:f>
      </x:c>
      <x:c r="I1658" s="31"/>
      <x:c r="J1658" s="31" t="str">
        <x:v>No</x:v>
      </x:c>
      <x:c r="K1658" s="31" t="str"/>
      <x:c r="L1658" s="31" t="str"/>
      <x:c r="M1658" s="31" t="str"/>
      <x:c r="N1658" s="31" t="str"/>
    </x:row>
    <x:row r="1659" ht="42" customHeight="1">
      <x:c r="A1659" s="35" t="n">
        <x:v>1657</x:v>
      </x:c>
      <x:c r="B1659" s="31" t="str">
        <x:f>IF('Execution Checklist'!Q1659="","",'Execution Checklist'!Q1659)</x:f>
      </x:c>
      <x:c r="C1659" s="31" t="str">
        <x:v>Leave exactly three objects in the bowl.</x:v>
      </x:c>
      <x:c r="D1659" s="31" t="str">
        <x:v>ADD one table object</x:v>
      </x:c>
      <x:c r="E1659" s="31" t="str">
        <x:v>Binary task success; paired with the main matched-control row.</x:v>
      </x:c>
      <x:c r="F1659" s="31"/>
      <x:c r="G1659" s="31"/>
      <x:c r="H1659" s="31" t="str">
        <x:f>IF(OR(F1659="",G1659=""),"",IF(F1659=G1659,"Agree","Disagree"))</x:f>
      </x:c>
      <x:c r="I1659" s="31"/>
      <x:c r="J1659" s="31" t="str">
        <x:v>No</x:v>
      </x:c>
      <x:c r="K1659" s="31" t="str"/>
      <x:c r="L1659" s="31" t="str"/>
      <x:c r="M1659" s="31" t="str"/>
      <x:c r="N1659" s="31" t="str"/>
    </x:row>
    <x:row r="1660" ht="42" customHeight="1">
      <x:c r="A1660" s="35" t="n">
        <x:v>1658</x:v>
      </x:c>
      <x:c r="B1660" s="31" t="str">
        <x:f>IF('Execution Checklist'!Q1660="","",'Execution Checklist'!Q1660)</x:f>
      </x:c>
      <x:c r="C1660" s="31" t="str">
        <x:v>Move the yellow block into the bowl.</x:v>
      </x:c>
      <x:c r="D1660" s="31" t="str">
        <x:v>yellow block</x:v>
      </x:c>
      <x:c r="E1660" s="31" t="str">
        <x:v>Binary task success using the task-specific rubric.</x:v>
      </x:c>
      <x:c r="F1660" s="31"/>
      <x:c r="G1660" s="31"/>
      <x:c r="H1660" s="31" t="str">
        <x:f>IF(OR(F1660="",G1660=""),"",IF(F1660=G1660,"Agree","Disagree"))</x:f>
      </x:c>
      <x:c r="I1660" s="31"/>
      <x:c r="J1660" s="31" t="str">
        <x:v>No</x:v>
      </x:c>
      <x:c r="K1660" s="31" t="str"/>
      <x:c r="L1660" s="31" t="str"/>
      <x:c r="M1660" s="31" t="str"/>
      <x:c r="N1660" s="31" t="str"/>
    </x:row>
    <x:row r="1661" ht="42" customHeight="1">
      <x:c r="A1661" s="35" t="n">
        <x:v>1659</x:v>
      </x:c>
      <x:c r="B1661" s="31" t="str">
        <x:f>IF('Execution Checklist'!Q1661="","",'Execution Checklist'!Q1661)</x:f>
      </x:c>
      <x:c r="C1661" s="31" t="str">
        <x:v>Finish with two objects in the bowl.</x:v>
      </x:c>
      <x:c r="D1661" s="31" t="str"/>
      <x:c r="E1661" s="31" t="str">
        <x:v>Binary task success; compare with the seen-language row sharing Pair ID.</x:v>
      </x:c>
      <x:c r="F1661" s="31"/>
      <x:c r="G1661" s="31"/>
      <x:c r="H1661" s="31" t="str">
        <x:f>IF(OR(F1661="",G1661=""),"",IF(F1661=G1661,"Agree","Disagree"))</x:f>
      </x:c>
      <x:c r="I1661" s="31"/>
      <x:c r="J1661" s="31" t="str">
        <x:v>No</x:v>
      </x:c>
      <x:c r="K1661" s="31" t="str"/>
      <x:c r="L1661" s="31" t="str"/>
      <x:c r="M1661" s="31" t="str"/>
      <x:c r="N1661" s="31" t="str"/>
    </x:row>
    <x:row r="1662" ht="42" customHeight="1">
      <x:c r="A1662" s="35" t="n">
        <x:v>1660</x:v>
      </x:c>
      <x:c r="B1662" s="31" t="str">
        <x:f>IF('Execution Checklist'!Q1662="","",'Execution Checklist'!Q1662)</x:f>
      </x:c>
      <x:c r="C1662" s="31" t="str">
        <x:v>Leave exactly two objects in the bowl.</x:v>
      </x:c>
      <x:c r="D1662" s="31" t="str">
        <x:v>yellow block</x:v>
      </x:c>
      <x:c r="E1662" s="31" t="str">
        <x:v>Binary task success using the task-specific rubric.</x:v>
      </x:c>
      <x:c r="F1662" s="31"/>
      <x:c r="G1662" s="31"/>
      <x:c r="H1662" s="31" t="str">
        <x:f>IF(OR(F1662="",G1662=""),"",IF(F1662=G1662,"Agree","Disagree"))</x:f>
      </x:c>
      <x:c r="I1662" s="31"/>
      <x:c r="J1662" s="31" t="str">
        <x:v>No</x:v>
      </x:c>
      <x:c r="K1662" s="31" t="str"/>
      <x:c r="L1662" s="31" t="str"/>
      <x:c r="M1662" s="31" t="str"/>
      <x:c r="N1662" s="31" t="str"/>
    </x:row>
    <x:row r="1663" ht="42" customHeight="1">
      <x:c r="A1663" s="35" t="n">
        <x:v>1661</x:v>
      </x:c>
      <x:c r="B1663" s="31" t="str">
        <x:f>IF('Execution Checklist'!Q1663="","",'Execution Checklist'!Q1663)</x:f>
      </x:c>
      <x:c r="C1663" s="31" t="str">
        <x:v>Leave exactly three objects in the bowl.</x:v>
      </x:c>
      <x:c r="D1663" s="31" t="str">
        <x:v>ADD one table object</x:v>
      </x:c>
      <x:c r="E1663" s="31" t="str">
        <x:v>Binary success for the counterfactual instruction and paired action-switch analysis versus the parent.</x:v>
      </x:c>
      <x:c r="F1663" s="31"/>
      <x:c r="G1663" s="31"/>
      <x:c r="H1663" s="31" t="str">
        <x:f>IF(OR(F1663="",G1663=""),"",IF(F1663=G1663,"Agree","Disagree"))</x:f>
      </x:c>
      <x:c r="I1663" s="31"/>
      <x:c r="J1663" s="31" t="str">
        <x:v>No</x:v>
      </x:c>
      <x:c r="K1663" s="31" t="str"/>
      <x:c r="L1663" s="31" t="str"/>
      <x:c r="M1663" s="31" t="str"/>
      <x:c r="N1663" s="31" t="str"/>
    </x:row>
    <x:row r="1664" ht="42" customHeight="1">
      <x:c r="A1664" s="35" t="n">
        <x:v>1662</x:v>
      </x:c>
      <x:c r="B1664" s="31" t="str">
        <x:f>IF('Execution Checklist'!Q1664="","",'Execution Checklist'!Q1664)</x:f>
      </x:c>
      <x:c r="C1664" s="31" t="str">
        <x:v>Move the blue pen into the bowl.</x:v>
      </x:c>
      <x:c r="D1664" s="31" t="str">
        <x:v>blue pen</x:v>
      </x:c>
      <x:c r="E1664" s="31" t="str">
        <x:v>Binary task success using the task-specific rubric.</x:v>
      </x:c>
      <x:c r="F1664" s="31"/>
      <x:c r="G1664" s="31"/>
      <x:c r="H1664" s="31" t="str">
        <x:f>IF(OR(F1664="",G1664=""),"",IF(F1664=G1664,"Agree","Disagree"))</x:f>
      </x:c>
      <x:c r="I1664" s="31"/>
      <x:c r="J1664" s="31" t="str">
        <x:v>No</x:v>
      </x:c>
      <x:c r="K1664" s="31" t="str"/>
      <x:c r="L1664" s="31" t="str"/>
      <x:c r="M1664" s="31" t="str"/>
      <x:c r="N1664" s="31" t="str"/>
    </x:row>
    <x:row r="1665" ht="42" customHeight="1">
      <x:c r="A1665" s="35" t="n">
        <x:v>1663</x:v>
      </x:c>
      <x:c r="B1665" s="31" t="str">
        <x:f>IF('Execution Checklist'!Q1665="","",'Execution Checklist'!Q1665)</x:f>
      </x:c>
      <x:c r="C1665" s="31" t="str">
        <x:v>Leave exactly three objects in the bowl.</x:v>
      </x:c>
      <x:c r="D1665" s="31" t="str">
        <x:v>ADD one table object</x:v>
      </x:c>
      <x:c r="E1665" s="31" t="str">
        <x:v>Binary task success; paired with the main matched-control row.</x:v>
      </x:c>
      <x:c r="F1665" s="31"/>
      <x:c r="G1665" s="31"/>
      <x:c r="H1665" s="31" t="str">
        <x:f>IF(OR(F1665="",G1665=""),"",IF(F1665=G1665,"Agree","Disagree"))</x:f>
      </x:c>
      <x:c r="I1665" s="31"/>
      <x:c r="J1665" s="31" t="str">
        <x:v>No</x:v>
      </x:c>
      <x:c r="K1665" s="31" t="str"/>
      <x:c r="L1665" s="31" t="str"/>
      <x:c r="M1665" s="31" t="str"/>
      <x:c r="N1665" s="31" t="str"/>
    </x:row>
    <x:row r="1666" ht="42" customHeight="1">
      <x:c r="A1666" s="35" t="n">
        <x:v>1664</x:v>
      </x:c>
      <x:c r="B1666" s="31" t="str">
        <x:f>IF('Execution Checklist'!Q1666="","",'Execution Checklist'!Q1666)</x:f>
      </x:c>
      <x:c r="C1666" s="31" t="str">
        <x:v>Make the bowl contain exactly zero objects.</x:v>
      </x:c>
      <x:c r="D1666" s="31" t="str"/>
      <x:c r="E1666" s="31" t="str">
        <x:v>Binary task success using the task-specific rubric.</x:v>
      </x:c>
      <x:c r="F1666" s="31"/>
      <x:c r="G1666" s="31"/>
      <x:c r="H1666" s="31" t="str">
        <x:f>IF(OR(F1666="",G1666=""),"",IF(F1666=G1666,"Agree","Disagree"))</x:f>
      </x:c>
      <x:c r="I1666" s="31"/>
      <x:c r="J1666" s="31" t="str">
        <x:v>No</x:v>
      </x:c>
      <x:c r="K1666" s="31" t="str"/>
      <x:c r="L1666" s="31" t="str"/>
      <x:c r="M1666" s="31" t="str"/>
      <x:c r="N1666" s="31" t="str"/>
    </x:row>
    <x:row r="1667" ht="42" customHeight="1">
      <x:c r="A1667" s="35" t="n">
        <x:v>1665</x:v>
      </x:c>
      <x:c r="B1667" s="31" t="str">
        <x:f>IF('Execution Checklist'!Q1667="","",'Execution Checklist'!Q1667)</x:f>
      </x:c>
      <x:c r="C1667" s="31" t="str">
        <x:v>Adjust the bowl so that it contains zero objects.</x:v>
      </x:c>
      <x:c r="D1667" s="31" t="str"/>
      <x:c r="E1667" s="31" t="str">
        <x:v>Binary task success using the task-specific rubric.</x:v>
      </x:c>
      <x:c r="F1667" s="31"/>
      <x:c r="G1667" s="31"/>
      <x:c r="H1667" s="31" t="str">
        <x:f>IF(OR(F1667="",G1667=""),"",IF(F1667=G1667,"Agree","Disagree"))</x:f>
      </x:c>
      <x:c r="I1667" s="31"/>
      <x:c r="J1667" s="31" t="str">
        <x:v>No</x:v>
      </x:c>
      <x:c r="K1667" s="31" t="str"/>
      <x:c r="L1667" s="31" t="str"/>
      <x:c r="M1667" s="31" t="str"/>
      <x:c r="N1667" s="31" t="str"/>
    </x:row>
    <x:row r="1668" ht="42" customHeight="1">
      <x:c r="A1668" s="35" t="n">
        <x:v>1666</x:v>
      </x:c>
      <x:c r="B1668" s="31" t="str">
        <x:f>IF('Execution Checklist'!Q1668="","",'Execution Checklist'!Q1668)</x:f>
      </x:c>
      <x:c r="C1668" s="31" t="str">
        <x:v>Leave exactly three objects in the bowl.</x:v>
      </x:c>
      <x:c r="D1668" s="31" t="str">
        <x:v>ADD one table object</x:v>
      </x:c>
      <x:c r="E1668" s="31" t="str">
        <x:v>Binary task success; paired with the main matched-control row.</x:v>
      </x:c>
      <x:c r="F1668" s="31"/>
      <x:c r="G1668" s="31"/>
      <x:c r="H1668" s="31" t="str">
        <x:f>IF(OR(F1668="",G1668=""),"",IF(F1668=G1668,"Agree","Disagree"))</x:f>
      </x:c>
      <x:c r="I1668" s="31"/>
      <x:c r="J1668" s="31" t="str">
        <x:v>No</x:v>
      </x:c>
      <x:c r="K1668" s="31" t="str"/>
      <x:c r="L1668" s="31" t="str"/>
      <x:c r="M1668" s="31" t="str"/>
      <x:c r="N1668" s="31" t="str"/>
    </x:row>
    <x:row r="1669" ht="42" customHeight="1">
      <x:c r="A1669" s="35" t="n">
        <x:v>1667</x:v>
      </x:c>
      <x:c r="B1669" s="31" t="str">
        <x:f>IF('Execution Checklist'!Q1669="","",'Execution Checklist'!Q1669)</x:f>
      </x:c>
      <x:c r="C1669" s="31" t="str">
        <x:v>Remove the airplane toy without propellers from the bowl.</x:v>
      </x:c>
      <x:c r="D1669" s="31" t="str">
        <x:v>REMOVE airplane toy without propellers</x:v>
      </x:c>
      <x:c r="E1669" s="31" t="str">
        <x:v>Binary task success; paired with the main transfer row.</x:v>
      </x:c>
      <x:c r="F1669" s="31"/>
      <x:c r="G1669" s="31"/>
      <x:c r="H1669" s="31" t="str">
        <x:f>IF(OR(F1669="",G1669=""),"",IF(F1669=G1669,"Agree","Disagree"))</x:f>
      </x:c>
      <x:c r="I1669" s="31"/>
      <x:c r="J1669" s="31" t="str">
        <x:v>No</x:v>
      </x:c>
      <x:c r="K1669" s="31" t="str"/>
      <x:c r="L1669" s="31" t="str"/>
      <x:c r="M1669" s="31" t="str"/>
      <x:c r="N1669" s="31" t="str"/>
    </x:row>
    <x:row r="1670" ht="42" customHeight="1">
      <x:c r="A1670" s="35" t="n">
        <x:v>1668</x:v>
      </x:c>
      <x:c r="B1670" s="31" t="str">
        <x:f>IF('Execution Checklist'!Q1670="","",'Execution Checklist'!Q1670)</x:f>
      </x:c>
      <x:c r="C1670" s="31" t="str">
        <x:v>Put the yellow block in the bowl.</x:v>
      </x:c>
      <x:c r="D1670" s="31" t="str">
        <x:v>ADD yellow block</x:v>
      </x:c>
      <x:c r="E1670" s="31" t="str">
        <x:v>Binary task success; paired with the main transfer row.</x:v>
      </x:c>
      <x:c r="F1670" s="31"/>
      <x:c r="G1670" s="31"/>
      <x:c r="H1670" s="31" t="str">
        <x:f>IF(OR(F1670="",G1670=""),"",IF(F1670=G1670,"Agree","Disagree"))</x:f>
      </x:c>
      <x:c r="I1670" s="31"/>
      <x:c r="J1670" s="31" t="str">
        <x:v>No</x:v>
      </x:c>
      <x:c r="K1670" s="31" t="str"/>
      <x:c r="L1670" s="31" t="str"/>
      <x:c r="M1670" s="31" t="str"/>
      <x:c r="N1670" s="31" t="str"/>
    </x:row>
    <x:row r="1671" ht="42" customHeight="1">
      <x:c r="A1671" s="35" t="n">
        <x:v>1669</x:v>
      </x:c>
      <x:c r="B1671" s="31" t="str">
        <x:f>IF('Execution Checklist'!Q1671="","",'Execution Checklist'!Q1671)</x:f>
      </x:c>
      <x:c r="C1671" s="31" t="str">
        <x:v>Put the blue pen in the bowl.</x:v>
      </x:c>
      <x:c r="D1671" s="31" t="str">
        <x:v>ADD blue pen</x:v>
      </x:c>
      <x:c r="E1671" s="31" t="str">
        <x:v>Binary task success; paired with the main transfer row.</x:v>
      </x:c>
      <x:c r="F1671" s="31"/>
      <x:c r="G1671" s="31"/>
      <x:c r="H1671" s="31" t="str">
        <x:f>IF(OR(F1671="",G1671=""),"",IF(F1671=G1671,"Agree","Disagree"))</x:f>
      </x:c>
      <x:c r="I1671" s="31"/>
      <x:c r="J1671" s="31" t="str">
        <x:v>No</x:v>
      </x:c>
      <x:c r="K1671" s="31" t="str"/>
      <x:c r="L1671" s="31" t="str"/>
      <x:c r="M1671" s="31" t="str"/>
      <x:c r="N1671" s="31" t="str"/>
    </x:row>
    <x:row r="1672" ht="42" customHeight="1">
      <x:c r="A1672" s="35" t="n">
        <x:v>1670</x:v>
      </x:c>
      <x:c r="B1672" s="31" t="str">
        <x:f>IF('Execution Checklist'!Q1672="","",'Execution Checklist'!Q1672)</x:f>
      </x:c>
      <x:c r="C1672" s="31" t="str">
        <x:v>Put the blue pen in the bowl.</x:v>
      </x:c>
      <x:c r="D1672" s="31" t="str">
        <x:v>ADD blue pen</x:v>
      </x:c>
      <x:c r="E1672" s="31" t="str">
        <x:v>Binary task success; paired with the main transfer row.</x:v>
      </x:c>
      <x:c r="F1672" s="31"/>
      <x:c r="G1672" s="31"/>
      <x:c r="H1672" s="31" t="str">
        <x:f>IF(OR(F1672="",G1672=""),"",IF(F1672=G1672,"Agree","Disagree"))</x:f>
      </x:c>
      <x:c r="I1672" s="31"/>
      <x:c r="J1672" s="31" t="str">
        <x:v>No</x:v>
      </x:c>
      <x:c r="K1672" s="31" t="str"/>
      <x:c r="L1672" s="31" t="str"/>
      <x:c r="M1672" s="31" t="str"/>
      <x:c r="N1672" s="31" t="str"/>
    </x:row>
    <x:row r="1673" ht="42" customHeight="1">
      <x:c r="A1673" s="35" t="n">
        <x:v>1671</x:v>
      </x:c>
      <x:c r="B1673" s="31" t="str">
        <x:f>IF('Execution Checklist'!Q1673="","",'Execution Checklist'!Q1673)</x:f>
      </x:c>
      <x:c r="C1673" s="31" t="str">
        <x:v>Leave exactly three objects in the bowl.</x:v>
      </x:c>
      <x:c r="D1673" s="31" t="str">
        <x:v>ADD one table object</x:v>
      </x:c>
      <x:c r="E1673" s="31" t="str">
        <x:v>Binary task success; paired with the main matched-control row.</x:v>
      </x:c>
      <x:c r="F1673" s="31"/>
      <x:c r="G1673" s="31"/>
      <x:c r="H1673" s="31" t="str">
        <x:f>IF(OR(F1673="",G1673=""),"",IF(F1673=G1673,"Agree","Disagree"))</x:f>
      </x:c>
      <x:c r="I1673" s="31"/>
      <x:c r="J1673" s="31" t="str">
        <x:v>No</x:v>
      </x:c>
      <x:c r="K1673" s="31" t="str"/>
      <x:c r="L1673" s="31" t="str"/>
      <x:c r="M1673" s="31" t="str"/>
      <x:c r="N1673" s="31" t="str"/>
    </x:row>
    <x:row r="1674" ht="42" customHeight="1">
      <x:c r="A1674" s="35" t="n">
        <x:v>1672</x:v>
      </x:c>
      <x:c r="B1674" s="31" t="str">
        <x:f>IF('Execution Checklist'!Q1674="","",'Execution Checklist'!Q1674)</x:f>
      </x:c>
      <x:c r="C1674" s="31" t="str">
        <x:v>Adjust the bowl so that it contains two objects.</x:v>
      </x:c>
      <x:c r="D1674" s="31" t="str"/>
      <x:c r="E1674" s="31" t="str">
        <x:v>Binary task success using the task-specific rubric.</x:v>
      </x:c>
      <x:c r="F1674" s="31"/>
      <x:c r="G1674" s="31"/>
      <x:c r="H1674" s="31" t="str">
        <x:f>IF(OR(F1674="",G1674=""),"",IF(F1674=G1674,"Agree","Disagree"))</x:f>
      </x:c>
      <x:c r="I1674" s="31"/>
      <x:c r="J1674" s="31" t="str">
        <x:v>No</x:v>
      </x:c>
      <x:c r="K1674" s="31" t="str"/>
      <x:c r="L1674" s="31" t="str"/>
      <x:c r="M1674" s="31" t="str"/>
      <x:c r="N1674" s="31" t="str"/>
    </x:row>
    <x:row r="1675" ht="42" customHeight="1">
      <x:c r="A1675" s="35" t="n">
        <x:v>1673</x:v>
      </x:c>
      <x:c r="B1675" s="31" t="str">
        <x:f>IF('Execution Checklist'!Q1675="","",'Execution Checklist'!Q1675)</x:f>
      </x:c>
      <x:c r="C1675" s="31" t="str">
        <x:v>Leave exactly one object in the bowl.</x:v>
      </x:c>
      <x:c r="D1675" s="31" t="str">
        <x:v>REMOVE one bowl object</x:v>
      </x:c>
      <x:c r="E1675" s="31" t="str">
        <x:v>Binary task success; paired with the main matched-control row.</x:v>
      </x:c>
      <x:c r="F1675" s="31"/>
      <x:c r="G1675" s="31"/>
      <x:c r="H1675" s="31" t="str">
        <x:f>IF(OR(F1675="",G1675=""),"",IF(F1675=G1675,"Agree","Disagree"))</x:f>
      </x:c>
      <x:c r="I1675" s="31"/>
      <x:c r="J1675" s="31" t="str">
        <x:v>No</x:v>
      </x:c>
      <x:c r="K1675" s="31" t="str"/>
      <x:c r="L1675" s="31" t="str"/>
      <x:c r="M1675" s="31" t="str"/>
      <x:c r="N1675" s="31" t="str"/>
    </x:row>
    <x:row r="1676" ht="42" customHeight="1">
      <x:c r="A1676" s="35" t="n">
        <x:v>1674</x:v>
      </x:c>
      <x:c r="B1676" s="31" t="str">
        <x:f>IF('Execution Checklist'!Q1676="","",'Execution Checklist'!Q1676)</x:f>
      </x:c>
      <x:c r="C1676" s="31" t="str">
        <x:v>Place the upright yellow-white striped cup in the bowl.</x:v>
      </x:c>
      <x:c r="D1676" s="31" t="str">
        <x:v>yellow-white striped cup B</x:v>
      </x:c>
      <x:c r="E1676" s="31" t="str">
        <x:v>Score against the displayed diagnostic instruction, which is not supplied to BC; analyze paired action switching.</x:v>
      </x:c>
      <x:c r="F1676" s="31"/>
      <x:c r="G1676" s="31"/>
      <x:c r="H1676" s="31" t="str">
        <x:f>IF(OR(F1676="",G1676=""),"",IF(F1676=G1676,"Agree","Disagree"))</x:f>
      </x:c>
      <x:c r="I1676" s="31"/>
      <x:c r="J1676" s="31" t="str">
        <x:v>No</x:v>
      </x:c>
      <x:c r="K1676" s="31" t="str"/>
      <x:c r="L1676" s="31" t="str"/>
      <x:c r="M1676" s="31" t="str"/>
      <x:c r="N1676" s="31" t="str"/>
    </x:row>
    <x:row r="1677" ht="42" customHeight="1">
      <x:c r="A1677" s="35" t="n">
        <x:v>1675</x:v>
      </x:c>
      <x:c r="B1677" s="31" t="str">
        <x:f>IF('Execution Checklist'!Q1677="","",'Execution Checklist'!Q1677)</x:f>
      </x:c>
      <x:c r="C1677" s="31" t="str">
        <x:v>Place the upright yellow-white striped cup in the bowl.</x:v>
      </x:c>
      <x:c r="D1677" s="31" t="str">
        <x:v>yellow-white striped cup B</x:v>
      </x:c>
      <x:c r="E1677" s="31" t="str">
        <x:v>Score against the displayed diagnostic instruction, which is not supplied to BC; analyze paired action switching.</x:v>
      </x:c>
      <x:c r="F1677" s="31"/>
      <x:c r="G1677" s="31"/>
      <x:c r="H1677" s="31" t="str">
        <x:f>IF(OR(F1677="",G1677=""),"",IF(F1677=G1677,"Agree","Disagree"))</x:f>
      </x:c>
      <x:c r="I1677" s="31"/>
      <x:c r="J1677" s="31" t="str">
        <x:v>No</x:v>
      </x:c>
      <x:c r="K1677" s="31" t="str"/>
      <x:c r="L1677" s="31" t="str"/>
      <x:c r="M1677" s="31" t="str"/>
      <x:c r="N1677" s="31" t="str"/>
    </x:row>
    <x:row r="1678" ht="42" customHeight="1">
      <x:c r="A1678" s="35" t="n">
        <x:v>1676</x:v>
      </x:c>
      <x:c r="B1678" s="31" t="str">
        <x:f>IF('Execution Checklist'!Q1678="","",'Execution Checklist'!Q1678)</x:f>
      </x:c>
      <x:c r="C1678" s="31" t="str">
        <x:v>Place the closed white cup in the bowl.</x:v>
      </x:c>
      <x:c r="D1678" s="31" t="str">
        <x:v>white cup A</x:v>
      </x:c>
      <x:c r="E1678" s="31" t="str">
        <x:v>Score against the displayed diagnostic instruction, which is not supplied to BC; analyze paired action switching.</x:v>
      </x:c>
      <x:c r="F1678" s="31"/>
      <x:c r="G1678" s="31"/>
      <x:c r="H1678" s="31" t="str">
        <x:f>IF(OR(F1678="",G1678=""),"",IF(F1678=G1678,"Agree","Disagree"))</x:f>
      </x:c>
      <x:c r="I1678" s="31"/>
      <x:c r="J1678" s="31" t="str">
        <x:v>No</x:v>
      </x:c>
      <x:c r="K1678" s="31" t="str"/>
      <x:c r="L1678" s="31" t="str"/>
      <x:c r="M1678" s="31" t="str"/>
      <x:c r="N1678" s="31" t="str"/>
    </x:row>
    <x:row r="1679" ht="42" customHeight="1">
      <x:c r="A1679" s="35" t="n">
        <x:v>1677</x:v>
      </x:c>
      <x:c r="B1679" s="31" t="str">
        <x:f>IF('Execution Checklist'!Q1679="","",'Execution Checklist'!Q1679)</x:f>
      </x:c>
      <x:c r="C1679" s="31" t="str">
        <x:v>Place the upside-down glass spice container in the bowl.</x:v>
      </x:c>
      <x:c r="D1679" s="31" t="str">
        <x:v>glass spice container B</x:v>
      </x:c>
      <x:c r="E1679" s="31" t="str">
        <x:v>Score against the displayed diagnostic instruction, which is not supplied to BC; analyze paired action switching.</x:v>
      </x:c>
      <x:c r="F1679" s="31"/>
      <x:c r="G1679" s="31"/>
      <x:c r="H1679" s="31" t="str">
        <x:f>IF(OR(F1679="",G1679=""),"",IF(F1679=G1679,"Agree","Disagree"))</x:f>
      </x:c>
      <x:c r="I1679" s="31"/>
      <x:c r="J1679" s="31" t="str">
        <x:v>No</x:v>
      </x:c>
      <x:c r="K1679" s="31" t="str"/>
      <x:c r="L1679" s="31" t="str"/>
      <x:c r="M1679" s="31" t="str"/>
      <x:c r="N1679" s="31" t="str"/>
    </x:row>
    <x:row r="1680" ht="42" customHeight="1">
      <x:c r="A1680" s="35" t="n">
        <x:v>1678</x:v>
      </x:c>
      <x:c r="B1680" s="31" t="str">
        <x:f>IF('Execution Checklist'!Q1680="","",'Execution Checklist'!Q1680)</x:f>
      </x:c>
      <x:c r="C1680" s="31" t="str">
        <x:v>Place the open brown cup in the bowl.</x:v>
      </x:c>
      <x:c r="D1680" s="31" t="str">
        <x:v>brown cup B</x:v>
      </x:c>
      <x:c r="E1680" s="31" t="str">
        <x:v>Score against the displayed diagnostic instruction, which is not supplied to BC; analyze paired action switching.</x:v>
      </x:c>
      <x:c r="F1680" s="31"/>
      <x:c r="G1680" s="31"/>
      <x:c r="H1680" s="31" t="str">
        <x:f>IF(OR(F1680="",G1680=""),"",IF(F1680=G1680,"Agree","Disagree"))</x:f>
      </x:c>
      <x:c r="I1680" s="31"/>
      <x:c r="J1680" s="31" t="str">
        <x:v>No</x:v>
      </x:c>
      <x:c r="K1680" s="31" t="str"/>
      <x:c r="L1680" s="31" t="str"/>
      <x:c r="M1680" s="31" t="str"/>
      <x:c r="N1680" s="31" t="str"/>
    </x:row>
    <x:row r="1681" ht="42" customHeight="1">
      <x:c r="A1681" s="35" t="n">
        <x:v>1679</x:v>
      </x:c>
      <x:c r="B1681" s="31" t="str">
        <x:f>IF('Execution Checklist'!Q1681="","",'Execution Checklist'!Q1681)</x:f>
      </x:c>
      <x:c r="C1681" s="31" t="str">
        <x:v>Place the upright glass spice container in the bowl.</x:v>
      </x:c>
      <x:c r="D1681" s="31" t="str">
        <x:v>glass spice container A</x:v>
      </x:c>
      <x:c r="E1681" s="31" t="str">
        <x:v>Score against the displayed diagnostic instruction, which is not supplied to BC; analyze paired action switching.</x:v>
      </x:c>
      <x:c r="F1681" s="31"/>
      <x:c r="G1681" s="31"/>
      <x:c r="H1681" s="31" t="str">
        <x:f>IF(OR(F1681="",G1681=""),"",IF(F1681=G1681,"Agree","Disagree"))</x:f>
      </x:c>
      <x:c r="I1681" s="31"/>
      <x:c r="J1681" s="31" t="str">
        <x:v>No</x:v>
      </x:c>
      <x:c r="K1681" s="31" t="str"/>
      <x:c r="L1681" s="31" t="str"/>
      <x:c r="M1681" s="31" t="str"/>
      <x:c r="N1681" s="31" t="str"/>
    </x:row>
    <x:row r="1682" ht="42" customHeight="1">
      <x:c r="A1682" s="35" t="n">
        <x:v>1680</x:v>
      </x:c>
      <x:c r="B1682" s="31" t="str">
        <x:f>IF('Execution Checklist'!Q1682="","",'Execution Checklist'!Q1682)</x:f>
      </x:c>
      <x:c r="C1682" s="31" t="str">
        <x:v>Place the closed yellow-white striped cup in the bowl.</x:v>
      </x:c>
      <x:c r="D1682" s="31" t="str">
        <x:v>yellow-white striped cup A</x:v>
      </x:c>
      <x:c r="E1682" s="31" t="str">
        <x:v>Score against the displayed diagnostic instruction, which is not supplied to BC; analyze paired action switching.</x:v>
      </x:c>
      <x:c r="F1682" s="31"/>
      <x:c r="G1682" s="31"/>
      <x:c r="H1682" s="31" t="str">
        <x:f>IF(OR(F1682="",G1682=""),"",IF(F1682=G1682,"Agree","Disagree"))</x:f>
      </x:c>
      <x:c r="I1682" s="31"/>
      <x:c r="J1682" s="31" t="str">
        <x:v>No</x:v>
      </x:c>
      <x:c r="K1682" s="31" t="str"/>
      <x:c r="L1682" s="31" t="str"/>
      <x:c r="M1682" s="31" t="str"/>
      <x:c r="N1682" s="31" t="str"/>
    </x:row>
    <x:row r="1683" ht="42" customHeight="1">
      <x:c r="A1683" s="35" t="n">
        <x:v>1681</x:v>
      </x:c>
      <x:c r="B1683" s="31" t="str">
        <x:f>IF('Execution Checklist'!Q1683="","",'Execution Checklist'!Q1683)</x:f>
      </x:c>
      <x:c r="C1683" s="31" t="str">
        <x:v>Place the closed white cup in the bowl.</x:v>
      </x:c>
      <x:c r="D1683" s="31" t="str">
        <x:v>white cup A</x:v>
      </x:c>
      <x:c r="E1683" s="31" t="str">
        <x:v>Score against the displayed diagnostic instruction, which is not supplied to BC; analyze paired action switching.</x:v>
      </x:c>
      <x:c r="F1683" s="31"/>
      <x:c r="G1683" s="31"/>
      <x:c r="H1683" s="31" t="str">
        <x:f>IF(OR(F1683="",G1683=""),"",IF(F1683=G1683,"Agree","Disagree"))</x:f>
      </x:c>
      <x:c r="I1683" s="31"/>
      <x:c r="J1683" s="31" t="str">
        <x:v>No</x:v>
      </x:c>
      <x:c r="K1683" s="31" t="str"/>
      <x:c r="L1683" s="31" t="str"/>
      <x:c r="M1683" s="31" t="str"/>
      <x:c r="N1683" s="31" t="str"/>
    </x:row>
    <x:row r="1684" ht="42" customHeight="1">
      <x:c r="A1684" s="35" t="n">
        <x:v>1682</x:v>
      </x:c>
      <x:c r="B1684" s="31" t="str">
        <x:f>IF('Execution Checklist'!Q1684="","",'Execution Checklist'!Q1684)</x:f>
      </x:c>
      <x:c r="C1684" s="31" t="str">
        <x:v>Place the closed brown cup in the bowl.</x:v>
      </x:c>
      <x:c r="D1684" s="31" t="str">
        <x:v>brown cup A</x:v>
      </x:c>
      <x:c r="E1684" s="31" t="str">
        <x:v>Score against the displayed diagnostic instruction, which is not supplied to BC; analyze paired action switching.</x:v>
      </x:c>
      <x:c r="F1684" s="31"/>
      <x:c r="G1684" s="31"/>
      <x:c r="H1684" s="31" t="str">
        <x:f>IF(OR(F1684="",G1684=""),"",IF(F1684=G1684,"Agree","Disagree"))</x:f>
      </x:c>
      <x:c r="I1684" s="31"/>
      <x:c r="J1684" s="31" t="str">
        <x:v>No</x:v>
      </x:c>
      <x:c r="K1684" s="31" t="str"/>
      <x:c r="L1684" s="31" t="str"/>
      <x:c r="M1684" s="31" t="str"/>
      <x:c r="N1684" s="31" t="str"/>
    </x:row>
    <x:row r="1685" ht="42" customHeight="1">
      <x:c r="A1685" s="35" t="n">
        <x:v>1683</x:v>
      </x:c>
      <x:c r="B1685" s="31" t="str">
        <x:f>IF('Execution Checklist'!Q1685="","",'Execution Checklist'!Q1685)</x:f>
      </x:c>
      <x:c r="C1685" s="31" t="str">
        <x:v>Place the upright white cup in the bowl.</x:v>
      </x:c>
      <x:c r="D1685" s="31" t="str">
        <x:v>white cup B</x:v>
      </x:c>
      <x:c r="E1685" s="31" t="str">
        <x:v>Score against the displayed diagnostic instruction, which is not supplied to BC; analyze paired action switching.</x:v>
      </x:c>
      <x:c r="F1685" s="31"/>
      <x:c r="G1685" s="31"/>
      <x:c r="H1685" s="31" t="str">
        <x:f>IF(OR(F1685="",G1685=""),"",IF(F1685=G1685,"Agree","Disagree"))</x:f>
      </x:c>
      <x:c r="I1685" s="31"/>
      <x:c r="J1685" s="31" t="str">
        <x:v>No</x:v>
      </x:c>
      <x:c r="K1685" s="31" t="str"/>
      <x:c r="L1685" s="31" t="str"/>
      <x:c r="M1685" s="31" t="str"/>
      <x:c r="N1685" s="31" t="str"/>
    </x:row>
    <x:row r="1686" ht="42" customHeight="1">
      <x:c r="A1686" s="35" t="n">
        <x:v>1684</x:v>
      </x:c>
      <x:c r="B1686" s="31" t="str">
        <x:f>IF('Execution Checklist'!Q1686="","",'Execution Checklist'!Q1686)</x:f>
      </x:c>
      <x:c r="C1686" s="31" t="str">
        <x:v>Place the closed glass spice container in the bowl.</x:v>
      </x:c>
      <x:c r="D1686" s="31" t="str">
        <x:v>glass spice container B</x:v>
      </x:c>
      <x:c r="E1686" s="31" t="str">
        <x:v>Score against the displayed diagnostic instruction, which is not supplied to BC; analyze paired action switching.</x:v>
      </x:c>
      <x:c r="F1686" s="31"/>
      <x:c r="G1686" s="31"/>
      <x:c r="H1686" s="31" t="str">
        <x:f>IF(OR(F1686="",G1686=""),"",IF(F1686=G1686,"Agree","Disagree"))</x:f>
      </x:c>
      <x:c r="I1686" s="31"/>
      <x:c r="J1686" s="31" t="str">
        <x:v>No</x:v>
      </x:c>
      <x:c r="K1686" s="31" t="str"/>
      <x:c r="L1686" s="31" t="str"/>
      <x:c r="M1686" s="31" t="str"/>
      <x:c r="N1686" s="31" t="str"/>
    </x:row>
    <x:row r="1687" ht="42" customHeight="1">
      <x:c r="A1687" s="35" t="n">
        <x:v>1685</x:v>
      </x:c>
      <x:c r="B1687" s="31" t="str">
        <x:f>IF('Execution Checklist'!Q1687="","",'Execution Checklist'!Q1687)</x:f>
      </x:c>
      <x:c r="C1687" s="31" t="str">
        <x:v>Place the open yellow-white striped cup in the bowl.</x:v>
      </x:c>
      <x:c r="D1687" s="31" t="str">
        <x:v>yellow-white striped cup B</x:v>
      </x:c>
      <x:c r="E1687" s="31" t="str">
        <x:v>Score against the displayed diagnostic instruction, which is not supplied to BC; analyze paired action switching.</x:v>
      </x:c>
      <x:c r="F1687" s="31"/>
      <x:c r="G1687" s="31"/>
      <x:c r="H1687" s="31" t="str">
        <x:f>IF(OR(F1687="",G1687=""),"",IF(F1687=G1687,"Agree","Disagree"))</x:f>
      </x:c>
      <x:c r="I1687" s="31"/>
      <x:c r="J1687" s="31" t="str">
        <x:v>No</x:v>
      </x:c>
      <x:c r="K1687" s="31" t="str"/>
      <x:c r="L1687" s="31" t="str"/>
      <x:c r="M1687" s="31" t="str"/>
      <x:c r="N1687" s="31" t="str"/>
    </x:row>
    <x:row r="1688" ht="42" customHeight="1">
      <x:c r="A1688" s="35" t="n">
        <x:v>1686</x:v>
      </x:c>
      <x:c r="B1688" s="31" t="str">
        <x:f>IF('Execution Checklist'!Q1688="","",'Execution Checklist'!Q1688)</x:f>
      </x:c>
      <x:c r="C1688" s="31" t="str">
        <x:v>Place the upside-down yellow-white striped cup in the bowl.</x:v>
      </x:c>
      <x:c r="D1688" s="31" t="str">
        <x:v>yellow-white striped cup A</x:v>
      </x:c>
      <x:c r="E1688" s="31" t="str">
        <x:v>Score against the displayed diagnostic instruction, which is not supplied to BC; analyze paired action switching.</x:v>
      </x:c>
      <x:c r="F1688" s="31"/>
      <x:c r="G1688" s="31"/>
      <x:c r="H1688" s="31" t="str">
        <x:f>IF(OR(F1688="",G1688=""),"",IF(F1688=G1688,"Agree","Disagree"))</x:f>
      </x:c>
      <x:c r="I1688" s="31"/>
      <x:c r="J1688" s="31" t="str">
        <x:v>No</x:v>
      </x:c>
      <x:c r="K1688" s="31" t="str"/>
      <x:c r="L1688" s="31" t="str"/>
      <x:c r="M1688" s="31" t="str"/>
      <x:c r="N1688" s="31" t="str"/>
    </x:row>
    <x:row r="1689" ht="42" customHeight="1">
      <x:c r="A1689" s="35" t="n">
        <x:v>1687</x:v>
      </x:c>
      <x:c r="B1689" s="31" t="str">
        <x:f>IF('Execution Checklist'!Q1689="","",'Execution Checklist'!Q1689)</x:f>
      </x:c>
      <x:c r="C1689" s="31" t="str">
        <x:v>Place the open white cup in the bowl.</x:v>
      </x:c>
      <x:c r="D1689" s="31" t="str">
        <x:v>white cup B</x:v>
      </x:c>
      <x:c r="E1689" s="31" t="str">
        <x:v>Score against the displayed diagnostic instruction, which is not supplied to BC; analyze paired action switching.</x:v>
      </x:c>
      <x:c r="F1689" s="31"/>
      <x:c r="G1689" s="31"/>
      <x:c r="H1689" s="31" t="str">
        <x:f>IF(OR(F1689="",G1689=""),"",IF(F1689=G1689,"Agree","Disagree"))</x:f>
      </x:c>
      <x:c r="I1689" s="31"/>
      <x:c r="J1689" s="31" t="str">
        <x:v>No</x:v>
      </x:c>
      <x:c r="K1689" s="31" t="str"/>
      <x:c r="L1689" s="31" t="str"/>
      <x:c r="M1689" s="31" t="str"/>
      <x:c r="N1689" s="31" t="str"/>
    </x:row>
    <x:row r="1690" ht="42" customHeight="1">
      <x:c r="A1690" s="35" t="n">
        <x:v>1688</x:v>
      </x:c>
      <x:c r="B1690" s="31" t="str">
        <x:f>IF('Execution Checklist'!Q1690="","",'Execution Checklist'!Q1690)</x:f>
      </x:c>
      <x:c r="C1690" s="31" t="str">
        <x:v>Place the upright brown cup in the bowl.</x:v>
      </x:c>
      <x:c r="D1690" s="31" t="str">
        <x:v>brown cup B</x:v>
      </x:c>
      <x:c r="E1690" s="31" t="str">
        <x:v>Score against the displayed diagnostic instruction, which is not supplied to BC; analyze paired action switching.</x:v>
      </x:c>
      <x:c r="F1690" s="31"/>
      <x:c r="G1690" s="31"/>
      <x:c r="H1690" s="31" t="str">
        <x:f>IF(OR(F1690="",G1690=""),"",IF(F1690=G1690,"Agree","Disagree"))</x:f>
      </x:c>
      <x:c r="I1690" s="31"/>
      <x:c r="J1690" s="31" t="str">
        <x:v>No</x:v>
      </x:c>
      <x:c r="K1690" s="31" t="str"/>
      <x:c r="L1690" s="31" t="str"/>
      <x:c r="M1690" s="31" t="str"/>
      <x:c r="N1690" s="31" t="str"/>
    </x:row>
    <x:row r="1691" ht="42" customHeight="1">
      <x:c r="A1691" s="35" t="n">
        <x:v>1689</x:v>
      </x:c>
      <x:c r="B1691" s="31" t="str">
        <x:f>IF('Execution Checklist'!Q1691="","",'Execution Checklist'!Q1691)</x:f>
      </x:c>
      <x:c r="C1691" s="31" t="str">
        <x:v>Place the upside-down brown cup in the bowl.</x:v>
      </x:c>
      <x:c r="D1691" s="31" t="str">
        <x:v>brown cup A</x:v>
      </x:c>
      <x:c r="E1691" s="31" t="str">
        <x:v>Score against the displayed diagnostic instruction, which is not supplied to BC; analyze paired action switching.</x:v>
      </x:c>
      <x:c r="F1691" s="31"/>
      <x:c r="G1691" s="31"/>
      <x:c r="H1691" s="31" t="str">
        <x:f>IF(OR(F1691="",G1691=""),"",IF(F1691=G1691,"Agree","Disagree"))</x:f>
      </x:c>
      <x:c r="I1691" s="31"/>
      <x:c r="J1691" s="31" t="str">
        <x:v>No</x:v>
      </x:c>
      <x:c r="K1691" s="31" t="str"/>
      <x:c r="L1691" s="31" t="str"/>
      <x:c r="M1691" s="31" t="str"/>
      <x:c r="N1691" s="31" t="str"/>
    </x:row>
    <x:row r="1692" ht="42" customHeight="1">
      <x:c r="A1692" s="35" t="n">
        <x:v>1690</x:v>
      </x:c>
      <x:c r="B1692" s="31" t="str">
        <x:f>IF('Execution Checklist'!Q1692="","",'Execution Checklist'!Q1692)</x:f>
      </x:c>
      <x:c r="C1692" s="31" t="str">
        <x:v>Place the open glass spice container in the bowl.</x:v>
      </x:c>
      <x:c r="D1692" s="31" t="str">
        <x:v>glass spice container A</x:v>
      </x:c>
      <x:c r="E1692" s="31" t="str">
        <x:v>Score against the displayed diagnostic instruction, which is not supplied to BC; analyze paired action switching.</x:v>
      </x:c>
      <x:c r="F1692" s="31"/>
      <x:c r="G1692" s="31"/>
      <x:c r="H1692" s="31" t="str">
        <x:f>IF(OR(F1692="",G1692=""),"",IF(F1692=G1692,"Agree","Disagree"))</x:f>
      </x:c>
      <x:c r="I1692" s="31"/>
      <x:c r="J1692" s="31" t="str">
        <x:v>No</x:v>
      </x:c>
      <x:c r="K1692" s="31" t="str"/>
      <x:c r="L1692" s="31" t="str"/>
      <x:c r="M1692" s="31" t="str"/>
      <x:c r="N1692" s="31" t="str"/>
    </x:row>
    <x:row r="1693" ht="42" customHeight="1">
      <x:c r="A1693" s="35" t="n">
        <x:v>1691</x:v>
      </x:c>
      <x:c r="B1693" s="31" t="str">
        <x:f>IF('Execution Checklist'!Q1693="","",'Execution Checklist'!Q1693)</x:f>
      </x:c>
      <x:c r="C1693" s="31" t="str">
        <x:v>Place the upside-down white cup in the bowl.</x:v>
      </x:c>
      <x:c r="D1693" s="31" t="str">
        <x:v>white cup A</x:v>
      </x:c>
      <x:c r="E1693" s="31" t="str">
        <x:v>Score against the displayed diagnostic instruction, which is not supplied to BC; analyze paired action switching.</x:v>
      </x:c>
      <x:c r="F1693" s="31"/>
      <x:c r="G1693" s="31"/>
      <x:c r="H1693" s="31" t="str">
        <x:f>IF(OR(F1693="",G1693=""),"",IF(F1693=G1693,"Agree","Disagree"))</x:f>
      </x:c>
      <x:c r="I1693" s="31"/>
      <x:c r="J1693" s="31" t="str">
        <x:v>No</x:v>
      </x:c>
      <x:c r="K1693" s="31" t="str"/>
      <x:c r="L1693" s="31" t="str"/>
      <x:c r="M1693" s="31" t="str"/>
      <x:c r="N1693" s="31" t="str"/>
    </x:row>
    <x:row r="1694" ht="42" customHeight="1">
      <x:c r="A1694" s="35" t="n">
        <x:v>1692</x:v>
      </x:c>
      <x:c r="B1694" s="31" t="str">
        <x:f>IF('Execution Checklist'!Q1694="","",'Execution Checklist'!Q1694)</x:f>
      </x:c>
      <x:c r="C1694" s="31" t="str">
        <x:v>Place the upside-down yellow-white striped cup in the bowl.</x:v>
      </x:c>
      <x:c r="D1694" s="31" t="str">
        <x:v>yellow-white striped cup A</x:v>
      </x:c>
      <x:c r="E1694" s="31" t="str">
        <x:v>Score against the displayed diagnostic instruction, which is not supplied to BC; analyze paired action switching.</x:v>
      </x:c>
      <x:c r="F1694" s="31"/>
      <x:c r="G1694" s="31"/>
      <x:c r="H1694" s="31" t="str">
        <x:f>IF(OR(F1694="",G1694=""),"",IF(F1694=G1694,"Agree","Disagree"))</x:f>
      </x:c>
      <x:c r="I1694" s="31"/>
      <x:c r="J1694" s="31" t="str">
        <x:v>No</x:v>
      </x:c>
      <x:c r="K1694" s="31" t="str"/>
      <x:c r="L1694" s="31" t="str"/>
      <x:c r="M1694" s="31" t="str"/>
      <x:c r="N1694" s="31" t="str"/>
    </x:row>
    <x:row r="1695" ht="42" customHeight="1">
      <x:c r="A1695" s="35" t="n">
        <x:v>1693</x:v>
      </x:c>
      <x:c r="B1695" s="31" t="str">
        <x:f>IF('Execution Checklist'!Q1695="","",'Execution Checklist'!Q1695)</x:f>
      </x:c>
      <x:c r="C1695" s="31" t="str">
        <x:v>Place the open white cup in the bowl.</x:v>
      </x:c>
      <x:c r="D1695" s="31" t="str">
        <x:v>white cup B</x:v>
      </x:c>
      <x:c r="E1695" s="31" t="str">
        <x:v>Score against the displayed diagnostic instruction, which is not supplied to BC; analyze paired action switching.</x:v>
      </x:c>
      <x:c r="F1695" s="31"/>
      <x:c r="G1695" s="31"/>
      <x:c r="H1695" s="31" t="str">
        <x:f>IF(OR(F1695="",G1695=""),"",IF(F1695=G1695,"Agree","Disagree"))</x:f>
      </x:c>
      <x:c r="I1695" s="31"/>
      <x:c r="J1695" s="31" t="str">
        <x:v>No</x:v>
      </x:c>
      <x:c r="K1695" s="31" t="str"/>
      <x:c r="L1695" s="31" t="str"/>
      <x:c r="M1695" s="31" t="str"/>
      <x:c r="N1695" s="31" t="str"/>
    </x:row>
    <x:row r="1696" ht="42" customHeight="1">
      <x:c r="A1696" s="35" t="n">
        <x:v>1694</x:v>
      </x:c>
      <x:c r="B1696" s="31" t="str">
        <x:f>IF('Execution Checklist'!Q1696="","",'Execution Checklist'!Q1696)</x:f>
      </x:c>
      <x:c r="C1696" s="31" t="str">
        <x:v>Place the red block to the left of the green pen.</x:v>
      </x:c>
      <x:c r="D1696" s="31" t="str">
        <x:v>red block → to the left of green pen</x:v>
      </x:c>
      <x:c r="E1696" s="31" t="str">
        <x:v>Score against the displayed diagnostic instruction, which is not supplied to BC; analyze paired action switching.</x:v>
      </x:c>
      <x:c r="F1696" s="31"/>
      <x:c r="G1696" s="31"/>
      <x:c r="H1696" s="31" t="str">
        <x:f>IF(OR(F1696="",G1696=""),"",IF(F1696=G1696,"Agree","Disagree"))</x:f>
      </x:c>
      <x:c r="I1696" s="31"/>
      <x:c r="J1696" s="31" t="str">
        <x:v>No</x:v>
      </x:c>
      <x:c r="K1696" s="31" t="str"/>
      <x:c r="L1696" s="31" t="str"/>
      <x:c r="M1696" s="31" t="str"/>
      <x:c r="N1696" s="31" t="str"/>
    </x:row>
    <x:row r="1697" ht="42" customHeight="1">
      <x:c r="A1697" s="35" t="n">
        <x:v>1695</x:v>
      </x:c>
      <x:c r="B1697" s="31" t="str">
        <x:f>IF('Execution Checklist'!Q1697="","",'Execution Checklist'!Q1697)</x:f>
      </x:c>
      <x:c r="C1697" s="31" t="str">
        <x:v>Place the red block to the right of the green pen.</x:v>
      </x:c>
      <x:c r="D1697" s="31" t="str">
        <x:v>red block → to the right of green pen</x:v>
      </x:c>
      <x:c r="E1697" s="31" t="str">
        <x:v>Score against the displayed diagnostic instruction, which is not supplied to BC; analyze paired action switching.</x:v>
      </x:c>
      <x:c r="F1697" s="31"/>
      <x:c r="G1697" s="31"/>
      <x:c r="H1697" s="31" t="str">
        <x:f>IF(OR(F1697="",G1697=""),"",IF(F1697=G1697,"Agree","Disagree"))</x:f>
      </x:c>
      <x:c r="I1697" s="31"/>
      <x:c r="J1697" s="31" t="str">
        <x:v>No</x:v>
      </x:c>
      <x:c r="K1697" s="31" t="str"/>
      <x:c r="L1697" s="31" t="str"/>
      <x:c r="M1697" s="31" t="str"/>
      <x:c r="N1697" s="31" t="str"/>
    </x:row>
    <x:row r="1698" ht="42" customHeight="1">
      <x:c r="A1698" s="35" t="n">
        <x:v>1696</x:v>
      </x:c>
      <x:c r="B1698" s="31" t="str">
        <x:f>IF('Execution Checklist'!Q1698="","",'Execution Checklist'!Q1698)</x:f>
      </x:c>
      <x:c r="C1698" s="31" t="str">
        <x:v>Place the green pen to the left of the red block.</x:v>
      </x:c>
      <x:c r="D1698" s="31" t="str">
        <x:v>green pen → to the left of red block</x:v>
      </x:c>
      <x:c r="E1698" s="31" t="str">
        <x:v>Score against the displayed diagnostic instruction, which is not supplied to BC; analyze paired action switching.</x:v>
      </x:c>
      <x:c r="F1698" s="31"/>
      <x:c r="G1698" s="31"/>
      <x:c r="H1698" s="31" t="str">
        <x:f>IF(OR(F1698="",G1698=""),"",IF(F1698=G1698,"Agree","Disagree"))</x:f>
      </x:c>
      <x:c r="I1698" s="31"/>
      <x:c r="J1698" s="31" t="str">
        <x:v>No</x:v>
      </x:c>
      <x:c r="K1698" s="31" t="str"/>
      <x:c r="L1698" s="31" t="str"/>
      <x:c r="M1698" s="31" t="str"/>
      <x:c r="N1698" s="31" t="str"/>
    </x:row>
    <x:row r="1699" ht="42" customHeight="1">
      <x:c r="A1699" s="35" t="n">
        <x:v>1697</x:v>
      </x:c>
      <x:c r="B1699" s="31" t="str">
        <x:f>IF('Execution Checklist'!Q1699="","",'Execution Checklist'!Q1699)</x:f>
      </x:c>
      <x:c r="C1699" s="31" t="str">
        <x:v>Place the green pen behind the red block.</x:v>
      </x:c>
      <x:c r="D1699" s="31" t="str">
        <x:v>green pen → behind red block</x:v>
      </x:c>
      <x:c r="E1699" s="31" t="str">
        <x:v>Score against the displayed diagnostic instruction, which is not supplied to BC; analyze paired action switching.</x:v>
      </x:c>
      <x:c r="F1699" s="31"/>
      <x:c r="G1699" s="31"/>
      <x:c r="H1699" s="31" t="str">
        <x:f>IF(OR(F1699="",G1699=""),"",IF(F1699=G1699,"Agree","Disagree"))</x:f>
      </x:c>
      <x:c r="I1699" s="31"/>
      <x:c r="J1699" s="31" t="str">
        <x:v>No</x:v>
      </x:c>
      <x:c r="K1699" s="31" t="str"/>
      <x:c r="L1699" s="31" t="str"/>
      <x:c r="M1699" s="31" t="str"/>
      <x:c r="N1699" s="31" t="str"/>
    </x:row>
    <x:row r="1700" ht="42" customHeight="1">
      <x:c r="A1700" s="35" t="n">
        <x:v>1698</x:v>
      </x:c>
      <x:c r="B1700" s="31" t="str">
        <x:f>IF('Execution Checklist'!Q1700="","",'Execution Checklist'!Q1700)</x:f>
      </x:c>
      <x:c r="C1700" s="31" t="str">
        <x:v>Place the red block in front of the green pen.</x:v>
      </x:c>
      <x:c r="D1700" s="31" t="str">
        <x:v>red block → in front of green pen</x:v>
      </x:c>
      <x:c r="E1700" s="31" t="str">
        <x:v>Score against the displayed diagnostic instruction, which is not supplied to BC; analyze paired action switching.</x:v>
      </x:c>
      <x:c r="F1700" s="31"/>
      <x:c r="G1700" s="31"/>
      <x:c r="H1700" s="31" t="str">
        <x:f>IF(OR(F1700="",G1700=""),"",IF(F1700=G1700,"Agree","Disagree"))</x:f>
      </x:c>
      <x:c r="I1700" s="31"/>
      <x:c r="J1700" s="31" t="str">
        <x:v>No</x:v>
      </x:c>
      <x:c r="K1700" s="31" t="str"/>
      <x:c r="L1700" s="31" t="str"/>
      <x:c r="M1700" s="31" t="str"/>
      <x:c r="N1700" s="31" t="str"/>
    </x:row>
    <x:row r="1701" ht="42" customHeight="1">
      <x:c r="A1701" s="35" t="n">
        <x:v>1699</x:v>
      </x:c>
      <x:c r="B1701" s="31" t="str">
        <x:f>IF('Execution Checklist'!Q1701="","",'Execution Checklist'!Q1701)</x:f>
      </x:c>
      <x:c r="C1701" s="31" t="str">
        <x:v>Place the green pen in front of the red block.</x:v>
      </x:c>
      <x:c r="D1701" s="31" t="str">
        <x:v>green pen → in front of red block</x:v>
      </x:c>
      <x:c r="E1701" s="31" t="str">
        <x:v>Score against the displayed diagnostic instruction, which is not supplied to BC; analyze paired action switching.</x:v>
      </x:c>
      <x:c r="F1701" s="31"/>
      <x:c r="G1701" s="31"/>
      <x:c r="H1701" s="31" t="str">
        <x:f>IF(OR(F1701="",G1701=""),"",IF(F1701=G1701,"Agree","Disagree"))</x:f>
      </x:c>
      <x:c r="I1701" s="31"/>
      <x:c r="J1701" s="31" t="str">
        <x:v>No</x:v>
      </x:c>
      <x:c r="K1701" s="31" t="str"/>
      <x:c r="L1701" s="31" t="str"/>
      <x:c r="M1701" s="31" t="str"/>
      <x:c r="N1701" s="31" t="str"/>
    </x:row>
    <x:row r="1702" ht="42" customHeight="1">
      <x:c r="A1702" s="35" t="n">
        <x:v>1700</x:v>
      </x:c>
      <x:c r="B1702" s="31" t="str">
        <x:f>IF('Execution Checklist'!Q1702="","",'Execution Checklist'!Q1702)</x:f>
      </x:c>
      <x:c r="C1702" s="31" t="str">
        <x:v>Place the green pen in front of the red block.</x:v>
      </x:c>
      <x:c r="D1702" s="31" t="str">
        <x:v>green pen → in front of red block</x:v>
      </x:c>
      <x:c r="E1702" s="31" t="str">
        <x:v>Score against the displayed diagnostic instruction, which is not supplied to BC; analyze paired action switching.</x:v>
      </x:c>
      <x:c r="F1702" s="31"/>
      <x:c r="G1702" s="31"/>
      <x:c r="H1702" s="31" t="str">
        <x:f>IF(OR(F1702="",G1702=""),"",IF(F1702=G1702,"Agree","Disagree"))</x:f>
      </x:c>
      <x:c r="I1702" s="31"/>
      <x:c r="J1702" s="31" t="str">
        <x:v>No</x:v>
      </x:c>
      <x:c r="K1702" s="31" t="str"/>
      <x:c r="L1702" s="31" t="str"/>
      <x:c r="M1702" s="31" t="str"/>
      <x:c r="N1702" s="31" t="str"/>
    </x:row>
    <x:row r="1703" ht="42" customHeight="1">
      <x:c r="A1703" s="35" t="n">
        <x:v>1701</x:v>
      </x:c>
      <x:c r="B1703" s="31" t="str">
        <x:f>IF('Execution Checklist'!Q1703="","",'Execution Checklist'!Q1703)</x:f>
      </x:c>
      <x:c r="C1703" s="31" t="str">
        <x:v>Place the green pen to the right of the red block.</x:v>
      </x:c>
      <x:c r="D1703" s="31" t="str">
        <x:v>green pen → to the right of red block</x:v>
      </x:c>
      <x:c r="E1703" s="31" t="str">
        <x:v>Score against the displayed diagnostic instruction, which is not supplied to BC; analyze paired action switching.</x:v>
      </x:c>
      <x:c r="F1703" s="31"/>
      <x:c r="G1703" s="31"/>
      <x:c r="H1703" s="31" t="str">
        <x:f>IF(OR(F1703="",G1703=""),"",IF(F1703=G1703,"Agree","Disagree"))</x:f>
      </x:c>
      <x:c r="I1703" s="31"/>
      <x:c r="J1703" s="31" t="str">
        <x:v>No</x:v>
      </x:c>
      <x:c r="K1703" s="31" t="str"/>
      <x:c r="L1703" s="31" t="str"/>
      <x:c r="M1703" s="31" t="str"/>
      <x:c r="N1703" s="31" t="str"/>
    </x:row>
    <x:row r="1704" ht="42" customHeight="1">
      <x:c r="A1704" s="35" t="n">
        <x:v>1702</x:v>
      </x:c>
      <x:c r="B1704" s="31" t="str">
        <x:f>IF('Execution Checklist'!Q1704="","",'Execution Checklist'!Q1704)</x:f>
      </x:c>
      <x:c r="C1704" s="31" t="str">
        <x:v>Place the green pen behind the red block.</x:v>
      </x:c>
      <x:c r="D1704" s="31" t="str">
        <x:v>green pen → behind red block</x:v>
      </x:c>
      <x:c r="E1704" s="31" t="str">
        <x:v>Score against the displayed diagnostic instruction, which is not supplied to BC; analyze paired action switching.</x:v>
      </x:c>
      <x:c r="F1704" s="31"/>
      <x:c r="G1704" s="31"/>
      <x:c r="H1704" s="31" t="str">
        <x:f>IF(OR(F1704="",G1704=""),"",IF(F1704=G1704,"Agree","Disagree"))</x:f>
      </x:c>
      <x:c r="I1704" s="31"/>
      <x:c r="J1704" s="31" t="str">
        <x:v>No</x:v>
      </x:c>
      <x:c r="K1704" s="31" t="str"/>
      <x:c r="L1704" s="31" t="str"/>
      <x:c r="M1704" s="31" t="str"/>
      <x:c r="N1704" s="31" t="str"/>
    </x:row>
    <x:row r="1705" ht="42" customHeight="1">
      <x:c r="A1705" s="35" t="n">
        <x:v>1703</x:v>
      </x:c>
      <x:c r="B1705" s="31" t="str">
        <x:f>IF('Execution Checklist'!Q1705="","",'Execution Checklist'!Q1705)</x:f>
      </x:c>
      <x:c r="C1705" s="31" t="str">
        <x:v>Place the green pen behind the red block.</x:v>
      </x:c>
      <x:c r="D1705" s="31" t="str">
        <x:v>green pen → behind red block</x:v>
      </x:c>
      <x:c r="E1705" s="31" t="str">
        <x:v>Score against the displayed diagnostic instruction, which is not supplied to BC; analyze paired action switching.</x:v>
      </x:c>
      <x:c r="F1705" s="31"/>
      <x:c r="G1705" s="31"/>
      <x:c r="H1705" s="31" t="str">
        <x:f>IF(OR(F1705="",G1705=""),"",IF(F1705=G1705,"Agree","Disagree"))</x:f>
      </x:c>
      <x:c r="I1705" s="31"/>
      <x:c r="J1705" s="31" t="str">
        <x:v>No</x:v>
      </x:c>
      <x:c r="K1705" s="31" t="str"/>
      <x:c r="L1705" s="31" t="str"/>
      <x:c r="M1705" s="31" t="str"/>
      <x:c r="N1705" s="31" t="str"/>
    </x:row>
    <x:row r="1706" ht="42" customHeight="1">
      <x:c r="A1706" s="35" t="n">
        <x:v>1704</x:v>
      </x:c>
      <x:c r="B1706" s="31" t="str">
        <x:f>IF('Execution Checklist'!Q1706="","",'Execution Checklist'!Q1706)</x:f>
      </x:c>
      <x:c r="C1706" s="31" t="str">
        <x:v>Place the red block to the left of the green pen.</x:v>
      </x:c>
      <x:c r="D1706" s="31" t="str">
        <x:v>red block → to the left of green pen</x:v>
      </x:c>
      <x:c r="E1706" s="31" t="str">
        <x:v>Score against the displayed diagnostic instruction, which is not supplied to BC; analyze paired action switching.</x:v>
      </x:c>
      <x:c r="F1706" s="31"/>
      <x:c r="G1706" s="31"/>
      <x:c r="H1706" s="31" t="str">
        <x:f>IF(OR(F1706="",G1706=""),"",IF(F1706=G1706,"Agree","Disagree"))</x:f>
      </x:c>
      <x:c r="I1706" s="31"/>
      <x:c r="J1706" s="31" t="str">
        <x:v>No</x:v>
      </x:c>
      <x:c r="K1706" s="31" t="str"/>
      <x:c r="L1706" s="31" t="str"/>
      <x:c r="M1706" s="31" t="str"/>
      <x:c r="N1706" s="31" t="str"/>
    </x:row>
    <x:row r="1707" ht="42" customHeight="1">
      <x:c r="A1707" s="35" t="n">
        <x:v>1705</x:v>
      </x:c>
      <x:c r="B1707" s="31" t="str">
        <x:f>IF('Execution Checklist'!Q1707="","",'Execution Checklist'!Q1707)</x:f>
      </x:c>
      <x:c r="C1707" s="31" t="str">
        <x:v>Place the red block in front of the green pen.</x:v>
      </x:c>
      <x:c r="D1707" s="31" t="str">
        <x:v>red block → in front of green pen</x:v>
      </x:c>
      <x:c r="E1707" s="31" t="str">
        <x:v>Score against the displayed diagnostic instruction, which is not supplied to BC; analyze paired action switching.</x:v>
      </x:c>
      <x:c r="F1707" s="31"/>
      <x:c r="G1707" s="31"/>
      <x:c r="H1707" s="31" t="str">
        <x:f>IF(OR(F1707="",G1707=""),"",IF(F1707=G1707,"Agree","Disagree"))</x:f>
      </x:c>
      <x:c r="I1707" s="31"/>
      <x:c r="J1707" s="31" t="str">
        <x:v>No</x:v>
      </x:c>
      <x:c r="K1707" s="31" t="str"/>
      <x:c r="L1707" s="31" t="str"/>
      <x:c r="M1707" s="31" t="str"/>
      <x:c r="N1707" s="31" t="str"/>
    </x:row>
    <x:row r="1708" ht="42" customHeight="1">
      <x:c r="A1708" s="35" t="n">
        <x:v>1706</x:v>
      </x:c>
      <x:c r="B1708" s="31" t="str">
        <x:f>IF('Execution Checklist'!Q1708="","",'Execution Checklist'!Q1708)</x:f>
      </x:c>
      <x:c r="C1708" s="31" t="str">
        <x:v>Place the red block behind the green pen.</x:v>
      </x:c>
      <x:c r="D1708" s="31" t="str">
        <x:v>red block → behind green pen</x:v>
      </x:c>
      <x:c r="E1708" s="31" t="str">
        <x:v>Score against the displayed diagnostic instruction, which is not supplied to BC; analyze paired action switching.</x:v>
      </x:c>
      <x:c r="F1708" s="31"/>
      <x:c r="G1708" s="31"/>
      <x:c r="H1708" s="31" t="str">
        <x:f>IF(OR(F1708="",G1708=""),"",IF(F1708=G1708,"Agree","Disagree"))</x:f>
      </x:c>
      <x:c r="I1708" s="31"/>
      <x:c r="J1708" s="31" t="str">
        <x:v>No</x:v>
      </x:c>
      <x:c r="K1708" s="31" t="str"/>
      <x:c r="L1708" s="31" t="str"/>
      <x:c r="M1708" s="31" t="str"/>
      <x:c r="N1708" s="31" t="str"/>
    </x:row>
    <x:row r="1709" ht="42" customHeight="1">
      <x:c r="A1709" s="35" t="n">
        <x:v>1707</x:v>
      </x:c>
      <x:c r="B1709" s="31" t="str">
        <x:f>IF('Execution Checklist'!Q1709="","",'Execution Checklist'!Q1709)</x:f>
      </x:c>
      <x:c r="C1709" s="31" t="str">
        <x:v>Place the green pen to the right of the red block.</x:v>
      </x:c>
      <x:c r="D1709" s="31" t="str">
        <x:v>green pen → to the right of red block</x:v>
      </x:c>
      <x:c r="E1709" s="31" t="str">
        <x:v>Score against the displayed diagnostic instruction, which is not supplied to BC; analyze paired action switching.</x:v>
      </x:c>
      <x:c r="F1709" s="31"/>
      <x:c r="G1709" s="31"/>
      <x:c r="H1709" s="31" t="str">
        <x:f>IF(OR(F1709="",G1709=""),"",IF(F1709=G1709,"Agree","Disagree"))</x:f>
      </x:c>
      <x:c r="I1709" s="31"/>
      <x:c r="J1709" s="31" t="str">
        <x:v>No</x:v>
      </x:c>
      <x:c r="K1709" s="31" t="str"/>
      <x:c r="L1709" s="31" t="str"/>
      <x:c r="M1709" s="31" t="str"/>
      <x:c r="N1709" s="31" t="str"/>
    </x:row>
    <x:row r="1710" ht="42" customHeight="1">
      <x:c r="A1710" s="35" t="n">
        <x:v>1708</x:v>
      </x:c>
      <x:c r="B1710" s="31" t="str">
        <x:f>IF('Execution Checklist'!Q1710="","",'Execution Checklist'!Q1710)</x:f>
      </x:c>
      <x:c r="C1710" s="31" t="str">
        <x:v>Place the green pen in front of the red block.</x:v>
      </x:c>
      <x:c r="D1710" s="31" t="str">
        <x:v>green pen → in front of red block</x:v>
      </x:c>
      <x:c r="E1710" s="31" t="str">
        <x:v>Score against the displayed diagnostic instruction, which is not supplied to BC; analyze paired action switching.</x:v>
      </x:c>
      <x:c r="F1710" s="31"/>
      <x:c r="G1710" s="31"/>
      <x:c r="H1710" s="31" t="str">
        <x:f>IF(OR(F1710="",G1710=""),"",IF(F1710=G1710,"Agree","Disagree"))</x:f>
      </x:c>
      <x:c r="I1710" s="31"/>
      <x:c r="J1710" s="31" t="str">
        <x:v>No</x:v>
      </x:c>
      <x:c r="K1710" s="31" t="str"/>
      <x:c r="L1710" s="31" t="str"/>
      <x:c r="M1710" s="31" t="str"/>
      <x:c r="N1710" s="31" t="str"/>
    </x:row>
    <x:row r="1711" ht="42" customHeight="1">
      <x:c r="A1711" s="35" t="n">
        <x:v>1709</x:v>
      </x:c>
      <x:c r="B1711" s="31" t="str">
        <x:f>IF('Execution Checklist'!Q1711="","",'Execution Checklist'!Q1711)</x:f>
      </x:c>
      <x:c r="C1711" s="31" t="str">
        <x:v>Place the red block to the right of the green pen.</x:v>
      </x:c>
      <x:c r="D1711" s="31" t="str">
        <x:v>red block → to the right of green pen</x:v>
      </x:c>
      <x:c r="E1711" s="31" t="str">
        <x:v>Score against the displayed diagnostic instruction, which is not supplied to BC; analyze paired action switching.</x:v>
      </x:c>
      <x:c r="F1711" s="31"/>
      <x:c r="G1711" s="31"/>
      <x:c r="H1711" s="31" t="str">
        <x:f>IF(OR(F1711="",G1711=""),"",IF(F1711=G1711,"Agree","Disagree"))</x:f>
      </x:c>
      <x:c r="I1711" s="31"/>
      <x:c r="J1711" s="31" t="str">
        <x:v>No</x:v>
      </x:c>
      <x:c r="K1711" s="31" t="str"/>
      <x:c r="L1711" s="31" t="str"/>
      <x:c r="M1711" s="31" t="str"/>
      <x:c r="N1711" s="31" t="str"/>
    </x:row>
    <x:row r="1712" ht="42" customHeight="1">
      <x:c r="A1712" s="35" t="n">
        <x:v>1710</x:v>
      </x:c>
      <x:c r="B1712" s="31" t="str">
        <x:f>IF('Execution Checklist'!Q1712="","",'Execution Checklist'!Q1712)</x:f>
      </x:c>
      <x:c r="C1712" s="31" t="str">
        <x:v>Place the red block to the left of the green pen.</x:v>
      </x:c>
      <x:c r="D1712" s="31" t="str">
        <x:v>red block → to the left of green pen</x:v>
      </x:c>
      <x:c r="E1712" s="31" t="str">
        <x:v>Score against the displayed diagnostic instruction, which is not supplied to BC; analyze paired action switching.</x:v>
      </x:c>
      <x:c r="F1712" s="31"/>
      <x:c r="G1712" s="31"/>
      <x:c r="H1712" s="31" t="str">
        <x:f>IF(OR(F1712="",G1712=""),"",IF(F1712=G1712,"Agree","Disagree"))</x:f>
      </x:c>
      <x:c r="I1712" s="31"/>
      <x:c r="J1712" s="31" t="str">
        <x:v>No</x:v>
      </x:c>
      <x:c r="K1712" s="31" t="str"/>
      <x:c r="L1712" s="31" t="str"/>
      <x:c r="M1712" s="31" t="str"/>
      <x:c r="N1712" s="31" t="str"/>
    </x:row>
    <x:row r="1713" ht="42" customHeight="1">
      <x:c r="A1713" s="35" t="n">
        <x:v>1711</x:v>
      </x:c>
      <x:c r="B1713" s="31" t="str">
        <x:f>IF('Execution Checklist'!Q1713="","",'Execution Checklist'!Q1713)</x:f>
      </x:c>
      <x:c r="C1713" s="31" t="str">
        <x:v>Place the green pen to the left of the red block.</x:v>
      </x:c>
      <x:c r="D1713" s="31" t="str">
        <x:v>green pen → to the left of red block</x:v>
      </x:c>
      <x:c r="E1713" s="31" t="str">
        <x:v>Score against the displayed diagnostic instruction, which is not supplied to BC; analyze paired action switching.</x:v>
      </x:c>
      <x:c r="F1713" s="31"/>
      <x:c r="G1713" s="31"/>
      <x:c r="H1713" s="31" t="str">
        <x:f>IF(OR(F1713="",G1713=""),"",IF(F1713=G1713,"Agree","Disagree"))</x:f>
      </x:c>
      <x:c r="I1713" s="31"/>
      <x:c r="J1713" s="31" t="str">
        <x:v>No</x:v>
      </x:c>
      <x:c r="K1713" s="31" t="str"/>
      <x:c r="L1713" s="31" t="str"/>
      <x:c r="M1713" s="31" t="str"/>
      <x:c r="N1713" s="31" t="str"/>
    </x:row>
    <x:row r="1714" ht="42" customHeight="1">
      <x:c r="A1714" s="35" t="n">
        <x:v>1712</x:v>
      </x:c>
      <x:c r="B1714" s="31" t="str">
        <x:f>IF('Execution Checklist'!Q1714="","",'Execution Checklist'!Q1714)</x:f>
      </x:c>
      <x:c r="C1714" s="31" t="str">
        <x:v>Place the red block behind the green pen.</x:v>
      </x:c>
      <x:c r="D1714" s="31" t="str">
        <x:v>red block → behind green pen</x:v>
      </x:c>
      <x:c r="E1714" s="31" t="str">
        <x:v>Score against the displayed diagnostic instruction, which is not supplied to BC; analyze paired action switching.</x:v>
      </x:c>
      <x:c r="F1714" s="31"/>
      <x:c r="G1714" s="31"/>
      <x:c r="H1714" s="31" t="str">
        <x:f>IF(OR(F1714="",G1714=""),"",IF(F1714=G1714,"Agree","Disagree"))</x:f>
      </x:c>
      <x:c r="I1714" s="31"/>
      <x:c r="J1714" s="31" t="str">
        <x:v>No</x:v>
      </x:c>
      <x:c r="K1714" s="31" t="str"/>
      <x:c r="L1714" s="31" t="str"/>
      <x:c r="M1714" s="31" t="str"/>
      <x:c r="N1714" s="31" t="str"/>
    </x:row>
    <x:row r="1715" ht="42" customHeight="1">
      <x:c r="A1715" s="35" t="n">
        <x:v>1713</x:v>
      </x:c>
      <x:c r="B1715" s="31" t="str">
        <x:f>IF('Execution Checklist'!Q1715="","",'Execution Checklist'!Q1715)</x:f>
      </x:c>
      <x:c r="C1715" s="31" t="str">
        <x:v>Place the red block to the right of the green pen.</x:v>
      </x:c>
      <x:c r="D1715" s="31" t="str">
        <x:v>red block → to the right of green pen</x:v>
      </x:c>
      <x:c r="E1715" s="31" t="str">
        <x:v>Score against the displayed diagnostic instruction, which is not supplied to BC; analyze paired action switching.</x:v>
      </x:c>
      <x:c r="F1715" s="31"/>
      <x:c r="G1715" s="31"/>
      <x:c r="H1715" s="31" t="str">
        <x:f>IF(OR(F1715="",G1715=""),"",IF(F1715=G1715,"Agree","Disagree"))</x:f>
      </x:c>
      <x:c r="I1715" s="31"/>
      <x:c r="J1715" s="31" t="str">
        <x:v>No</x:v>
      </x:c>
      <x:c r="K1715" s="31" t="str"/>
      <x:c r="L1715" s="31" t="str"/>
      <x:c r="M1715" s="31" t="str"/>
      <x:c r="N1715" s="31" t="str"/>
    </x:row>
    <x:row r="1716" ht="42" customHeight="1">
      <x:c r="A1716" s="35" t="n">
        <x:v>1714</x:v>
      </x:c>
      <x:c r="B1716" s="31" t="str">
        <x:f>IF('Execution Checklist'!Q1716="","",'Execution Checklist'!Q1716)</x:f>
      </x:c>
      <x:c r="C1716" s="31" t="str">
        <x:v>Leave exactly three objects in the bowl.</x:v>
      </x:c>
      <x:c r="D1716" s="31" t="str">
        <x:v>ADD one table object</x:v>
      </x:c>
      <x:c r="E1716" s="31" t="str">
        <x:v>Score against the displayed diagnostic instruction, which is not supplied to BC; analyze paired action switching.</x:v>
      </x:c>
      <x:c r="F1716" s="31"/>
      <x:c r="G1716" s="31"/>
      <x:c r="H1716" s="31" t="str">
        <x:f>IF(OR(F1716="",G1716=""),"",IF(F1716=G1716,"Agree","Disagree"))</x:f>
      </x:c>
      <x:c r="I1716" s="31"/>
      <x:c r="J1716" s="31" t="str">
        <x:v>No</x:v>
      </x:c>
      <x:c r="K1716" s="31" t="str"/>
      <x:c r="L1716" s="31" t="str"/>
      <x:c r="M1716" s="31" t="str"/>
      <x:c r="N1716" s="31" t="str"/>
    </x:row>
    <x:row r="1717" ht="42" customHeight="1">
      <x:c r="A1717" s="35" t="n">
        <x:v>1715</x:v>
      </x:c>
      <x:c r="B1717" s="31" t="str">
        <x:f>IF('Execution Checklist'!Q1717="","",'Execution Checklist'!Q1717)</x:f>
      </x:c>
      <x:c r="C1717" s="31" t="str">
        <x:v>Leave exactly one object in the bowl.</x:v>
      </x:c>
      <x:c r="D1717" s="31" t="str">
        <x:v>REMOVE one bowl object</x:v>
      </x:c>
      <x:c r="E1717" s="31" t="str">
        <x:v>Score against the displayed diagnostic instruction, which is not supplied to BC; analyze paired action switching.</x:v>
      </x:c>
      <x:c r="F1717" s="31"/>
      <x:c r="G1717" s="31"/>
      <x:c r="H1717" s="31" t="str">
        <x:f>IF(OR(F1717="",G1717=""),"",IF(F1717=G1717,"Agree","Disagree"))</x:f>
      </x:c>
      <x:c r="I1717" s="31"/>
      <x:c r="J1717" s="31" t="str">
        <x:v>No</x:v>
      </x:c>
      <x:c r="K1717" s="31" t="str"/>
      <x:c r="L1717" s="31" t="str"/>
      <x:c r="M1717" s="31" t="str"/>
      <x:c r="N1717" s="31" t="str"/>
    </x:row>
    <x:row r="1718" ht="42" customHeight="1">
      <x:c r="A1718" s="35" t="n">
        <x:v>1716</x:v>
      </x:c>
      <x:c r="B1718" s="31" t="str">
        <x:f>IF('Execution Checklist'!Q1718="","",'Execution Checklist'!Q1718)</x:f>
      </x:c>
      <x:c r="C1718" s="31" t="str">
        <x:v>Leave exactly one object in the bowl.</x:v>
      </x:c>
      <x:c r="D1718" s="31" t="str">
        <x:v>REMOVE one bowl object</x:v>
      </x:c>
      <x:c r="E1718" s="31" t="str">
        <x:v>Score against the displayed diagnostic instruction, which is not supplied to BC; analyze paired action switching.</x:v>
      </x:c>
      <x:c r="F1718" s="31"/>
      <x:c r="G1718" s="31"/>
      <x:c r="H1718" s="31" t="str">
        <x:f>IF(OR(F1718="",G1718=""),"",IF(F1718=G1718,"Agree","Disagree"))</x:f>
      </x:c>
      <x:c r="I1718" s="31"/>
      <x:c r="J1718" s="31" t="str">
        <x:v>No</x:v>
      </x:c>
      <x:c r="K1718" s="31" t="str"/>
      <x:c r="L1718" s="31" t="str"/>
      <x:c r="M1718" s="31" t="str"/>
      <x:c r="N1718" s="31" t="str"/>
    </x:row>
    <x:row r="1719" ht="42" customHeight="1">
      <x:c r="A1719" s="35" t="n">
        <x:v>1717</x:v>
      </x:c>
      <x:c r="B1719" s="31" t="str">
        <x:f>IF('Execution Checklist'!Q1719="","",'Execution Checklist'!Q1719)</x:f>
      </x:c>
      <x:c r="C1719" s="31" t="str">
        <x:v>Leave exactly one object in the bowl.</x:v>
      </x:c>
      <x:c r="D1719" s="31" t="str">
        <x:v>REMOVE one bowl object</x:v>
      </x:c>
      <x:c r="E1719" s="31" t="str">
        <x:v>Score against the displayed diagnostic instruction, which is not supplied to BC; analyze paired action switching.</x:v>
      </x:c>
      <x:c r="F1719" s="31"/>
      <x:c r="G1719" s="31"/>
      <x:c r="H1719" s="31" t="str">
        <x:f>IF(OR(F1719="",G1719=""),"",IF(F1719=G1719,"Agree","Disagree"))</x:f>
      </x:c>
      <x:c r="I1719" s="31"/>
      <x:c r="J1719" s="31" t="str">
        <x:v>No</x:v>
      </x:c>
      <x:c r="K1719" s="31" t="str"/>
      <x:c r="L1719" s="31" t="str"/>
      <x:c r="M1719" s="31" t="str"/>
      <x:c r="N1719" s="31" t="str"/>
    </x:row>
    <x:row r="1720" ht="42" customHeight="1">
      <x:c r="A1720" s="35" t="n">
        <x:v>1718</x:v>
      </x:c>
      <x:c r="B1720" s="31" t="str">
        <x:f>IF('Execution Checklist'!Q1720="","",'Execution Checklist'!Q1720)</x:f>
      </x:c>
      <x:c r="C1720" s="31" t="str">
        <x:v>Leave exactly one object in the bowl.</x:v>
      </x:c>
      <x:c r="D1720" s="31" t="str">
        <x:v>REMOVE one bowl object</x:v>
      </x:c>
      <x:c r="E1720" s="31" t="str">
        <x:v>Score against the displayed diagnostic instruction, which is not supplied to BC; analyze paired action switching.</x:v>
      </x:c>
      <x:c r="F1720" s="31"/>
      <x:c r="G1720" s="31"/>
      <x:c r="H1720" s="31" t="str">
        <x:f>IF(OR(F1720="",G1720=""),"",IF(F1720=G1720,"Agree","Disagree"))</x:f>
      </x:c>
      <x:c r="I1720" s="31"/>
      <x:c r="J1720" s="31" t="str">
        <x:v>No</x:v>
      </x:c>
      <x:c r="K1720" s="31" t="str"/>
      <x:c r="L1720" s="31" t="str"/>
      <x:c r="M1720" s="31" t="str"/>
      <x:c r="N1720" s="31" t="str"/>
    </x:row>
    <x:row r="1721" ht="42" customHeight="1">
      <x:c r="A1721" s="35" t="n">
        <x:v>1719</x:v>
      </x:c>
      <x:c r="B1721" s="31" t="str">
        <x:f>IF('Execution Checklist'!Q1721="","",'Execution Checklist'!Q1721)</x:f>
      </x:c>
      <x:c r="C1721" s="31" t="str">
        <x:v>Leave exactly three objects in the bowl.</x:v>
      </x:c>
      <x:c r="D1721" s="31" t="str">
        <x:v>ADD one table object</x:v>
      </x:c>
      <x:c r="E1721" s="31" t="str">
        <x:v>Score against the displayed diagnostic instruction, which is not supplied to BC; analyze paired action switching.</x:v>
      </x:c>
      <x:c r="F1721" s="31"/>
      <x:c r="G1721" s="31"/>
      <x:c r="H1721" s="31" t="str">
        <x:f>IF(OR(F1721="",G1721=""),"",IF(F1721=G1721,"Agree","Disagree"))</x:f>
      </x:c>
      <x:c r="I1721" s="31"/>
      <x:c r="J1721" s="31" t="str">
        <x:v>No</x:v>
      </x:c>
      <x:c r="K1721" s="31" t="str"/>
      <x:c r="L1721" s="31" t="str"/>
      <x:c r="M1721" s="31" t="str"/>
      <x:c r="N1721" s="31" t="str"/>
    </x:row>
    <x:row r="1722" ht="42" customHeight="1">
      <x:c r="A1722" s="35" t="n">
        <x:v>1720</x:v>
      </x:c>
      <x:c r="B1722" s="31" t="str">
        <x:f>IF('Execution Checklist'!Q1722="","",'Execution Checklist'!Q1722)</x:f>
      </x:c>
      <x:c r="C1722" s="31" t="str">
        <x:v>Leave exactly one object in the bowl.</x:v>
      </x:c>
      <x:c r="D1722" s="31" t="str">
        <x:v>REMOVE one bowl object</x:v>
      </x:c>
      <x:c r="E1722" s="31" t="str">
        <x:v>Score against the displayed diagnostic instruction, which is not supplied to BC; analyze paired action switching.</x:v>
      </x:c>
      <x:c r="F1722" s="31"/>
      <x:c r="G1722" s="31"/>
      <x:c r="H1722" s="31" t="str">
        <x:f>IF(OR(F1722="",G1722=""),"",IF(F1722=G1722,"Agree","Disagree"))</x:f>
      </x:c>
      <x:c r="I1722" s="31"/>
      <x:c r="J1722" s="31" t="str">
        <x:v>No</x:v>
      </x:c>
      <x:c r="K1722" s="31" t="str"/>
      <x:c r="L1722" s="31" t="str"/>
      <x:c r="M1722" s="31" t="str"/>
      <x:c r="N1722" s="31" t="str"/>
    </x:row>
    <x:row r="1723" ht="42" customHeight="1">
      <x:c r="A1723" s="35" t="n">
        <x:v>1721</x:v>
      </x:c>
      <x:c r="B1723" s="31" t="str">
        <x:f>IF('Execution Checklist'!Q1723="","",'Execution Checklist'!Q1723)</x:f>
      </x:c>
      <x:c r="C1723" s="31" t="str">
        <x:v>Leave exactly three objects in the bowl.</x:v>
      </x:c>
      <x:c r="D1723" s="31" t="str">
        <x:v>ADD one table object</x:v>
      </x:c>
      <x:c r="E1723" s="31" t="str">
        <x:v>Score against the displayed diagnostic instruction, which is not supplied to BC; analyze paired action switching.</x:v>
      </x:c>
      <x:c r="F1723" s="31"/>
      <x:c r="G1723" s="31"/>
      <x:c r="H1723" s="31" t="str">
        <x:f>IF(OR(F1723="",G1723=""),"",IF(F1723=G1723,"Agree","Disagree"))</x:f>
      </x:c>
      <x:c r="I1723" s="31"/>
      <x:c r="J1723" s="31" t="str">
        <x:v>No</x:v>
      </x:c>
      <x:c r="K1723" s="31" t="str"/>
      <x:c r="L1723" s="31" t="str"/>
      <x:c r="M1723" s="31" t="str"/>
      <x:c r="N1723" s="31" t="str"/>
    </x:row>
    <x:row r="1724" ht="42" customHeight="1">
      <x:c r="A1724" s="35" t="n">
        <x:v>1722</x:v>
      </x:c>
      <x:c r="B1724" s="31" t="str">
        <x:f>IF('Execution Checklist'!Q1724="","",'Execution Checklist'!Q1724)</x:f>
      </x:c>
      <x:c r="C1724" s="31" t="str">
        <x:v>Leave exactly three objects in the bowl.</x:v>
      </x:c>
      <x:c r="D1724" s="31" t="str">
        <x:v>ADD one table object</x:v>
      </x:c>
      <x:c r="E1724" s="31" t="str">
        <x:v>Score against the displayed diagnostic instruction, which is not supplied to BC; analyze paired action switching.</x:v>
      </x:c>
      <x:c r="F1724" s="31"/>
      <x:c r="G1724" s="31"/>
      <x:c r="H1724" s="31" t="str">
        <x:f>IF(OR(F1724="",G1724=""),"",IF(F1724=G1724,"Agree","Disagree"))</x:f>
      </x:c>
      <x:c r="I1724" s="31"/>
      <x:c r="J1724" s="31" t="str">
        <x:v>No</x:v>
      </x:c>
      <x:c r="K1724" s="31" t="str"/>
      <x:c r="L1724" s="31" t="str"/>
      <x:c r="M1724" s="31" t="str"/>
      <x:c r="N1724" s="31" t="str"/>
    </x:row>
    <x:row r="1725" ht="42" customHeight="1">
      <x:c r="A1725" s="35" t="n">
        <x:v>1723</x:v>
      </x:c>
      <x:c r="B1725" s="31" t="str">
        <x:f>IF('Execution Checklist'!Q1725="","",'Execution Checklist'!Q1725)</x:f>
      </x:c>
      <x:c r="C1725" s="31" t="str">
        <x:v>Leave exactly one object in the bowl.</x:v>
      </x:c>
      <x:c r="D1725" s="31" t="str">
        <x:v>REMOVE one bowl object</x:v>
      </x:c>
      <x:c r="E1725" s="31" t="str">
        <x:v>Score against the displayed diagnostic instruction, which is not supplied to BC; analyze paired action switching.</x:v>
      </x:c>
      <x:c r="F1725" s="31"/>
      <x:c r="G1725" s="31"/>
      <x:c r="H1725" s="31" t="str">
        <x:f>IF(OR(F1725="",G1725=""),"",IF(F1725=G1725,"Agree","Disagree"))</x:f>
      </x:c>
      <x:c r="I1725" s="31"/>
      <x:c r="J1725" s="31" t="str">
        <x:v>No</x:v>
      </x:c>
      <x:c r="K1725" s="31" t="str"/>
      <x:c r="L1725" s="31" t="str"/>
      <x:c r="M1725" s="31" t="str"/>
      <x:c r="N1725" s="31" t="str"/>
    </x:row>
    <x:row r="1726" ht="42" customHeight="1">
      <x:c r="A1726" s="35" t="n">
        <x:v>1724</x:v>
      </x:c>
      <x:c r="B1726" s="31" t="str">
        <x:f>IF('Execution Checklist'!Q1726="","",'Execution Checklist'!Q1726)</x:f>
      </x:c>
      <x:c r="C1726" s="31" t="str">
        <x:v>Leave exactly one object in the bowl.</x:v>
      </x:c>
      <x:c r="D1726" s="31" t="str">
        <x:v>REMOVE one bowl object</x:v>
      </x:c>
      <x:c r="E1726" s="31" t="str">
        <x:v>Score against the displayed diagnostic instruction, which is not supplied to BC; analyze paired action switching.</x:v>
      </x:c>
      <x:c r="F1726" s="31"/>
      <x:c r="G1726" s="31"/>
      <x:c r="H1726" s="31" t="str">
        <x:f>IF(OR(F1726="",G1726=""),"",IF(F1726=G1726,"Agree","Disagree"))</x:f>
      </x:c>
      <x:c r="I1726" s="31"/>
      <x:c r="J1726" s="31" t="str">
        <x:v>No</x:v>
      </x:c>
      <x:c r="K1726" s="31" t="str"/>
      <x:c r="L1726" s="31" t="str"/>
      <x:c r="M1726" s="31" t="str"/>
      <x:c r="N1726" s="31" t="str"/>
    </x:row>
    <x:row r="1727" ht="42" customHeight="1">
      <x:c r="A1727" s="35" t="n">
        <x:v>1725</x:v>
      </x:c>
      <x:c r="B1727" s="31" t="str">
        <x:f>IF('Execution Checklist'!Q1727="","",'Execution Checklist'!Q1727)</x:f>
      </x:c>
      <x:c r="C1727" s="31" t="str">
        <x:v>Leave exactly one object in the bowl.</x:v>
      </x:c>
      <x:c r="D1727" s="31" t="str">
        <x:v>REMOVE one bowl object</x:v>
      </x:c>
      <x:c r="E1727" s="31" t="str">
        <x:v>Score against the displayed diagnostic instruction, which is not supplied to BC; analyze paired action switching.</x:v>
      </x:c>
      <x:c r="F1727" s="31"/>
      <x:c r="G1727" s="31"/>
      <x:c r="H1727" s="31" t="str">
        <x:f>IF(OR(F1727="",G1727=""),"",IF(F1727=G1727,"Agree","Disagree"))</x:f>
      </x:c>
      <x:c r="I1727" s="31"/>
      <x:c r="J1727" s="31" t="str">
        <x:v>No</x:v>
      </x:c>
      <x:c r="K1727" s="31" t="str"/>
      <x:c r="L1727" s="31" t="str"/>
      <x:c r="M1727" s="31" t="str"/>
      <x:c r="N1727" s="31" t="str"/>
    </x:row>
    <x:row r="1728" ht="42" customHeight="1">
      <x:c r="A1728" s="35" t="n">
        <x:v>1726</x:v>
      </x:c>
      <x:c r="B1728" s="31" t="str">
        <x:f>IF('Execution Checklist'!Q1728="","",'Execution Checklist'!Q1728)</x:f>
      </x:c>
      <x:c r="C1728" s="31" t="str">
        <x:v>Leave exactly one object in the bowl.</x:v>
      </x:c>
      <x:c r="D1728" s="31" t="str">
        <x:v>REMOVE one bowl object</x:v>
      </x:c>
      <x:c r="E1728" s="31" t="str">
        <x:v>Score against the displayed diagnostic instruction, which is not supplied to BC; analyze paired action switching.</x:v>
      </x:c>
      <x:c r="F1728" s="31"/>
      <x:c r="G1728" s="31"/>
      <x:c r="H1728" s="31" t="str">
        <x:f>IF(OR(F1728="",G1728=""),"",IF(F1728=G1728,"Agree","Disagree"))</x:f>
      </x:c>
      <x:c r="I1728" s="31"/>
      <x:c r="J1728" s="31" t="str">
        <x:v>No</x:v>
      </x:c>
      <x:c r="K1728" s="31" t="str"/>
      <x:c r="L1728" s="31" t="str"/>
      <x:c r="M1728" s="31" t="str"/>
      <x:c r="N1728" s="31" t="str"/>
    </x:row>
    <x:row r="1729" ht="42" customHeight="1">
      <x:c r="A1729" s="35" t="n">
        <x:v>1727</x:v>
      </x:c>
      <x:c r="B1729" s="31" t="str">
        <x:f>IF('Execution Checklist'!Q1729="","",'Execution Checklist'!Q1729)</x:f>
      </x:c>
      <x:c r="C1729" s="31" t="str">
        <x:v>Leave exactly three objects in the bowl.</x:v>
      </x:c>
      <x:c r="D1729" s="31" t="str">
        <x:v>ADD one table object</x:v>
      </x:c>
      <x:c r="E1729" s="31" t="str">
        <x:v>Score against the displayed diagnostic instruction, which is not supplied to BC; analyze paired action switching.</x:v>
      </x:c>
      <x:c r="F1729" s="31"/>
      <x:c r="G1729" s="31"/>
      <x:c r="H1729" s="31" t="str">
        <x:f>IF(OR(F1729="",G1729=""),"",IF(F1729=G1729,"Agree","Disagree"))</x:f>
      </x:c>
      <x:c r="I1729" s="31"/>
      <x:c r="J1729" s="31" t="str">
        <x:v>No</x:v>
      </x:c>
      <x:c r="K1729" s="31" t="str"/>
      <x:c r="L1729" s="31" t="str"/>
      <x:c r="M1729" s="31" t="str"/>
      <x:c r="N1729" s="31" t="str"/>
    </x:row>
    <x:row r="1730" ht="42" customHeight="1">
      <x:c r="A1730" s="35" t="n">
        <x:v>1728</x:v>
      </x:c>
      <x:c r="B1730" s="31" t="str">
        <x:f>IF('Execution Checklist'!Q1730="","",'Execution Checklist'!Q1730)</x:f>
      </x:c>
      <x:c r="C1730" s="31" t="str">
        <x:v>Leave exactly three objects in the bowl.</x:v>
      </x:c>
      <x:c r="D1730" s="31" t="str">
        <x:v>ADD one table object</x:v>
      </x:c>
      <x:c r="E1730" s="31" t="str">
        <x:v>Score against the displayed diagnostic instruction, which is not supplied to BC; analyze paired action switching.</x:v>
      </x:c>
      <x:c r="F1730" s="31"/>
      <x:c r="G1730" s="31"/>
      <x:c r="H1730" s="31" t="str">
        <x:f>IF(OR(F1730="",G1730=""),"",IF(F1730=G1730,"Agree","Disagree"))</x:f>
      </x:c>
      <x:c r="I1730" s="31"/>
      <x:c r="J1730" s="31" t="str">
        <x:v>No</x:v>
      </x:c>
      <x:c r="K1730" s="31" t="str"/>
      <x:c r="L1730" s="31" t="str"/>
      <x:c r="M1730" s="31" t="str"/>
      <x:c r="N1730" s="31" t="str"/>
    </x:row>
    <x:row r="1731" ht="42" customHeight="1">
      <x:c r="A1731" s="35" t="n">
        <x:v>1729</x:v>
      </x:c>
      <x:c r="B1731" s="31" t="str">
        <x:f>IF('Execution Checklist'!Q1731="","",'Execution Checklist'!Q1731)</x:f>
      </x:c>
      <x:c r="C1731" s="31" t="str">
        <x:v>Leave exactly three objects in the bowl.</x:v>
      </x:c>
      <x:c r="D1731" s="31" t="str">
        <x:v>ADD one table object</x:v>
      </x:c>
      <x:c r="E1731" s="31" t="str">
        <x:v>Score against the displayed diagnostic instruction, which is not supplied to BC; analyze paired action switching.</x:v>
      </x:c>
      <x:c r="F1731" s="31"/>
      <x:c r="G1731" s="31"/>
      <x:c r="H1731" s="31" t="str">
        <x:f>IF(OR(F1731="",G1731=""),"",IF(F1731=G1731,"Agree","Disagree"))</x:f>
      </x:c>
      <x:c r="I1731" s="31"/>
      <x:c r="J1731" s="31" t="str">
        <x:v>No</x:v>
      </x:c>
      <x:c r="K1731" s="31" t="str"/>
      <x:c r="L1731" s="31" t="str"/>
      <x:c r="M1731" s="31" t="str"/>
      <x:c r="N1731" s="31" t="str"/>
    </x:row>
    <x:row r="1732" ht="42" customHeight="1">
      <x:c r="A1732" s="35" t="n">
        <x:v>1730</x:v>
      </x:c>
      <x:c r="B1732" s="31" t="str">
        <x:f>IF('Execution Checklist'!Q1732="","",'Execution Checklist'!Q1732)</x:f>
      </x:c>
      <x:c r="C1732" s="31" t="str">
        <x:v>Leave exactly one object in the bowl.</x:v>
      </x:c>
      <x:c r="D1732" s="31" t="str">
        <x:v>REMOVE one bowl object</x:v>
      </x:c>
      <x:c r="E1732" s="31" t="str">
        <x:v>Score against the displayed diagnostic instruction, which is not supplied to BC; analyze paired action switching.</x:v>
      </x:c>
      <x:c r="F1732" s="31"/>
      <x:c r="G1732" s="31"/>
      <x:c r="H1732" s="31" t="str">
        <x:f>IF(OR(F1732="",G1732=""),"",IF(F1732=G1732,"Agree","Disagree"))</x:f>
      </x:c>
      <x:c r="I1732" s="31"/>
      <x:c r="J1732" s="31" t="str">
        <x:v>No</x:v>
      </x:c>
      <x:c r="K1732" s="31" t="str"/>
      <x:c r="L1732" s="31" t="str"/>
      <x:c r="M1732" s="31" t="str"/>
      <x:c r="N1732" s="31" t="str"/>
    </x:row>
    <x:row r="1733" ht="42" customHeight="1">
      <x:c r="A1733" s="35" t="n">
        <x:v>1731</x:v>
      </x:c>
      <x:c r="B1733" s="31" t="str">
        <x:f>IF('Execution Checklist'!Q1733="","",'Execution Checklist'!Q1733)</x:f>
      </x:c>
      <x:c r="C1733" s="31" t="str">
        <x:v>Leave exactly three objects in the bowl.</x:v>
      </x:c>
      <x:c r="D1733" s="31" t="str">
        <x:v>ADD one table object</x:v>
      </x:c>
      <x:c r="E1733" s="31" t="str">
        <x:v>Score against the displayed diagnostic instruction, which is not supplied to BC; analyze paired action switching.</x:v>
      </x:c>
      <x:c r="F1733" s="31"/>
      <x:c r="G1733" s="31"/>
      <x:c r="H1733" s="31" t="str">
        <x:f>IF(OR(F1733="",G1733=""),"",IF(F1733=G1733,"Agree","Disagree"))</x:f>
      </x:c>
      <x:c r="I1733" s="31"/>
      <x:c r="J1733" s="31" t="str">
        <x:v>No</x:v>
      </x:c>
      <x:c r="K1733" s="31" t="str"/>
      <x:c r="L1733" s="31" t="str"/>
      <x:c r="M1733" s="31" t="str"/>
      <x:c r="N1733" s="31" t="str"/>
    </x:row>
    <x:row r="1734" ht="42" customHeight="1">
      <x:c r="A1734" s="35" t="n">
        <x:v>1732</x:v>
      </x:c>
      <x:c r="B1734" s="31" t="str">
        <x:f>IF('Execution Checklist'!Q1734="","",'Execution Checklist'!Q1734)</x:f>
      </x:c>
      <x:c r="C1734" s="31" t="str">
        <x:v>Leave exactly three objects in the bowl.</x:v>
      </x:c>
      <x:c r="D1734" s="31" t="str">
        <x:v>ADD one table object</x:v>
      </x:c>
      <x:c r="E1734" s="31" t="str">
        <x:v>Score against the displayed diagnostic instruction, which is not supplied to BC; analyze paired action switching.</x:v>
      </x:c>
      <x:c r="F1734" s="31"/>
      <x:c r="G1734" s="31"/>
      <x:c r="H1734" s="31" t="str">
        <x:f>IF(OR(F1734="",G1734=""),"",IF(F1734=G1734,"Agree","Disagree"))</x:f>
      </x:c>
      <x:c r="I1734" s="31"/>
      <x:c r="J1734" s="31" t="str">
        <x:v>No</x:v>
      </x:c>
      <x:c r="K1734" s="31" t="str"/>
      <x:c r="L1734" s="31" t="str"/>
      <x:c r="M1734" s="31" t="str"/>
      <x:c r="N1734" s="31" t="str"/>
    </x:row>
    <x:row r="1735" ht="42" customHeight="1">
      <x:c r="A1735" s="35" t="n">
        <x:v>1733</x:v>
      </x:c>
      <x:c r="B1735" s="31" t="str">
        <x:f>IF('Execution Checklist'!Q1735="","",'Execution Checklist'!Q1735)</x:f>
      </x:c>
      <x:c r="C1735" s="31" t="str">
        <x:v>Leave exactly three objects in the bowl.</x:v>
      </x:c>
      <x:c r="D1735" s="31" t="str">
        <x:v>ADD one table object</x:v>
      </x:c>
      <x:c r="E1735" s="31" t="str">
        <x:v>Score against the displayed diagnostic instruction, which is not supplied to BC; analyze paired action switching.</x:v>
      </x:c>
      <x:c r="F1735" s="31"/>
      <x:c r="G1735" s="31"/>
      <x:c r="H1735" s="31" t="str">
        <x:f>IF(OR(F1735="",G1735=""),"",IF(F1735=G1735,"Agree","Disagree"))</x:f>
      </x:c>
      <x:c r="I1735" s="31"/>
      <x:c r="J1735" s="31" t="str">
        <x:v>No</x:v>
      </x:c>
      <x:c r="K1735" s="31" t="str"/>
      <x:c r="L1735" s="31" t="str"/>
      <x:c r="M1735" s="31" t="str"/>
      <x:c r="N1735" s="31" t="str"/>
    </x:row>
    <x:row r="1736" ht="42" customHeight="1">
      <x:c r="A1736" s="35" t="n">
        <x:v>1734</x:v>
      </x:c>
      <x:c r="B1736" s="31" t="str">
        <x:f>IF('Execution Checklist'!Q1736="","",'Execution Checklist'!Q1736)</x:f>
      </x:c>
      <x:c r="C1736" s="31" t="str">
        <x:v>Place the red block to the right of the green pen.</x:v>
      </x:c>
      <x:c r="D1736" s="31" t="str">
        <x:v>red block → to the right of green pen</x:v>
      </x:c>
      <x:c r="E1736" s="31" t="str">
        <x:v>Score against the displayed diagnostic instruction, which is not supplied to BC; analyze paired action switching.</x:v>
      </x:c>
      <x:c r="F1736" s="31"/>
      <x:c r="G1736" s="31"/>
      <x:c r="H1736" s="31" t="str">
        <x:f>IF(OR(F1736="",G1736=""),"",IF(F1736=G1736,"Agree","Disagree"))</x:f>
      </x:c>
      <x:c r="I1736" s="31"/>
      <x:c r="J1736" s="31" t="str">
        <x:v>No</x:v>
      </x:c>
      <x:c r="K1736" s="31" t="str"/>
      <x:c r="L1736" s="31" t="str"/>
      <x:c r="M1736" s="31" t="str"/>
      <x:c r="N1736" s="31" t="str"/>
    </x:row>
    <x:row r="1737" ht="42" customHeight="1">
      <x:c r="A1737" s="35" t="n">
        <x:v>1735</x:v>
      </x:c>
      <x:c r="B1737" s="31" t="str">
        <x:f>IF('Execution Checklist'!Q1737="","",'Execution Checklist'!Q1737)</x:f>
      </x:c>
      <x:c r="C1737" s="31" t="str">
        <x:v>Place the red block to the left of the green pen.</x:v>
      </x:c>
      <x:c r="D1737" s="31" t="str">
        <x:v>red block → to the left of green pen</x:v>
      </x:c>
      <x:c r="E1737" s="31" t="str">
        <x:v>Score against the displayed diagnostic instruction, which is not supplied to BC; analyze paired action switching.</x:v>
      </x:c>
      <x:c r="F1737" s="31"/>
      <x:c r="G1737" s="31"/>
      <x:c r="H1737" s="31" t="str">
        <x:f>IF(OR(F1737="",G1737=""),"",IF(F1737=G1737,"Agree","Disagree"))</x:f>
      </x:c>
      <x:c r="I1737" s="31"/>
      <x:c r="J1737" s="31" t="str">
        <x:v>No</x:v>
      </x:c>
      <x:c r="K1737" s="31" t="str"/>
      <x:c r="L1737" s="31" t="str"/>
      <x:c r="M1737" s="31" t="str"/>
      <x:c r="N1737" s="31" t="str"/>
    </x:row>
    <x:row r="1738" ht="42" customHeight="1">
      <x:c r="A1738" s="35" t="n">
        <x:v>1736</x:v>
      </x:c>
      <x:c r="B1738" s="31" t="str">
        <x:f>IF('Execution Checklist'!Q1738="","",'Execution Checklist'!Q1738)</x:f>
      </x:c>
      <x:c r="C1738" s="31" t="str">
        <x:v>Place the red block in front of the green pen.</x:v>
      </x:c>
      <x:c r="D1738" s="31" t="str">
        <x:v>red block → in front of green pen</x:v>
      </x:c>
      <x:c r="E1738" s="31" t="str">
        <x:v>Score against the displayed diagnostic instruction, which is not supplied to BC; analyze paired action switching.</x:v>
      </x:c>
      <x:c r="F1738" s="31"/>
      <x:c r="G1738" s="31"/>
      <x:c r="H1738" s="31" t="str">
        <x:f>IF(OR(F1738="",G1738=""),"",IF(F1738=G1738,"Agree","Disagree"))</x:f>
      </x:c>
      <x:c r="I1738" s="31"/>
      <x:c r="J1738" s="31" t="str">
        <x:v>No</x:v>
      </x:c>
      <x:c r="K1738" s="31" t="str"/>
      <x:c r="L1738" s="31" t="str"/>
      <x:c r="M1738" s="31" t="str"/>
      <x:c r="N1738" s="31" t="str"/>
    </x:row>
    <x:row r="1739" ht="42" customHeight="1">
      <x:c r="A1739" s="35" t="n">
        <x:v>1737</x:v>
      </x:c>
      <x:c r="B1739" s="31" t="str">
        <x:f>IF('Execution Checklist'!Q1739="","",'Execution Checklist'!Q1739)</x:f>
      </x:c>
      <x:c r="C1739" s="31" t="str">
        <x:v>Place the red block behind the green pen.</x:v>
      </x:c>
      <x:c r="D1739" s="31" t="str">
        <x:v>red block → behind green pen</x:v>
      </x:c>
      <x:c r="E1739" s="31" t="str">
        <x:v>Score against the displayed diagnostic instruction, which is not supplied to BC; analyze paired action switching.</x:v>
      </x:c>
      <x:c r="F1739" s="31"/>
      <x:c r="G1739" s="31"/>
      <x:c r="H1739" s="31" t="str">
        <x:f>IF(OR(F1739="",G1739=""),"",IF(F1739=G1739,"Agree","Disagree"))</x:f>
      </x:c>
      <x:c r="I1739" s="31"/>
      <x:c r="J1739" s="31" t="str">
        <x:v>No</x:v>
      </x:c>
      <x:c r="K1739" s="31" t="str"/>
      <x:c r="L1739" s="31" t="str"/>
      <x:c r="M1739" s="31" t="str"/>
      <x:c r="N1739" s="31" t="str"/>
    </x:row>
    <x:row r="1740" ht="42" customHeight="1">
      <x:c r="A1740" s="35" t="n">
        <x:v>1738</x:v>
      </x:c>
      <x:c r="B1740" s="31" t="str">
        <x:f>IF('Execution Checklist'!Q1740="","",'Execution Checklist'!Q1740)</x:f>
      </x:c>
      <x:c r="C1740" s="31" t="str">
        <x:v>Place the green pen behind the red block.</x:v>
      </x:c>
      <x:c r="D1740" s="31" t="str">
        <x:v>green pen → behind red block</x:v>
      </x:c>
      <x:c r="E1740" s="31" t="str">
        <x:v>Score against the displayed diagnostic instruction, which is not supplied to BC; analyze paired action switching.</x:v>
      </x:c>
      <x:c r="F1740" s="31"/>
      <x:c r="G1740" s="31"/>
      <x:c r="H1740" s="31" t="str">
        <x:f>IF(OR(F1740="",G1740=""),"",IF(F1740=G1740,"Agree","Disagree"))</x:f>
      </x:c>
      <x:c r="I1740" s="31"/>
      <x:c r="J1740" s="31" t="str">
        <x:v>No</x:v>
      </x:c>
      <x:c r="K1740" s="31" t="str"/>
      <x:c r="L1740" s="31" t="str"/>
      <x:c r="M1740" s="31" t="str"/>
      <x:c r="N1740" s="31" t="str"/>
    </x:row>
    <x:row r="1741" ht="42" customHeight="1">
      <x:c r="A1741" s="35" t="n">
        <x:v>1739</x:v>
      </x:c>
      <x:c r="B1741" s="31" t="str">
        <x:f>IF('Execution Checklist'!Q1741="","",'Execution Checklist'!Q1741)</x:f>
      </x:c>
      <x:c r="C1741" s="31" t="str">
        <x:v>Place the green pen behind the red block.</x:v>
      </x:c>
      <x:c r="D1741" s="31" t="str">
        <x:v>green pen → behind red block</x:v>
      </x:c>
      <x:c r="E1741" s="31" t="str">
        <x:v>Score against the displayed diagnostic instruction, which is not supplied to BC; analyze paired action switching.</x:v>
      </x:c>
      <x:c r="F1741" s="31"/>
      <x:c r="G1741" s="31"/>
      <x:c r="H1741" s="31" t="str">
        <x:f>IF(OR(F1741="",G1741=""),"",IF(F1741=G1741,"Agree","Disagree"))</x:f>
      </x:c>
      <x:c r="I1741" s="31"/>
      <x:c r="J1741" s="31" t="str">
        <x:v>No</x:v>
      </x:c>
      <x:c r="K1741" s="31" t="str"/>
      <x:c r="L1741" s="31" t="str"/>
      <x:c r="M1741" s="31" t="str"/>
      <x:c r="N1741" s="31" t="str"/>
    </x:row>
    <x:row r="1742" ht="42" customHeight="1">
      <x:c r="A1742" s="35" t="n">
        <x:v>1740</x:v>
      </x:c>
      <x:c r="B1742" s="31" t="str">
        <x:f>IF('Execution Checklist'!Q1742="","",'Execution Checklist'!Q1742)</x:f>
      </x:c>
      <x:c r="C1742" s="31" t="str">
        <x:v>Place the red block in front of the green pen.</x:v>
      </x:c>
      <x:c r="D1742" s="31" t="str">
        <x:v>red block → in front of green pen</x:v>
      </x:c>
      <x:c r="E1742" s="31" t="str">
        <x:v>Score against the displayed diagnostic instruction, which is not supplied to BC; analyze paired action switching.</x:v>
      </x:c>
      <x:c r="F1742" s="31"/>
      <x:c r="G1742" s="31"/>
      <x:c r="H1742" s="31" t="str">
        <x:f>IF(OR(F1742="",G1742=""),"",IF(F1742=G1742,"Agree","Disagree"))</x:f>
      </x:c>
      <x:c r="I1742" s="31"/>
      <x:c r="J1742" s="31" t="str">
        <x:v>No</x:v>
      </x:c>
      <x:c r="K1742" s="31" t="str"/>
      <x:c r="L1742" s="31" t="str"/>
      <x:c r="M1742" s="31" t="str"/>
      <x:c r="N1742" s="31" t="str"/>
    </x:row>
    <x:row r="1743" ht="42" customHeight="1">
      <x:c r="A1743" s="35" t="n">
        <x:v>1741</x:v>
      </x:c>
      <x:c r="B1743" s="31" t="str">
        <x:f>IF('Execution Checklist'!Q1743="","",'Execution Checklist'!Q1743)</x:f>
      </x:c>
      <x:c r="C1743" s="31" t="str">
        <x:v>Place the green pen behind the red block.</x:v>
      </x:c>
      <x:c r="D1743" s="31" t="str">
        <x:v>green pen → behind red block</x:v>
      </x:c>
      <x:c r="E1743" s="31" t="str">
        <x:v>Score against the displayed diagnostic instruction, which is not supplied to BC; analyze paired action switching.</x:v>
      </x:c>
      <x:c r="F1743" s="31"/>
      <x:c r="G1743" s="31"/>
      <x:c r="H1743" s="31" t="str">
        <x:f>IF(OR(F1743="",G1743=""),"",IF(F1743=G1743,"Agree","Disagree"))</x:f>
      </x:c>
      <x:c r="I1743" s="31"/>
      <x:c r="J1743" s="31" t="str">
        <x:v>No</x:v>
      </x:c>
      <x:c r="K1743" s="31" t="str"/>
      <x:c r="L1743" s="31" t="str"/>
      <x:c r="M1743" s="31" t="str"/>
      <x:c r="N1743" s="31" t="str"/>
    </x:row>
    <x:row r="1744" ht="42" customHeight="1">
      <x:c r="A1744" s="35" t="n">
        <x:v>1742</x:v>
      </x:c>
      <x:c r="B1744" s="31" t="str">
        <x:f>IF('Execution Checklist'!Q1744="","",'Execution Checklist'!Q1744)</x:f>
      </x:c>
      <x:c r="C1744" s="31" t="str">
        <x:v>Place the red block to the left of the green pen.</x:v>
      </x:c>
      <x:c r="D1744" s="31" t="str">
        <x:v>red block → to the left of green pen</x:v>
      </x:c>
      <x:c r="E1744" s="31" t="str">
        <x:v>Score against the displayed diagnostic instruction, which is not supplied to BC; analyze paired action switching.</x:v>
      </x:c>
      <x:c r="F1744" s="31"/>
      <x:c r="G1744" s="31"/>
      <x:c r="H1744" s="31" t="str">
        <x:f>IF(OR(F1744="",G1744=""),"",IF(F1744=G1744,"Agree","Disagree"))</x:f>
      </x:c>
      <x:c r="I1744" s="31"/>
      <x:c r="J1744" s="31" t="str">
        <x:v>No</x:v>
      </x:c>
      <x:c r="K1744" s="31" t="str"/>
      <x:c r="L1744" s="31" t="str"/>
      <x:c r="M1744" s="31" t="str"/>
      <x:c r="N1744" s="31" t="str"/>
    </x:row>
    <x:row r="1745" ht="42" customHeight="1">
      <x:c r="A1745" s="35" t="n">
        <x:v>1743</x:v>
      </x:c>
      <x:c r="B1745" s="31" t="str">
        <x:f>IF('Execution Checklist'!Q1745="","",'Execution Checklist'!Q1745)</x:f>
      </x:c>
      <x:c r="C1745" s="31" t="str">
        <x:v>Place the green pen to the right of the red block.</x:v>
      </x:c>
      <x:c r="D1745" s="31" t="str">
        <x:v>green pen → to the right of red block</x:v>
      </x:c>
      <x:c r="E1745" s="31" t="str">
        <x:v>Score against the displayed diagnostic instruction, which is not supplied to BC; analyze paired action switching.</x:v>
      </x:c>
      <x:c r="F1745" s="31"/>
      <x:c r="G1745" s="31"/>
      <x:c r="H1745" s="31" t="str">
        <x:f>IF(OR(F1745="",G1745=""),"",IF(F1745=G1745,"Agree","Disagree"))</x:f>
      </x:c>
      <x:c r="I1745" s="31"/>
      <x:c r="J1745" s="31" t="str">
        <x:v>No</x:v>
      </x:c>
      <x:c r="K1745" s="31" t="str"/>
      <x:c r="L1745" s="31" t="str"/>
      <x:c r="M1745" s="31" t="str"/>
      <x:c r="N1745" s="31" t="str"/>
    </x:row>
    <x:row r="1746" ht="42" customHeight="1">
      <x:c r="A1746" s="35" t="n">
        <x:v>1744</x:v>
      </x:c>
      <x:c r="B1746" s="31" t="str">
        <x:f>IF('Execution Checklist'!Q1746="","",'Execution Checklist'!Q1746)</x:f>
      </x:c>
      <x:c r="C1746" s="31" t="str">
        <x:v>Place the green pen to the left of the red block.</x:v>
      </x:c>
      <x:c r="D1746" s="31" t="str">
        <x:v>green pen → to the left of red block</x:v>
      </x:c>
      <x:c r="E1746" s="31" t="str">
        <x:v>Score against the displayed diagnostic instruction, which is not supplied to BC; analyze paired action switching.</x:v>
      </x:c>
      <x:c r="F1746" s="31"/>
      <x:c r="G1746" s="31"/>
      <x:c r="H1746" s="31" t="str">
        <x:f>IF(OR(F1746="",G1746=""),"",IF(F1746=G1746,"Agree","Disagree"))</x:f>
      </x:c>
      <x:c r="I1746" s="31"/>
      <x:c r="J1746" s="31" t="str">
        <x:v>No</x:v>
      </x:c>
      <x:c r="K1746" s="31" t="str"/>
      <x:c r="L1746" s="31" t="str"/>
      <x:c r="M1746" s="31" t="str"/>
      <x:c r="N1746" s="31" t="str"/>
    </x:row>
    <x:row r="1747" ht="42" customHeight="1">
      <x:c r="A1747" s="35" t="n">
        <x:v>1745</x:v>
      </x:c>
      <x:c r="B1747" s="31" t="str">
        <x:f>IF('Execution Checklist'!Q1747="","",'Execution Checklist'!Q1747)</x:f>
      </x:c>
      <x:c r="C1747" s="31" t="str">
        <x:v>Place the green pen to the left of the red block.</x:v>
      </x:c>
      <x:c r="D1747" s="31" t="str">
        <x:v>green pen → to the left of red block</x:v>
      </x:c>
      <x:c r="E1747" s="31" t="str">
        <x:v>Score against the displayed diagnostic instruction, which is not supplied to BC; analyze paired action switching.</x:v>
      </x:c>
      <x:c r="F1747" s="31"/>
      <x:c r="G1747" s="31"/>
      <x:c r="H1747" s="31" t="str">
        <x:f>IF(OR(F1747="",G1747=""),"",IF(F1747=G1747,"Agree","Disagree"))</x:f>
      </x:c>
      <x:c r="I1747" s="31"/>
      <x:c r="J1747" s="31" t="str">
        <x:v>No</x:v>
      </x:c>
      <x:c r="K1747" s="31" t="str"/>
      <x:c r="L1747" s="31" t="str"/>
      <x:c r="M1747" s="31" t="str"/>
      <x:c r="N1747" s="31" t="str"/>
    </x:row>
    <x:row r="1748" ht="42" customHeight="1">
      <x:c r="A1748" s="35" t="n">
        <x:v>1746</x:v>
      </x:c>
      <x:c r="B1748" s="31" t="str">
        <x:f>IF('Execution Checklist'!Q1748="","",'Execution Checklist'!Q1748)</x:f>
      </x:c>
      <x:c r="C1748" s="31" t="str">
        <x:v>Place the red block to the right of the green pen.</x:v>
      </x:c>
      <x:c r="D1748" s="31" t="str">
        <x:v>red block → to the right of green pen</x:v>
      </x:c>
      <x:c r="E1748" s="31" t="str">
        <x:v>Score against the displayed diagnostic instruction, which is not supplied to BC; analyze paired action switching.</x:v>
      </x:c>
      <x:c r="F1748" s="31"/>
      <x:c r="G1748" s="31"/>
      <x:c r="H1748" s="31" t="str">
        <x:f>IF(OR(F1748="",G1748=""),"",IF(F1748=G1748,"Agree","Disagree"))</x:f>
      </x:c>
      <x:c r="I1748" s="31"/>
      <x:c r="J1748" s="31" t="str">
        <x:v>No</x:v>
      </x:c>
      <x:c r="K1748" s="31" t="str"/>
      <x:c r="L1748" s="31" t="str"/>
      <x:c r="M1748" s="31" t="str"/>
      <x:c r="N1748" s="31" t="str"/>
    </x:row>
    <x:row r="1749" ht="42" customHeight="1">
      <x:c r="A1749" s="35" t="n">
        <x:v>1747</x:v>
      </x:c>
      <x:c r="B1749" s="31" t="str">
        <x:f>IF('Execution Checklist'!Q1749="","",'Execution Checklist'!Q1749)</x:f>
      </x:c>
      <x:c r="C1749" s="31" t="str">
        <x:v>Place the red block behind the green pen.</x:v>
      </x:c>
      <x:c r="D1749" s="31" t="str">
        <x:v>red block → behind green pen</x:v>
      </x:c>
      <x:c r="E1749" s="31" t="str">
        <x:v>Score against the displayed diagnostic instruction, which is not supplied to BC; analyze paired action switching.</x:v>
      </x:c>
      <x:c r="F1749" s="31"/>
      <x:c r="G1749" s="31"/>
      <x:c r="H1749" s="31" t="str">
        <x:f>IF(OR(F1749="",G1749=""),"",IF(F1749=G1749,"Agree","Disagree"))</x:f>
      </x:c>
      <x:c r="I1749" s="31"/>
      <x:c r="J1749" s="31" t="str">
        <x:v>No</x:v>
      </x:c>
      <x:c r="K1749" s="31" t="str"/>
      <x:c r="L1749" s="31" t="str"/>
      <x:c r="M1749" s="31" t="str"/>
      <x:c r="N1749" s="31" t="str"/>
    </x:row>
    <x:row r="1750" ht="42" customHeight="1">
      <x:c r="A1750" s="35" t="n">
        <x:v>1748</x:v>
      </x:c>
      <x:c r="B1750" s="31" t="str">
        <x:f>IF('Execution Checklist'!Q1750="","",'Execution Checklist'!Q1750)</x:f>
      </x:c>
      <x:c r="C1750" s="31" t="str">
        <x:v>Place the green pen in front of the red block.</x:v>
      </x:c>
      <x:c r="D1750" s="31" t="str">
        <x:v>green pen → in front of red block</x:v>
      </x:c>
      <x:c r="E1750" s="31" t="str">
        <x:v>Score against the displayed diagnostic instruction, which is not supplied to BC; analyze paired action switching.</x:v>
      </x:c>
      <x:c r="F1750" s="31"/>
      <x:c r="G1750" s="31"/>
      <x:c r="H1750" s="31" t="str">
        <x:f>IF(OR(F1750="",G1750=""),"",IF(F1750=G1750,"Agree","Disagree"))</x:f>
      </x:c>
      <x:c r="I1750" s="31"/>
      <x:c r="J1750" s="31" t="str">
        <x:v>No</x:v>
      </x:c>
      <x:c r="K1750" s="31" t="str"/>
      <x:c r="L1750" s="31" t="str"/>
      <x:c r="M1750" s="31" t="str"/>
      <x:c r="N1750" s="31" t="str"/>
    </x:row>
    <x:row r="1751" ht="42" customHeight="1">
      <x:c r="A1751" s="35" t="n">
        <x:v>1749</x:v>
      </x:c>
      <x:c r="B1751" s="31" t="str">
        <x:f>IF('Execution Checklist'!Q1751="","",'Execution Checklist'!Q1751)</x:f>
      </x:c>
      <x:c r="C1751" s="31" t="str">
        <x:v>Place the green pen in front of the red block.</x:v>
      </x:c>
      <x:c r="D1751" s="31" t="str">
        <x:v>green pen → in front of red block</x:v>
      </x:c>
      <x:c r="E1751" s="31" t="str">
        <x:v>Score against the displayed diagnostic instruction, which is not supplied to BC; analyze paired action switching.</x:v>
      </x:c>
      <x:c r="F1751" s="31"/>
      <x:c r="G1751" s="31"/>
      <x:c r="H1751" s="31" t="str">
        <x:f>IF(OR(F1751="",G1751=""),"",IF(F1751=G1751,"Agree","Disagree"))</x:f>
      </x:c>
      <x:c r="I1751" s="31"/>
      <x:c r="J1751" s="31" t="str">
        <x:v>No</x:v>
      </x:c>
      <x:c r="K1751" s="31" t="str"/>
      <x:c r="L1751" s="31" t="str"/>
      <x:c r="M1751" s="31" t="str"/>
      <x:c r="N1751" s="31" t="str"/>
    </x:row>
    <x:row r="1752" ht="42" customHeight="1">
      <x:c r="A1752" s="35" t="n">
        <x:v>1750</x:v>
      </x:c>
      <x:c r="B1752" s="31" t="str">
        <x:f>IF('Execution Checklist'!Q1752="","",'Execution Checklist'!Q1752)</x:f>
      </x:c>
      <x:c r="C1752" s="31" t="str">
        <x:v>Place the green pen in front of the red block.</x:v>
      </x:c>
      <x:c r="D1752" s="31" t="str">
        <x:v>green pen → in front of red block</x:v>
      </x:c>
      <x:c r="E1752" s="31" t="str">
        <x:v>Score against the displayed diagnostic instruction, which is not supplied to BC; analyze paired action switching.</x:v>
      </x:c>
      <x:c r="F1752" s="31"/>
      <x:c r="G1752" s="31"/>
      <x:c r="H1752" s="31" t="str">
        <x:f>IF(OR(F1752="",G1752=""),"",IF(F1752=G1752,"Agree","Disagree"))</x:f>
      </x:c>
      <x:c r="I1752" s="31"/>
      <x:c r="J1752" s="31" t="str">
        <x:v>No</x:v>
      </x:c>
      <x:c r="K1752" s="31" t="str"/>
      <x:c r="L1752" s="31" t="str"/>
      <x:c r="M1752" s="31" t="str"/>
      <x:c r="N1752" s="31" t="str"/>
    </x:row>
    <x:row r="1753" ht="42" customHeight="1">
      <x:c r="A1753" s="35" t="n">
        <x:v>1751</x:v>
      </x:c>
      <x:c r="B1753" s="31" t="str">
        <x:f>IF('Execution Checklist'!Q1753="","",'Execution Checklist'!Q1753)</x:f>
      </x:c>
      <x:c r="C1753" s="31" t="str">
        <x:v>Place the green pen to the right of the red block.</x:v>
      </x:c>
      <x:c r="D1753" s="31" t="str">
        <x:v>green pen → to the right of red block</x:v>
      </x:c>
      <x:c r="E1753" s="31" t="str">
        <x:v>Score against the displayed diagnostic instruction, which is not supplied to BC; analyze paired action switching.</x:v>
      </x:c>
      <x:c r="F1753" s="31"/>
      <x:c r="G1753" s="31"/>
      <x:c r="H1753" s="31" t="str">
        <x:f>IF(OR(F1753="",G1753=""),"",IF(F1753=G1753,"Agree","Disagree"))</x:f>
      </x:c>
      <x:c r="I1753" s="31"/>
      <x:c r="J1753" s="31" t="str">
        <x:v>No</x:v>
      </x:c>
      <x:c r="K1753" s="31" t="str"/>
      <x:c r="L1753" s="31" t="str"/>
      <x:c r="M1753" s="31" t="str"/>
      <x:c r="N1753" s="31" t="str"/>
    </x:row>
    <x:row r="1754" ht="42" customHeight="1">
      <x:c r="A1754" s="35" t="n">
        <x:v>1752</x:v>
      </x:c>
      <x:c r="B1754" s="31" t="str">
        <x:f>IF('Execution Checklist'!Q1754="","",'Execution Checklist'!Q1754)</x:f>
      </x:c>
      <x:c r="C1754" s="31" t="str">
        <x:v>Place the red block to the left of the green pen.</x:v>
      </x:c>
      <x:c r="D1754" s="31" t="str">
        <x:v>red block → to the left of green pen</x:v>
      </x:c>
      <x:c r="E1754" s="31" t="str">
        <x:v>Score against the displayed diagnostic instruction, which is not supplied to BC; analyze paired action switching.</x:v>
      </x:c>
      <x:c r="F1754" s="31"/>
      <x:c r="G1754" s="31"/>
      <x:c r="H1754" s="31" t="str">
        <x:f>IF(OR(F1754="",G1754=""),"",IF(F1754=G1754,"Agree","Disagree"))</x:f>
      </x:c>
      <x:c r="I1754" s="31"/>
      <x:c r="J1754" s="31" t="str">
        <x:v>No</x:v>
      </x:c>
      <x:c r="K1754" s="31" t="str"/>
      <x:c r="L1754" s="31" t="str"/>
      <x:c r="M1754" s="31" t="str"/>
      <x:c r="N1754" s="31" t="str"/>
    </x:row>
    <x:row r="1755" ht="42" customHeight="1">
      <x:c r="A1755" s="35" t="n">
        <x:v>1753</x:v>
      </x:c>
      <x:c r="B1755" s="31" t="str">
        <x:f>IF('Execution Checklist'!Q1755="","",'Execution Checklist'!Q1755)</x:f>
      </x:c>
      <x:c r="C1755" s="31" t="str">
        <x:v>Place the red block to the right of the green pen.</x:v>
      </x:c>
      <x:c r="D1755" s="31" t="str">
        <x:v>red block → to the right of green pen</x:v>
      </x:c>
      <x:c r="E1755" s="31" t="str">
        <x:v>Score against the displayed diagnostic instruction, which is not supplied to BC; analyze paired action switching.</x:v>
      </x:c>
      <x:c r="F1755" s="31"/>
      <x:c r="G1755" s="31"/>
      <x:c r="H1755" s="31" t="str">
        <x:f>IF(OR(F1755="",G1755=""),"",IF(F1755=G1755,"Agree","Disagree"))</x:f>
      </x:c>
      <x:c r="I1755" s="31"/>
      <x:c r="J1755" s="31" t="str">
        <x:v>No</x:v>
      </x:c>
      <x:c r="K1755" s="31" t="str"/>
      <x:c r="L1755" s="31" t="str"/>
      <x:c r="M1755" s="31" t="str"/>
      <x:c r="N1755" s="31" t="str"/>
    </x:row>
    <x:row r="1756" ht="42" customHeight="1">
      <x:c r="A1756" s="35" t="n">
        <x:v>1754</x:v>
      </x:c>
      <x:c r="B1756" s="31" t="str">
        <x:f>IF('Execution Checklist'!Q1756="","",'Execution Checklist'!Q1756)</x:f>
      </x:c>
      <x:c r="C1756" s="31" t="str">
        <x:v>Leave exactly one object in the bowl.</x:v>
      </x:c>
      <x:c r="D1756" s="31" t="str">
        <x:v>REMOVE one bowl object</x:v>
      </x:c>
      <x:c r="E1756" s="31" t="str">
        <x:v>Score against the displayed diagnostic instruction, which is not supplied to BC; analyze paired action switching.</x:v>
      </x:c>
      <x:c r="F1756" s="31"/>
      <x:c r="G1756" s="31"/>
      <x:c r="H1756" s="31" t="str">
        <x:f>IF(OR(F1756="",G1756=""),"",IF(F1756=G1756,"Agree","Disagree"))</x:f>
      </x:c>
      <x:c r="I1756" s="31"/>
      <x:c r="J1756" s="31" t="str">
        <x:v>No</x:v>
      </x:c>
      <x:c r="K1756" s="31" t="str"/>
      <x:c r="L1756" s="31" t="str"/>
      <x:c r="M1756" s="31" t="str"/>
      <x:c r="N1756" s="31" t="str"/>
    </x:row>
    <x:row r="1757" ht="42" customHeight="1">
      <x:c r="A1757" s="35" t="n">
        <x:v>1755</x:v>
      </x:c>
      <x:c r="B1757" s="31" t="str">
        <x:f>IF('Execution Checklist'!Q1757="","",'Execution Checklist'!Q1757)</x:f>
      </x:c>
      <x:c r="C1757" s="31" t="str">
        <x:v>Leave exactly three objects in the bowl.</x:v>
      </x:c>
      <x:c r="D1757" s="31" t="str">
        <x:v>ADD one table object</x:v>
      </x:c>
      <x:c r="E1757" s="31" t="str">
        <x:v>Score against the displayed diagnostic instruction, which is not supplied to BC; analyze paired action switching.</x:v>
      </x:c>
      <x:c r="F1757" s="31"/>
      <x:c r="G1757" s="31"/>
      <x:c r="H1757" s="31" t="str">
        <x:f>IF(OR(F1757="",G1757=""),"",IF(F1757=G1757,"Agree","Disagree"))</x:f>
      </x:c>
      <x:c r="I1757" s="31"/>
      <x:c r="J1757" s="31" t="str">
        <x:v>No</x:v>
      </x:c>
      <x:c r="K1757" s="31" t="str"/>
      <x:c r="L1757" s="31" t="str"/>
      <x:c r="M1757" s="31" t="str"/>
      <x:c r="N1757" s="31" t="str"/>
    </x:row>
    <x:row r="1758" ht="42" customHeight="1">
      <x:c r="A1758" s="35" t="n">
        <x:v>1756</x:v>
      </x:c>
      <x:c r="B1758" s="31" t="str">
        <x:f>IF('Execution Checklist'!Q1758="","",'Execution Checklist'!Q1758)</x:f>
      </x:c>
      <x:c r="C1758" s="31" t="str">
        <x:v>Leave exactly one object in the bowl.</x:v>
      </x:c>
      <x:c r="D1758" s="31" t="str">
        <x:v>REMOVE one bowl object</x:v>
      </x:c>
      <x:c r="E1758" s="31" t="str">
        <x:v>Score against the displayed diagnostic instruction, which is not supplied to BC; analyze paired action switching.</x:v>
      </x:c>
      <x:c r="F1758" s="31"/>
      <x:c r="G1758" s="31"/>
      <x:c r="H1758" s="31" t="str">
        <x:f>IF(OR(F1758="",G1758=""),"",IF(F1758=G1758,"Agree","Disagree"))</x:f>
      </x:c>
      <x:c r="I1758" s="31"/>
      <x:c r="J1758" s="31" t="str">
        <x:v>No</x:v>
      </x:c>
      <x:c r="K1758" s="31" t="str"/>
      <x:c r="L1758" s="31" t="str"/>
      <x:c r="M1758" s="31" t="str"/>
      <x:c r="N1758" s="31" t="str"/>
    </x:row>
    <x:row r="1759" ht="42" customHeight="1">
      <x:c r="A1759" s="35" t="n">
        <x:v>1757</x:v>
      </x:c>
      <x:c r="B1759" s="31" t="str">
        <x:f>IF('Execution Checklist'!Q1759="","",'Execution Checklist'!Q1759)</x:f>
      </x:c>
      <x:c r="C1759" s="31" t="str">
        <x:v>Leave exactly three objects in the bowl.</x:v>
      </x:c>
      <x:c r="D1759" s="31" t="str">
        <x:v>ADD one table object</x:v>
      </x:c>
      <x:c r="E1759" s="31" t="str">
        <x:v>Score against the displayed diagnostic instruction, which is not supplied to BC; analyze paired action switching.</x:v>
      </x:c>
      <x:c r="F1759" s="31"/>
      <x:c r="G1759" s="31"/>
      <x:c r="H1759" s="31" t="str">
        <x:f>IF(OR(F1759="",G1759=""),"",IF(F1759=G1759,"Agree","Disagree"))</x:f>
      </x:c>
      <x:c r="I1759" s="31"/>
      <x:c r="J1759" s="31" t="str">
        <x:v>No</x:v>
      </x:c>
      <x:c r="K1759" s="31" t="str"/>
      <x:c r="L1759" s="31" t="str"/>
      <x:c r="M1759" s="31" t="str"/>
      <x:c r="N1759" s="31" t="str"/>
    </x:row>
    <x:row r="1760" ht="42" customHeight="1">
      <x:c r="A1760" s="35" t="n">
        <x:v>1758</x:v>
      </x:c>
      <x:c r="B1760" s="31" t="str">
        <x:f>IF('Execution Checklist'!Q1760="","",'Execution Checklist'!Q1760)</x:f>
      </x:c>
      <x:c r="C1760" s="31" t="str">
        <x:v>Leave exactly three objects in the bowl.</x:v>
      </x:c>
      <x:c r="D1760" s="31" t="str">
        <x:v>ADD one table object</x:v>
      </x:c>
      <x:c r="E1760" s="31" t="str">
        <x:v>Score against the displayed diagnostic instruction, which is not supplied to BC; analyze paired action switching.</x:v>
      </x:c>
      <x:c r="F1760" s="31"/>
      <x:c r="G1760" s="31"/>
      <x:c r="H1760" s="31" t="str">
        <x:f>IF(OR(F1760="",G1760=""),"",IF(F1760=G1760,"Agree","Disagree"))</x:f>
      </x:c>
      <x:c r="I1760" s="31"/>
      <x:c r="J1760" s="31" t="str">
        <x:v>No</x:v>
      </x:c>
      <x:c r="K1760" s="31" t="str"/>
      <x:c r="L1760" s="31" t="str"/>
      <x:c r="M1760" s="31" t="str"/>
      <x:c r="N1760" s="31" t="str"/>
    </x:row>
    <x:row r="1761" ht="42" customHeight="1">
      <x:c r="A1761" s="35" t="n">
        <x:v>1759</x:v>
      </x:c>
      <x:c r="B1761" s="31" t="str">
        <x:f>IF('Execution Checklist'!Q1761="","",'Execution Checklist'!Q1761)</x:f>
      </x:c>
      <x:c r="C1761" s="31" t="str">
        <x:v>Leave exactly one object in the bowl.</x:v>
      </x:c>
      <x:c r="D1761" s="31" t="str">
        <x:v>REMOVE one bowl object</x:v>
      </x:c>
      <x:c r="E1761" s="31" t="str">
        <x:v>Score against the displayed diagnostic instruction, which is not supplied to BC; analyze paired action switching.</x:v>
      </x:c>
      <x:c r="F1761" s="31"/>
      <x:c r="G1761" s="31"/>
      <x:c r="H1761" s="31" t="str">
        <x:f>IF(OR(F1761="",G1761=""),"",IF(F1761=G1761,"Agree","Disagree"))</x:f>
      </x:c>
      <x:c r="I1761" s="31"/>
      <x:c r="J1761" s="31" t="str">
        <x:v>No</x:v>
      </x:c>
      <x:c r="K1761" s="31" t="str"/>
      <x:c r="L1761" s="31" t="str"/>
      <x:c r="M1761" s="31" t="str"/>
      <x:c r="N1761" s="31" t="str"/>
    </x:row>
    <x:row r="1762" ht="42" customHeight="1">
      <x:c r="A1762" s="35" t="n">
        <x:v>1760</x:v>
      </x:c>
      <x:c r="B1762" s="31" t="str">
        <x:f>IF('Execution Checklist'!Q1762="","",'Execution Checklist'!Q1762)</x:f>
      </x:c>
      <x:c r="C1762" s="31" t="str">
        <x:v>Leave exactly one object in the bowl.</x:v>
      </x:c>
      <x:c r="D1762" s="31" t="str">
        <x:v>REMOVE one bowl object</x:v>
      </x:c>
      <x:c r="E1762" s="31" t="str">
        <x:v>Score against the displayed diagnostic instruction, which is not supplied to BC; analyze paired action switching.</x:v>
      </x:c>
      <x:c r="F1762" s="31"/>
      <x:c r="G1762" s="31"/>
      <x:c r="H1762" s="31" t="str">
        <x:f>IF(OR(F1762="",G1762=""),"",IF(F1762=G1762,"Agree","Disagree"))</x:f>
      </x:c>
      <x:c r="I1762" s="31"/>
      <x:c r="J1762" s="31" t="str">
        <x:v>No</x:v>
      </x:c>
      <x:c r="K1762" s="31" t="str"/>
      <x:c r="L1762" s="31" t="str"/>
      <x:c r="M1762" s="31" t="str"/>
      <x:c r="N1762" s="31" t="str"/>
    </x:row>
    <x:row r="1763" ht="42" customHeight="1">
      <x:c r="A1763" s="35" t="n">
        <x:v>1761</x:v>
      </x:c>
      <x:c r="B1763" s="31" t="str">
        <x:f>IF('Execution Checklist'!Q1763="","",'Execution Checklist'!Q1763)</x:f>
      </x:c>
      <x:c r="C1763" s="31" t="str">
        <x:v>Leave exactly three objects in the bowl.</x:v>
      </x:c>
      <x:c r="D1763" s="31" t="str">
        <x:v>ADD one table object</x:v>
      </x:c>
      <x:c r="E1763" s="31" t="str">
        <x:v>Score against the displayed diagnostic instruction, which is not supplied to BC; analyze paired action switching.</x:v>
      </x:c>
      <x:c r="F1763" s="31"/>
      <x:c r="G1763" s="31"/>
      <x:c r="H1763" s="31" t="str">
        <x:f>IF(OR(F1763="",G1763=""),"",IF(F1763=G1763,"Agree","Disagree"))</x:f>
      </x:c>
      <x:c r="I1763" s="31"/>
      <x:c r="J1763" s="31" t="str">
        <x:v>No</x:v>
      </x:c>
      <x:c r="K1763" s="31" t="str"/>
      <x:c r="L1763" s="31" t="str"/>
      <x:c r="M1763" s="31" t="str"/>
      <x:c r="N1763" s="31" t="str"/>
    </x:row>
    <x:row r="1764" ht="42" customHeight="1">
      <x:c r="A1764" s="35" t="n">
        <x:v>1762</x:v>
      </x:c>
      <x:c r="B1764" s="31" t="str">
        <x:f>IF('Execution Checklist'!Q1764="","",'Execution Checklist'!Q1764)</x:f>
      </x:c>
      <x:c r="C1764" s="31" t="str">
        <x:v>Leave exactly three objects in the bowl.</x:v>
      </x:c>
      <x:c r="D1764" s="31" t="str">
        <x:v>ADD one table object</x:v>
      </x:c>
      <x:c r="E1764" s="31" t="str">
        <x:v>Score against the displayed diagnostic instruction, which is not supplied to BC; analyze paired action switching.</x:v>
      </x:c>
      <x:c r="F1764" s="31"/>
      <x:c r="G1764" s="31"/>
      <x:c r="H1764" s="31" t="str">
        <x:f>IF(OR(F1764="",G1764=""),"",IF(F1764=G1764,"Agree","Disagree"))</x:f>
      </x:c>
      <x:c r="I1764" s="31"/>
      <x:c r="J1764" s="31" t="str">
        <x:v>No</x:v>
      </x:c>
      <x:c r="K1764" s="31" t="str"/>
      <x:c r="L1764" s="31" t="str"/>
      <x:c r="M1764" s="31" t="str"/>
      <x:c r="N1764" s="31" t="str"/>
    </x:row>
    <x:row r="1765" ht="42" customHeight="1">
      <x:c r="A1765" s="35" t="n">
        <x:v>1763</x:v>
      </x:c>
      <x:c r="B1765" s="31" t="str">
        <x:f>IF('Execution Checklist'!Q1765="","",'Execution Checklist'!Q1765)</x:f>
      </x:c>
      <x:c r="C1765" s="31" t="str">
        <x:v>Leave exactly one object in the bowl.</x:v>
      </x:c>
      <x:c r="D1765" s="31" t="str">
        <x:v>REMOVE one bowl object</x:v>
      </x:c>
      <x:c r="E1765" s="31" t="str">
        <x:v>Score against the displayed diagnostic instruction, which is not supplied to BC; analyze paired action switching.</x:v>
      </x:c>
      <x:c r="F1765" s="31"/>
      <x:c r="G1765" s="31"/>
      <x:c r="H1765" s="31" t="str">
        <x:f>IF(OR(F1765="",G1765=""),"",IF(F1765=G1765,"Agree","Disagree"))</x:f>
      </x:c>
      <x:c r="I1765" s="31"/>
      <x:c r="J1765" s="31" t="str">
        <x:v>No</x:v>
      </x:c>
      <x:c r="K1765" s="31" t="str"/>
      <x:c r="L1765" s="31" t="str"/>
      <x:c r="M1765" s="31" t="str"/>
      <x:c r="N1765" s="31" t="str"/>
    </x:row>
    <x:row r="1766" ht="42" customHeight="1">
      <x:c r="A1766" s="35" t="n">
        <x:v>1764</x:v>
      </x:c>
      <x:c r="B1766" s="31" t="str">
        <x:f>IF('Execution Checklist'!Q1766="","",'Execution Checklist'!Q1766)</x:f>
      </x:c>
      <x:c r="C1766" s="31" t="str">
        <x:v>Leave exactly one object in the bowl.</x:v>
      </x:c>
      <x:c r="D1766" s="31" t="str">
        <x:v>REMOVE one bowl object</x:v>
      </x:c>
      <x:c r="E1766" s="31" t="str">
        <x:v>Score against the displayed diagnostic instruction, which is not supplied to BC; analyze paired action switching.</x:v>
      </x:c>
      <x:c r="F1766" s="31"/>
      <x:c r="G1766" s="31"/>
      <x:c r="H1766" s="31" t="str">
        <x:f>IF(OR(F1766="",G1766=""),"",IF(F1766=G1766,"Agree","Disagree"))</x:f>
      </x:c>
      <x:c r="I1766" s="31"/>
      <x:c r="J1766" s="31" t="str">
        <x:v>No</x:v>
      </x:c>
      <x:c r="K1766" s="31" t="str"/>
      <x:c r="L1766" s="31" t="str"/>
      <x:c r="M1766" s="31" t="str"/>
      <x:c r="N1766" s="31" t="str"/>
    </x:row>
    <x:row r="1767" ht="42" customHeight="1">
      <x:c r="A1767" s="35" t="n">
        <x:v>1765</x:v>
      </x:c>
      <x:c r="B1767" s="31" t="str">
        <x:f>IF('Execution Checklist'!Q1767="","",'Execution Checklist'!Q1767)</x:f>
      </x:c>
      <x:c r="C1767" s="31" t="str">
        <x:v>Leave exactly one object in the bowl.</x:v>
      </x:c>
      <x:c r="D1767" s="31" t="str">
        <x:v>REMOVE one bowl object</x:v>
      </x:c>
      <x:c r="E1767" s="31" t="str">
        <x:v>Score against the displayed diagnostic instruction, which is not supplied to BC; analyze paired action switching.</x:v>
      </x:c>
      <x:c r="F1767" s="31"/>
      <x:c r="G1767" s="31"/>
      <x:c r="H1767" s="31" t="str">
        <x:f>IF(OR(F1767="",G1767=""),"",IF(F1767=G1767,"Agree","Disagree"))</x:f>
      </x:c>
      <x:c r="I1767" s="31"/>
      <x:c r="J1767" s="31" t="str">
        <x:v>No</x:v>
      </x:c>
      <x:c r="K1767" s="31" t="str"/>
      <x:c r="L1767" s="31" t="str"/>
      <x:c r="M1767" s="31" t="str"/>
      <x:c r="N1767" s="31" t="str"/>
    </x:row>
    <x:row r="1768" ht="42" customHeight="1">
      <x:c r="A1768" s="35" t="n">
        <x:v>1766</x:v>
      </x:c>
      <x:c r="B1768" s="31" t="str">
        <x:f>IF('Execution Checklist'!Q1768="","",'Execution Checklist'!Q1768)</x:f>
      </x:c>
      <x:c r="C1768" s="31" t="str">
        <x:v>Leave exactly one object in the bowl.</x:v>
      </x:c>
      <x:c r="D1768" s="31" t="str">
        <x:v>REMOVE one bowl object</x:v>
      </x:c>
      <x:c r="E1768" s="31" t="str">
        <x:v>Score against the displayed diagnostic instruction, which is not supplied to BC; analyze paired action switching.</x:v>
      </x:c>
      <x:c r="F1768" s="31"/>
      <x:c r="G1768" s="31"/>
      <x:c r="H1768" s="31" t="str">
        <x:f>IF(OR(F1768="",G1768=""),"",IF(F1768=G1768,"Agree","Disagree"))</x:f>
      </x:c>
      <x:c r="I1768" s="31"/>
      <x:c r="J1768" s="31" t="str">
        <x:v>No</x:v>
      </x:c>
      <x:c r="K1768" s="31" t="str"/>
      <x:c r="L1768" s="31" t="str"/>
      <x:c r="M1768" s="31" t="str"/>
      <x:c r="N1768" s="31" t="str"/>
    </x:row>
    <x:row r="1769" ht="42" customHeight="1">
      <x:c r="A1769" s="35" t="n">
        <x:v>1767</x:v>
      </x:c>
      <x:c r="B1769" s="31" t="str">
        <x:f>IF('Execution Checklist'!Q1769="","",'Execution Checklist'!Q1769)</x:f>
      </x:c>
      <x:c r="C1769" s="31" t="str">
        <x:v>Leave exactly one object in the bowl.</x:v>
      </x:c>
      <x:c r="D1769" s="31" t="str">
        <x:v>REMOVE one bowl object</x:v>
      </x:c>
      <x:c r="E1769" s="31" t="str">
        <x:v>Score against the displayed diagnostic instruction, which is not supplied to BC; analyze paired action switching.</x:v>
      </x:c>
      <x:c r="F1769" s="31"/>
      <x:c r="G1769" s="31"/>
      <x:c r="H1769" s="31" t="str">
        <x:f>IF(OR(F1769="",G1769=""),"",IF(F1769=G1769,"Agree","Disagree"))</x:f>
      </x:c>
      <x:c r="I1769" s="31"/>
      <x:c r="J1769" s="31" t="str">
        <x:v>No</x:v>
      </x:c>
      <x:c r="K1769" s="31" t="str"/>
      <x:c r="L1769" s="31" t="str"/>
      <x:c r="M1769" s="31" t="str"/>
      <x:c r="N1769" s="31" t="str"/>
    </x:row>
    <x:row r="1770" ht="42" customHeight="1">
      <x:c r="A1770" s="35" t="n">
        <x:v>1768</x:v>
      </x:c>
      <x:c r="B1770" s="31" t="str">
        <x:f>IF('Execution Checklist'!Q1770="","",'Execution Checklist'!Q1770)</x:f>
      </x:c>
      <x:c r="C1770" s="31" t="str">
        <x:v>Leave exactly one object in the bowl.</x:v>
      </x:c>
      <x:c r="D1770" s="31" t="str">
        <x:v>REMOVE one bowl object</x:v>
      </x:c>
      <x:c r="E1770" s="31" t="str">
        <x:v>Score against the displayed diagnostic instruction, which is not supplied to BC; analyze paired action switching.</x:v>
      </x:c>
      <x:c r="F1770" s="31"/>
      <x:c r="G1770" s="31"/>
      <x:c r="H1770" s="31" t="str">
        <x:f>IF(OR(F1770="",G1770=""),"",IF(F1770=G1770,"Agree","Disagree"))</x:f>
      </x:c>
      <x:c r="I1770" s="31"/>
      <x:c r="J1770" s="31" t="str">
        <x:v>No</x:v>
      </x:c>
      <x:c r="K1770" s="31" t="str"/>
      <x:c r="L1770" s="31" t="str"/>
      <x:c r="M1770" s="31" t="str"/>
      <x:c r="N1770" s="31" t="str"/>
    </x:row>
    <x:row r="1771" ht="42" customHeight="1">
      <x:c r="A1771" s="35" t="n">
        <x:v>1769</x:v>
      </x:c>
      <x:c r="B1771" s="31" t="str">
        <x:f>IF('Execution Checklist'!Q1771="","",'Execution Checklist'!Q1771)</x:f>
      </x:c>
      <x:c r="C1771" s="31" t="str">
        <x:v>Leave exactly three objects in the bowl.</x:v>
      </x:c>
      <x:c r="D1771" s="31" t="str">
        <x:v>ADD one table object</x:v>
      </x:c>
      <x:c r="E1771" s="31" t="str">
        <x:v>Score against the displayed diagnostic instruction, which is not supplied to BC; analyze paired action switching.</x:v>
      </x:c>
      <x:c r="F1771" s="31"/>
      <x:c r="G1771" s="31"/>
      <x:c r="H1771" s="31" t="str">
        <x:f>IF(OR(F1771="",G1771=""),"",IF(F1771=G1771,"Agree","Disagree"))</x:f>
      </x:c>
      <x:c r="I1771" s="31"/>
      <x:c r="J1771" s="31" t="str">
        <x:v>No</x:v>
      </x:c>
      <x:c r="K1771" s="31" t="str"/>
      <x:c r="L1771" s="31" t="str"/>
      <x:c r="M1771" s="31" t="str"/>
      <x:c r="N1771" s="31" t="str"/>
    </x:row>
    <x:row r="1772" ht="42" customHeight="1">
      <x:c r="A1772" s="35" t="n">
        <x:v>1770</x:v>
      </x:c>
      <x:c r="B1772" s="31" t="str">
        <x:f>IF('Execution Checklist'!Q1772="","",'Execution Checklist'!Q1772)</x:f>
      </x:c>
      <x:c r="C1772" s="31" t="str">
        <x:v>Leave exactly three objects in the bowl.</x:v>
      </x:c>
      <x:c r="D1772" s="31" t="str">
        <x:v>ADD one table object</x:v>
      </x:c>
      <x:c r="E1772" s="31" t="str">
        <x:v>Score against the displayed diagnostic instruction, which is not supplied to BC; analyze paired action switching.</x:v>
      </x:c>
      <x:c r="F1772" s="31"/>
      <x:c r="G1772" s="31"/>
      <x:c r="H1772" s="31" t="str">
        <x:f>IF(OR(F1772="",G1772=""),"",IF(F1772=G1772,"Agree","Disagree"))</x:f>
      </x:c>
      <x:c r="I1772" s="31"/>
      <x:c r="J1772" s="31" t="str">
        <x:v>No</x:v>
      </x:c>
      <x:c r="K1772" s="31" t="str"/>
      <x:c r="L1772" s="31" t="str"/>
      <x:c r="M1772" s="31" t="str"/>
      <x:c r="N1772" s="31" t="str"/>
    </x:row>
    <x:row r="1773" ht="42" customHeight="1">
      <x:c r="A1773" s="35" t="n">
        <x:v>1771</x:v>
      </x:c>
      <x:c r="B1773" s="31" t="str">
        <x:f>IF('Execution Checklist'!Q1773="","",'Execution Checklist'!Q1773)</x:f>
      </x:c>
      <x:c r="C1773" s="31" t="str">
        <x:v>Leave exactly three objects in the bowl.</x:v>
      </x:c>
      <x:c r="D1773" s="31" t="str">
        <x:v>ADD one table object</x:v>
      </x:c>
      <x:c r="E1773" s="31" t="str">
        <x:v>Score against the displayed diagnostic instruction, which is not supplied to BC; analyze paired action switching.</x:v>
      </x:c>
      <x:c r="F1773" s="31"/>
      <x:c r="G1773" s="31"/>
      <x:c r="H1773" s="31" t="str">
        <x:f>IF(OR(F1773="",G1773=""),"",IF(F1773=G1773,"Agree","Disagree"))</x:f>
      </x:c>
      <x:c r="I1773" s="31"/>
      <x:c r="J1773" s="31" t="str">
        <x:v>No</x:v>
      </x:c>
      <x:c r="K1773" s="31" t="str"/>
      <x:c r="L1773" s="31" t="str"/>
      <x:c r="M1773" s="31" t="str"/>
      <x:c r="N1773" s="31" t="str"/>
    </x:row>
    <x:row r="1774" ht="42" customHeight="1">
      <x:c r="A1774" s="35" t="n">
        <x:v>1772</x:v>
      </x:c>
      <x:c r="B1774" s="31" t="str">
        <x:f>IF('Execution Checklist'!Q1774="","",'Execution Checklist'!Q1774)</x:f>
      </x:c>
      <x:c r="C1774" s="31" t="str">
        <x:v>Leave exactly three objects in the bowl.</x:v>
      </x:c>
      <x:c r="D1774" s="31" t="str">
        <x:v>ADD one table object</x:v>
      </x:c>
      <x:c r="E1774" s="31" t="str">
        <x:v>Score against the displayed diagnostic instruction, which is not supplied to BC; analyze paired action switching.</x:v>
      </x:c>
      <x:c r="F1774" s="31"/>
      <x:c r="G1774" s="31"/>
      <x:c r="H1774" s="31" t="str">
        <x:f>IF(OR(F1774="",G1774=""),"",IF(F1774=G1774,"Agree","Disagree"))</x:f>
      </x:c>
      <x:c r="I1774" s="31"/>
      <x:c r="J1774" s="31" t="str">
        <x:v>No</x:v>
      </x:c>
      <x:c r="K1774" s="31" t="str"/>
      <x:c r="L1774" s="31" t="str"/>
      <x:c r="M1774" s="31" t="str"/>
      <x:c r="N1774" s="31" t="str"/>
    </x:row>
    <x:row r="1775" ht="42" customHeight="1">
      <x:c r="A1775" s="35" t="n">
        <x:v>1773</x:v>
      </x:c>
      <x:c r="B1775" s="31" t="str">
        <x:f>IF('Execution Checklist'!Q1775="","",'Execution Checklist'!Q1775)</x:f>
      </x:c>
      <x:c r="C1775" s="31" t="str">
        <x:v>Leave exactly three objects in the bowl.</x:v>
      </x:c>
      <x:c r="D1775" s="31" t="str">
        <x:v>ADD one table object</x:v>
      </x:c>
      <x:c r="E1775" s="31" t="str">
        <x:v>Score against the displayed diagnostic instruction, which is not supplied to BC; analyze paired action switching.</x:v>
      </x:c>
      <x:c r="F1775" s="31"/>
      <x:c r="G1775" s="31"/>
      <x:c r="H1775" s="31" t="str">
        <x:f>IF(OR(F1775="",G1775=""),"",IF(F1775=G1775,"Agree","Disagree"))</x:f>
      </x:c>
      <x:c r="I1775" s="31"/>
      <x:c r="J1775" s="31" t="str">
        <x:v>No</x:v>
      </x:c>
      <x:c r="K1775" s="31" t="str"/>
      <x:c r="L1775" s="31" t="str"/>
      <x:c r="M1775" s="31" t="str"/>
      <x:c r="N1775" s="31" t="str"/>
    </x:row>
    <x:row r="1776" ht="42" customHeight="1">
      <x:c r="A1776" s="35" t="n">
        <x:v>1774</x:v>
      </x:c>
      <x:c r="B1776" s="31" t="str">
        <x:f>IF('Execution Checklist'!Q1776="","",'Execution Checklist'!Q1776)</x:f>
      </x:c>
      <x:c r="C1776" s="31" t="str">
        <x:v>Place the upside-down yellow-white striped cup in the bowl.</x:v>
      </x:c>
      <x:c r="D1776" s="31" t="str">
        <x:v>yellow-white striped cup A</x:v>
      </x:c>
      <x:c r="E1776" s="31" t="str">
        <x:v>Score against the displayed diagnostic instruction, which is not supplied to BC; analyze paired action switching.</x:v>
      </x:c>
      <x:c r="F1776" s="31"/>
      <x:c r="G1776" s="31"/>
      <x:c r="H1776" s="31" t="str">
        <x:f>IF(OR(F1776="",G1776=""),"",IF(F1776=G1776,"Agree","Disagree"))</x:f>
      </x:c>
      <x:c r="I1776" s="31"/>
      <x:c r="J1776" s="31" t="str">
        <x:v>No</x:v>
      </x:c>
      <x:c r="K1776" s="31" t="str"/>
      <x:c r="L1776" s="31" t="str"/>
      <x:c r="M1776" s="31" t="str"/>
      <x:c r="N1776" s="31" t="str"/>
    </x:row>
    <x:row r="1777" ht="42" customHeight="1">
      <x:c r="A1777" s="35" t="n">
        <x:v>1775</x:v>
      </x:c>
      <x:c r="B1777" s="31" t="str">
        <x:f>IF('Execution Checklist'!Q1777="","",'Execution Checklist'!Q1777)</x:f>
      </x:c>
      <x:c r="C1777" s="31" t="str">
        <x:v>Place the closed white cup in the bowl.</x:v>
      </x:c>
      <x:c r="D1777" s="31" t="str">
        <x:v>white cup A</x:v>
      </x:c>
      <x:c r="E1777" s="31" t="str">
        <x:v>Score against the displayed diagnostic instruction, which is not supplied to BC; analyze paired action switching.</x:v>
      </x:c>
      <x:c r="F1777" s="31"/>
      <x:c r="G1777" s="31"/>
      <x:c r="H1777" s="31" t="str">
        <x:f>IF(OR(F1777="",G1777=""),"",IF(F1777=G1777,"Agree","Disagree"))</x:f>
      </x:c>
      <x:c r="I1777" s="31"/>
      <x:c r="J1777" s="31" t="str">
        <x:v>No</x:v>
      </x:c>
      <x:c r="K1777" s="31" t="str"/>
      <x:c r="L1777" s="31" t="str"/>
      <x:c r="M1777" s="31" t="str"/>
      <x:c r="N1777" s="31" t="str"/>
    </x:row>
    <x:row r="1778" ht="42" customHeight="1">
      <x:c r="A1778" s="35" t="n">
        <x:v>1776</x:v>
      </x:c>
      <x:c r="B1778" s="31" t="str">
        <x:f>IF('Execution Checklist'!Q1778="","",'Execution Checklist'!Q1778)</x:f>
      </x:c>
      <x:c r="C1778" s="31" t="str">
        <x:v>Place the closed glass spice container in the bowl.</x:v>
      </x:c>
      <x:c r="D1778" s="31" t="str">
        <x:v>glass spice container B</x:v>
      </x:c>
      <x:c r="E1778" s="31" t="str">
        <x:v>Score against the displayed diagnostic instruction, which is not supplied to BC; analyze paired action switching.</x:v>
      </x:c>
      <x:c r="F1778" s="31"/>
      <x:c r="G1778" s="31"/>
      <x:c r="H1778" s="31" t="str">
        <x:f>IF(OR(F1778="",G1778=""),"",IF(F1778=G1778,"Agree","Disagree"))</x:f>
      </x:c>
      <x:c r="I1778" s="31"/>
      <x:c r="J1778" s="31" t="str">
        <x:v>No</x:v>
      </x:c>
      <x:c r="K1778" s="31" t="str"/>
      <x:c r="L1778" s="31" t="str"/>
      <x:c r="M1778" s="31" t="str"/>
      <x:c r="N1778" s="31" t="str"/>
    </x:row>
    <x:row r="1779" ht="42" customHeight="1">
      <x:c r="A1779" s="35" t="n">
        <x:v>1777</x:v>
      </x:c>
      <x:c r="B1779" s="31" t="str">
        <x:f>IF('Execution Checklist'!Q1779="","",'Execution Checklist'!Q1779)</x:f>
      </x:c>
      <x:c r="C1779" s="31" t="str">
        <x:v>Place the upside-down white cup in the bowl.</x:v>
      </x:c>
      <x:c r="D1779" s="31" t="str">
        <x:v>white cup A</x:v>
      </x:c>
      <x:c r="E1779" s="31" t="str">
        <x:v>Score against the displayed diagnostic instruction, which is not supplied to BC; analyze paired action switching.</x:v>
      </x:c>
      <x:c r="F1779" s="31"/>
      <x:c r="G1779" s="31"/>
      <x:c r="H1779" s="31" t="str">
        <x:f>IF(OR(F1779="",G1779=""),"",IF(F1779=G1779,"Agree","Disagree"))</x:f>
      </x:c>
      <x:c r="I1779" s="31"/>
      <x:c r="J1779" s="31" t="str">
        <x:v>No</x:v>
      </x:c>
      <x:c r="K1779" s="31" t="str"/>
      <x:c r="L1779" s="31" t="str"/>
      <x:c r="M1779" s="31" t="str"/>
      <x:c r="N1779" s="31" t="str"/>
    </x:row>
    <x:row r="1780" ht="42" customHeight="1">
      <x:c r="A1780" s="35" t="n">
        <x:v>1778</x:v>
      </x:c>
      <x:c r="B1780" s="31" t="str">
        <x:f>IF('Execution Checklist'!Q1780="","",'Execution Checklist'!Q1780)</x:f>
      </x:c>
      <x:c r="C1780" s="31" t="str">
        <x:v>Place the closed white cup in the bowl.</x:v>
      </x:c>
      <x:c r="D1780" s="31" t="str">
        <x:v>white cup A</x:v>
      </x:c>
      <x:c r="E1780" s="31" t="str">
        <x:v>Score against the displayed diagnostic instruction, which is not supplied to BC; analyze paired action switching.</x:v>
      </x:c>
      <x:c r="F1780" s="31"/>
      <x:c r="G1780" s="31"/>
      <x:c r="H1780" s="31" t="str">
        <x:f>IF(OR(F1780="",G1780=""),"",IF(F1780=G1780,"Agree","Disagree"))</x:f>
      </x:c>
      <x:c r="I1780" s="31"/>
      <x:c r="J1780" s="31" t="str">
        <x:v>No</x:v>
      </x:c>
      <x:c r="K1780" s="31" t="str"/>
      <x:c r="L1780" s="31" t="str"/>
      <x:c r="M1780" s="31" t="str"/>
      <x:c r="N1780" s="31" t="str"/>
    </x:row>
    <x:row r="1781" ht="42" customHeight="1">
      <x:c r="A1781" s="35" t="n">
        <x:v>1779</x:v>
      </x:c>
      <x:c r="B1781" s="31" t="str">
        <x:f>IF('Execution Checklist'!Q1781="","",'Execution Checklist'!Q1781)</x:f>
      </x:c>
      <x:c r="C1781" s="31" t="str">
        <x:v>Place the closed yellow-white striped cup in the bowl.</x:v>
      </x:c>
      <x:c r="D1781" s="31" t="str">
        <x:v>yellow-white striped cup A</x:v>
      </x:c>
      <x:c r="E1781" s="31" t="str">
        <x:v>Score against the displayed diagnostic instruction, which is not supplied to BC; analyze paired action switching.</x:v>
      </x:c>
      <x:c r="F1781" s="31"/>
      <x:c r="G1781" s="31"/>
      <x:c r="H1781" s="31" t="str">
        <x:f>IF(OR(F1781="",G1781=""),"",IF(F1781=G1781,"Agree","Disagree"))</x:f>
      </x:c>
      <x:c r="I1781" s="31"/>
      <x:c r="J1781" s="31" t="str">
        <x:v>No</x:v>
      </x:c>
      <x:c r="K1781" s="31" t="str"/>
      <x:c r="L1781" s="31" t="str"/>
      <x:c r="M1781" s="31" t="str"/>
      <x:c r="N1781" s="31" t="str"/>
    </x:row>
    <x:row r="1782" ht="42" customHeight="1">
      <x:c r="A1782" s="35" t="n">
        <x:v>1780</x:v>
      </x:c>
      <x:c r="B1782" s="31" t="str">
        <x:f>IF('Execution Checklist'!Q1782="","",'Execution Checklist'!Q1782)</x:f>
      </x:c>
      <x:c r="C1782" s="31" t="str">
        <x:v>Place the upright glass spice container in the bowl.</x:v>
      </x:c>
      <x:c r="D1782" s="31" t="str">
        <x:v>glass spice container A</x:v>
      </x:c>
      <x:c r="E1782" s="31" t="str">
        <x:v>Score against the displayed diagnostic instruction, which is not supplied to BC; analyze paired action switching.</x:v>
      </x:c>
      <x:c r="F1782" s="31"/>
      <x:c r="G1782" s="31"/>
      <x:c r="H1782" s="31" t="str">
        <x:f>IF(OR(F1782="",G1782=""),"",IF(F1782=G1782,"Agree","Disagree"))</x:f>
      </x:c>
      <x:c r="I1782" s="31"/>
      <x:c r="J1782" s="31" t="str">
        <x:v>No</x:v>
      </x:c>
      <x:c r="K1782" s="31" t="str"/>
      <x:c r="L1782" s="31" t="str"/>
      <x:c r="M1782" s="31" t="str"/>
      <x:c r="N1782" s="31" t="str"/>
    </x:row>
    <x:row r="1783" ht="42" customHeight="1">
      <x:c r="A1783" s="35" t="n">
        <x:v>1781</x:v>
      </x:c>
      <x:c r="B1783" s="31" t="str">
        <x:f>IF('Execution Checklist'!Q1783="","",'Execution Checklist'!Q1783)</x:f>
      </x:c>
      <x:c r="C1783" s="31" t="str">
        <x:v>Place the upright brown cup in the bowl.</x:v>
      </x:c>
      <x:c r="D1783" s="31" t="str">
        <x:v>brown cup B</x:v>
      </x:c>
      <x:c r="E1783" s="31" t="str">
        <x:v>Score against the displayed diagnostic instruction, which is not supplied to BC; analyze paired action switching.</x:v>
      </x:c>
      <x:c r="F1783" s="31"/>
      <x:c r="G1783" s="31"/>
      <x:c r="H1783" s="31" t="str">
        <x:f>IF(OR(F1783="",G1783=""),"",IF(F1783=G1783,"Agree","Disagree"))</x:f>
      </x:c>
      <x:c r="I1783" s="31"/>
      <x:c r="J1783" s="31" t="str">
        <x:v>No</x:v>
      </x:c>
      <x:c r="K1783" s="31" t="str"/>
      <x:c r="L1783" s="31" t="str"/>
      <x:c r="M1783" s="31" t="str"/>
      <x:c r="N1783" s="31" t="str"/>
    </x:row>
    <x:row r="1784" ht="42" customHeight="1">
      <x:c r="A1784" s="35" t="n">
        <x:v>1782</x:v>
      </x:c>
      <x:c r="B1784" s="31" t="str">
        <x:f>IF('Execution Checklist'!Q1784="","",'Execution Checklist'!Q1784)</x:f>
      </x:c>
      <x:c r="C1784" s="31" t="str">
        <x:v>Place the upright yellow-white striped cup in the bowl.</x:v>
      </x:c>
      <x:c r="D1784" s="31" t="str">
        <x:v>yellow-white striped cup B</x:v>
      </x:c>
      <x:c r="E1784" s="31" t="str">
        <x:v>Score against the displayed diagnostic instruction, which is not supplied to BC; analyze paired action switching.</x:v>
      </x:c>
      <x:c r="F1784" s="31"/>
      <x:c r="G1784" s="31"/>
      <x:c r="H1784" s="31" t="str">
        <x:f>IF(OR(F1784="",G1784=""),"",IF(F1784=G1784,"Agree","Disagree"))</x:f>
      </x:c>
      <x:c r="I1784" s="31"/>
      <x:c r="J1784" s="31" t="str">
        <x:v>No</x:v>
      </x:c>
      <x:c r="K1784" s="31" t="str"/>
      <x:c r="L1784" s="31" t="str"/>
      <x:c r="M1784" s="31" t="str"/>
      <x:c r="N1784" s="31" t="str"/>
    </x:row>
    <x:row r="1785" ht="42" customHeight="1">
      <x:c r="A1785" s="35" t="n">
        <x:v>1783</x:v>
      </x:c>
      <x:c r="B1785" s="31" t="str">
        <x:f>IF('Execution Checklist'!Q1785="","",'Execution Checklist'!Q1785)</x:f>
      </x:c>
      <x:c r="C1785" s="31" t="str">
        <x:v>Place the open white cup in the bowl.</x:v>
      </x:c>
      <x:c r="D1785" s="31" t="str">
        <x:v>white cup B</x:v>
      </x:c>
      <x:c r="E1785" s="31" t="str">
        <x:v>Score against the displayed diagnostic instruction, which is not supplied to BC; analyze paired action switching.</x:v>
      </x:c>
      <x:c r="F1785" s="31"/>
      <x:c r="G1785" s="31"/>
      <x:c r="H1785" s="31" t="str">
        <x:f>IF(OR(F1785="",G1785=""),"",IF(F1785=G1785,"Agree","Disagree"))</x:f>
      </x:c>
      <x:c r="I1785" s="31"/>
      <x:c r="J1785" s="31" t="str">
        <x:v>No</x:v>
      </x:c>
      <x:c r="K1785" s="31" t="str"/>
      <x:c r="L1785" s="31" t="str"/>
      <x:c r="M1785" s="31" t="str"/>
      <x:c r="N1785" s="31" t="str"/>
    </x:row>
    <x:row r="1786" ht="42" customHeight="1">
      <x:c r="A1786" s="35" t="n">
        <x:v>1784</x:v>
      </x:c>
      <x:c r="B1786" s="31" t="str">
        <x:f>IF('Execution Checklist'!Q1786="","",'Execution Checklist'!Q1786)</x:f>
      </x:c>
      <x:c r="C1786" s="31" t="str">
        <x:v>Place the upside-down glass spice container in the bowl.</x:v>
      </x:c>
      <x:c r="D1786" s="31" t="str">
        <x:v>glass spice container B</x:v>
      </x:c>
      <x:c r="E1786" s="31" t="str">
        <x:v>Score against the displayed diagnostic instruction, which is not supplied to BC; analyze paired action switching.</x:v>
      </x:c>
      <x:c r="F1786" s="31"/>
      <x:c r="G1786" s="31"/>
      <x:c r="H1786" s="31" t="str">
        <x:f>IF(OR(F1786="",G1786=""),"",IF(F1786=G1786,"Agree","Disagree"))</x:f>
      </x:c>
      <x:c r="I1786" s="31"/>
      <x:c r="J1786" s="31" t="str">
        <x:v>No</x:v>
      </x:c>
      <x:c r="K1786" s="31" t="str"/>
      <x:c r="L1786" s="31" t="str"/>
      <x:c r="M1786" s="31" t="str"/>
      <x:c r="N1786" s="31" t="str"/>
    </x:row>
    <x:row r="1787" ht="42" customHeight="1">
      <x:c r="A1787" s="35" t="n">
        <x:v>1785</x:v>
      </x:c>
      <x:c r="B1787" s="31" t="str">
        <x:f>IF('Execution Checklist'!Q1787="","",'Execution Checklist'!Q1787)</x:f>
      </x:c>
      <x:c r="C1787" s="31" t="str">
        <x:v>Place the upright white cup in the bowl.</x:v>
      </x:c>
      <x:c r="D1787" s="31" t="str">
        <x:v>white cup B</x:v>
      </x:c>
      <x:c r="E1787" s="31" t="str">
        <x:v>Score against the displayed diagnostic instruction, which is not supplied to BC; analyze paired action switching.</x:v>
      </x:c>
      <x:c r="F1787" s="31"/>
      <x:c r="G1787" s="31"/>
      <x:c r="H1787" s="31" t="str">
        <x:f>IF(OR(F1787="",G1787=""),"",IF(F1787=G1787,"Agree","Disagree"))</x:f>
      </x:c>
      <x:c r="I1787" s="31"/>
      <x:c r="J1787" s="31" t="str">
        <x:v>No</x:v>
      </x:c>
      <x:c r="K1787" s="31" t="str"/>
      <x:c r="L1787" s="31" t="str"/>
      <x:c r="M1787" s="31" t="str"/>
      <x:c r="N1787" s="31" t="str"/>
    </x:row>
    <x:row r="1788" ht="42" customHeight="1">
      <x:c r="A1788" s="35" t="n">
        <x:v>1786</x:v>
      </x:c>
      <x:c r="B1788" s="31" t="str">
        <x:f>IF('Execution Checklist'!Q1788="","",'Execution Checklist'!Q1788)</x:f>
      </x:c>
      <x:c r="C1788" s="31" t="str">
        <x:v>Place the open yellow-white striped cup in the bowl.</x:v>
      </x:c>
      <x:c r="D1788" s="31" t="str">
        <x:v>yellow-white striped cup B</x:v>
      </x:c>
      <x:c r="E1788" s="31" t="str">
        <x:v>Score against the displayed diagnostic instruction, which is not supplied to BC; analyze paired action switching.</x:v>
      </x:c>
      <x:c r="F1788" s="31"/>
      <x:c r="G1788" s="31"/>
      <x:c r="H1788" s="31" t="str">
        <x:f>IF(OR(F1788="",G1788=""),"",IF(F1788=G1788,"Agree","Disagree"))</x:f>
      </x:c>
      <x:c r="I1788" s="31"/>
      <x:c r="J1788" s="31" t="str">
        <x:v>No</x:v>
      </x:c>
      <x:c r="K1788" s="31" t="str"/>
      <x:c r="L1788" s="31" t="str"/>
      <x:c r="M1788" s="31" t="str"/>
      <x:c r="N1788" s="31" t="str"/>
    </x:row>
    <x:row r="1789" ht="42" customHeight="1">
      <x:c r="A1789" s="35" t="n">
        <x:v>1787</x:v>
      </x:c>
      <x:c r="B1789" s="31" t="str">
        <x:f>IF('Execution Checklist'!Q1789="","",'Execution Checklist'!Q1789)</x:f>
      </x:c>
      <x:c r="C1789" s="31" t="str">
        <x:v>Place the upside-down yellow-white striped cup in the bowl.</x:v>
      </x:c>
      <x:c r="D1789" s="31" t="str">
        <x:v>yellow-white striped cup A</x:v>
      </x:c>
      <x:c r="E1789" s="31" t="str">
        <x:v>Score against the displayed diagnostic instruction, which is not supplied to BC; analyze paired action switching.</x:v>
      </x:c>
      <x:c r="F1789" s="31"/>
      <x:c r="G1789" s="31"/>
      <x:c r="H1789" s="31" t="str">
        <x:f>IF(OR(F1789="",G1789=""),"",IF(F1789=G1789,"Agree","Disagree"))</x:f>
      </x:c>
      <x:c r="I1789" s="31"/>
      <x:c r="J1789" s="31" t="str">
        <x:v>No</x:v>
      </x:c>
      <x:c r="K1789" s="31" t="str"/>
      <x:c r="L1789" s="31" t="str"/>
      <x:c r="M1789" s="31" t="str"/>
      <x:c r="N1789" s="31" t="str"/>
    </x:row>
    <x:row r="1790" ht="42" customHeight="1">
      <x:c r="A1790" s="35" t="n">
        <x:v>1788</x:v>
      </x:c>
      <x:c r="B1790" s="31" t="str">
        <x:f>IF('Execution Checklist'!Q1790="","",'Execution Checklist'!Q1790)</x:f>
      </x:c>
      <x:c r="C1790" s="31" t="str">
        <x:v>Place the open white cup in the bowl.</x:v>
      </x:c>
      <x:c r="D1790" s="31" t="str">
        <x:v>white cup B</x:v>
      </x:c>
      <x:c r="E1790" s="31" t="str">
        <x:v>Score against the displayed diagnostic instruction, which is not supplied to BC; analyze paired action switching.</x:v>
      </x:c>
      <x:c r="F1790" s="31"/>
      <x:c r="G1790" s="31"/>
      <x:c r="H1790" s="31" t="str">
        <x:f>IF(OR(F1790="",G1790=""),"",IF(F1790=G1790,"Agree","Disagree"))</x:f>
      </x:c>
      <x:c r="I1790" s="31"/>
      <x:c r="J1790" s="31" t="str">
        <x:v>No</x:v>
      </x:c>
      <x:c r="K1790" s="31" t="str"/>
      <x:c r="L1790" s="31" t="str"/>
      <x:c r="M1790" s="31" t="str"/>
      <x:c r="N1790" s="31" t="str"/>
    </x:row>
    <x:row r="1791" ht="42" customHeight="1">
      <x:c r="A1791" s="35" t="n">
        <x:v>1789</x:v>
      </x:c>
      <x:c r="B1791" s="31" t="str">
        <x:f>IF('Execution Checklist'!Q1791="","",'Execution Checklist'!Q1791)</x:f>
      </x:c>
      <x:c r="C1791" s="31" t="str">
        <x:v>Place the open brown cup in the bowl.</x:v>
      </x:c>
      <x:c r="D1791" s="31" t="str">
        <x:v>brown cup B</x:v>
      </x:c>
      <x:c r="E1791" s="31" t="str">
        <x:v>Score against the displayed diagnostic instruction, which is not supplied to BC; analyze paired action switching.</x:v>
      </x:c>
      <x:c r="F1791" s="31"/>
      <x:c r="G1791" s="31"/>
      <x:c r="H1791" s="31" t="str">
        <x:f>IF(OR(F1791="",G1791=""),"",IF(F1791=G1791,"Agree","Disagree"))</x:f>
      </x:c>
      <x:c r="I1791" s="31"/>
      <x:c r="J1791" s="31" t="str">
        <x:v>No</x:v>
      </x:c>
      <x:c r="K1791" s="31" t="str"/>
      <x:c r="L1791" s="31" t="str"/>
      <x:c r="M1791" s="31" t="str"/>
      <x:c r="N1791" s="31" t="str"/>
    </x:row>
    <x:row r="1792" ht="42" customHeight="1">
      <x:c r="A1792" s="35" t="n">
        <x:v>1790</x:v>
      </x:c>
      <x:c r="B1792" s="31" t="str">
        <x:f>IF('Execution Checklist'!Q1792="","",'Execution Checklist'!Q1792)</x:f>
      </x:c>
      <x:c r="C1792" s="31" t="str">
        <x:v>Place the closed brown cup in the bowl.</x:v>
      </x:c>
      <x:c r="D1792" s="31" t="str">
        <x:v>brown cup A</x:v>
      </x:c>
      <x:c r="E1792" s="31" t="str">
        <x:v>Score against the displayed diagnostic instruction, which is not supplied to BC; analyze paired action switching.</x:v>
      </x:c>
      <x:c r="F1792" s="31"/>
      <x:c r="G1792" s="31"/>
      <x:c r="H1792" s="31" t="str">
        <x:f>IF(OR(F1792="",G1792=""),"",IF(F1792=G1792,"Agree","Disagree"))</x:f>
      </x:c>
      <x:c r="I1792" s="31"/>
      <x:c r="J1792" s="31" t="str">
        <x:v>No</x:v>
      </x:c>
      <x:c r="K1792" s="31" t="str"/>
      <x:c r="L1792" s="31" t="str"/>
      <x:c r="M1792" s="31" t="str"/>
      <x:c r="N1792" s="31" t="str"/>
    </x:row>
    <x:row r="1793" ht="42" customHeight="1">
      <x:c r="A1793" s="35" t="n">
        <x:v>1791</x:v>
      </x:c>
      <x:c r="B1793" s="31" t="str">
        <x:f>IF('Execution Checklist'!Q1793="","",'Execution Checklist'!Q1793)</x:f>
      </x:c>
      <x:c r="C1793" s="31" t="str">
        <x:v>Place the upright yellow-white striped cup in the bowl.</x:v>
      </x:c>
      <x:c r="D1793" s="31" t="str">
        <x:v>yellow-white striped cup B</x:v>
      </x:c>
      <x:c r="E1793" s="31" t="str">
        <x:v>Score against the displayed diagnostic instruction, which is not supplied to BC; analyze paired action switching.</x:v>
      </x:c>
      <x:c r="F1793" s="31"/>
      <x:c r="G1793" s="31"/>
      <x:c r="H1793" s="31" t="str">
        <x:f>IF(OR(F1793="",G1793=""),"",IF(F1793=G1793,"Agree","Disagree"))</x:f>
      </x:c>
      <x:c r="I1793" s="31"/>
      <x:c r="J1793" s="31" t="str">
        <x:v>No</x:v>
      </x:c>
      <x:c r="K1793" s="31" t="str"/>
      <x:c r="L1793" s="31" t="str"/>
      <x:c r="M1793" s="31" t="str"/>
      <x:c r="N1793" s="31" t="str"/>
    </x:row>
    <x:row r="1794" ht="42" customHeight="1">
      <x:c r="A1794" s="35" t="n">
        <x:v>1792</x:v>
      </x:c>
      <x:c r="B1794" s="31" t="str">
        <x:f>IF('Execution Checklist'!Q1794="","",'Execution Checklist'!Q1794)</x:f>
      </x:c>
      <x:c r="C1794" s="31" t="str">
        <x:v>Place the upside-down brown cup in the bowl.</x:v>
      </x:c>
      <x:c r="D1794" s="31" t="str">
        <x:v>brown cup A</x:v>
      </x:c>
      <x:c r="E1794" s="31" t="str">
        <x:v>Score against the displayed diagnostic instruction, which is not supplied to BC; analyze paired action switching.</x:v>
      </x:c>
      <x:c r="F1794" s="31"/>
      <x:c r="G1794" s="31"/>
      <x:c r="H1794" s="31" t="str">
        <x:f>IF(OR(F1794="",G1794=""),"",IF(F1794=G1794,"Agree","Disagree"))</x:f>
      </x:c>
      <x:c r="I1794" s="31"/>
      <x:c r="J1794" s="31" t="str">
        <x:v>No</x:v>
      </x:c>
      <x:c r="K1794" s="31" t="str"/>
      <x:c r="L1794" s="31" t="str"/>
      <x:c r="M1794" s="31" t="str"/>
      <x:c r="N1794" s="31" t="str"/>
    </x:row>
    <x:row r="1795" ht="42" customHeight="1">
      <x:c r="A1795" s="35" t="n">
        <x:v>1793</x:v>
      </x:c>
      <x:c r="B1795" s="31" t="str">
        <x:f>IF('Execution Checklist'!Q1795="","",'Execution Checklist'!Q1795)</x:f>
      </x:c>
      <x:c r="C1795" s="31" t="str">
        <x:v>Place the open glass spice container in the bowl.</x:v>
      </x:c>
      <x:c r="D1795" s="31" t="str">
        <x:v>glass spice container A</x:v>
      </x:c>
      <x:c r="E1795" s="31" t="str">
        <x:v>Score against the displayed diagnostic instruction, which is not supplied to BC; analyze paired action switching.</x:v>
      </x:c>
      <x:c r="F1795" s="31"/>
      <x:c r="G1795" s="31"/>
      <x:c r="H1795" s="31" t="str">
        <x:f>IF(OR(F1795="",G1795=""),"",IF(F1795=G1795,"Agree","Disagree"))</x:f>
      </x:c>
      <x:c r="I1795" s="31"/>
      <x:c r="J1795" s="31" t="str">
        <x:v>No</x:v>
      </x:c>
      <x:c r="K1795" s="31" t="str"/>
      <x:c r="L1795" s="31" t="str"/>
      <x:c r="M1795" s="31" t="str"/>
      <x:c r="N1795" s="31" t="str"/>
    </x:row>
    <x:row r="1796" ht="42" customHeight="1">
      <x:c r="A1796" s="35" t="n">
        <x:v>1794</x:v>
      </x:c>
      <x:c r="B1796" s="31" t="str">
        <x:f>IF('Execution Checklist'!Q1796="","",'Execution Checklist'!Q1796)</x:f>
      </x:c>
      <x:c r="C1796" s="31" t="str">
        <x:v>Leave exactly one object in the bowl.</x:v>
      </x:c>
      <x:c r="D1796" s="31" t="str">
        <x:v>REMOVE one bowl object</x:v>
      </x:c>
      <x:c r="E1796" s="31" t="str">
        <x:v>Score against the displayed diagnostic instruction, which is not supplied to BC; analyze paired action switching.</x:v>
      </x:c>
      <x:c r="F1796" s="31"/>
      <x:c r="G1796" s="31"/>
      <x:c r="H1796" s="31" t="str">
        <x:f>IF(OR(F1796="",G1796=""),"",IF(F1796=G1796,"Agree","Disagree"))</x:f>
      </x:c>
      <x:c r="I1796" s="31"/>
      <x:c r="J1796" s="31" t="str">
        <x:v>No</x:v>
      </x:c>
      <x:c r="K1796" s="31" t="str"/>
      <x:c r="L1796" s="31" t="str"/>
      <x:c r="M1796" s="31" t="str"/>
      <x:c r="N1796" s="31" t="str"/>
    </x:row>
    <x:row r="1797" ht="42" customHeight="1">
      <x:c r="A1797" s="35" t="n">
        <x:v>1795</x:v>
      </x:c>
      <x:c r="B1797" s="31" t="str">
        <x:f>IF('Execution Checklist'!Q1797="","",'Execution Checklist'!Q1797)</x:f>
      </x:c>
      <x:c r="C1797" s="31" t="str">
        <x:v>Leave exactly three objects in the bowl.</x:v>
      </x:c>
      <x:c r="D1797" s="31" t="str">
        <x:v>ADD one table object</x:v>
      </x:c>
      <x:c r="E1797" s="31" t="str">
        <x:v>Score against the displayed diagnostic instruction, which is not supplied to BC; analyze paired action switching.</x:v>
      </x:c>
      <x:c r="F1797" s="31"/>
      <x:c r="G1797" s="31"/>
      <x:c r="H1797" s="31" t="str">
        <x:f>IF(OR(F1797="",G1797=""),"",IF(F1797=G1797,"Agree","Disagree"))</x:f>
      </x:c>
      <x:c r="I1797" s="31"/>
      <x:c r="J1797" s="31" t="str">
        <x:v>No</x:v>
      </x:c>
      <x:c r="K1797" s="31" t="str"/>
      <x:c r="L1797" s="31" t="str"/>
      <x:c r="M1797" s="31" t="str"/>
      <x:c r="N1797" s="31" t="str"/>
    </x:row>
    <x:row r="1798" ht="42" customHeight="1">
      <x:c r="A1798" s="35" t="n">
        <x:v>1796</x:v>
      </x:c>
      <x:c r="B1798" s="31" t="str">
        <x:f>IF('Execution Checklist'!Q1798="","",'Execution Checklist'!Q1798)</x:f>
      </x:c>
      <x:c r="C1798" s="31" t="str">
        <x:v>Leave exactly one object in the bowl.</x:v>
      </x:c>
      <x:c r="D1798" s="31" t="str">
        <x:v>REMOVE one bowl object</x:v>
      </x:c>
      <x:c r="E1798" s="31" t="str">
        <x:v>Score against the displayed diagnostic instruction, which is not supplied to BC; analyze paired action switching.</x:v>
      </x:c>
      <x:c r="F1798" s="31"/>
      <x:c r="G1798" s="31"/>
      <x:c r="H1798" s="31" t="str">
        <x:f>IF(OR(F1798="",G1798=""),"",IF(F1798=G1798,"Agree","Disagree"))</x:f>
      </x:c>
      <x:c r="I1798" s="31"/>
      <x:c r="J1798" s="31" t="str">
        <x:v>No</x:v>
      </x:c>
      <x:c r="K1798" s="31" t="str"/>
      <x:c r="L1798" s="31" t="str"/>
      <x:c r="M1798" s="31" t="str"/>
      <x:c r="N1798" s="31" t="str"/>
    </x:row>
    <x:row r="1799" ht="42" customHeight="1">
      <x:c r="A1799" s="35" t="n">
        <x:v>1797</x:v>
      </x:c>
      <x:c r="B1799" s="31" t="str">
        <x:f>IF('Execution Checklist'!Q1799="","",'Execution Checklist'!Q1799)</x:f>
      </x:c>
      <x:c r="C1799" s="31" t="str">
        <x:v>Leave exactly one object in the bowl.</x:v>
      </x:c>
      <x:c r="D1799" s="31" t="str">
        <x:v>REMOVE one bowl object</x:v>
      </x:c>
      <x:c r="E1799" s="31" t="str">
        <x:v>Score against the displayed diagnostic instruction, which is not supplied to BC; analyze paired action switching.</x:v>
      </x:c>
      <x:c r="F1799" s="31"/>
      <x:c r="G1799" s="31"/>
      <x:c r="H1799" s="31" t="str">
        <x:f>IF(OR(F1799="",G1799=""),"",IF(F1799=G1799,"Agree","Disagree"))</x:f>
      </x:c>
      <x:c r="I1799" s="31"/>
      <x:c r="J1799" s="31" t="str">
        <x:v>No</x:v>
      </x:c>
      <x:c r="K1799" s="31" t="str"/>
      <x:c r="L1799" s="31" t="str"/>
      <x:c r="M1799" s="31" t="str"/>
      <x:c r="N1799" s="31" t="str"/>
    </x:row>
    <x:row r="1800" ht="42" customHeight="1">
      <x:c r="A1800" s="35" t="n">
        <x:v>1798</x:v>
      </x:c>
      <x:c r="B1800" s="31" t="str">
        <x:f>IF('Execution Checklist'!Q1800="","",'Execution Checklist'!Q1800)</x:f>
      </x:c>
      <x:c r="C1800" s="31" t="str">
        <x:v>Leave exactly one object in the bowl.</x:v>
      </x:c>
      <x:c r="D1800" s="31" t="str">
        <x:v>REMOVE one bowl object</x:v>
      </x:c>
      <x:c r="E1800" s="31" t="str">
        <x:v>Score against the displayed diagnostic instruction, which is not supplied to BC; analyze paired action switching.</x:v>
      </x:c>
      <x:c r="F1800" s="31"/>
      <x:c r="G1800" s="31"/>
      <x:c r="H1800" s="31" t="str">
        <x:f>IF(OR(F1800="",G1800=""),"",IF(F1800=G1800,"Agree","Disagree"))</x:f>
      </x:c>
      <x:c r="I1800" s="31"/>
      <x:c r="J1800" s="31" t="str">
        <x:v>No</x:v>
      </x:c>
      <x:c r="K1800" s="31" t="str"/>
      <x:c r="L1800" s="31" t="str"/>
      <x:c r="M1800" s="31" t="str"/>
      <x:c r="N1800" s="31" t="str"/>
    </x:row>
    <x:row r="1801" ht="42" customHeight="1">
      <x:c r="A1801" s="35" t="n">
        <x:v>1799</x:v>
      </x:c>
      <x:c r="B1801" s="31" t="str">
        <x:f>IF('Execution Checklist'!Q1801="","",'Execution Checklist'!Q1801)</x:f>
      </x:c>
      <x:c r="C1801" s="31" t="str">
        <x:v>Leave exactly three objects in the bowl.</x:v>
      </x:c>
      <x:c r="D1801" s="31" t="str">
        <x:v>ADD one table object</x:v>
      </x:c>
      <x:c r="E1801" s="31" t="str">
        <x:v>Score against the displayed diagnostic instruction, which is not supplied to BC; analyze paired action switching.</x:v>
      </x:c>
      <x:c r="F1801" s="31"/>
      <x:c r="G1801" s="31"/>
      <x:c r="H1801" s="31" t="str">
        <x:f>IF(OR(F1801="",G1801=""),"",IF(F1801=G1801,"Agree","Disagree"))</x:f>
      </x:c>
      <x:c r="I1801" s="31"/>
      <x:c r="J1801" s="31" t="str">
        <x:v>No</x:v>
      </x:c>
      <x:c r="K1801" s="31" t="str"/>
      <x:c r="L1801" s="31" t="str"/>
      <x:c r="M1801" s="31" t="str"/>
      <x:c r="N1801" s="31" t="str"/>
    </x:row>
    <x:row r="1802" ht="42" customHeight="1">
      <x:c r="A1802" s="35" t="n">
        <x:v>1800</x:v>
      </x:c>
      <x:c r="B1802" s="31" t="str">
        <x:f>IF('Execution Checklist'!Q1802="","",'Execution Checklist'!Q1802)</x:f>
      </x:c>
      <x:c r="C1802" s="31" t="str">
        <x:v>Leave exactly three objects in the bowl.</x:v>
      </x:c>
      <x:c r="D1802" s="31" t="str">
        <x:v>ADD one table object</x:v>
      </x:c>
      <x:c r="E1802" s="31" t="str">
        <x:v>Score against the displayed diagnostic instruction, which is not supplied to BC; analyze paired action switching.</x:v>
      </x:c>
      <x:c r="F1802" s="31"/>
      <x:c r="G1802" s="31"/>
      <x:c r="H1802" s="31" t="str">
        <x:f>IF(OR(F1802="",G1802=""),"",IF(F1802=G1802,"Agree","Disagree"))</x:f>
      </x:c>
      <x:c r="I1802" s="31"/>
      <x:c r="J1802" s="31" t="str">
        <x:v>No</x:v>
      </x:c>
      <x:c r="K1802" s="31" t="str"/>
      <x:c r="L1802" s="31" t="str"/>
      <x:c r="M1802" s="31" t="str"/>
      <x:c r="N1802" s="31" t="str"/>
    </x:row>
    <x:row r="1803" ht="42" customHeight="1">
      <x:c r="A1803" s="35" t="n">
        <x:v>1801</x:v>
      </x:c>
      <x:c r="B1803" s="31" t="str">
        <x:f>IF('Execution Checklist'!Q1803="","",'Execution Checklist'!Q1803)</x:f>
      </x:c>
      <x:c r="C1803" s="31" t="str">
        <x:v>Leave exactly one object in the bowl.</x:v>
      </x:c>
      <x:c r="D1803" s="31" t="str">
        <x:v>REMOVE one bowl object</x:v>
      </x:c>
      <x:c r="E1803" s="31" t="str">
        <x:v>Score against the displayed diagnostic instruction, which is not supplied to BC; analyze paired action switching.</x:v>
      </x:c>
      <x:c r="F1803" s="31"/>
      <x:c r="G1803" s="31"/>
      <x:c r="H1803" s="31" t="str">
        <x:f>IF(OR(F1803="",G1803=""),"",IF(F1803=G1803,"Agree","Disagree"))</x:f>
      </x:c>
      <x:c r="I1803" s="31"/>
      <x:c r="J1803" s="31" t="str">
        <x:v>No</x:v>
      </x:c>
      <x:c r="K1803" s="31" t="str"/>
      <x:c r="L1803" s="31" t="str"/>
      <x:c r="M1803" s="31" t="str"/>
      <x:c r="N1803" s="31" t="str"/>
    </x:row>
    <x:row r="1804" ht="42" customHeight="1">
      <x:c r="A1804" s="35" t="n">
        <x:v>1802</x:v>
      </x:c>
      <x:c r="B1804" s="31" t="str">
        <x:f>IF('Execution Checklist'!Q1804="","",'Execution Checklist'!Q1804)</x:f>
      </x:c>
      <x:c r="C1804" s="31" t="str">
        <x:v>Leave exactly one object in the bowl.</x:v>
      </x:c>
      <x:c r="D1804" s="31" t="str">
        <x:v>REMOVE one bowl object</x:v>
      </x:c>
      <x:c r="E1804" s="31" t="str">
        <x:v>Score against the displayed diagnostic instruction, which is not supplied to BC; analyze paired action switching.</x:v>
      </x:c>
      <x:c r="F1804" s="31"/>
      <x:c r="G1804" s="31"/>
      <x:c r="H1804" s="31" t="str">
        <x:f>IF(OR(F1804="",G1804=""),"",IF(F1804=G1804,"Agree","Disagree"))</x:f>
      </x:c>
      <x:c r="I1804" s="31"/>
      <x:c r="J1804" s="31" t="str">
        <x:v>No</x:v>
      </x:c>
      <x:c r="K1804" s="31" t="str"/>
      <x:c r="L1804" s="31" t="str"/>
      <x:c r="M1804" s="31" t="str"/>
      <x:c r="N1804" s="31" t="str"/>
    </x:row>
    <x:row r="1805" ht="42" customHeight="1">
      <x:c r="A1805" s="35" t="n">
        <x:v>1803</x:v>
      </x:c>
      <x:c r="B1805" s="31" t="str">
        <x:f>IF('Execution Checklist'!Q1805="","",'Execution Checklist'!Q1805)</x:f>
      </x:c>
      <x:c r="C1805" s="31" t="str">
        <x:v>Leave exactly three objects in the bowl.</x:v>
      </x:c>
      <x:c r="D1805" s="31" t="str">
        <x:v>ADD one table object</x:v>
      </x:c>
      <x:c r="E1805" s="31" t="str">
        <x:v>Score against the displayed diagnostic instruction, which is not supplied to BC; analyze paired action switching.</x:v>
      </x:c>
      <x:c r="F1805" s="31"/>
      <x:c r="G1805" s="31"/>
      <x:c r="H1805" s="31" t="str">
        <x:f>IF(OR(F1805="",G1805=""),"",IF(F1805=G1805,"Agree","Disagree"))</x:f>
      </x:c>
      <x:c r="I1805" s="31"/>
      <x:c r="J1805" s="31" t="str">
        <x:v>No</x:v>
      </x:c>
      <x:c r="K1805" s="31" t="str"/>
      <x:c r="L1805" s="31" t="str"/>
      <x:c r="M1805" s="31" t="str"/>
      <x:c r="N1805" s="31" t="str"/>
    </x:row>
    <x:row r="1806" ht="42" customHeight="1">
      <x:c r="A1806" s="35" t="n">
        <x:v>1804</x:v>
      </x:c>
      <x:c r="B1806" s="31" t="str">
        <x:f>IF('Execution Checklist'!Q1806="","",'Execution Checklist'!Q1806)</x:f>
      </x:c>
      <x:c r="C1806" s="31" t="str">
        <x:v>Leave exactly three objects in the bowl.</x:v>
      </x:c>
      <x:c r="D1806" s="31" t="str">
        <x:v>ADD one table object</x:v>
      </x:c>
      <x:c r="E1806" s="31" t="str">
        <x:v>Score against the displayed diagnostic instruction, which is not supplied to BC; analyze paired action switching.</x:v>
      </x:c>
      <x:c r="F1806" s="31"/>
      <x:c r="G1806" s="31"/>
      <x:c r="H1806" s="31" t="str">
        <x:f>IF(OR(F1806="",G1806=""),"",IF(F1806=G1806,"Agree","Disagree"))</x:f>
      </x:c>
      <x:c r="I1806" s="31"/>
      <x:c r="J1806" s="31" t="str">
        <x:v>No</x:v>
      </x:c>
      <x:c r="K1806" s="31" t="str"/>
      <x:c r="L1806" s="31" t="str"/>
      <x:c r="M1806" s="31" t="str"/>
      <x:c r="N1806" s="31" t="str"/>
    </x:row>
    <x:row r="1807" ht="42" customHeight="1">
      <x:c r="A1807" s="35" t="n">
        <x:v>1805</x:v>
      </x:c>
      <x:c r="B1807" s="31" t="str">
        <x:f>IF('Execution Checklist'!Q1807="","",'Execution Checklist'!Q1807)</x:f>
      </x:c>
      <x:c r="C1807" s="31" t="str">
        <x:v>Leave exactly one object in the bowl.</x:v>
      </x:c>
      <x:c r="D1807" s="31" t="str">
        <x:v>REMOVE one bowl object</x:v>
      </x:c>
      <x:c r="E1807" s="31" t="str">
        <x:v>Score against the displayed diagnostic instruction, which is not supplied to BC; analyze paired action switching.</x:v>
      </x:c>
      <x:c r="F1807" s="31"/>
      <x:c r="G1807" s="31"/>
      <x:c r="H1807" s="31" t="str">
        <x:f>IF(OR(F1807="",G1807=""),"",IF(F1807=G1807,"Agree","Disagree"))</x:f>
      </x:c>
      <x:c r="I1807" s="31"/>
      <x:c r="J1807" s="31" t="str">
        <x:v>No</x:v>
      </x:c>
      <x:c r="K1807" s="31" t="str"/>
      <x:c r="L1807" s="31" t="str"/>
      <x:c r="M1807" s="31" t="str"/>
      <x:c r="N1807" s="31" t="str"/>
    </x:row>
    <x:row r="1808" ht="42" customHeight="1">
      <x:c r="A1808" s="35" t="n">
        <x:v>1806</x:v>
      </x:c>
      <x:c r="B1808" s="31" t="str">
        <x:f>IF('Execution Checklist'!Q1808="","",'Execution Checklist'!Q1808)</x:f>
      </x:c>
      <x:c r="C1808" s="31" t="str">
        <x:v>Leave exactly three objects in the bowl.</x:v>
      </x:c>
      <x:c r="D1808" s="31" t="str">
        <x:v>ADD one table object</x:v>
      </x:c>
      <x:c r="E1808" s="31" t="str">
        <x:v>Score against the displayed diagnostic instruction, which is not supplied to BC; analyze paired action switching.</x:v>
      </x:c>
      <x:c r="F1808" s="31"/>
      <x:c r="G1808" s="31"/>
      <x:c r="H1808" s="31" t="str">
        <x:f>IF(OR(F1808="",G1808=""),"",IF(F1808=G1808,"Agree","Disagree"))</x:f>
      </x:c>
      <x:c r="I1808" s="31"/>
      <x:c r="J1808" s="31" t="str">
        <x:v>No</x:v>
      </x:c>
      <x:c r="K1808" s="31" t="str"/>
      <x:c r="L1808" s="31" t="str"/>
      <x:c r="M1808" s="31" t="str"/>
      <x:c r="N1808" s="31" t="str"/>
    </x:row>
    <x:row r="1809" ht="42" customHeight="1">
      <x:c r="A1809" s="35" t="n">
        <x:v>1807</x:v>
      </x:c>
      <x:c r="B1809" s="31" t="str">
        <x:f>IF('Execution Checklist'!Q1809="","",'Execution Checklist'!Q1809)</x:f>
      </x:c>
      <x:c r="C1809" s="31" t="str">
        <x:v>Leave exactly one object in the bowl.</x:v>
      </x:c>
      <x:c r="D1809" s="31" t="str">
        <x:v>REMOVE one bowl object</x:v>
      </x:c>
      <x:c r="E1809" s="31" t="str">
        <x:v>Score against the displayed diagnostic instruction, which is not supplied to BC; analyze paired action switching.</x:v>
      </x:c>
      <x:c r="F1809" s="31"/>
      <x:c r="G1809" s="31"/>
      <x:c r="H1809" s="31" t="str">
        <x:f>IF(OR(F1809="",G1809=""),"",IF(F1809=G1809,"Agree","Disagree"))</x:f>
      </x:c>
      <x:c r="I1809" s="31"/>
      <x:c r="J1809" s="31" t="str">
        <x:v>No</x:v>
      </x:c>
      <x:c r="K1809" s="31" t="str"/>
      <x:c r="L1809" s="31" t="str"/>
      <x:c r="M1809" s="31" t="str"/>
      <x:c r="N1809" s="31" t="str"/>
    </x:row>
    <x:row r="1810" ht="42" customHeight="1">
      <x:c r="A1810" s="35" t="n">
        <x:v>1808</x:v>
      </x:c>
      <x:c r="B1810" s="31" t="str">
        <x:f>IF('Execution Checklist'!Q1810="","",'Execution Checklist'!Q1810)</x:f>
      </x:c>
      <x:c r="C1810" s="31" t="str">
        <x:v>Leave exactly three objects in the bowl.</x:v>
      </x:c>
      <x:c r="D1810" s="31" t="str">
        <x:v>ADD one table object</x:v>
      </x:c>
      <x:c r="E1810" s="31" t="str">
        <x:v>Score against the displayed diagnostic instruction, which is not supplied to BC; analyze paired action switching.</x:v>
      </x:c>
      <x:c r="F1810" s="31"/>
      <x:c r="G1810" s="31"/>
      <x:c r="H1810" s="31" t="str">
        <x:f>IF(OR(F1810="",G1810=""),"",IF(F1810=G1810,"Agree","Disagree"))</x:f>
      </x:c>
      <x:c r="I1810" s="31"/>
      <x:c r="J1810" s="31" t="str">
        <x:v>No</x:v>
      </x:c>
      <x:c r="K1810" s="31" t="str"/>
      <x:c r="L1810" s="31" t="str"/>
      <x:c r="M1810" s="31" t="str"/>
      <x:c r="N1810" s="31" t="str"/>
    </x:row>
    <x:row r="1811" ht="42" customHeight="1">
      <x:c r="A1811" s="35" t="n">
        <x:v>1809</x:v>
      </x:c>
      <x:c r="B1811" s="31" t="str">
        <x:f>IF('Execution Checklist'!Q1811="","",'Execution Checklist'!Q1811)</x:f>
      </x:c>
      <x:c r="C1811" s="31" t="str">
        <x:v>Leave exactly three objects in the bowl.</x:v>
      </x:c>
      <x:c r="D1811" s="31" t="str">
        <x:v>ADD one table object</x:v>
      </x:c>
      <x:c r="E1811" s="31" t="str">
        <x:v>Score against the displayed diagnostic instruction, which is not supplied to BC; analyze paired action switching.</x:v>
      </x:c>
      <x:c r="F1811" s="31"/>
      <x:c r="G1811" s="31"/>
      <x:c r="H1811" s="31" t="str">
        <x:f>IF(OR(F1811="",G1811=""),"",IF(F1811=G1811,"Agree","Disagree"))</x:f>
      </x:c>
      <x:c r="I1811" s="31"/>
      <x:c r="J1811" s="31" t="str">
        <x:v>No</x:v>
      </x:c>
      <x:c r="K1811" s="31" t="str"/>
      <x:c r="L1811" s="31" t="str"/>
      <x:c r="M1811" s="31" t="str"/>
      <x:c r="N1811" s="31" t="str"/>
    </x:row>
    <x:row r="1812" ht="42" customHeight="1">
      <x:c r="A1812" s="35" t="n">
        <x:v>1810</x:v>
      </x:c>
      <x:c r="B1812" s="31" t="str">
        <x:f>IF('Execution Checklist'!Q1812="","",'Execution Checklist'!Q1812)</x:f>
      </x:c>
      <x:c r="C1812" s="31" t="str">
        <x:v>Leave exactly one object in the bowl.</x:v>
      </x:c>
      <x:c r="D1812" s="31" t="str">
        <x:v>REMOVE one bowl object</x:v>
      </x:c>
      <x:c r="E1812" s="31" t="str">
        <x:v>Score against the displayed diagnostic instruction, which is not supplied to BC; analyze paired action switching.</x:v>
      </x:c>
      <x:c r="F1812" s="31"/>
      <x:c r="G1812" s="31"/>
      <x:c r="H1812" s="31" t="str">
        <x:f>IF(OR(F1812="",G1812=""),"",IF(F1812=G1812,"Agree","Disagree"))</x:f>
      </x:c>
      <x:c r="I1812" s="31"/>
      <x:c r="J1812" s="31" t="str">
        <x:v>No</x:v>
      </x:c>
      <x:c r="K1812" s="31" t="str"/>
      <x:c r="L1812" s="31" t="str"/>
      <x:c r="M1812" s="31" t="str"/>
      <x:c r="N1812" s="31" t="str"/>
    </x:row>
    <x:row r="1813" ht="42" customHeight="1">
      <x:c r="A1813" s="35" t="n">
        <x:v>1811</x:v>
      </x:c>
      <x:c r="B1813" s="31" t="str">
        <x:f>IF('Execution Checklist'!Q1813="","",'Execution Checklist'!Q1813)</x:f>
      </x:c>
      <x:c r="C1813" s="31" t="str">
        <x:v>Leave exactly one object in the bowl.</x:v>
      </x:c>
      <x:c r="D1813" s="31" t="str">
        <x:v>REMOVE one bowl object</x:v>
      </x:c>
      <x:c r="E1813" s="31" t="str">
        <x:v>Score against the displayed diagnostic instruction, which is not supplied to BC; analyze paired action switching.</x:v>
      </x:c>
      <x:c r="F1813" s="31"/>
      <x:c r="G1813" s="31"/>
      <x:c r="H1813" s="31" t="str">
        <x:f>IF(OR(F1813="",G1813=""),"",IF(F1813=G1813,"Agree","Disagree"))</x:f>
      </x:c>
      <x:c r="I1813" s="31"/>
      <x:c r="J1813" s="31" t="str">
        <x:v>No</x:v>
      </x:c>
      <x:c r="K1813" s="31" t="str"/>
      <x:c r="L1813" s="31" t="str"/>
      <x:c r="M1813" s="31" t="str"/>
      <x:c r="N1813" s="31" t="str"/>
    </x:row>
    <x:row r="1814" ht="42" customHeight="1">
      <x:c r="A1814" s="35" t="n">
        <x:v>1812</x:v>
      </x:c>
      <x:c r="B1814" s="31" t="str">
        <x:f>IF('Execution Checklist'!Q1814="","",'Execution Checklist'!Q1814)</x:f>
      </x:c>
      <x:c r="C1814" s="31" t="str">
        <x:v>Leave exactly three objects in the bowl.</x:v>
      </x:c>
      <x:c r="D1814" s="31" t="str">
        <x:v>ADD one table object</x:v>
      </x:c>
      <x:c r="E1814" s="31" t="str">
        <x:v>Score against the displayed diagnostic instruction, which is not supplied to BC; analyze paired action switching.</x:v>
      </x:c>
      <x:c r="F1814" s="31"/>
      <x:c r="G1814" s="31"/>
      <x:c r="H1814" s="31" t="str">
        <x:f>IF(OR(F1814="",G1814=""),"",IF(F1814=G1814,"Agree","Disagree"))</x:f>
      </x:c>
      <x:c r="I1814" s="31"/>
      <x:c r="J1814" s="31" t="str">
        <x:v>No</x:v>
      </x:c>
      <x:c r="K1814" s="31" t="str"/>
      <x:c r="L1814" s="31" t="str"/>
      <x:c r="M1814" s="31" t="str"/>
      <x:c r="N1814" s="31" t="str"/>
    </x:row>
    <x:row r="1815" ht="42" customHeight="1">
      <x:c r="A1815" s="35" t="n">
        <x:v>1813</x:v>
      </x:c>
      <x:c r="B1815" s="31" t="str">
        <x:f>IF('Execution Checklist'!Q1815="","",'Execution Checklist'!Q1815)</x:f>
      </x:c>
      <x:c r="C1815" s="31" t="str">
        <x:v>Leave exactly three objects in the bowl.</x:v>
      </x:c>
      <x:c r="D1815" s="31" t="str">
        <x:v>ADD one table object</x:v>
      </x:c>
      <x:c r="E1815" s="31" t="str">
        <x:v>Score against the displayed diagnostic instruction, which is not supplied to BC; analyze paired action switching.</x:v>
      </x:c>
      <x:c r="F1815" s="31"/>
      <x:c r="G1815" s="31"/>
      <x:c r="H1815" s="31" t="str">
        <x:f>IF(OR(F1815="",G1815=""),"",IF(F1815=G1815,"Agree","Disagree"))</x:f>
      </x:c>
      <x:c r="I1815" s="31"/>
      <x:c r="J1815" s="31" t="str">
        <x:v>No</x:v>
      </x:c>
      <x:c r="K1815" s="31" t="str"/>
      <x:c r="L1815" s="31" t="str"/>
      <x:c r="M1815" s="31" t="str"/>
      <x:c r="N1815" s="31" t="str"/>
    </x:row>
    <x:row r="1816" ht="42" customHeight="1">
      <x:c r="A1816" s="35" t="n">
        <x:v>1814</x:v>
      </x:c>
      <x:c r="B1816" s="31" t="str">
        <x:f>IF('Execution Checklist'!Q1816="","",'Execution Checklist'!Q1816)</x:f>
      </x:c>
      <x:c r="C1816" s="31" t="str">
        <x:v>Place the open yellow-white striped cup in the bowl.</x:v>
      </x:c>
      <x:c r="D1816" s="31" t="str">
        <x:v>yellow-white striped cup B</x:v>
      </x:c>
      <x:c r="E1816" s="31" t="str">
        <x:v>Score against the displayed diagnostic instruction, which is not supplied to BC; analyze paired action switching.</x:v>
      </x:c>
      <x:c r="F1816" s="31"/>
      <x:c r="G1816" s="31"/>
      <x:c r="H1816" s="31" t="str">
        <x:f>IF(OR(F1816="",G1816=""),"",IF(F1816=G1816,"Agree","Disagree"))</x:f>
      </x:c>
      <x:c r="I1816" s="31"/>
      <x:c r="J1816" s="31" t="str">
        <x:v>No</x:v>
      </x:c>
      <x:c r="K1816" s="31" t="str"/>
      <x:c r="L1816" s="31" t="str"/>
      <x:c r="M1816" s="31" t="str"/>
      <x:c r="N1816" s="31" t="str"/>
    </x:row>
    <x:row r="1817" ht="42" customHeight="1">
      <x:c r="A1817" s="35" t="n">
        <x:v>1815</x:v>
      </x:c>
      <x:c r="B1817" s="31" t="str">
        <x:f>IF('Execution Checklist'!Q1817="","",'Execution Checklist'!Q1817)</x:f>
      </x:c>
      <x:c r="C1817" s="31" t="str">
        <x:v>Place the open white cup in the bowl.</x:v>
      </x:c>
      <x:c r="D1817" s="31" t="str">
        <x:v>white cup B</x:v>
      </x:c>
      <x:c r="E1817" s="31" t="str">
        <x:v>Score against the displayed diagnostic instruction, which is not supplied to BC; analyze paired action switching.</x:v>
      </x:c>
      <x:c r="F1817" s="31"/>
      <x:c r="G1817" s="31"/>
      <x:c r="H1817" s="31" t="str">
        <x:f>IF(OR(F1817="",G1817=""),"",IF(F1817=G1817,"Agree","Disagree"))</x:f>
      </x:c>
      <x:c r="I1817" s="31"/>
      <x:c r="J1817" s="31" t="str">
        <x:v>No</x:v>
      </x:c>
      <x:c r="K1817" s="31" t="str"/>
      <x:c r="L1817" s="31" t="str"/>
      <x:c r="M1817" s="31" t="str"/>
      <x:c r="N1817" s="31" t="str"/>
    </x:row>
    <x:row r="1818" ht="42" customHeight="1">
      <x:c r="A1818" s="35" t="n">
        <x:v>1816</x:v>
      </x:c>
      <x:c r="B1818" s="31" t="str">
        <x:f>IF('Execution Checklist'!Q1818="","",'Execution Checklist'!Q1818)</x:f>
      </x:c>
      <x:c r="C1818" s="31" t="str">
        <x:v>Place the upside-down yellow-white striped cup in the bowl.</x:v>
      </x:c>
      <x:c r="D1818" s="31" t="str">
        <x:v>yellow-white striped cup A</x:v>
      </x:c>
      <x:c r="E1818" s="31" t="str">
        <x:v>Score against the displayed diagnostic instruction, which is not supplied to BC; analyze paired action switching.</x:v>
      </x:c>
      <x:c r="F1818" s="31"/>
      <x:c r="G1818" s="31"/>
      <x:c r="H1818" s="31" t="str">
        <x:f>IF(OR(F1818="",G1818=""),"",IF(F1818=G1818,"Agree","Disagree"))</x:f>
      </x:c>
      <x:c r="I1818" s="31"/>
      <x:c r="J1818" s="31" t="str">
        <x:v>No</x:v>
      </x:c>
      <x:c r="K1818" s="31" t="str"/>
      <x:c r="L1818" s="31" t="str"/>
      <x:c r="M1818" s="31" t="str"/>
      <x:c r="N1818" s="31" t="str"/>
    </x:row>
    <x:row r="1819" ht="42" customHeight="1">
      <x:c r="A1819" s="35" t="n">
        <x:v>1817</x:v>
      </x:c>
      <x:c r="B1819" s="31" t="str">
        <x:f>IF('Execution Checklist'!Q1819="","",'Execution Checklist'!Q1819)</x:f>
      </x:c>
      <x:c r="C1819" s="31" t="str">
        <x:v>Place the upside-down brown cup in the bowl.</x:v>
      </x:c>
      <x:c r="D1819" s="31" t="str">
        <x:v>brown cup A</x:v>
      </x:c>
      <x:c r="E1819" s="31" t="str">
        <x:v>Score against the displayed diagnostic instruction, which is not supplied to BC; analyze paired action switching.</x:v>
      </x:c>
      <x:c r="F1819" s="31"/>
      <x:c r="G1819" s="31"/>
      <x:c r="H1819" s="31" t="str">
        <x:f>IF(OR(F1819="",G1819=""),"",IF(F1819=G1819,"Agree","Disagree"))</x:f>
      </x:c>
      <x:c r="I1819" s="31"/>
      <x:c r="J1819" s="31" t="str">
        <x:v>No</x:v>
      </x:c>
      <x:c r="K1819" s="31" t="str"/>
      <x:c r="L1819" s="31" t="str"/>
      <x:c r="M1819" s="31" t="str"/>
      <x:c r="N1819" s="31" t="str"/>
    </x:row>
    <x:row r="1820" ht="42" customHeight="1">
      <x:c r="A1820" s="35" t="n">
        <x:v>1818</x:v>
      </x:c>
      <x:c r="B1820" s="31" t="str">
        <x:f>IF('Execution Checklist'!Q1820="","",'Execution Checklist'!Q1820)</x:f>
      </x:c>
      <x:c r="C1820" s="31" t="str">
        <x:v>Place the upright brown cup in the bowl.</x:v>
      </x:c>
      <x:c r="D1820" s="31" t="str">
        <x:v>brown cup B</x:v>
      </x:c>
      <x:c r="E1820" s="31" t="str">
        <x:v>Score against the displayed diagnostic instruction, which is not supplied to BC; analyze paired action switching.</x:v>
      </x:c>
      <x:c r="F1820" s="31"/>
      <x:c r="G1820" s="31"/>
      <x:c r="H1820" s="31" t="str">
        <x:f>IF(OR(F1820="",G1820=""),"",IF(F1820=G1820,"Agree","Disagree"))</x:f>
      </x:c>
      <x:c r="I1820" s="31"/>
      <x:c r="J1820" s="31" t="str">
        <x:v>No</x:v>
      </x:c>
      <x:c r="K1820" s="31" t="str"/>
      <x:c r="L1820" s="31" t="str"/>
      <x:c r="M1820" s="31" t="str"/>
      <x:c r="N1820" s="31" t="str"/>
    </x:row>
    <x:row r="1821" ht="42" customHeight="1">
      <x:c r="A1821" s="35" t="n">
        <x:v>1819</x:v>
      </x:c>
      <x:c r="B1821" s="31" t="str">
        <x:f>IF('Execution Checklist'!Q1821="","",'Execution Checklist'!Q1821)</x:f>
      </x:c>
      <x:c r="C1821" s="31" t="str">
        <x:v>Place the upside-down white cup in the bowl.</x:v>
      </x:c>
      <x:c r="D1821" s="31" t="str">
        <x:v>white cup A</x:v>
      </x:c>
      <x:c r="E1821" s="31" t="str">
        <x:v>Score against the displayed diagnostic instruction, which is not supplied to BC; analyze paired action switching.</x:v>
      </x:c>
      <x:c r="F1821" s="31"/>
      <x:c r="G1821" s="31"/>
      <x:c r="H1821" s="31" t="str">
        <x:f>IF(OR(F1821="",G1821=""),"",IF(F1821=G1821,"Agree","Disagree"))</x:f>
      </x:c>
      <x:c r="I1821" s="31"/>
      <x:c r="J1821" s="31" t="str">
        <x:v>No</x:v>
      </x:c>
      <x:c r="K1821" s="31" t="str"/>
      <x:c r="L1821" s="31" t="str"/>
      <x:c r="M1821" s="31" t="str"/>
      <x:c r="N1821" s="31" t="str"/>
    </x:row>
    <x:row r="1822" ht="42" customHeight="1">
      <x:c r="A1822" s="35" t="n">
        <x:v>1820</x:v>
      </x:c>
      <x:c r="B1822" s="31" t="str">
        <x:f>IF('Execution Checklist'!Q1822="","",'Execution Checklist'!Q1822)</x:f>
      </x:c>
      <x:c r="C1822" s="31" t="str">
        <x:v>Place the upside-down yellow-white striped cup in the bowl.</x:v>
      </x:c>
      <x:c r="D1822" s="31" t="str">
        <x:v>yellow-white striped cup A</x:v>
      </x:c>
      <x:c r="E1822" s="31" t="str">
        <x:v>Score against the displayed diagnostic instruction, which is not supplied to BC; analyze paired action switching.</x:v>
      </x:c>
      <x:c r="F1822" s="31"/>
      <x:c r="G1822" s="31"/>
      <x:c r="H1822" s="31" t="str">
        <x:f>IF(OR(F1822="",G1822=""),"",IF(F1822=G1822,"Agree","Disagree"))</x:f>
      </x:c>
      <x:c r="I1822" s="31"/>
      <x:c r="J1822" s="31" t="str">
        <x:v>No</x:v>
      </x:c>
      <x:c r="K1822" s="31" t="str"/>
      <x:c r="L1822" s="31" t="str"/>
      <x:c r="M1822" s="31" t="str"/>
      <x:c r="N1822" s="31" t="str"/>
    </x:row>
    <x:row r="1823" ht="42" customHeight="1">
      <x:c r="A1823" s="35" t="n">
        <x:v>1821</x:v>
      </x:c>
      <x:c r="B1823" s="31" t="str">
        <x:f>IF('Execution Checklist'!Q1823="","",'Execution Checklist'!Q1823)</x:f>
      </x:c>
      <x:c r="C1823" s="31" t="str">
        <x:v>Place the open brown cup in the bowl.</x:v>
      </x:c>
      <x:c r="D1823" s="31" t="str">
        <x:v>brown cup B</x:v>
      </x:c>
      <x:c r="E1823" s="31" t="str">
        <x:v>Score against the displayed diagnostic instruction, which is not supplied to BC; analyze paired action switching.</x:v>
      </x:c>
      <x:c r="F1823" s="31"/>
      <x:c r="G1823" s="31"/>
      <x:c r="H1823" s="31" t="str">
        <x:f>IF(OR(F1823="",G1823=""),"",IF(F1823=G1823,"Agree","Disagree"))</x:f>
      </x:c>
      <x:c r="I1823" s="31"/>
      <x:c r="J1823" s="31" t="str">
        <x:v>No</x:v>
      </x:c>
      <x:c r="K1823" s="31" t="str"/>
      <x:c r="L1823" s="31" t="str"/>
      <x:c r="M1823" s="31" t="str"/>
      <x:c r="N1823" s="31" t="str"/>
    </x:row>
    <x:row r="1824" ht="42" customHeight="1">
      <x:c r="A1824" s="35" t="n">
        <x:v>1822</x:v>
      </x:c>
      <x:c r="B1824" s="31" t="str">
        <x:f>IF('Execution Checklist'!Q1824="","",'Execution Checklist'!Q1824)</x:f>
      </x:c>
      <x:c r="C1824" s="31" t="str">
        <x:v>Place the closed brown cup in the bowl.</x:v>
      </x:c>
      <x:c r="D1824" s="31" t="str">
        <x:v>brown cup A</x:v>
      </x:c>
      <x:c r="E1824" s="31" t="str">
        <x:v>Score against the displayed diagnostic instruction, which is not supplied to BC; analyze paired action switching.</x:v>
      </x:c>
      <x:c r="F1824" s="31"/>
      <x:c r="G1824" s="31"/>
      <x:c r="H1824" s="31" t="str">
        <x:f>IF(OR(F1824="",G1824=""),"",IF(F1824=G1824,"Agree","Disagree"))</x:f>
      </x:c>
      <x:c r="I1824" s="31"/>
      <x:c r="J1824" s="31" t="str">
        <x:v>No</x:v>
      </x:c>
      <x:c r="K1824" s="31" t="str"/>
      <x:c r="L1824" s="31" t="str"/>
      <x:c r="M1824" s="31" t="str"/>
      <x:c r="N1824" s="31" t="str"/>
    </x:row>
    <x:row r="1825" ht="42" customHeight="1">
      <x:c r="A1825" s="35" t="n">
        <x:v>1823</x:v>
      </x:c>
      <x:c r="B1825" s="31" t="str">
        <x:f>IF('Execution Checklist'!Q1825="","",'Execution Checklist'!Q1825)</x:f>
      </x:c>
      <x:c r="C1825" s="31" t="str">
        <x:v>Place the closed glass spice container in the bowl.</x:v>
      </x:c>
      <x:c r="D1825" s="31" t="str">
        <x:v>glass spice container B</x:v>
      </x:c>
      <x:c r="E1825" s="31" t="str">
        <x:v>Score against the displayed diagnostic instruction, which is not supplied to BC; analyze paired action switching.</x:v>
      </x:c>
      <x:c r="F1825" s="31"/>
      <x:c r="G1825" s="31"/>
      <x:c r="H1825" s="31" t="str">
        <x:f>IF(OR(F1825="",G1825=""),"",IF(F1825=G1825,"Agree","Disagree"))</x:f>
      </x:c>
      <x:c r="I1825" s="31"/>
      <x:c r="J1825" s="31" t="str">
        <x:v>No</x:v>
      </x:c>
      <x:c r="K1825" s="31" t="str"/>
      <x:c r="L1825" s="31" t="str"/>
      <x:c r="M1825" s="31" t="str"/>
      <x:c r="N1825" s="31" t="str"/>
    </x:row>
    <x:row r="1826" ht="42" customHeight="1">
      <x:c r="A1826" s="35" t="n">
        <x:v>1824</x:v>
      </x:c>
      <x:c r="B1826" s="31" t="str">
        <x:f>IF('Execution Checklist'!Q1826="","",'Execution Checklist'!Q1826)</x:f>
      </x:c>
      <x:c r="C1826" s="31" t="str">
        <x:v>Place the upright yellow-white striped cup in the bowl.</x:v>
      </x:c>
      <x:c r="D1826" s="31" t="str">
        <x:v>yellow-white striped cup B</x:v>
      </x:c>
      <x:c r="E1826" s="31" t="str">
        <x:v>Score against the displayed diagnostic instruction, which is not supplied to BC; analyze paired action switching.</x:v>
      </x:c>
      <x:c r="F1826" s="31"/>
      <x:c r="G1826" s="31"/>
      <x:c r="H1826" s="31" t="str">
        <x:f>IF(OR(F1826="",G1826=""),"",IF(F1826=G1826,"Agree","Disagree"))</x:f>
      </x:c>
      <x:c r="I1826" s="31"/>
      <x:c r="J1826" s="31" t="str">
        <x:v>No</x:v>
      </x:c>
      <x:c r="K1826" s="31" t="str"/>
      <x:c r="L1826" s="31" t="str"/>
      <x:c r="M1826" s="31" t="str"/>
      <x:c r="N1826" s="31" t="str"/>
    </x:row>
    <x:row r="1827" ht="42" customHeight="1">
      <x:c r="A1827" s="35" t="n">
        <x:v>1825</x:v>
      </x:c>
      <x:c r="B1827" s="31" t="str">
        <x:f>IF('Execution Checklist'!Q1827="","",'Execution Checklist'!Q1827)</x:f>
      </x:c>
      <x:c r="C1827" s="31" t="str">
        <x:v>Place the upright glass spice container in the bowl.</x:v>
      </x:c>
      <x:c r="D1827" s="31" t="str">
        <x:v>glass spice container A</x:v>
      </x:c>
      <x:c r="E1827" s="31" t="str">
        <x:v>Score against the displayed diagnostic instruction, which is not supplied to BC; analyze paired action switching.</x:v>
      </x:c>
      <x:c r="F1827" s="31"/>
      <x:c r="G1827" s="31"/>
      <x:c r="H1827" s="31" t="str">
        <x:f>IF(OR(F1827="",G1827=""),"",IF(F1827=G1827,"Agree","Disagree"))</x:f>
      </x:c>
      <x:c r="I1827" s="31"/>
      <x:c r="J1827" s="31" t="str">
        <x:v>No</x:v>
      </x:c>
      <x:c r="K1827" s="31" t="str"/>
      <x:c r="L1827" s="31" t="str"/>
      <x:c r="M1827" s="31" t="str"/>
      <x:c r="N1827" s="31" t="str"/>
    </x:row>
    <x:row r="1828" ht="42" customHeight="1">
      <x:c r="A1828" s="35" t="n">
        <x:v>1826</x:v>
      </x:c>
      <x:c r="B1828" s="31" t="str">
        <x:f>IF('Execution Checklist'!Q1828="","",'Execution Checklist'!Q1828)</x:f>
      </x:c>
      <x:c r="C1828" s="31" t="str">
        <x:v>Place the upright yellow-white striped cup in the bowl.</x:v>
      </x:c>
      <x:c r="D1828" s="31" t="str">
        <x:v>yellow-white striped cup B</x:v>
      </x:c>
      <x:c r="E1828" s="31" t="str">
        <x:v>Score against the displayed diagnostic instruction, which is not supplied to BC; analyze paired action switching.</x:v>
      </x:c>
      <x:c r="F1828" s="31"/>
      <x:c r="G1828" s="31"/>
      <x:c r="H1828" s="31" t="str">
        <x:f>IF(OR(F1828="",G1828=""),"",IF(F1828=G1828,"Agree","Disagree"))</x:f>
      </x:c>
      <x:c r="I1828" s="31"/>
      <x:c r="J1828" s="31" t="str">
        <x:v>No</x:v>
      </x:c>
      <x:c r="K1828" s="31" t="str"/>
      <x:c r="L1828" s="31" t="str"/>
      <x:c r="M1828" s="31" t="str"/>
      <x:c r="N1828" s="31" t="str"/>
    </x:row>
    <x:row r="1829" ht="42" customHeight="1">
      <x:c r="A1829" s="35" t="n">
        <x:v>1827</x:v>
      </x:c>
      <x:c r="B1829" s="31" t="str">
        <x:f>IF('Execution Checklist'!Q1829="","",'Execution Checklist'!Q1829)</x:f>
      </x:c>
      <x:c r="C1829" s="31" t="str">
        <x:v>Place the open white cup in the bowl.</x:v>
      </x:c>
      <x:c r="D1829" s="31" t="str">
        <x:v>white cup B</x:v>
      </x:c>
      <x:c r="E1829" s="31" t="str">
        <x:v>Score against the displayed diagnostic instruction, which is not supplied to BC; analyze paired action switching.</x:v>
      </x:c>
      <x:c r="F1829" s="31"/>
      <x:c r="G1829" s="31"/>
      <x:c r="H1829" s="31" t="str">
        <x:f>IF(OR(F1829="",G1829=""),"",IF(F1829=G1829,"Agree","Disagree"))</x:f>
      </x:c>
      <x:c r="I1829" s="31"/>
      <x:c r="J1829" s="31" t="str">
        <x:v>No</x:v>
      </x:c>
      <x:c r="K1829" s="31" t="str"/>
      <x:c r="L1829" s="31" t="str"/>
      <x:c r="M1829" s="31" t="str"/>
      <x:c r="N1829" s="31" t="str"/>
    </x:row>
    <x:row r="1830" ht="42" customHeight="1">
      <x:c r="A1830" s="35" t="n">
        <x:v>1828</x:v>
      </x:c>
      <x:c r="B1830" s="31" t="str">
        <x:f>IF('Execution Checklist'!Q1830="","",'Execution Checklist'!Q1830)</x:f>
      </x:c>
      <x:c r="C1830" s="31" t="str">
        <x:v>Place the upright white cup in the bowl.</x:v>
      </x:c>
      <x:c r="D1830" s="31" t="str">
        <x:v>white cup B</x:v>
      </x:c>
      <x:c r="E1830" s="31" t="str">
        <x:v>Score against the displayed diagnostic instruction, which is not supplied to BC; analyze paired action switching.</x:v>
      </x:c>
      <x:c r="F1830" s="31"/>
      <x:c r="G1830" s="31"/>
      <x:c r="H1830" s="31" t="str">
        <x:f>IF(OR(F1830="",G1830=""),"",IF(F1830=G1830,"Agree","Disagree"))</x:f>
      </x:c>
      <x:c r="I1830" s="31"/>
      <x:c r="J1830" s="31" t="str">
        <x:v>No</x:v>
      </x:c>
      <x:c r="K1830" s="31" t="str"/>
      <x:c r="L1830" s="31" t="str"/>
      <x:c r="M1830" s="31" t="str"/>
      <x:c r="N1830" s="31" t="str"/>
    </x:row>
    <x:row r="1831" ht="42" customHeight="1">
      <x:c r="A1831" s="35" t="n">
        <x:v>1829</x:v>
      </x:c>
      <x:c r="B1831" s="31" t="str">
        <x:f>IF('Execution Checklist'!Q1831="","",'Execution Checklist'!Q1831)</x:f>
      </x:c>
      <x:c r="C1831" s="31" t="str">
        <x:v>Place the closed white cup in the bowl.</x:v>
      </x:c>
      <x:c r="D1831" s="31" t="str">
        <x:v>white cup A</x:v>
      </x:c>
      <x:c r="E1831" s="31" t="str">
        <x:v>Score against the displayed diagnostic instruction, which is not supplied to BC; analyze paired action switching.</x:v>
      </x:c>
      <x:c r="F1831" s="31"/>
      <x:c r="G1831" s="31"/>
      <x:c r="H1831" s="31" t="str">
        <x:f>IF(OR(F1831="",G1831=""),"",IF(F1831=G1831,"Agree","Disagree"))</x:f>
      </x:c>
      <x:c r="I1831" s="31"/>
      <x:c r="J1831" s="31" t="str">
        <x:v>No</x:v>
      </x:c>
      <x:c r="K1831" s="31" t="str"/>
      <x:c r="L1831" s="31" t="str"/>
      <x:c r="M1831" s="31" t="str"/>
      <x:c r="N1831" s="31" t="str"/>
    </x:row>
    <x:row r="1832" ht="42" customHeight="1">
      <x:c r="A1832" s="35" t="n">
        <x:v>1830</x:v>
      </x:c>
      <x:c r="B1832" s="31" t="str">
        <x:f>IF('Execution Checklist'!Q1832="","",'Execution Checklist'!Q1832)</x:f>
      </x:c>
      <x:c r="C1832" s="31" t="str">
        <x:v>Place the upside-down glass spice container in the bowl.</x:v>
      </x:c>
      <x:c r="D1832" s="31" t="str">
        <x:v>glass spice container B</x:v>
      </x:c>
      <x:c r="E1832" s="31" t="str">
        <x:v>Score against the displayed diagnostic instruction, which is not supplied to BC; analyze paired action switching.</x:v>
      </x:c>
      <x:c r="F1832" s="31"/>
      <x:c r="G1832" s="31"/>
      <x:c r="H1832" s="31" t="str">
        <x:f>IF(OR(F1832="",G1832=""),"",IF(F1832=G1832,"Agree","Disagree"))</x:f>
      </x:c>
      <x:c r="I1832" s="31"/>
      <x:c r="J1832" s="31" t="str">
        <x:v>No</x:v>
      </x:c>
      <x:c r="K1832" s="31" t="str"/>
      <x:c r="L1832" s="31" t="str"/>
      <x:c r="M1832" s="31" t="str"/>
      <x:c r="N1832" s="31" t="str"/>
    </x:row>
    <x:row r="1833" ht="42" customHeight="1">
      <x:c r="A1833" s="35" t="n">
        <x:v>1831</x:v>
      </x:c>
      <x:c r="B1833" s="31" t="str">
        <x:f>IF('Execution Checklist'!Q1833="","",'Execution Checklist'!Q1833)</x:f>
      </x:c>
      <x:c r="C1833" s="31" t="str">
        <x:v>Place the open glass spice container in the bowl.</x:v>
      </x:c>
      <x:c r="D1833" s="31" t="str">
        <x:v>glass spice container A</x:v>
      </x:c>
      <x:c r="E1833" s="31" t="str">
        <x:v>Score against the displayed diagnostic instruction, which is not supplied to BC; analyze paired action switching.</x:v>
      </x:c>
      <x:c r="F1833" s="31"/>
      <x:c r="G1833" s="31"/>
      <x:c r="H1833" s="31" t="str">
        <x:f>IF(OR(F1833="",G1833=""),"",IF(F1833=G1833,"Agree","Disagree"))</x:f>
      </x:c>
      <x:c r="I1833" s="31"/>
      <x:c r="J1833" s="31" t="str">
        <x:v>No</x:v>
      </x:c>
      <x:c r="K1833" s="31" t="str"/>
      <x:c r="L1833" s="31" t="str"/>
      <x:c r="M1833" s="31" t="str"/>
      <x:c r="N1833" s="31" t="str"/>
    </x:row>
    <x:row r="1834" ht="42" customHeight="1">
      <x:c r="A1834" s="35" t="n">
        <x:v>1832</x:v>
      </x:c>
      <x:c r="B1834" s="31" t="str">
        <x:f>IF('Execution Checklist'!Q1834="","",'Execution Checklist'!Q1834)</x:f>
      </x:c>
      <x:c r="C1834" s="31" t="str">
        <x:v>Place the closed white cup in the bowl.</x:v>
      </x:c>
      <x:c r="D1834" s="31" t="str">
        <x:v>white cup A</x:v>
      </x:c>
      <x:c r="E1834" s="31" t="str">
        <x:v>Score against the displayed diagnostic instruction, which is not supplied to BC; analyze paired action switching.</x:v>
      </x:c>
      <x:c r="F1834" s="31"/>
      <x:c r="G1834" s="31"/>
      <x:c r="H1834" s="31" t="str">
        <x:f>IF(OR(F1834="",G1834=""),"",IF(F1834=G1834,"Agree","Disagree"))</x:f>
      </x:c>
      <x:c r="I1834" s="31"/>
      <x:c r="J1834" s="31" t="str">
        <x:v>No</x:v>
      </x:c>
      <x:c r="K1834" s="31" t="str"/>
      <x:c r="L1834" s="31" t="str"/>
      <x:c r="M1834" s="31" t="str"/>
      <x:c r="N1834" s="31" t="str"/>
    </x:row>
    <x:row r="1835" ht="42" customHeight="1">
      <x:c r="A1835" s="35" t="n">
        <x:v>1833</x:v>
      </x:c>
      <x:c r="B1835" s="31" t="str">
        <x:f>IF('Execution Checklist'!Q1835="","",'Execution Checklist'!Q1835)</x:f>
      </x:c>
      <x:c r="C1835" s="31" t="str">
        <x:v>Place the closed yellow-white striped cup in the bowl.</x:v>
      </x:c>
      <x:c r="D1835" s="31" t="str">
        <x:v>yellow-white striped cup A</x:v>
      </x:c>
      <x:c r="E1835" s="31" t="str">
        <x:v>Score against the displayed diagnostic instruction, which is not supplied to BC; analyze paired action switching.</x:v>
      </x:c>
      <x:c r="F1835" s="31"/>
      <x:c r="G1835" s="31"/>
      <x:c r="H1835" s="31" t="str">
        <x:f>IF(OR(F1835="",G1835=""),"",IF(F1835=G1835,"Agree","Disagree"))</x:f>
      </x:c>
      <x:c r="I1835" s="31"/>
      <x:c r="J1835" s="31" t="str">
        <x:v>No</x:v>
      </x:c>
      <x:c r="K1835" s="31" t="str"/>
      <x:c r="L1835" s="31" t="str"/>
      <x:c r="M1835" s="31" t="str"/>
      <x:c r="N1835" s="31" t="str"/>
    </x:row>
    <x:row r="1836" ht="42" customHeight="1">
      <x:c r="A1836" s="35" t="n">
        <x:v>1834</x:v>
      </x:c>
      <x:c r="B1836" s="31" t="str">
        <x:f>IF('Execution Checklist'!Q1836="","",'Execution Checklist'!Q1836)</x:f>
      </x:c>
      <x:c r="C1836" s="31" t="str">
        <x:v>Place the red block to the left of the green pen.</x:v>
      </x:c>
      <x:c r="D1836" s="31" t="str">
        <x:v>red block → to the left of green pen</x:v>
      </x:c>
      <x:c r="E1836" s="31" t="str">
        <x:v>Score against the displayed diagnostic instruction, which is not supplied to BC; analyze paired action switching.</x:v>
      </x:c>
      <x:c r="F1836" s="31"/>
      <x:c r="G1836" s="31"/>
      <x:c r="H1836" s="31" t="str">
        <x:f>IF(OR(F1836="",G1836=""),"",IF(F1836=G1836,"Agree","Disagree"))</x:f>
      </x:c>
      <x:c r="I1836" s="31"/>
      <x:c r="J1836" s="31" t="str">
        <x:v>No</x:v>
      </x:c>
      <x:c r="K1836" s="31" t="str"/>
      <x:c r="L1836" s="31" t="str"/>
      <x:c r="M1836" s="31" t="str"/>
      <x:c r="N1836" s="31" t="str"/>
    </x:row>
    <x:row r="1837" ht="42" customHeight="1">
      <x:c r="A1837" s="35" t="n">
        <x:v>1835</x:v>
      </x:c>
      <x:c r="B1837" s="31" t="str">
        <x:f>IF('Execution Checklist'!Q1837="","",'Execution Checklist'!Q1837)</x:f>
      </x:c>
      <x:c r="C1837" s="31" t="str">
        <x:v>Place the green pen in front of the red block.</x:v>
      </x:c>
      <x:c r="D1837" s="31" t="str">
        <x:v>green pen → in front of red block</x:v>
      </x:c>
      <x:c r="E1837" s="31" t="str">
        <x:v>Score against the displayed diagnostic instruction, which is not supplied to BC; analyze paired action switching.</x:v>
      </x:c>
      <x:c r="F1837" s="31"/>
      <x:c r="G1837" s="31"/>
      <x:c r="H1837" s="31" t="str">
        <x:f>IF(OR(F1837="",G1837=""),"",IF(F1837=G1837,"Agree","Disagree"))</x:f>
      </x:c>
      <x:c r="I1837" s="31"/>
      <x:c r="J1837" s="31" t="str">
        <x:v>No</x:v>
      </x:c>
      <x:c r="K1837" s="31" t="str"/>
      <x:c r="L1837" s="31" t="str"/>
      <x:c r="M1837" s="31" t="str"/>
      <x:c r="N1837" s="31" t="str"/>
    </x:row>
    <x:row r="1838" ht="42" customHeight="1">
      <x:c r="A1838" s="35" t="n">
        <x:v>1836</x:v>
      </x:c>
      <x:c r="B1838" s="31" t="str">
        <x:f>IF('Execution Checklist'!Q1838="","",'Execution Checklist'!Q1838)</x:f>
      </x:c>
      <x:c r="C1838" s="31" t="str">
        <x:v>Place the green pen in front of the red block.</x:v>
      </x:c>
      <x:c r="D1838" s="31" t="str">
        <x:v>green pen → in front of red block</x:v>
      </x:c>
      <x:c r="E1838" s="31" t="str">
        <x:v>Score against the displayed diagnostic instruction, which is not supplied to BC; analyze paired action switching.</x:v>
      </x:c>
      <x:c r="F1838" s="31"/>
      <x:c r="G1838" s="31"/>
      <x:c r="H1838" s="31" t="str">
        <x:f>IF(OR(F1838="",G1838=""),"",IF(F1838=G1838,"Agree","Disagree"))</x:f>
      </x:c>
      <x:c r="I1838" s="31"/>
      <x:c r="J1838" s="31" t="str">
        <x:v>No</x:v>
      </x:c>
      <x:c r="K1838" s="31" t="str"/>
      <x:c r="L1838" s="31" t="str"/>
      <x:c r="M1838" s="31" t="str"/>
      <x:c r="N1838" s="31" t="str"/>
    </x:row>
    <x:row r="1839" ht="42" customHeight="1">
      <x:c r="A1839" s="35" t="n">
        <x:v>1837</x:v>
      </x:c>
      <x:c r="B1839" s="31" t="str">
        <x:f>IF('Execution Checklist'!Q1839="","",'Execution Checklist'!Q1839)</x:f>
      </x:c>
      <x:c r="C1839" s="31" t="str">
        <x:v>Place the red block to the left of the green pen.</x:v>
      </x:c>
      <x:c r="D1839" s="31" t="str">
        <x:v>red block → to the left of green pen</x:v>
      </x:c>
      <x:c r="E1839" s="31" t="str">
        <x:v>Score against the displayed diagnostic instruction, which is not supplied to BC; analyze paired action switching.</x:v>
      </x:c>
      <x:c r="F1839" s="31"/>
      <x:c r="G1839" s="31"/>
      <x:c r="H1839" s="31" t="str">
        <x:f>IF(OR(F1839="",G1839=""),"",IF(F1839=G1839,"Agree","Disagree"))</x:f>
      </x:c>
      <x:c r="I1839" s="31"/>
      <x:c r="J1839" s="31" t="str">
        <x:v>No</x:v>
      </x:c>
      <x:c r="K1839" s="31" t="str"/>
      <x:c r="L1839" s="31" t="str"/>
      <x:c r="M1839" s="31" t="str"/>
      <x:c r="N1839" s="31" t="str"/>
    </x:row>
    <x:row r="1840" ht="42" customHeight="1">
      <x:c r="A1840" s="35" t="n">
        <x:v>1838</x:v>
      </x:c>
      <x:c r="B1840" s="31" t="str">
        <x:f>IF('Execution Checklist'!Q1840="","",'Execution Checklist'!Q1840)</x:f>
      </x:c>
      <x:c r="C1840" s="31" t="str">
        <x:v>Place the green pen in front of the red block.</x:v>
      </x:c>
      <x:c r="D1840" s="31" t="str">
        <x:v>green pen → in front of red block</x:v>
      </x:c>
      <x:c r="E1840" s="31" t="str">
        <x:v>Score against the displayed diagnostic instruction, which is not supplied to BC; analyze paired action switching.</x:v>
      </x:c>
      <x:c r="F1840" s="31"/>
      <x:c r="G1840" s="31"/>
      <x:c r="H1840" s="31" t="str">
        <x:f>IF(OR(F1840="",G1840=""),"",IF(F1840=G1840,"Agree","Disagree"))</x:f>
      </x:c>
      <x:c r="I1840" s="31"/>
      <x:c r="J1840" s="31" t="str">
        <x:v>No</x:v>
      </x:c>
      <x:c r="K1840" s="31" t="str"/>
      <x:c r="L1840" s="31" t="str"/>
      <x:c r="M1840" s="31" t="str"/>
      <x:c r="N1840" s="31" t="str"/>
    </x:row>
    <x:row r="1841" ht="42" customHeight="1">
      <x:c r="A1841" s="35" t="n">
        <x:v>1839</x:v>
      </x:c>
      <x:c r="B1841" s="31" t="str">
        <x:f>IF('Execution Checklist'!Q1841="","",'Execution Checklist'!Q1841)</x:f>
      </x:c>
      <x:c r="C1841" s="31" t="str">
        <x:v>Place the green pen to the left of the red block.</x:v>
      </x:c>
      <x:c r="D1841" s="31" t="str">
        <x:v>green pen → to the left of red block</x:v>
      </x:c>
      <x:c r="E1841" s="31" t="str">
        <x:v>Score against the displayed diagnostic instruction, which is not supplied to BC; analyze paired action switching.</x:v>
      </x:c>
      <x:c r="F1841" s="31"/>
      <x:c r="G1841" s="31"/>
      <x:c r="H1841" s="31" t="str">
        <x:f>IF(OR(F1841="",G1841=""),"",IF(F1841=G1841,"Agree","Disagree"))</x:f>
      </x:c>
      <x:c r="I1841" s="31"/>
      <x:c r="J1841" s="31" t="str">
        <x:v>No</x:v>
      </x:c>
      <x:c r="K1841" s="31" t="str"/>
      <x:c r="L1841" s="31" t="str"/>
      <x:c r="M1841" s="31" t="str"/>
      <x:c r="N1841" s="31" t="str"/>
    </x:row>
    <x:row r="1842" ht="42" customHeight="1">
      <x:c r="A1842" s="35" t="n">
        <x:v>1840</x:v>
      </x:c>
      <x:c r="B1842" s="31" t="str">
        <x:f>IF('Execution Checklist'!Q1842="","",'Execution Checklist'!Q1842)</x:f>
      </x:c>
      <x:c r="C1842" s="31" t="str">
        <x:v>Place the red block to the right of the green pen.</x:v>
      </x:c>
      <x:c r="D1842" s="31" t="str">
        <x:v>red block → to the right of green pen</x:v>
      </x:c>
      <x:c r="E1842" s="31" t="str">
        <x:v>Score against the displayed diagnostic instruction, which is not supplied to BC; analyze paired action switching.</x:v>
      </x:c>
      <x:c r="F1842" s="31"/>
      <x:c r="G1842" s="31"/>
      <x:c r="H1842" s="31" t="str">
        <x:f>IF(OR(F1842="",G1842=""),"",IF(F1842=G1842,"Agree","Disagree"))</x:f>
      </x:c>
      <x:c r="I1842" s="31"/>
      <x:c r="J1842" s="31" t="str">
        <x:v>No</x:v>
      </x:c>
      <x:c r="K1842" s="31" t="str"/>
      <x:c r="L1842" s="31" t="str"/>
      <x:c r="M1842" s="31" t="str"/>
      <x:c r="N1842" s="31" t="str"/>
    </x:row>
    <x:row r="1843" ht="42" customHeight="1">
      <x:c r="A1843" s="35" t="n">
        <x:v>1841</x:v>
      </x:c>
      <x:c r="B1843" s="31" t="str">
        <x:f>IF('Execution Checklist'!Q1843="","",'Execution Checklist'!Q1843)</x:f>
      </x:c>
      <x:c r="C1843" s="31" t="str">
        <x:v>Place the red block to the right of the green pen.</x:v>
      </x:c>
      <x:c r="D1843" s="31" t="str">
        <x:v>red block → to the right of green pen</x:v>
      </x:c>
      <x:c r="E1843" s="31" t="str">
        <x:v>Score against the displayed diagnostic instruction, which is not supplied to BC; analyze paired action switching.</x:v>
      </x:c>
      <x:c r="F1843" s="31"/>
      <x:c r="G1843" s="31"/>
      <x:c r="H1843" s="31" t="str">
        <x:f>IF(OR(F1843="",G1843=""),"",IF(F1843=G1843,"Agree","Disagree"))</x:f>
      </x:c>
      <x:c r="I1843" s="31"/>
      <x:c r="J1843" s="31" t="str">
        <x:v>No</x:v>
      </x:c>
      <x:c r="K1843" s="31" t="str"/>
      <x:c r="L1843" s="31" t="str"/>
      <x:c r="M1843" s="31" t="str"/>
      <x:c r="N1843" s="31" t="str"/>
    </x:row>
    <x:row r="1844" ht="42" customHeight="1">
      <x:c r="A1844" s="35" t="n">
        <x:v>1842</x:v>
      </x:c>
      <x:c r="B1844" s="31" t="str">
        <x:f>IF('Execution Checklist'!Q1844="","",'Execution Checklist'!Q1844)</x:f>
      </x:c>
      <x:c r="C1844" s="31" t="str">
        <x:v>Place the red block in front of the green pen.</x:v>
      </x:c>
      <x:c r="D1844" s="31" t="str">
        <x:v>red block → in front of green pen</x:v>
      </x:c>
      <x:c r="E1844" s="31" t="str">
        <x:v>Score against the displayed diagnostic instruction, which is not supplied to BC; analyze paired action switching.</x:v>
      </x:c>
      <x:c r="F1844" s="31"/>
      <x:c r="G1844" s="31"/>
      <x:c r="H1844" s="31" t="str">
        <x:f>IF(OR(F1844="",G1844=""),"",IF(F1844=G1844,"Agree","Disagree"))</x:f>
      </x:c>
      <x:c r="I1844" s="31"/>
      <x:c r="J1844" s="31" t="str">
        <x:v>No</x:v>
      </x:c>
      <x:c r="K1844" s="31" t="str"/>
      <x:c r="L1844" s="31" t="str"/>
      <x:c r="M1844" s="31" t="str"/>
      <x:c r="N1844" s="31" t="str"/>
    </x:row>
    <x:row r="1845" ht="42" customHeight="1">
      <x:c r="A1845" s="35" t="n">
        <x:v>1843</x:v>
      </x:c>
      <x:c r="B1845" s="31" t="str">
        <x:f>IF('Execution Checklist'!Q1845="","",'Execution Checklist'!Q1845)</x:f>
      </x:c>
      <x:c r="C1845" s="31" t="str">
        <x:v>Place the green pen behind the red block.</x:v>
      </x:c>
      <x:c r="D1845" s="31" t="str">
        <x:v>green pen → behind red block</x:v>
      </x:c>
      <x:c r="E1845" s="31" t="str">
        <x:v>Score against the displayed diagnostic instruction, which is not supplied to BC; analyze paired action switching.</x:v>
      </x:c>
      <x:c r="F1845" s="31"/>
      <x:c r="G1845" s="31"/>
      <x:c r="H1845" s="31" t="str">
        <x:f>IF(OR(F1845="",G1845=""),"",IF(F1845=G1845,"Agree","Disagree"))</x:f>
      </x:c>
      <x:c r="I1845" s="31"/>
      <x:c r="J1845" s="31" t="str">
        <x:v>No</x:v>
      </x:c>
      <x:c r="K1845" s="31" t="str"/>
      <x:c r="L1845" s="31" t="str"/>
      <x:c r="M1845" s="31" t="str"/>
      <x:c r="N1845" s="31" t="str"/>
    </x:row>
    <x:row r="1846" ht="42" customHeight="1">
      <x:c r="A1846" s="35" t="n">
        <x:v>1844</x:v>
      </x:c>
      <x:c r="B1846" s="31" t="str">
        <x:f>IF('Execution Checklist'!Q1846="","",'Execution Checklist'!Q1846)</x:f>
      </x:c>
      <x:c r="C1846" s="31" t="str">
        <x:v>Place the red block behind the green pen.</x:v>
      </x:c>
      <x:c r="D1846" s="31" t="str">
        <x:v>red block → behind green pen</x:v>
      </x:c>
      <x:c r="E1846" s="31" t="str">
        <x:v>Score against the displayed diagnostic instruction, which is not supplied to BC; analyze paired action switching.</x:v>
      </x:c>
      <x:c r="F1846" s="31"/>
      <x:c r="G1846" s="31"/>
      <x:c r="H1846" s="31" t="str">
        <x:f>IF(OR(F1846="",G1846=""),"",IF(F1846=G1846,"Agree","Disagree"))</x:f>
      </x:c>
      <x:c r="I1846" s="31"/>
      <x:c r="J1846" s="31" t="str">
        <x:v>No</x:v>
      </x:c>
      <x:c r="K1846" s="31" t="str"/>
      <x:c r="L1846" s="31" t="str"/>
      <x:c r="M1846" s="31" t="str"/>
      <x:c r="N1846" s="31" t="str"/>
    </x:row>
    <x:row r="1847" ht="42" customHeight="1">
      <x:c r="A1847" s="35" t="n">
        <x:v>1845</x:v>
      </x:c>
      <x:c r="B1847" s="31" t="str">
        <x:f>IF('Execution Checklist'!Q1847="","",'Execution Checklist'!Q1847)</x:f>
      </x:c>
      <x:c r="C1847" s="31" t="str">
        <x:v>Place the red block to the left of the green pen.</x:v>
      </x:c>
      <x:c r="D1847" s="31" t="str">
        <x:v>red block → to the left of green pen</x:v>
      </x:c>
      <x:c r="E1847" s="31" t="str">
        <x:v>Score against the displayed diagnostic instruction, which is not supplied to BC; analyze paired action switching.</x:v>
      </x:c>
      <x:c r="F1847" s="31"/>
      <x:c r="G1847" s="31"/>
      <x:c r="H1847" s="31" t="str">
        <x:f>IF(OR(F1847="",G1847=""),"",IF(F1847=G1847,"Agree","Disagree"))</x:f>
      </x:c>
      <x:c r="I1847" s="31"/>
      <x:c r="J1847" s="31" t="str">
        <x:v>No</x:v>
      </x:c>
      <x:c r="K1847" s="31" t="str"/>
      <x:c r="L1847" s="31" t="str"/>
      <x:c r="M1847" s="31" t="str"/>
      <x:c r="N1847" s="31" t="str"/>
    </x:row>
    <x:row r="1848" ht="42" customHeight="1">
      <x:c r="A1848" s="35" t="n">
        <x:v>1846</x:v>
      </x:c>
      <x:c r="B1848" s="31" t="str">
        <x:f>IF('Execution Checklist'!Q1848="","",'Execution Checklist'!Q1848)</x:f>
      </x:c>
      <x:c r="C1848" s="31" t="str">
        <x:v>Place the red block behind the green pen.</x:v>
      </x:c>
      <x:c r="D1848" s="31" t="str">
        <x:v>red block → behind green pen</x:v>
      </x:c>
      <x:c r="E1848" s="31" t="str">
        <x:v>Score against the displayed diagnostic instruction, which is not supplied to BC; analyze paired action switching.</x:v>
      </x:c>
      <x:c r="F1848" s="31"/>
      <x:c r="G1848" s="31"/>
      <x:c r="H1848" s="31" t="str">
        <x:f>IF(OR(F1848="",G1848=""),"",IF(F1848=G1848,"Agree","Disagree"))</x:f>
      </x:c>
      <x:c r="I1848" s="31"/>
      <x:c r="J1848" s="31" t="str">
        <x:v>No</x:v>
      </x:c>
      <x:c r="K1848" s="31" t="str"/>
      <x:c r="L1848" s="31" t="str"/>
      <x:c r="M1848" s="31" t="str"/>
      <x:c r="N1848" s="31" t="str"/>
    </x:row>
    <x:row r="1849" ht="42" customHeight="1">
      <x:c r="A1849" s="35" t="n">
        <x:v>1847</x:v>
      </x:c>
      <x:c r="B1849" s="31" t="str">
        <x:f>IF('Execution Checklist'!Q1849="","",'Execution Checklist'!Q1849)</x:f>
      </x:c>
      <x:c r="C1849" s="31" t="str">
        <x:v>Place the green pen behind the red block.</x:v>
      </x:c>
      <x:c r="D1849" s="31" t="str">
        <x:v>green pen → behind red block</x:v>
      </x:c>
      <x:c r="E1849" s="31" t="str">
        <x:v>Score against the displayed diagnostic instruction, which is not supplied to BC; analyze paired action switching.</x:v>
      </x:c>
      <x:c r="F1849" s="31"/>
      <x:c r="G1849" s="31"/>
      <x:c r="H1849" s="31" t="str">
        <x:f>IF(OR(F1849="",G1849=""),"",IF(F1849=G1849,"Agree","Disagree"))</x:f>
      </x:c>
      <x:c r="I1849" s="31"/>
      <x:c r="J1849" s="31" t="str">
        <x:v>No</x:v>
      </x:c>
      <x:c r="K1849" s="31" t="str"/>
      <x:c r="L1849" s="31" t="str"/>
      <x:c r="M1849" s="31" t="str"/>
      <x:c r="N1849" s="31" t="str"/>
    </x:row>
    <x:row r="1850" ht="42" customHeight="1">
      <x:c r="A1850" s="35" t="n">
        <x:v>1848</x:v>
      </x:c>
      <x:c r="B1850" s="31" t="str">
        <x:f>IF('Execution Checklist'!Q1850="","",'Execution Checklist'!Q1850)</x:f>
      </x:c>
      <x:c r="C1850" s="31" t="str">
        <x:v>Place the red block in front of the green pen.</x:v>
      </x:c>
      <x:c r="D1850" s="31" t="str">
        <x:v>red block → in front of green pen</x:v>
      </x:c>
      <x:c r="E1850" s="31" t="str">
        <x:v>Score against the displayed diagnostic instruction, which is not supplied to BC; analyze paired action switching.</x:v>
      </x:c>
      <x:c r="F1850" s="31"/>
      <x:c r="G1850" s="31"/>
      <x:c r="H1850" s="31" t="str">
        <x:f>IF(OR(F1850="",G1850=""),"",IF(F1850=G1850,"Agree","Disagree"))</x:f>
      </x:c>
      <x:c r="I1850" s="31"/>
      <x:c r="J1850" s="31" t="str">
        <x:v>No</x:v>
      </x:c>
      <x:c r="K1850" s="31" t="str"/>
      <x:c r="L1850" s="31" t="str"/>
      <x:c r="M1850" s="31" t="str"/>
      <x:c r="N1850" s="31" t="str"/>
    </x:row>
    <x:row r="1851" ht="42" customHeight="1">
      <x:c r="A1851" s="35" t="n">
        <x:v>1849</x:v>
      </x:c>
      <x:c r="B1851" s="31" t="str">
        <x:f>IF('Execution Checklist'!Q1851="","",'Execution Checklist'!Q1851)</x:f>
      </x:c>
      <x:c r="C1851" s="31" t="str">
        <x:v>Place the green pen to the right of the red block.</x:v>
      </x:c>
      <x:c r="D1851" s="31" t="str">
        <x:v>green pen → to the right of red block</x:v>
      </x:c>
      <x:c r="E1851" s="31" t="str">
        <x:v>Score against the displayed diagnostic instruction, which is not supplied to BC; analyze paired action switching.</x:v>
      </x:c>
      <x:c r="F1851" s="31"/>
      <x:c r="G1851" s="31"/>
      <x:c r="H1851" s="31" t="str">
        <x:f>IF(OR(F1851="",G1851=""),"",IF(F1851=G1851,"Agree","Disagree"))</x:f>
      </x:c>
      <x:c r="I1851" s="31"/>
      <x:c r="J1851" s="31" t="str">
        <x:v>No</x:v>
      </x:c>
      <x:c r="K1851" s="31" t="str"/>
      <x:c r="L1851" s="31" t="str"/>
      <x:c r="M1851" s="31" t="str"/>
      <x:c r="N1851" s="31" t="str"/>
    </x:row>
    <x:row r="1852" ht="42" customHeight="1">
      <x:c r="A1852" s="35" t="n">
        <x:v>1850</x:v>
      </x:c>
      <x:c r="B1852" s="31" t="str">
        <x:f>IF('Execution Checklist'!Q1852="","",'Execution Checklist'!Q1852)</x:f>
      </x:c>
      <x:c r="C1852" s="31" t="str">
        <x:v>Place the green pen to the left of the red block.</x:v>
      </x:c>
      <x:c r="D1852" s="31" t="str">
        <x:v>green pen → to the left of red block</x:v>
      </x:c>
      <x:c r="E1852" s="31" t="str">
        <x:v>Score against the displayed diagnostic instruction, which is not supplied to BC; analyze paired action switching.</x:v>
      </x:c>
      <x:c r="F1852" s="31"/>
      <x:c r="G1852" s="31"/>
      <x:c r="H1852" s="31" t="str">
        <x:f>IF(OR(F1852="",G1852=""),"",IF(F1852=G1852,"Agree","Disagree"))</x:f>
      </x:c>
      <x:c r="I1852" s="31"/>
      <x:c r="J1852" s="31" t="str">
        <x:v>No</x:v>
      </x:c>
      <x:c r="K1852" s="31" t="str"/>
      <x:c r="L1852" s="31" t="str"/>
      <x:c r="M1852" s="31" t="str"/>
      <x:c r="N1852" s="31" t="str"/>
    </x:row>
    <x:row r="1853" ht="42" customHeight="1">
      <x:c r="A1853" s="35" t="n">
        <x:v>1851</x:v>
      </x:c>
      <x:c r="B1853" s="31" t="str">
        <x:f>IF('Execution Checklist'!Q1853="","",'Execution Checklist'!Q1853)</x:f>
      </x:c>
      <x:c r="C1853" s="31" t="str">
        <x:v>Place the green pen to the right of the red block.</x:v>
      </x:c>
      <x:c r="D1853" s="31" t="str">
        <x:v>green pen → to the right of red block</x:v>
      </x:c>
      <x:c r="E1853" s="31" t="str">
        <x:v>Score against the displayed diagnostic instruction, which is not supplied to BC; analyze paired action switching.</x:v>
      </x:c>
      <x:c r="F1853" s="31"/>
      <x:c r="G1853" s="31"/>
      <x:c r="H1853" s="31" t="str">
        <x:f>IF(OR(F1853="",G1853=""),"",IF(F1853=G1853,"Agree","Disagree"))</x:f>
      </x:c>
      <x:c r="I1853" s="31"/>
      <x:c r="J1853" s="31" t="str">
        <x:v>No</x:v>
      </x:c>
      <x:c r="K1853" s="31" t="str"/>
      <x:c r="L1853" s="31" t="str"/>
      <x:c r="M1853" s="31" t="str"/>
      <x:c r="N1853" s="31" t="str"/>
    </x:row>
    <x:row r="1854" ht="42" customHeight="1">
      <x:c r="A1854" s="35" t="n">
        <x:v>1852</x:v>
      </x:c>
      <x:c r="B1854" s="31" t="str">
        <x:f>IF('Execution Checklist'!Q1854="","",'Execution Checklist'!Q1854)</x:f>
      </x:c>
      <x:c r="C1854" s="31" t="str">
        <x:v>Place the red block to the right of the green pen.</x:v>
      </x:c>
      <x:c r="D1854" s="31" t="str">
        <x:v>red block → to the right of green pen</x:v>
      </x:c>
      <x:c r="E1854" s="31" t="str">
        <x:v>Score against the displayed diagnostic instruction, which is not supplied to BC; analyze paired action switching.</x:v>
      </x:c>
      <x:c r="F1854" s="31"/>
      <x:c r="G1854" s="31"/>
      <x:c r="H1854" s="31" t="str">
        <x:f>IF(OR(F1854="",G1854=""),"",IF(F1854=G1854,"Agree","Disagree"))</x:f>
      </x:c>
      <x:c r="I1854" s="31"/>
      <x:c r="J1854" s="31" t="str">
        <x:v>No</x:v>
      </x:c>
      <x:c r="K1854" s="31" t="str"/>
      <x:c r="L1854" s="31" t="str"/>
      <x:c r="M1854" s="31" t="str"/>
      <x:c r="N1854" s="31" t="str"/>
    </x:row>
    <x:row r="1855" ht="42" customHeight="1">
      <x:c r="A1855" s="35" t="n">
        <x:v>1853</x:v>
      </x:c>
      <x:c r="B1855" s="31" t="str">
        <x:f>IF('Execution Checklist'!Q1855="","",'Execution Checklist'!Q1855)</x:f>
      </x:c>
      <x:c r="C1855" s="31" t="str">
        <x:v>Place the green pen behind the red block.</x:v>
      </x:c>
      <x:c r="D1855" s="31" t="str">
        <x:v>green pen → behind red block</x:v>
      </x:c>
      <x:c r="E1855" s="31" t="str">
        <x:v>Score against the displayed diagnostic instruction, which is not supplied to BC; analyze paired action switching.</x:v>
      </x:c>
      <x:c r="F1855" s="31"/>
      <x:c r="G1855" s="31"/>
      <x:c r="H1855" s="31" t="str">
        <x:f>IF(OR(F1855="",G1855=""),"",IF(F1855=G1855,"Agree","Disagree"))</x:f>
      </x:c>
      <x:c r="I1855" s="31"/>
      <x:c r="J1855" s="31" t="str">
        <x:v>No</x:v>
      </x:c>
      <x:c r="K1855" s="31" t="str"/>
      <x:c r="L1855" s="31" t="str"/>
      <x:c r="M1855" s="31" t="str"/>
      <x:c r="N1855" s="31" t="str"/>
    </x:row>
    <x:row r="1856" ht="42" customHeight="1">
      <x:c r="A1856" s="35" t="n">
        <x:v>1854</x:v>
      </x:c>
      <x:c r="B1856" s="31" t="str">
        <x:f>IF('Execution Checklist'!Q1856="","",'Execution Checklist'!Q1856)</x:f>
      </x:c>
      <x:c r="C1856" s="31" t="str">
        <x:v>Place the upside-down crushed soda can in the bowl.</x:v>
      </x:c>
      <x:c r="D1856" s="31" t="str">
        <x:v>crushed Pepsi can</x:v>
      </x:c>
      <x:c r="E1856" s="31" t="str">
        <x:v>Binary task success; compare only with the paired cross-task row and report descriptively.</x:v>
      </x:c>
      <x:c r="F1856" s="31"/>
      <x:c r="G1856" s="31"/>
      <x:c r="H1856" s="31" t="str">
        <x:f>IF(OR(F1856="",G1856=""),"",IF(F1856=G1856,"Agree","Disagree"))</x:f>
      </x:c>
      <x:c r="I1856" s="31"/>
      <x:c r="J1856" s="31" t="str">
        <x:v>No</x:v>
      </x:c>
      <x:c r="K1856" s="31" t="str"/>
      <x:c r="L1856" s="31" t="str"/>
      <x:c r="M1856" s="31" t="str"/>
      <x:c r="N1856" s="31" t="str"/>
    </x:row>
    <x:row r="1857" ht="42" customHeight="1">
      <x:c r="A1857" s="35" t="n">
        <x:v>1855</x:v>
      </x:c>
      <x:c r="B1857" s="31" t="str">
        <x:f>IF('Execution Checklist'!Q1857="","",'Execution Checklist'!Q1857)</x:f>
      </x:c>
      <x:c r="C1857" s="31" t="str">
        <x:v>Place the upright crushed soda can in the bowl.</x:v>
      </x:c>
      <x:c r="D1857" s="31" t="str">
        <x:v>crushed Coke can</x:v>
      </x:c>
      <x:c r="E1857" s="31" t="str">
        <x:v>Binary task success; compare only with the paired cross-task row and report descriptively.</x:v>
      </x:c>
      <x:c r="F1857" s="31"/>
      <x:c r="G1857" s="31"/>
      <x:c r="H1857" s="31" t="str">
        <x:f>IF(OR(F1857="",G1857=""),"",IF(F1857=G1857,"Agree","Disagree"))</x:f>
      </x:c>
      <x:c r="I1857" s="31"/>
      <x:c r="J1857" s="31" t="str">
        <x:v>No</x:v>
      </x:c>
      <x:c r="K1857" s="31" t="str"/>
      <x:c r="L1857" s="31" t="str"/>
      <x:c r="M1857" s="31" t="str"/>
      <x:c r="N1857" s="31" t="str"/>
    </x:row>
    <x:row r="1858" ht="42" customHeight="1">
      <x:c r="A1858" s="35" t="n">
        <x:v>1856</x:v>
      </x:c>
      <x:c r="B1858" s="31" t="str">
        <x:f>IF('Execution Checklist'!Q1858="","",'Execution Checklist'!Q1858)</x:f>
      </x:c>
      <x:c r="C1858" s="31" t="str">
        <x:v>Place the upside-down crushed soda can in the bowl.</x:v>
      </x:c>
      <x:c r="D1858" s="31" t="str">
        <x:v>crushed Coke can</x:v>
      </x:c>
      <x:c r="E1858" s="31" t="str">
        <x:v>Binary task success; compare only with the paired cross-task row and report descriptively.</x:v>
      </x:c>
      <x:c r="F1858" s="31"/>
      <x:c r="G1858" s="31"/>
      <x:c r="H1858" s="31" t="str">
        <x:f>IF(OR(F1858="",G1858=""),"",IF(F1858=G1858,"Agree","Disagree"))</x:f>
      </x:c>
      <x:c r="I1858" s="31"/>
      <x:c r="J1858" s="31" t="str">
        <x:v>No</x:v>
      </x:c>
      <x:c r="K1858" s="31" t="str"/>
      <x:c r="L1858" s="31" t="str"/>
      <x:c r="M1858" s="31" t="str"/>
      <x:c r="N1858" s="31" t="str"/>
    </x:row>
    <x:row r="1859" ht="42" customHeight="1">
      <x:c r="A1859" s="35" t="n">
        <x:v>1857</x:v>
      </x:c>
      <x:c r="B1859" s="31" t="str">
        <x:f>IF('Execution Checklist'!Q1859="","",'Execution Checklist'!Q1859)</x:f>
      </x:c>
      <x:c r="C1859" s="31" t="str">
        <x:v>Place the upright crushed soda can in the bowl.</x:v>
      </x:c>
      <x:c r="D1859" s="31" t="str">
        <x:v>crushed Coke can</x:v>
      </x:c>
      <x:c r="E1859" s="31" t="str">
        <x:v>Binary task success; compare only with the paired cross-task row and report descriptively.</x:v>
      </x:c>
      <x:c r="F1859" s="31"/>
      <x:c r="G1859" s="31"/>
      <x:c r="H1859" s="31" t="str">
        <x:f>IF(OR(F1859="",G1859=""),"",IF(F1859=G1859,"Agree","Disagree"))</x:f>
      </x:c>
      <x:c r="I1859" s="31"/>
      <x:c r="J1859" s="31" t="str">
        <x:v>No</x:v>
      </x:c>
      <x:c r="K1859" s="31" t="str"/>
      <x:c r="L1859" s="31" t="str"/>
      <x:c r="M1859" s="31" t="str"/>
      <x:c r="N1859" s="31" t="str"/>
    </x:row>
    <x:row r="1860" ht="42" customHeight="1">
      <x:c r="A1860" s="35" t="n">
        <x:v>1858</x:v>
      </x:c>
      <x:c r="B1860" s="31" t="str">
        <x:f>IF('Execution Checklist'!Q1860="","",'Execution Checklist'!Q1860)</x:f>
      </x:c>
      <x:c r="C1860" s="31" t="str">
        <x:v>Place the upside-down crushed soda can in the bowl.</x:v>
      </x:c>
      <x:c r="D1860" s="31" t="str">
        <x:v>crushed Pepsi can</x:v>
      </x:c>
      <x:c r="E1860" s="31" t="str">
        <x:v>Binary task success; compare only with the paired cross-task row and report descriptively.</x:v>
      </x:c>
      <x:c r="F1860" s="31"/>
      <x:c r="G1860" s="31"/>
      <x:c r="H1860" s="31" t="str">
        <x:f>IF(OR(F1860="",G1860=""),"",IF(F1860=G1860,"Agree","Disagree"))</x:f>
      </x:c>
      <x:c r="I1860" s="31"/>
      <x:c r="J1860" s="31" t="str">
        <x:v>No</x:v>
      </x:c>
      <x:c r="K1860" s="31" t="str"/>
      <x:c r="L1860" s="31" t="str"/>
      <x:c r="M1860" s="31" t="str"/>
      <x:c r="N1860" s="31" t="str"/>
    </x:row>
    <x:row r="1861" ht="42" customHeight="1">
      <x:c r="A1861" s="35" t="n">
        <x:v>1859</x:v>
      </x:c>
      <x:c r="B1861" s="31" t="str">
        <x:f>IF('Execution Checklist'!Q1861="","",'Execution Checklist'!Q1861)</x:f>
      </x:c>
      <x:c r="C1861" s="31" t="str">
        <x:v>Place the upright crushed soda can in the bowl.</x:v>
      </x:c>
      <x:c r="D1861" s="31" t="str">
        <x:v>crushed Pepsi can</x:v>
      </x:c>
      <x:c r="E1861" s="31" t="str">
        <x:v>Binary task success; compare only with the paired cross-task row and report descriptively.</x:v>
      </x:c>
      <x:c r="F1861" s="31"/>
      <x:c r="G1861" s="31"/>
      <x:c r="H1861" s="31" t="str">
        <x:f>IF(OR(F1861="",G1861=""),"",IF(F1861=G1861,"Agree","Disagree"))</x:f>
      </x:c>
      <x:c r="I1861" s="31"/>
      <x:c r="J1861" s="31" t="str">
        <x:v>No</x:v>
      </x:c>
      <x:c r="K1861" s="31" t="str"/>
      <x:c r="L1861" s="31" t="str"/>
      <x:c r="M1861" s="31" t="str"/>
      <x:c r="N1861" s="31" t="str"/>
    </x:row>
    <x:row r="1862" ht="42" customHeight="1">
      <x:c r="A1862" s="35" t="n">
        <x:v>1860</x:v>
      </x:c>
      <x:c r="B1862" s="31" t="str">
        <x:f>IF('Execution Checklist'!Q1862="","",'Execution Checklist'!Q1862)</x:f>
      </x:c>
      <x:c r="C1862" s="31" t="str">
        <x:v>Place the upside-down crushed soda can in the bowl.</x:v>
      </x:c>
      <x:c r="D1862" s="31" t="str">
        <x:v>crushed Coke can</x:v>
      </x:c>
      <x:c r="E1862" s="31" t="str">
        <x:v>Binary task success; compare only with the paired cross-task row and report descriptively.</x:v>
      </x:c>
      <x:c r="F1862" s="31"/>
      <x:c r="G1862" s="31"/>
      <x:c r="H1862" s="31" t="str">
        <x:f>IF(OR(F1862="",G1862=""),"",IF(F1862=G1862,"Agree","Disagree"))</x:f>
      </x:c>
      <x:c r="I1862" s="31"/>
      <x:c r="J1862" s="31" t="str">
        <x:v>No</x:v>
      </x:c>
      <x:c r="K1862" s="31" t="str"/>
      <x:c r="L1862" s="31" t="str"/>
      <x:c r="M1862" s="31" t="str"/>
      <x:c r="N1862" s="31" t="str"/>
    </x:row>
    <x:row r="1863" ht="42" customHeight="1">
      <x:c r="A1863" s="35" t="n">
        <x:v>1861</x:v>
      </x:c>
      <x:c r="B1863" s="31" t="str">
        <x:f>IF('Execution Checklist'!Q1863="","",'Execution Checklist'!Q1863)</x:f>
      </x:c>
      <x:c r="C1863" s="31" t="str">
        <x:v>Place the upright crushed soda can in the bowl.</x:v>
      </x:c>
      <x:c r="D1863" s="31" t="str">
        <x:v>crushed Pepsi can</x:v>
      </x:c>
      <x:c r="E1863" s="31" t="str">
        <x:v>Binary task success; compare only with the paired cross-task row and report descriptively.</x:v>
      </x:c>
      <x:c r="F1863" s="31"/>
      <x:c r="G1863" s="31"/>
      <x:c r="H1863" s="31" t="str">
        <x:f>IF(OR(F1863="",G1863=""),"",IF(F1863=G1863,"Agree","Disagree"))</x:f>
      </x:c>
      <x:c r="I1863" s="31"/>
      <x:c r="J1863" s="31" t="str">
        <x:v>No</x:v>
      </x:c>
      <x:c r="K1863" s="31" t="str"/>
      <x:c r="L1863" s="31" t="str"/>
      <x:c r="M1863" s="31" t="str"/>
      <x:c r="N1863" s="31" t="str"/>
    </x:row>
    <x:row r="1864" ht="42" customHeight="1">
      <x:c r="A1864" s="35" t="n">
        <x:v>1862</x:v>
      </x:c>
      <x:c r="B1864" s="31" t="str">
        <x:f>IF('Execution Checklist'!Q1864="","",'Execution Checklist'!Q1864)</x:f>
      </x:c>
      <x:c r="C1864" s="31" t="str">
        <x:v>Place the crushed Coke can in front of the white cup.</x:v>
      </x:c>
      <x:c r="D1864" s="31" t="str">
        <x:v>crushed Coke can placed front white cup</x:v>
      </x:c>
      <x:c r="E1864" s="31" t="str">
        <x:v>Binary task success; compare only with the paired cross-task row and report descriptively.</x:v>
      </x:c>
      <x:c r="F1864" s="31"/>
      <x:c r="G1864" s="31"/>
      <x:c r="H1864" s="31" t="str">
        <x:f>IF(OR(F1864="",G1864=""),"",IF(F1864=G1864,"Agree","Disagree"))</x:f>
      </x:c>
      <x:c r="I1864" s="31"/>
      <x:c r="J1864" s="31" t="str">
        <x:v>No</x:v>
      </x:c>
      <x:c r="K1864" s="31" t="str"/>
      <x:c r="L1864" s="31" t="str"/>
      <x:c r="M1864" s="31" t="str"/>
      <x:c r="N1864" s="31" t="str"/>
    </x:row>
    <x:row r="1865" ht="42" customHeight="1">
      <x:c r="A1865" s="35" t="n">
        <x:v>1863</x:v>
      </x:c>
      <x:c r="B1865" s="31" t="str">
        <x:f>IF('Execution Checklist'!Q1865="","",'Execution Checklist'!Q1865)</x:f>
      </x:c>
      <x:c r="C1865" s="31" t="str">
        <x:v>Place the brown cup to the left of the green pencil sharpener.</x:v>
      </x:c>
      <x:c r="D1865" s="31" t="str">
        <x:v>brown cup placed left green pencil sharpener</x:v>
      </x:c>
      <x:c r="E1865" s="31" t="str">
        <x:v>Binary task success; compare only with the paired cross-task row and report descriptively.</x:v>
      </x:c>
      <x:c r="F1865" s="31"/>
      <x:c r="G1865" s="31"/>
      <x:c r="H1865" s="31" t="str">
        <x:f>IF(OR(F1865="",G1865=""),"",IF(F1865=G1865,"Agree","Disagree"))</x:f>
      </x:c>
      <x:c r="I1865" s="31"/>
      <x:c r="J1865" s="31" t="str">
        <x:v>No</x:v>
      </x:c>
      <x:c r="K1865" s="31" t="str"/>
      <x:c r="L1865" s="31" t="str"/>
      <x:c r="M1865" s="31" t="str"/>
      <x:c r="N1865" s="31" t="str"/>
    </x:row>
    <x:row r="1866" ht="42" customHeight="1">
      <x:c r="A1866" s="35" t="n">
        <x:v>1864</x:v>
      </x:c>
      <x:c r="B1866" s="31" t="str">
        <x:f>IF('Execution Checklist'!Q1866="","",'Execution Checklist'!Q1866)</x:f>
      </x:c>
      <x:c r="C1866" s="31" t="str">
        <x:v>Place the blue tape ball behind the glass spice container.</x:v>
      </x:c>
      <x:c r="D1866" s="31" t="str">
        <x:v>blue tape ball placed behind glass spice container</x:v>
      </x:c>
      <x:c r="E1866" s="31" t="str">
        <x:v>Binary task success; compare only with the paired cross-task row and report descriptively.</x:v>
      </x:c>
      <x:c r="F1866" s="31"/>
      <x:c r="G1866" s="31"/>
      <x:c r="H1866" s="31" t="str">
        <x:f>IF(OR(F1866="",G1866=""),"",IF(F1866=G1866,"Agree","Disagree"))</x:f>
      </x:c>
      <x:c r="I1866" s="31"/>
      <x:c r="J1866" s="31" t="str">
        <x:v>No</x:v>
      </x:c>
      <x:c r="K1866" s="31" t="str"/>
      <x:c r="L1866" s="31" t="str"/>
      <x:c r="M1866" s="31" t="str"/>
      <x:c r="N1866" s="31" t="str"/>
    </x:row>
    <x:row r="1867" ht="42" customHeight="1">
      <x:c r="A1867" s="35" t="n">
        <x:v>1865</x:v>
      </x:c>
      <x:c r="B1867" s="31" t="str">
        <x:f>IF('Execution Checklist'!Q1867="","",'Execution Checklist'!Q1867)</x:f>
      </x:c>
      <x:c r="C1867" s="31" t="str">
        <x:v>Place the crushed Coke can behind the white cup.</x:v>
      </x:c>
      <x:c r="D1867" s="31" t="str">
        <x:v>crushed Coke can placed behind white cup</x:v>
      </x:c>
      <x:c r="E1867" s="31" t="str">
        <x:v>Binary task success; compare only with the paired cross-task row and report descriptively.</x:v>
      </x:c>
      <x:c r="F1867" s="31"/>
      <x:c r="G1867" s="31"/>
      <x:c r="H1867" s="31" t="str">
        <x:f>IF(OR(F1867="",G1867=""),"",IF(F1867=G1867,"Agree","Disagree"))</x:f>
      </x:c>
      <x:c r="I1867" s="31"/>
      <x:c r="J1867" s="31" t="str">
        <x:v>No</x:v>
      </x:c>
      <x:c r="K1867" s="31" t="str"/>
      <x:c r="L1867" s="31" t="str"/>
      <x:c r="M1867" s="31" t="str"/>
      <x:c r="N1867" s="31" t="str"/>
    </x:row>
    <x:row r="1868" ht="42" customHeight="1">
      <x:c r="A1868" s="35" t="n">
        <x:v>1866</x:v>
      </x:c>
      <x:c r="B1868" s="31" t="str">
        <x:f>IF('Execution Checklist'!Q1868="","",'Execution Checklist'!Q1868)</x:f>
      </x:c>
      <x:c r="C1868" s="31" t="str">
        <x:v>Place the yellow block to the left of the blue pen.</x:v>
      </x:c>
      <x:c r="D1868" s="31" t="str">
        <x:v>yellow block placed left blue pen</x:v>
      </x:c>
      <x:c r="E1868" s="31" t="str">
        <x:v>Binary task success; compare only with the paired cross-task row and report descriptively.</x:v>
      </x:c>
      <x:c r="F1868" s="31"/>
      <x:c r="G1868" s="31"/>
      <x:c r="H1868" s="31" t="str">
        <x:f>IF(OR(F1868="",G1868=""),"",IF(F1868=G1868,"Agree","Disagree"))</x:f>
      </x:c>
      <x:c r="I1868" s="31"/>
      <x:c r="J1868" s="31" t="str">
        <x:v>No</x:v>
      </x:c>
      <x:c r="K1868" s="31" t="str"/>
      <x:c r="L1868" s="31" t="str"/>
      <x:c r="M1868" s="31" t="str"/>
      <x:c r="N1868" s="31" t="str"/>
    </x:row>
    <x:row r="1869" ht="42" customHeight="1">
      <x:c r="A1869" s="35" t="n">
        <x:v>1867</x:v>
      </x:c>
      <x:c r="B1869" s="31" t="str">
        <x:f>IF('Execution Checklist'!Q1869="","",'Execution Checklist'!Q1869)</x:f>
      </x:c>
      <x:c r="C1869" s="31" t="str">
        <x:v>Place the yellow block to the right of the blue pen.</x:v>
      </x:c>
      <x:c r="D1869" s="31" t="str">
        <x:v>yellow block placed right blue pen</x:v>
      </x:c>
      <x:c r="E1869" s="31" t="str">
        <x:v>Binary task success; compare only with the paired cross-task row and report descriptively.</x:v>
      </x:c>
      <x:c r="F1869" s="31"/>
      <x:c r="G1869" s="31"/>
      <x:c r="H1869" s="31" t="str">
        <x:f>IF(OR(F1869="",G1869=""),"",IF(F1869=G1869,"Agree","Disagree"))</x:f>
      </x:c>
      <x:c r="I1869" s="31"/>
      <x:c r="J1869" s="31" t="str">
        <x:v>No</x:v>
      </x:c>
      <x:c r="K1869" s="31" t="str"/>
      <x:c r="L1869" s="31" t="str"/>
      <x:c r="M1869" s="31" t="str"/>
      <x:c r="N1869" s="31" t="str"/>
    </x:row>
    <x:row r="1870" ht="42" customHeight="1">
      <x:c r="A1870" s="35" t="n">
        <x:v>1868</x:v>
      </x:c>
      <x:c r="B1870" s="31" t="str">
        <x:f>IF('Execution Checklist'!Q1870="","",'Execution Checklist'!Q1870)</x:f>
      </x:c>
      <x:c r="C1870" s="31" t="str">
        <x:v>Place the blue tape ball in front of the glass spice container.</x:v>
      </x:c>
      <x:c r="D1870" s="31" t="str">
        <x:v>blue tape ball placed front glass spice container</x:v>
      </x:c>
      <x:c r="E1870" s="31" t="str">
        <x:v>Binary task success; compare only with the paired cross-task row and report descriptively.</x:v>
      </x:c>
      <x:c r="F1870" s="31"/>
      <x:c r="G1870" s="31"/>
      <x:c r="H1870" s="31" t="str">
        <x:f>IF(OR(F1870="",G1870=""),"",IF(F1870=G1870,"Agree","Disagree"))</x:f>
      </x:c>
      <x:c r="I1870" s="31"/>
      <x:c r="J1870" s="31" t="str">
        <x:v>No</x:v>
      </x:c>
      <x:c r="K1870" s="31" t="str"/>
      <x:c r="L1870" s="31" t="str"/>
      <x:c r="M1870" s="31" t="str"/>
      <x:c r="N1870" s="31" t="str"/>
    </x:row>
    <x:row r="1871" ht="42" customHeight="1">
      <x:c r="A1871" s="35" t="n">
        <x:v>1869</x:v>
      </x:c>
      <x:c r="B1871" s="31" t="str">
        <x:f>IF('Execution Checklist'!Q1871="","",'Execution Checklist'!Q1871)</x:f>
      </x:c>
      <x:c r="C1871" s="31" t="str">
        <x:v>Place the brown cup to the right of the green pencil sharpener.</x:v>
      </x:c>
      <x:c r="D1871" s="31" t="str">
        <x:v>brown cup placed right green pencil sharpener</x:v>
      </x:c>
      <x:c r="E1871" s="31" t="str">
        <x:v>Binary task success; compare only with the paired cross-task row and report descriptively.</x:v>
      </x:c>
      <x:c r="F1871" s="31"/>
      <x:c r="G1871" s="31"/>
      <x:c r="H1871" s="31" t="str">
        <x:f>IF(OR(F1871="",G1871=""),"",IF(F1871=G1871,"Agree","Disagree"))</x:f>
      </x:c>
      <x:c r="I1871" s="31"/>
      <x:c r="J1871" s="31" t="str">
        <x:v>No</x:v>
      </x:c>
      <x:c r="K1871" s="31" t="str"/>
      <x:c r="L1871" s="31" t="str"/>
      <x:c r="M1871" s="31" t="str"/>
      <x:c r="N1871" s="31" t="str"/>
    </x:row>
    <x:row r="1872" ht="42" customHeight="1">
      <x:c r="A1872" s="35" t="n">
        <x:v>1870</x:v>
      </x:c>
      <x:c r="B1872" s="31" t="str">
        <x:f>IF('Execution Checklist'!Q1872="","",'Execution Checklist'!Q1872)</x:f>
      </x:c>
      <x:c r="C1872" s="31" t="str">
        <x:v>Leave exactly two objects in the bowl.</x:v>
      </x:c>
      <x:c r="D1872" s="31" t="str">
        <x:v>ADD any one table object; final count = 2</x:v>
      </x:c>
      <x:c r="E1872" s="31" t="str">
        <x:v>Binary task success; compare only with the paired cross-task row and report descriptively.</x:v>
      </x:c>
      <x:c r="F1872" s="31"/>
      <x:c r="G1872" s="31"/>
      <x:c r="H1872" s="31" t="str">
        <x:f>IF(OR(F1872="",G1872=""),"",IF(F1872=G1872,"Agree","Disagree"))</x:f>
      </x:c>
      <x:c r="I1872" s="31"/>
      <x:c r="J1872" s="31" t="str">
        <x:v>No</x:v>
      </x:c>
      <x:c r="K1872" s="31" t="str"/>
      <x:c r="L1872" s="31" t="str"/>
      <x:c r="M1872" s="31" t="str"/>
      <x:c r="N1872" s="31" t="str"/>
    </x:row>
    <x:row r="1873" ht="42" customHeight="1">
      <x:c r="A1873" s="35" t="n">
        <x:v>1871</x:v>
      </x:c>
      <x:c r="B1873" s="31" t="str">
        <x:f>IF('Execution Checklist'!Q1873="","",'Execution Checklist'!Q1873)</x:f>
      </x:c>
      <x:c r="C1873" s="31" t="str">
        <x:v>Leave exactly two objects in the bowl.</x:v>
      </x:c>
      <x:c r="D1873" s="31" t="str">
        <x:v>ADD any one table object; final count = 2</x:v>
      </x:c>
      <x:c r="E1873" s="31" t="str">
        <x:v>Binary task success; compare only with the paired cross-task row and report descriptively.</x:v>
      </x:c>
      <x:c r="F1873" s="31"/>
      <x:c r="G1873" s="31"/>
      <x:c r="H1873" s="31" t="str">
        <x:f>IF(OR(F1873="",G1873=""),"",IF(F1873=G1873,"Agree","Disagree"))</x:f>
      </x:c>
      <x:c r="I1873" s="31"/>
      <x:c r="J1873" s="31" t="str">
        <x:v>No</x:v>
      </x:c>
      <x:c r="K1873" s="31" t="str"/>
      <x:c r="L1873" s="31" t="str"/>
      <x:c r="M1873" s="31" t="str"/>
      <x:c r="N1873" s="31" t="str"/>
    </x:row>
    <x:row r="1874" ht="42" customHeight="1">
      <x:c r="A1874" s="35" t="n">
        <x:v>1872</x:v>
      </x:c>
      <x:c r="B1874" s="31" t="str">
        <x:f>IF('Execution Checklist'!Q1874="","",'Execution Checklist'!Q1874)</x:f>
      </x:c>
      <x:c r="C1874" s="31" t="str">
        <x:v>Leave exactly zero objects in the bowl.</x:v>
      </x:c>
      <x:c r="D1874" s="31" t="str">
        <x:v>REMOVE the single bowl object; final count = 0</x:v>
      </x:c>
      <x:c r="E1874" s="31" t="str">
        <x:v>Binary task success; compare only with the paired cross-task row and report descriptively.</x:v>
      </x:c>
      <x:c r="F1874" s="31"/>
      <x:c r="G1874" s="31"/>
      <x:c r="H1874" s="31" t="str">
        <x:f>IF(OR(F1874="",G1874=""),"",IF(F1874=G1874,"Agree","Disagree"))</x:f>
      </x:c>
      <x:c r="I1874" s="31"/>
      <x:c r="J1874" s="31" t="str">
        <x:v>No</x:v>
      </x:c>
      <x:c r="K1874" s="31" t="str"/>
      <x:c r="L1874" s="31" t="str"/>
      <x:c r="M1874" s="31" t="str"/>
      <x:c r="N1874" s="31" t="str"/>
    </x:row>
    <x:row r="1875" ht="42" customHeight="1">
      <x:c r="A1875" s="35" t="n">
        <x:v>1873</x:v>
      </x:c>
      <x:c r="B1875" s="31" t="str">
        <x:f>IF('Execution Checklist'!Q1875="","",'Execution Checklist'!Q1875)</x:f>
      </x:c>
      <x:c r="C1875" s="31" t="str">
        <x:v>Leave exactly two objects in the bowl.</x:v>
      </x:c>
      <x:c r="D1875" s="31" t="str">
        <x:v>ADD any one table object; final count = 2</x:v>
      </x:c>
      <x:c r="E1875" s="31" t="str">
        <x:v>Binary task success; compare only with the paired cross-task row and report descriptively.</x:v>
      </x:c>
      <x:c r="F1875" s="31"/>
      <x:c r="G1875" s="31"/>
      <x:c r="H1875" s="31" t="str">
        <x:f>IF(OR(F1875="",G1875=""),"",IF(F1875=G1875,"Agree","Disagree"))</x:f>
      </x:c>
      <x:c r="I1875" s="31"/>
      <x:c r="J1875" s="31" t="str">
        <x:v>No</x:v>
      </x:c>
      <x:c r="K1875" s="31" t="str"/>
      <x:c r="L1875" s="31" t="str"/>
      <x:c r="M1875" s="31" t="str"/>
      <x:c r="N1875" s="31" t="str"/>
    </x:row>
    <x:row r="1876" ht="42" customHeight="1">
      <x:c r="A1876" s="35" t="n">
        <x:v>1874</x:v>
      </x:c>
      <x:c r="B1876" s="31" t="str">
        <x:f>IF('Execution Checklist'!Q1876="","",'Execution Checklist'!Q1876)</x:f>
      </x:c>
      <x:c r="C1876" s="31" t="str">
        <x:v>Leave exactly zero objects in the bowl.</x:v>
      </x:c>
      <x:c r="D1876" s="31" t="str">
        <x:v>REMOVE the single bowl object; final count = 0</x:v>
      </x:c>
      <x:c r="E1876" s="31" t="str">
        <x:v>Binary task success; compare only with the paired cross-task row and report descriptively.</x:v>
      </x:c>
      <x:c r="F1876" s="31"/>
      <x:c r="G1876" s="31"/>
      <x:c r="H1876" s="31" t="str">
        <x:f>IF(OR(F1876="",G1876=""),"",IF(F1876=G1876,"Agree","Disagree"))</x:f>
      </x:c>
      <x:c r="I1876" s="31"/>
      <x:c r="J1876" s="31" t="str">
        <x:v>No</x:v>
      </x:c>
      <x:c r="K1876" s="31" t="str"/>
      <x:c r="L1876" s="31" t="str"/>
      <x:c r="M1876" s="31" t="str"/>
      <x:c r="N1876" s="31" t="str"/>
    </x:row>
    <x:row r="1877" ht="42" customHeight="1">
      <x:c r="A1877" s="35" t="n">
        <x:v>1875</x:v>
      </x:c>
      <x:c r="B1877" s="31" t="str">
        <x:f>IF('Execution Checklist'!Q1877="","",'Execution Checklist'!Q1877)</x:f>
      </x:c>
      <x:c r="C1877" s="31" t="str">
        <x:v>Leave exactly two objects in the bowl.</x:v>
      </x:c>
      <x:c r="D1877" s="31" t="str">
        <x:v>ADD any one table object; final count = 2</x:v>
      </x:c>
      <x:c r="E1877" s="31" t="str">
        <x:v>Binary task success; compare only with the paired cross-task row and report descriptively.</x:v>
      </x:c>
      <x:c r="F1877" s="31"/>
      <x:c r="G1877" s="31"/>
      <x:c r="H1877" s="31" t="str">
        <x:f>IF(OR(F1877="",G1877=""),"",IF(F1877=G1877,"Agree","Disagree"))</x:f>
      </x:c>
      <x:c r="I1877" s="31"/>
      <x:c r="J1877" s="31" t="str">
        <x:v>No</x:v>
      </x:c>
      <x:c r="K1877" s="31" t="str"/>
      <x:c r="L1877" s="31" t="str"/>
      <x:c r="M1877" s="31" t="str"/>
      <x:c r="N1877" s="31" t="str"/>
    </x:row>
    <x:row r="1878" ht="42" customHeight="1">
      <x:c r="A1878" s="35" t="n">
        <x:v>1876</x:v>
      </x:c>
      <x:c r="B1878" s="31" t="str">
        <x:f>IF('Execution Checklist'!Q1878="","",'Execution Checklist'!Q1878)</x:f>
      </x:c>
      <x:c r="C1878" s="31" t="str">
        <x:v>Leave exactly zero objects in the bowl.</x:v>
      </x:c>
      <x:c r="D1878" s="31" t="str">
        <x:v>REMOVE the single bowl object; final count = 0</x:v>
      </x:c>
      <x:c r="E1878" s="31" t="str">
        <x:v>Binary task success; compare only with the paired cross-task row and report descriptively.</x:v>
      </x:c>
      <x:c r="F1878" s="31"/>
      <x:c r="G1878" s="31"/>
      <x:c r="H1878" s="31" t="str">
        <x:f>IF(OR(F1878="",G1878=""),"",IF(F1878=G1878,"Agree","Disagree"))</x:f>
      </x:c>
      <x:c r="I1878" s="31"/>
      <x:c r="J1878" s="31" t="str">
        <x:v>No</x:v>
      </x:c>
      <x:c r="K1878" s="31" t="str"/>
      <x:c r="L1878" s="31" t="str"/>
      <x:c r="M1878" s="31" t="str"/>
      <x:c r="N1878" s="31" t="str"/>
    </x:row>
    <x:row r="1879" ht="42" customHeight="1">
      <x:c r="A1879" s="35" t="n">
        <x:v>1877</x:v>
      </x:c>
      <x:c r="B1879" s="31" t="str">
        <x:f>IF('Execution Checklist'!Q1879="","",'Execution Checklist'!Q1879)</x:f>
      </x:c>
      <x:c r="C1879" s="31" t="str">
        <x:v>Leave exactly zero objects in the bowl.</x:v>
      </x:c>
      <x:c r="D1879" s="31" t="str">
        <x:v>REMOVE the single bowl object; final count = 0</x:v>
      </x:c>
      <x:c r="E1879" s="31" t="str">
        <x:v>Binary task success; compare only with the paired cross-task row and report descriptively.</x:v>
      </x:c>
      <x:c r="F1879" s="31"/>
      <x:c r="G1879" s="31"/>
      <x:c r="H1879" s="31" t="str">
        <x:f>IF(OR(F1879="",G1879=""),"",IF(F1879=G1879,"Agree","Disagree"))</x:f>
      </x:c>
      <x:c r="I1879" s="31"/>
      <x:c r="J1879" s="31" t="str">
        <x:v>No</x:v>
      </x:c>
      <x:c r="K1879" s="31" t="str"/>
      <x:c r="L1879" s="31" t="str"/>
      <x:c r="M1879" s="31" t="str"/>
      <x:c r="N1879" s="31" t="str"/>
    </x:row>
    <x:row r="1880" ht="42" customHeight="1">
      <x:c r="A1880" s="35" t="n">
        <x:v>1878</x:v>
      </x:c>
      <x:c r="B1880" s="31" t="str">
        <x:f>IF('Execution Checklist'!Q1880="","",'Execution Checklist'!Q1880)</x:f>
      </x:c>
      <x:c r="C1880" s="31" t="str">
        <x:v>Place the yellow block to the right of the blue pen.</x:v>
      </x:c>
      <x:c r="D1880" s="31" t="str">
        <x:v>yellow block placed right blue pen</x:v>
      </x:c>
      <x:c r="E1880" s="31" t="str">
        <x:v>Binary task success; compare only with the paired cross-task row and report descriptively.</x:v>
      </x:c>
      <x:c r="F1880" s="31"/>
      <x:c r="G1880" s="31"/>
      <x:c r="H1880" s="31" t="str">
        <x:f>IF(OR(F1880="",G1880=""),"",IF(F1880=G1880,"Agree","Disagree"))</x:f>
      </x:c>
      <x:c r="I1880" s="31"/>
      <x:c r="J1880" s="31" t="str">
        <x:v>No</x:v>
      </x:c>
      <x:c r="K1880" s="31" t="str"/>
      <x:c r="L1880" s="31" t="str"/>
      <x:c r="M1880" s="31" t="str"/>
      <x:c r="N1880" s="31" t="str"/>
    </x:row>
    <x:row r="1881" ht="42" customHeight="1">
      <x:c r="A1881" s="35" t="n">
        <x:v>1879</x:v>
      </x:c>
      <x:c r="B1881" s="31" t="str">
        <x:f>IF('Execution Checklist'!Q1881="","",'Execution Checklist'!Q1881)</x:f>
      </x:c>
      <x:c r="C1881" s="31" t="str">
        <x:v>Place the brown cup to the right of the green pencil sharpener.</x:v>
      </x:c>
      <x:c r="D1881" s="31" t="str">
        <x:v>brown cup placed right green pencil sharpener</x:v>
      </x:c>
      <x:c r="E1881" s="31" t="str">
        <x:v>Binary task success; compare only with the paired cross-task row and report descriptively.</x:v>
      </x:c>
      <x:c r="F1881" s="31"/>
      <x:c r="G1881" s="31"/>
      <x:c r="H1881" s="31" t="str">
        <x:f>IF(OR(F1881="",G1881=""),"",IF(F1881=G1881,"Agree","Disagree"))</x:f>
      </x:c>
      <x:c r="I1881" s="31"/>
      <x:c r="J1881" s="31" t="str">
        <x:v>No</x:v>
      </x:c>
      <x:c r="K1881" s="31" t="str"/>
      <x:c r="L1881" s="31" t="str"/>
      <x:c r="M1881" s="31" t="str"/>
      <x:c r="N1881" s="31" t="str"/>
    </x:row>
    <x:row r="1882" ht="42" customHeight="1">
      <x:c r="A1882" s="35" t="n">
        <x:v>1880</x:v>
      </x:c>
      <x:c r="B1882" s="31" t="str">
        <x:f>IF('Execution Checklist'!Q1882="","",'Execution Checklist'!Q1882)</x:f>
      </x:c>
      <x:c r="C1882" s="31" t="str">
        <x:v>Place the crushed Coke can behind the white cup.</x:v>
      </x:c>
      <x:c r="D1882" s="31" t="str">
        <x:v>crushed Coke can placed behind white cup</x:v>
      </x:c>
      <x:c r="E1882" s="31" t="str">
        <x:v>Binary task success; compare only with the paired cross-task row and report descriptively.</x:v>
      </x:c>
      <x:c r="F1882" s="31"/>
      <x:c r="G1882" s="31"/>
      <x:c r="H1882" s="31" t="str">
        <x:f>IF(OR(F1882="",G1882=""),"",IF(F1882=G1882,"Agree","Disagree"))</x:f>
      </x:c>
      <x:c r="I1882" s="31"/>
      <x:c r="J1882" s="31" t="str">
        <x:v>No</x:v>
      </x:c>
      <x:c r="K1882" s="31" t="str"/>
      <x:c r="L1882" s="31" t="str"/>
      <x:c r="M1882" s="31" t="str"/>
      <x:c r="N1882" s="31" t="str"/>
    </x:row>
    <x:row r="1883" ht="42" customHeight="1">
      <x:c r="A1883" s="35" t="n">
        <x:v>1881</x:v>
      </x:c>
      <x:c r="B1883" s="31" t="str">
        <x:f>IF('Execution Checklist'!Q1883="","",'Execution Checklist'!Q1883)</x:f>
      </x:c>
      <x:c r="C1883" s="31" t="str">
        <x:v>Place the blue tape ball in front of the glass spice container.</x:v>
      </x:c>
      <x:c r="D1883" s="31" t="str">
        <x:v>blue tape ball placed front glass spice container</x:v>
      </x:c>
      <x:c r="E1883" s="31" t="str">
        <x:v>Binary task success; compare only with the paired cross-task row and report descriptively.</x:v>
      </x:c>
      <x:c r="F1883" s="31"/>
      <x:c r="G1883" s="31"/>
      <x:c r="H1883" s="31" t="str">
        <x:f>IF(OR(F1883="",G1883=""),"",IF(F1883=G1883,"Agree","Disagree"))</x:f>
      </x:c>
      <x:c r="I1883" s="31"/>
      <x:c r="J1883" s="31" t="str">
        <x:v>No</x:v>
      </x:c>
      <x:c r="K1883" s="31" t="str"/>
      <x:c r="L1883" s="31" t="str"/>
      <x:c r="M1883" s="31" t="str"/>
      <x:c r="N1883" s="31" t="str"/>
    </x:row>
    <x:row r="1884" ht="42" customHeight="1">
      <x:c r="A1884" s="35" t="n">
        <x:v>1882</x:v>
      </x:c>
      <x:c r="B1884" s="31" t="str">
        <x:f>IF('Execution Checklist'!Q1884="","",'Execution Checklist'!Q1884)</x:f>
      </x:c>
      <x:c r="C1884" s="31" t="str">
        <x:v>Place the crushed Coke can in front of the white cup.</x:v>
      </x:c>
      <x:c r="D1884" s="31" t="str">
        <x:v>crushed Coke can placed front white cup</x:v>
      </x:c>
      <x:c r="E1884" s="31" t="str">
        <x:v>Binary task success; compare only with the paired cross-task row and report descriptively.</x:v>
      </x:c>
      <x:c r="F1884" s="31"/>
      <x:c r="G1884" s="31"/>
      <x:c r="H1884" s="31" t="str">
        <x:f>IF(OR(F1884="",G1884=""),"",IF(F1884=G1884,"Agree","Disagree"))</x:f>
      </x:c>
      <x:c r="I1884" s="31"/>
      <x:c r="J1884" s="31" t="str">
        <x:v>No</x:v>
      </x:c>
      <x:c r="K1884" s="31" t="str"/>
      <x:c r="L1884" s="31" t="str"/>
      <x:c r="M1884" s="31" t="str"/>
      <x:c r="N1884" s="31" t="str"/>
    </x:row>
    <x:row r="1885" ht="42" customHeight="1">
      <x:c r="A1885" s="35" t="n">
        <x:v>1883</x:v>
      </x:c>
      <x:c r="B1885" s="31" t="str">
        <x:f>IF('Execution Checklist'!Q1885="","",'Execution Checklist'!Q1885)</x:f>
      </x:c>
      <x:c r="C1885" s="31" t="str">
        <x:v>Place the blue tape ball behind the glass spice container.</x:v>
      </x:c>
      <x:c r="D1885" s="31" t="str">
        <x:v>blue tape ball placed behind glass spice container</x:v>
      </x:c>
      <x:c r="E1885" s="31" t="str">
        <x:v>Binary task success; compare only with the paired cross-task row and report descriptively.</x:v>
      </x:c>
      <x:c r="F1885" s="31"/>
      <x:c r="G1885" s="31"/>
      <x:c r="H1885" s="31" t="str">
        <x:f>IF(OR(F1885="",G1885=""),"",IF(F1885=G1885,"Agree","Disagree"))</x:f>
      </x:c>
      <x:c r="I1885" s="31"/>
      <x:c r="J1885" s="31" t="str">
        <x:v>No</x:v>
      </x:c>
      <x:c r="K1885" s="31" t="str"/>
      <x:c r="L1885" s="31" t="str"/>
      <x:c r="M1885" s="31" t="str"/>
      <x:c r="N1885" s="31" t="str"/>
    </x:row>
    <x:row r="1886" ht="42" customHeight="1">
      <x:c r="A1886" s="35" t="n">
        <x:v>1884</x:v>
      </x:c>
      <x:c r="B1886" s="31" t="str">
        <x:f>IF('Execution Checklist'!Q1886="","",'Execution Checklist'!Q1886)</x:f>
      </x:c>
      <x:c r="C1886" s="31" t="str">
        <x:v>Place the brown cup to the left of the green pencil sharpener.</x:v>
      </x:c>
      <x:c r="D1886" s="31" t="str">
        <x:v>brown cup placed left green pencil sharpener</x:v>
      </x:c>
      <x:c r="E1886" s="31" t="str">
        <x:v>Binary task success; compare only with the paired cross-task row and report descriptively.</x:v>
      </x:c>
      <x:c r="F1886" s="31"/>
      <x:c r="G1886" s="31"/>
      <x:c r="H1886" s="31" t="str">
        <x:f>IF(OR(F1886="",G1886=""),"",IF(F1886=G1886,"Agree","Disagree"))</x:f>
      </x:c>
      <x:c r="I1886" s="31"/>
      <x:c r="J1886" s="31" t="str">
        <x:v>No</x:v>
      </x:c>
      <x:c r="K1886" s="31" t="str"/>
      <x:c r="L1886" s="31" t="str"/>
      <x:c r="M1886" s="31" t="str"/>
      <x:c r="N1886" s="31" t="str"/>
    </x:row>
    <x:row r="1887" ht="42" customHeight="1">
      <x:c r="A1887" s="35" t="n">
        <x:v>1885</x:v>
      </x:c>
      <x:c r="B1887" s="31" t="str">
        <x:f>IF('Execution Checklist'!Q1887="","",'Execution Checklist'!Q1887)</x:f>
      </x:c>
      <x:c r="C1887" s="31" t="str">
        <x:v>Place the yellow block to the left of the blue pen.</x:v>
      </x:c>
      <x:c r="D1887" s="31" t="str">
        <x:v>yellow block placed left blue pen</x:v>
      </x:c>
      <x:c r="E1887" s="31" t="str">
        <x:v>Binary task success; compare only with the paired cross-task row and report descriptively.</x:v>
      </x:c>
      <x:c r="F1887" s="31"/>
      <x:c r="G1887" s="31"/>
      <x:c r="H1887" s="31" t="str">
        <x:f>IF(OR(F1887="",G1887=""),"",IF(F1887=G1887,"Agree","Disagree"))</x:f>
      </x:c>
      <x:c r="I1887" s="31"/>
      <x:c r="J1887" s="31" t="str">
        <x:v>No</x:v>
      </x:c>
      <x:c r="K1887" s="31" t="str"/>
      <x:c r="L1887" s="31" t="str"/>
      <x:c r="M1887" s="31" t="str"/>
      <x:c r="N1887" s="31" t="str"/>
    </x:row>
    <x:row r="1888" ht="42" customHeight="1">
      <x:c r="A1888" s="35" t="n">
        <x:v>1886</x:v>
      </x:c>
      <x:c r="B1888" s="31" t="str">
        <x:f>IF('Execution Checklist'!Q1888="","",'Execution Checklist'!Q1888)</x:f>
      </x:c>
      <x:c r="C1888" s="31" t="str">
        <x:v>Leave exactly zero objects in the bowl.</x:v>
      </x:c>
      <x:c r="D1888" s="31" t="str">
        <x:v>REMOVE the single bowl object; final count = 0</x:v>
      </x:c>
      <x:c r="E1888" s="31" t="str">
        <x:v>Binary task success; compare only with the paired cross-task row and report descriptively.</x:v>
      </x:c>
      <x:c r="F1888" s="31"/>
      <x:c r="G1888" s="31"/>
      <x:c r="H1888" s="31" t="str">
        <x:f>IF(OR(F1888="",G1888=""),"",IF(F1888=G1888,"Agree","Disagree"))</x:f>
      </x:c>
      <x:c r="I1888" s="31"/>
      <x:c r="J1888" s="31" t="str">
        <x:v>No</x:v>
      </x:c>
      <x:c r="K1888" s="31" t="str"/>
      <x:c r="L1888" s="31" t="str"/>
      <x:c r="M1888" s="31" t="str"/>
      <x:c r="N1888" s="31" t="str"/>
    </x:row>
    <x:row r="1889" ht="42" customHeight="1">
      <x:c r="A1889" s="35" t="n">
        <x:v>1887</x:v>
      </x:c>
      <x:c r="B1889" s="31" t="str">
        <x:f>IF('Execution Checklist'!Q1889="","",'Execution Checklist'!Q1889)</x:f>
      </x:c>
      <x:c r="C1889" s="31" t="str">
        <x:v>Leave exactly two objects in the bowl.</x:v>
      </x:c>
      <x:c r="D1889" s="31" t="str">
        <x:v>ADD any one table object; final count = 2</x:v>
      </x:c>
      <x:c r="E1889" s="31" t="str">
        <x:v>Binary task success; compare only with the paired cross-task row and report descriptively.</x:v>
      </x:c>
      <x:c r="F1889" s="31"/>
      <x:c r="G1889" s="31"/>
      <x:c r="H1889" s="31" t="str">
        <x:f>IF(OR(F1889="",G1889=""),"",IF(F1889=G1889,"Agree","Disagree"))</x:f>
      </x:c>
      <x:c r="I1889" s="31"/>
      <x:c r="J1889" s="31" t="str">
        <x:v>No</x:v>
      </x:c>
      <x:c r="K1889" s="31" t="str"/>
      <x:c r="L1889" s="31" t="str"/>
      <x:c r="M1889" s="31" t="str"/>
      <x:c r="N1889" s="31" t="str"/>
    </x:row>
    <x:row r="1890" ht="42" customHeight="1">
      <x:c r="A1890" s="35" t="n">
        <x:v>1888</x:v>
      </x:c>
      <x:c r="B1890" s="31" t="str">
        <x:f>IF('Execution Checklist'!Q1890="","",'Execution Checklist'!Q1890)</x:f>
      </x:c>
      <x:c r="C1890" s="31" t="str">
        <x:v>Leave exactly two objects in the bowl.</x:v>
      </x:c>
      <x:c r="D1890" s="31" t="str">
        <x:v>ADD any one table object; final count = 2</x:v>
      </x:c>
      <x:c r="E1890" s="31" t="str">
        <x:v>Binary task success; compare only with the paired cross-task row and report descriptively.</x:v>
      </x:c>
      <x:c r="F1890" s="31"/>
      <x:c r="G1890" s="31"/>
      <x:c r="H1890" s="31" t="str">
        <x:f>IF(OR(F1890="",G1890=""),"",IF(F1890=G1890,"Agree","Disagree"))</x:f>
      </x:c>
      <x:c r="I1890" s="31"/>
      <x:c r="J1890" s="31" t="str">
        <x:v>No</x:v>
      </x:c>
      <x:c r="K1890" s="31" t="str"/>
      <x:c r="L1890" s="31" t="str"/>
      <x:c r="M1890" s="31" t="str"/>
      <x:c r="N1890" s="31" t="str"/>
    </x:row>
    <x:row r="1891" ht="42" customHeight="1">
      <x:c r="A1891" s="35" t="n">
        <x:v>1889</x:v>
      </x:c>
      <x:c r="B1891" s="31" t="str">
        <x:f>IF('Execution Checklist'!Q1891="","",'Execution Checklist'!Q1891)</x:f>
      </x:c>
      <x:c r="C1891" s="31" t="str">
        <x:v>Leave exactly zero objects in the bowl.</x:v>
      </x:c>
      <x:c r="D1891" s="31" t="str">
        <x:v>REMOVE the single bowl object; final count = 0</x:v>
      </x:c>
      <x:c r="E1891" s="31" t="str">
        <x:v>Binary task success; compare only with the paired cross-task row and report descriptively.</x:v>
      </x:c>
      <x:c r="F1891" s="31"/>
      <x:c r="G1891" s="31"/>
      <x:c r="H1891" s="31" t="str">
        <x:f>IF(OR(F1891="",G1891=""),"",IF(F1891=G1891,"Agree","Disagree"))</x:f>
      </x:c>
      <x:c r="I1891" s="31"/>
      <x:c r="J1891" s="31" t="str">
        <x:v>No</x:v>
      </x:c>
      <x:c r="K1891" s="31" t="str"/>
      <x:c r="L1891" s="31" t="str"/>
      <x:c r="M1891" s="31" t="str"/>
      <x:c r="N1891" s="31" t="str"/>
    </x:row>
    <x:row r="1892" ht="42" customHeight="1">
      <x:c r="A1892" s="35" t="n">
        <x:v>1890</x:v>
      </x:c>
      <x:c r="B1892" s="31" t="str">
        <x:f>IF('Execution Checklist'!Q1892="","",'Execution Checklist'!Q1892)</x:f>
      </x:c>
      <x:c r="C1892" s="31" t="str">
        <x:v>Leave exactly zero objects in the bowl.</x:v>
      </x:c>
      <x:c r="D1892" s="31" t="str">
        <x:v>REMOVE the single bowl object; final count = 0</x:v>
      </x:c>
      <x:c r="E1892" s="31" t="str">
        <x:v>Binary task success; compare only with the paired cross-task row and report descriptively.</x:v>
      </x:c>
      <x:c r="F1892" s="31"/>
      <x:c r="G1892" s="31"/>
      <x:c r="H1892" s="31" t="str">
        <x:f>IF(OR(F1892="",G1892=""),"",IF(F1892=G1892,"Agree","Disagree"))</x:f>
      </x:c>
      <x:c r="I1892" s="31"/>
      <x:c r="J1892" s="31" t="str">
        <x:v>No</x:v>
      </x:c>
      <x:c r="K1892" s="31" t="str"/>
      <x:c r="L1892" s="31" t="str"/>
      <x:c r="M1892" s="31" t="str"/>
      <x:c r="N1892" s="31" t="str"/>
    </x:row>
    <x:row r="1893" ht="42" customHeight="1">
      <x:c r="A1893" s="35" t="n">
        <x:v>1891</x:v>
      </x:c>
      <x:c r="B1893" s="31" t="str">
        <x:f>IF('Execution Checklist'!Q1893="","",'Execution Checklist'!Q1893)</x:f>
      </x:c>
      <x:c r="C1893" s="31" t="str">
        <x:v>Leave exactly two objects in the bowl.</x:v>
      </x:c>
      <x:c r="D1893" s="31" t="str">
        <x:v>ADD any one table object; final count = 2</x:v>
      </x:c>
      <x:c r="E1893" s="31" t="str">
        <x:v>Binary task success; compare only with the paired cross-task row and report descriptively.</x:v>
      </x:c>
      <x:c r="F1893" s="31"/>
      <x:c r="G1893" s="31"/>
      <x:c r="H1893" s="31" t="str">
        <x:f>IF(OR(F1893="",G1893=""),"",IF(F1893=G1893,"Agree","Disagree"))</x:f>
      </x:c>
      <x:c r="I1893" s="31"/>
      <x:c r="J1893" s="31" t="str">
        <x:v>No</x:v>
      </x:c>
      <x:c r="K1893" s="31" t="str"/>
      <x:c r="L1893" s="31" t="str"/>
      <x:c r="M1893" s="31" t="str"/>
      <x:c r="N1893" s="31" t="str"/>
    </x:row>
    <x:row r="1894" ht="42" customHeight="1">
      <x:c r="A1894" s="35" t="n">
        <x:v>1892</x:v>
      </x:c>
      <x:c r="B1894" s="31" t="str">
        <x:f>IF('Execution Checklist'!Q1894="","",'Execution Checklist'!Q1894)</x:f>
      </x:c>
      <x:c r="C1894" s="31" t="str">
        <x:v>Leave exactly zero objects in the bowl.</x:v>
      </x:c>
      <x:c r="D1894" s="31" t="str">
        <x:v>REMOVE the single bowl object; final count = 0</x:v>
      </x:c>
      <x:c r="E1894" s="31" t="str">
        <x:v>Binary task success; compare only with the paired cross-task row and report descriptively.</x:v>
      </x:c>
      <x:c r="F1894" s="31"/>
      <x:c r="G1894" s="31"/>
      <x:c r="H1894" s="31" t="str">
        <x:f>IF(OR(F1894="",G1894=""),"",IF(F1894=G1894,"Agree","Disagree"))</x:f>
      </x:c>
      <x:c r="I1894" s="31"/>
      <x:c r="J1894" s="31" t="str">
        <x:v>No</x:v>
      </x:c>
      <x:c r="K1894" s="31" t="str"/>
      <x:c r="L1894" s="31" t="str"/>
      <x:c r="M1894" s="31" t="str"/>
      <x:c r="N1894" s="31" t="str"/>
    </x:row>
    <x:row r="1895" ht="42" customHeight="1">
      <x:c r="A1895" s="35" t="n">
        <x:v>1893</x:v>
      </x:c>
      <x:c r="B1895" s="31" t="str">
        <x:f>IF('Execution Checklist'!Q1895="","",'Execution Checklist'!Q1895)</x:f>
      </x:c>
      <x:c r="C1895" s="31" t="str">
        <x:v>Leave exactly two objects in the bowl.</x:v>
      </x:c>
      <x:c r="D1895" s="31" t="str">
        <x:v>ADD any one table object; final count = 2</x:v>
      </x:c>
      <x:c r="E1895" s="31" t="str">
        <x:v>Binary task success; compare only with the paired cross-task row and report descriptively.</x:v>
      </x:c>
      <x:c r="F1895" s="31"/>
      <x:c r="G1895" s="31"/>
      <x:c r="H1895" s="31" t="str">
        <x:f>IF(OR(F1895="",G1895=""),"",IF(F1895=G1895,"Agree","Disagree"))</x:f>
      </x:c>
      <x:c r="I1895" s="31"/>
      <x:c r="J1895" s="31" t="str">
        <x:v>No</x:v>
      </x:c>
      <x:c r="K1895" s="31" t="str"/>
      <x:c r="L1895" s="31" t="str"/>
      <x:c r="M1895" s="31" t="str"/>
      <x:c r="N1895" s="31" t="str"/>
    </x:row>
    <x:row r="1896" ht="42" customHeight="1">
      <x:c r="A1896" s="35" t="n">
        <x:v>1894</x:v>
      </x:c>
      <x:c r="B1896" s="31" t="str">
        <x:f>IF('Execution Checklist'!Q1896="","",'Execution Checklist'!Q1896)</x:f>
      </x:c>
      <x:c r="C1896" s="31" t="str">
        <x:v>Place the upright crushed soda can in the bowl.</x:v>
      </x:c>
      <x:c r="D1896" s="31" t="str">
        <x:v>crushed Pepsi can</x:v>
      </x:c>
      <x:c r="E1896" s="31" t="str">
        <x:v>Binary task success; compare only with the paired cross-task row and report descriptively.</x:v>
      </x:c>
      <x:c r="F1896" s="31"/>
      <x:c r="G1896" s="31"/>
      <x:c r="H1896" s="31" t="str">
        <x:f>IF(OR(F1896="",G1896=""),"",IF(F1896=G1896,"Agree","Disagree"))</x:f>
      </x:c>
      <x:c r="I1896" s="31"/>
      <x:c r="J1896" s="31" t="str">
        <x:v>No</x:v>
      </x:c>
      <x:c r="K1896" s="31" t="str"/>
      <x:c r="L1896" s="31" t="str"/>
      <x:c r="M1896" s="31" t="str"/>
      <x:c r="N1896" s="31" t="str"/>
    </x:row>
    <x:row r="1897" ht="42" customHeight="1">
      <x:c r="A1897" s="35" t="n">
        <x:v>1895</x:v>
      </x:c>
      <x:c r="B1897" s="31" t="str">
        <x:f>IF('Execution Checklist'!Q1897="","",'Execution Checklist'!Q1897)</x:f>
      </x:c>
      <x:c r="C1897" s="31" t="str">
        <x:v>Place the upside-down crushed soda can in the bowl.</x:v>
      </x:c>
      <x:c r="D1897" s="31" t="str">
        <x:v>crushed Coke can</x:v>
      </x:c>
      <x:c r="E1897" s="31" t="str">
        <x:v>Binary task success; compare only with the paired cross-task row and report descriptively.</x:v>
      </x:c>
      <x:c r="F1897" s="31"/>
      <x:c r="G1897" s="31"/>
      <x:c r="H1897" s="31" t="str">
        <x:f>IF(OR(F1897="",G1897=""),"",IF(F1897=G1897,"Agree","Disagree"))</x:f>
      </x:c>
      <x:c r="I1897" s="31"/>
      <x:c r="J1897" s="31" t="str">
        <x:v>No</x:v>
      </x:c>
      <x:c r="K1897" s="31" t="str"/>
      <x:c r="L1897" s="31" t="str"/>
      <x:c r="M1897" s="31" t="str"/>
      <x:c r="N1897" s="31" t="str"/>
    </x:row>
    <x:row r="1898" ht="42" customHeight="1">
      <x:c r="A1898" s="35" t="n">
        <x:v>1896</x:v>
      </x:c>
      <x:c r="B1898" s="31" t="str">
        <x:f>IF('Execution Checklist'!Q1898="","",'Execution Checklist'!Q1898)</x:f>
      </x:c>
      <x:c r="C1898" s="31" t="str">
        <x:v>Place the upright crushed soda can in the bowl.</x:v>
      </x:c>
      <x:c r="D1898" s="31" t="str">
        <x:v>crushed Coke can</x:v>
      </x:c>
      <x:c r="E1898" s="31" t="str">
        <x:v>Binary task success; compare only with the paired cross-task row and report descriptively.</x:v>
      </x:c>
      <x:c r="F1898" s="31"/>
      <x:c r="G1898" s="31"/>
      <x:c r="H1898" s="31" t="str">
        <x:f>IF(OR(F1898="",G1898=""),"",IF(F1898=G1898,"Agree","Disagree"))</x:f>
      </x:c>
      <x:c r="I1898" s="31"/>
      <x:c r="J1898" s="31" t="str">
        <x:v>No</x:v>
      </x:c>
      <x:c r="K1898" s="31" t="str"/>
      <x:c r="L1898" s="31" t="str"/>
      <x:c r="M1898" s="31" t="str"/>
      <x:c r="N1898" s="31" t="str"/>
    </x:row>
    <x:row r="1899" ht="42" customHeight="1">
      <x:c r="A1899" s="35" t="n">
        <x:v>1897</x:v>
      </x:c>
      <x:c r="B1899" s="31" t="str">
        <x:f>IF('Execution Checklist'!Q1899="","",'Execution Checklist'!Q1899)</x:f>
      </x:c>
      <x:c r="C1899" s="31" t="str">
        <x:v>Place the upright crushed soda can in the bowl.</x:v>
      </x:c>
      <x:c r="D1899" s="31" t="str">
        <x:v>crushed Pepsi can</x:v>
      </x:c>
      <x:c r="E1899" s="31" t="str">
        <x:v>Binary task success; compare only with the paired cross-task row and report descriptively.</x:v>
      </x:c>
      <x:c r="F1899" s="31"/>
      <x:c r="G1899" s="31"/>
      <x:c r="H1899" s="31" t="str">
        <x:f>IF(OR(F1899="",G1899=""),"",IF(F1899=G1899,"Agree","Disagree"))</x:f>
      </x:c>
      <x:c r="I1899" s="31"/>
      <x:c r="J1899" s="31" t="str">
        <x:v>No</x:v>
      </x:c>
      <x:c r="K1899" s="31" t="str"/>
      <x:c r="L1899" s="31" t="str"/>
      <x:c r="M1899" s="31" t="str"/>
      <x:c r="N1899" s="31" t="str"/>
    </x:row>
    <x:row r="1900" ht="42" customHeight="1">
      <x:c r="A1900" s="35" t="n">
        <x:v>1898</x:v>
      </x:c>
      <x:c r="B1900" s="31" t="str">
        <x:f>IF('Execution Checklist'!Q1900="","",'Execution Checklist'!Q1900)</x:f>
      </x:c>
      <x:c r="C1900" s="31" t="str">
        <x:v>Place the upside-down crushed soda can in the bowl.</x:v>
      </x:c>
      <x:c r="D1900" s="31" t="str">
        <x:v>crushed Coke can</x:v>
      </x:c>
      <x:c r="E1900" s="31" t="str">
        <x:v>Binary task success; compare only with the paired cross-task row and report descriptively.</x:v>
      </x:c>
      <x:c r="F1900" s="31"/>
      <x:c r="G1900" s="31"/>
      <x:c r="H1900" s="31" t="str">
        <x:f>IF(OR(F1900="",G1900=""),"",IF(F1900=G1900,"Agree","Disagree"))</x:f>
      </x:c>
      <x:c r="I1900" s="31"/>
      <x:c r="J1900" s="31" t="str">
        <x:v>No</x:v>
      </x:c>
      <x:c r="K1900" s="31" t="str"/>
      <x:c r="L1900" s="31" t="str"/>
      <x:c r="M1900" s="31" t="str"/>
      <x:c r="N1900" s="31" t="str"/>
    </x:row>
    <x:row r="1901" ht="42" customHeight="1">
      <x:c r="A1901" s="35" t="n">
        <x:v>1899</x:v>
      </x:c>
      <x:c r="B1901" s="31" t="str">
        <x:f>IF('Execution Checklist'!Q1901="","",'Execution Checklist'!Q1901)</x:f>
      </x:c>
      <x:c r="C1901" s="31" t="str">
        <x:v>Place the upright crushed soda can in the bowl.</x:v>
      </x:c>
      <x:c r="D1901" s="31" t="str">
        <x:v>crushed Coke can</x:v>
      </x:c>
      <x:c r="E1901" s="31" t="str">
        <x:v>Binary task success; compare only with the paired cross-task row and report descriptively.</x:v>
      </x:c>
      <x:c r="F1901" s="31"/>
      <x:c r="G1901" s="31"/>
      <x:c r="H1901" s="31" t="str">
        <x:f>IF(OR(F1901="",G1901=""),"",IF(F1901=G1901,"Agree","Disagree"))</x:f>
      </x:c>
      <x:c r="I1901" s="31"/>
      <x:c r="J1901" s="31" t="str">
        <x:v>No</x:v>
      </x:c>
      <x:c r="K1901" s="31" t="str"/>
      <x:c r="L1901" s="31" t="str"/>
      <x:c r="M1901" s="31" t="str"/>
      <x:c r="N1901" s="31" t="str"/>
    </x:row>
    <x:row r="1902" ht="42" customHeight="1">
      <x:c r="A1902" s="35" t="n">
        <x:v>1900</x:v>
      </x:c>
      <x:c r="B1902" s="31" t="str">
        <x:f>IF('Execution Checklist'!Q1902="","",'Execution Checklist'!Q1902)</x:f>
      </x:c>
      <x:c r="C1902" s="31" t="str">
        <x:v>Place the upside-down crushed soda can in the bowl.</x:v>
      </x:c>
      <x:c r="D1902" s="31" t="str">
        <x:v>crushed Pepsi can</x:v>
      </x:c>
      <x:c r="E1902" s="31" t="str">
        <x:v>Binary task success; compare only with the paired cross-task row and report descriptively.</x:v>
      </x:c>
      <x:c r="F1902" s="31"/>
      <x:c r="G1902" s="31"/>
      <x:c r="H1902" s="31" t="str">
        <x:f>IF(OR(F1902="",G1902=""),"",IF(F1902=G1902,"Agree","Disagree"))</x:f>
      </x:c>
      <x:c r="I1902" s="31"/>
      <x:c r="J1902" s="31" t="str">
        <x:v>No</x:v>
      </x:c>
      <x:c r="K1902" s="31" t="str"/>
      <x:c r="L1902" s="31" t="str"/>
      <x:c r="M1902" s="31" t="str"/>
      <x:c r="N1902" s="31" t="str"/>
    </x:row>
    <x:row r="1903" ht="42" customHeight="1">
      <x:c r="A1903" s="35" t="n">
        <x:v>1901</x:v>
      </x:c>
      <x:c r="B1903" s="31" t="str">
        <x:f>IF('Execution Checklist'!Q1903="","",'Execution Checklist'!Q1903)</x:f>
      </x:c>
      <x:c r="C1903" s="31" t="str">
        <x:v>Place the upside-down crushed soda can in the bowl.</x:v>
      </x:c>
      <x:c r="D1903" s="31" t="str">
        <x:v>crushed Pepsi can</x:v>
      </x:c>
      <x:c r="E1903" s="31" t="str">
        <x:v>Binary task success; compare only with the paired cross-task row and report descriptively.</x:v>
      </x:c>
      <x:c r="F1903" s="31"/>
      <x:c r="G1903" s="31"/>
      <x:c r="H1903" s="31" t="str">
        <x:f>IF(OR(F1903="",G1903=""),"",IF(F1903=G1903,"Agree","Disagree"))</x:f>
      </x:c>
      <x:c r="I1903" s="31"/>
      <x:c r="J1903" s="31" t="str">
        <x:v>No</x:v>
      </x:c>
      <x:c r="K1903" s="31" t="str"/>
      <x:c r="L1903" s="31" t="str"/>
      <x:c r="M1903" s="31" t="str"/>
      <x:c r="N1903" s="31" t="str"/>
    </x:row>
    <x:row r="1904" ht="42" customHeight="1">
      <x:c r="A1904" s="35" t="n">
        <x:v>1902</x:v>
      </x:c>
      <x:c r="B1904" s="31" t="str">
        <x:f>IF('Execution Checklist'!Q1904="","",'Execution Checklist'!Q1904)</x:f>
      </x:c>
      <x:c r="C1904" s="31" t="str">
        <x:v>Leave exactly zero objects in the bowl.</x:v>
      </x:c>
      <x:c r="D1904" s="31" t="str">
        <x:v>REMOVE the single bowl object; final count = 0</x:v>
      </x:c>
      <x:c r="E1904" s="31" t="str">
        <x:v>Binary task success; compare only with the paired cross-task row and report descriptively.</x:v>
      </x:c>
      <x:c r="F1904" s="31"/>
      <x:c r="G1904" s="31"/>
      <x:c r="H1904" s="31" t="str">
        <x:f>IF(OR(F1904="",G1904=""),"",IF(F1904=G1904,"Agree","Disagree"))</x:f>
      </x:c>
      <x:c r="I1904" s="31"/>
      <x:c r="J1904" s="31" t="str">
        <x:v>No</x:v>
      </x:c>
      <x:c r="K1904" s="31" t="str"/>
      <x:c r="L1904" s="31" t="str"/>
      <x:c r="M1904" s="31" t="str"/>
      <x:c r="N1904" s="31" t="str"/>
    </x:row>
    <x:row r="1905" ht="42" customHeight="1">
      <x:c r="A1905" s="35" t="n">
        <x:v>1903</x:v>
      </x:c>
      <x:c r="B1905" s="31" t="str">
        <x:f>IF('Execution Checklist'!Q1905="","",'Execution Checklist'!Q1905)</x:f>
      </x:c>
      <x:c r="C1905" s="31" t="str">
        <x:v>Leave exactly two objects in the bowl.</x:v>
      </x:c>
      <x:c r="D1905" s="31" t="str">
        <x:v>ADD any one table object; final count = 2</x:v>
      </x:c>
      <x:c r="E1905" s="31" t="str">
        <x:v>Binary task success; compare only with the paired cross-task row and report descriptively.</x:v>
      </x:c>
      <x:c r="F1905" s="31"/>
      <x:c r="G1905" s="31"/>
      <x:c r="H1905" s="31" t="str">
        <x:f>IF(OR(F1905="",G1905=""),"",IF(F1905=G1905,"Agree","Disagree"))</x:f>
      </x:c>
      <x:c r="I1905" s="31"/>
      <x:c r="J1905" s="31" t="str">
        <x:v>No</x:v>
      </x:c>
      <x:c r="K1905" s="31" t="str"/>
      <x:c r="L1905" s="31" t="str"/>
      <x:c r="M1905" s="31" t="str"/>
      <x:c r="N1905" s="31" t="str"/>
    </x:row>
    <x:row r="1906" ht="42" customHeight="1">
      <x:c r="A1906" s="35" t="n">
        <x:v>1904</x:v>
      </x:c>
      <x:c r="B1906" s="31" t="str">
        <x:f>IF('Execution Checklist'!Q1906="","",'Execution Checklist'!Q1906)</x:f>
      </x:c>
      <x:c r="C1906" s="31" t="str">
        <x:v>Leave exactly two objects in the bowl.</x:v>
      </x:c>
      <x:c r="D1906" s="31" t="str">
        <x:v>ADD any one table object; final count = 2</x:v>
      </x:c>
      <x:c r="E1906" s="31" t="str">
        <x:v>Binary task success; compare only with the paired cross-task row and report descriptively.</x:v>
      </x:c>
      <x:c r="F1906" s="31"/>
      <x:c r="G1906" s="31"/>
      <x:c r="H1906" s="31" t="str">
        <x:f>IF(OR(F1906="",G1906=""),"",IF(F1906=G1906,"Agree","Disagree"))</x:f>
      </x:c>
      <x:c r="I1906" s="31"/>
      <x:c r="J1906" s="31" t="str">
        <x:v>No</x:v>
      </x:c>
      <x:c r="K1906" s="31" t="str"/>
      <x:c r="L1906" s="31" t="str"/>
      <x:c r="M1906" s="31" t="str"/>
      <x:c r="N1906" s="31" t="str"/>
    </x:row>
    <x:row r="1907" ht="42" customHeight="1">
      <x:c r="A1907" s="35" t="n">
        <x:v>1905</x:v>
      </x:c>
      <x:c r="B1907" s="31" t="str">
        <x:f>IF('Execution Checklist'!Q1907="","",'Execution Checklist'!Q1907)</x:f>
      </x:c>
      <x:c r="C1907" s="31" t="str">
        <x:v>Leave exactly zero objects in the bowl.</x:v>
      </x:c>
      <x:c r="D1907" s="31" t="str">
        <x:v>REMOVE the single bowl object; final count = 0</x:v>
      </x:c>
      <x:c r="E1907" s="31" t="str">
        <x:v>Binary task success; compare only with the paired cross-task row and report descriptively.</x:v>
      </x:c>
      <x:c r="F1907" s="31"/>
      <x:c r="G1907" s="31"/>
      <x:c r="H1907" s="31" t="str">
        <x:f>IF(OR(F1907="",G1907=""),"",IF(F1907=G1907,"Agree","Disagree"))</x:f>
      </x:c>
      <x:c r="I1907" s="31"/>
      <x:c r="J1907" s="31" t="str">
        <x:v>No</x:v>
      </x:c>
      <x:c r="K1907" s="31" t="str"/>
      <x:c r="L1907" s="31" t="str"/>
      <x:c r="M1907" s="31" t="str"/>
      <x:c r="N1907" s="31" t="str"/>
    </x:row>
    <x:row r="1908" ht="42" customHeight="1">
      <x:c r="A1908" s="35" t="n">
        <x:v>1906</x:v>
      </x:c>
      <x:c r="B1908" s="31" t="str">
        <x:f>IF('Execution Checklist'!Q1908="","",'Execution Checklist'!Q1908)</x:f>
      </x:c>
      <x:c r="C1908" s="31" t="str">
        <x:v>Leave exactly zero objects in the bowl.</x:v>
      </x:c>
      <x:c r="D1908" s="31" t="str">
        <x:v>REMOVE the single bowl object; final count = 0</x:v>
      </x:c>
      <x:c r="E1908" s="31" t="str">
        <x:v>Binary task success; compare only with the paired cross-task row and report descriptively.</x:v>
      </x:c>
      <x:c r="F1908" s="31"/>
      <x:c r="G1908" s="31"/>
      <x:c r="H1908" s="31" t="str">
        <x:f>IF(OR(F1908="",G1908=""),"",IF(F1908=G1908,"Agree","Disagree"))</x:f>
      </x:c>
      <x:c r="I1908" s="31"/>
      <x:c r="J1908" s="31" t="str">
        <x:v>No</x:v>
      </x:c>
      <x:c r="K1908" s="31" t="str"/>
      <x:c r="L1908" s="31" t="str"/>
      <x:c r="M1908" s="31" t="str"/>
      <x:c r="N1908" s="31" t="str"/>
    </x:row>
    <x:row r="1909" ht="42" customHeight="1">
      <x:c r="A1909" s="35" t="n">
        <x:v>1907</x:v>
      </x:c>
      <x:c r="B1909" s="31" t="str">
        <x:f>IF('Execution Checklist'!Q1909="","",'Execution Checklist'!Q1909)</x:f>
      </x:c>
      <x:c r="C1909" s="31" t="str">
        <x:v>Leave exactly zero objects in the bowl.</x:v>
      </x:c>
      <x:c r="D1909" s="31" t="str">
        <x:v>REMOVE the single bowl object; final count = 0</x:v>
      </x:c>
      <x:c r="E1909" s="31" t="str">
        <x:v>Binary task success; compare only with the paired cross-task row and report descriptively.</x:v>
      </x:c>
      <x:c r="F1909" s="31"/>
      <x:c r="G1909" s="31"/>
      <x:c r="H1909" s="31" t="str">
        <x:f>IF(OR(F1909="",G1909=""),"",IF(F1909=G1909,"Agree","Disagree"))</x:f>
      </x:c>
      <x:c r="I1909" s="31"/>
      <x:c r="J1909" s="31" t="str">
        <x:v>No</x:v>
      </x:c>
      <x:c r="K1909" s="31" t="str"/>
      <x:c r="L1909" s="31" t="str"/>
      <x:c r="M1909" s="31" t="str"/>
      <x:c r="N1909" s="31" t="str"/>
    </x:row>
    <x:row r="1910" ht="42" customHeight="1">
      <x:c r="A1910" s="35" t="n">
        <x:v>1908</x:v>
      </x:c>
      <x:c r="B1910" s="31" t="str">
        <x:f>IF('Execution Checklist'!Q1910="","",'Execution Checklist'!Q1910)</x:f>
      </x:c>
      <x:c r="C1910" s="31" t="str">
        <x:v>Leave exactly two objects in the bowl.</x:v>
      </x:c>
      <x:c r="D1910" s="31" t="str">
        <x:v>ADD any one table object; final count = 2</x:v>
      </x:c>
      <x:c r="E1910" s="31" t="str">
        <x:v>Binary task success; compare only with the paired cross-task row and report descriptively.</x:v>
      </x:c>
      <x:c r="F1910" s="31"/>
      <x:c r="G1910" s="31"/>
      <x:c r="H1910" s="31" t="str">
        <x:f>IF(OR(F1910="",G1910=""),"",IF(F1910=G1910,"Agree","Disagree"))</x:f>
      </x:c>
      <x:c r="I1910" s="31"/>
      <x:c r="J1910" s="31" t="str">
        <x:v>No</x:v>
      </x:c>
      <x:c r="K1910" s="31" t="str"/>
      <x:c r="L1910" s="31" t="str"/>
      <x:c r="M1910" s="31" t="str"/>
      <x:c r="N1910" s="31" t="str"/>
    </x:row>
    <x:row r="1911" ht="42" customHeight="1">
      <x:c r="A1911" s="35" t="n">
        <x:v>1909</x:v>
      </x:c>
      <x:c r="B1911" s="31" t="str">
        <x:f>IF('Execution Checklist'!Q1911="","",'Execution Checklist'!Q1911)</x:f>
      </x:c>
      <x:c r="C1911" s="31" t="str">
        <x:v>Leave exactly two objects in the bowl.</x:v>
      </x:c>
      <x:c r="D1911" s="31" t="str">
        <x:v>ADD any one table object; final count = 2</x:v>
      </x:c>
      <x:c r="E1911" s="31" t="str">
        <x:v>Binary task success; compare only with the paired cross-task row and report descriptively.</x:v>
      </x:c>
      <x:c r="F1911" s="31"/>
      <x:c r="G1911" s="31"/>
      <x:c r="H1911" s="31" t="str">
        <x:f>IF(OR(F1911="",G1911=""),"",IF(F1911=G1911,"Agree","Disagree"))</x:f>
      </x:c>
      <x:c r="I1911" s="31"/>
      <x:c r="J1911" s="31" t="str">
        <x:v>No</x:v>
      </x:c>
      <x:c r="K1911" s="31" t="str"/>
      <x:c r="L1911" s="31" t="str"/>
      <x:c r="M1911" s="31" t="str"/>
      <x:c r="N1911" s="31" t="str"/>
    </x:row>
    <x:row r="1912" ht="42" customHeight="1">
      <x:c r="A1912" s="35" t="n">
        <x:v>1910</x:v>
      </x:c>
      <x:c r="B1912" s="31" t="str">
        <x:f>IF('Execution Checklist'!Q1912="","",'Execution Checklist'!Q1912)</x:f>
      </x:c>
      <x:c r="C1912" s="31" t="str">
        <x:v>Place the upright crushed soda can in the bowl.</x:v>
      </x:c>
      <x:c r="D1912" s="31" t="str">
        <x:v>crushed Pepsi can</x:v>
      </x:c>
      <x:c r="E1912" s="31" t="str">
        <x:v>Binary task success; compare only with the paired cross-task row and report descriptively.</x:v>
      </x:c>
      <x:c r="F1912" s="31"/>
      <x:c r="G1912" s="31"/>
      <x:c r="H1912" s="31" t="str">
        <x:f>IF(OR(F1912="",G1912=""),"",IF(F1912=G1912,"Agree","Disagree"))</x:f>
      </x:c>
      <x:c r="I1912" s="31"/>
      <x:c r="J1912" s="31" t="str">
        <x:v>No</x:v>
      </x:c>
      <x:c r="K1912" s="31" t="str"/>
      <x:c r="L1912" s="31" t="str"/>
      <x:c r="M1912" s="31" t="str"/>
      <x:c r="N1912" s="31" t="str"/>
    </x:row>
    <x:row r="1913" ht="42" customHeight="1">
      <x:c r="A1913" s="35" t="n">
        <x:v>1911</x:v>
      </x:c>
      <x:c r="B1913" s="31" t="str">
        <x:f>IF('Execution Checklist'!Q1913="","",'Execution Checklist'!Q1913)</x:f>
      </x:c>
      <x:c r="C1913" s="31" t="str">
        <x:v>Place the upright crushed soda can in the bowl.</x:v>
      </x:c>
      <x:c r="D1913" s="31" t="str">
        <x:v>crushed Pepsi can</x:v>
      </x:c>
      <x:c r="E1913" s="31" t="str">
        <x:v>Binary task success; compare only with the paired cross-task row and report descriptively.</x:v>
      </x:c>
      <x:c r="F1913" s="31"/>
      <x:c r="G1913" s="31"/>
      <x:c r="H1913" s="31" t="str">
        <x:f>IF(OR(F1913="",G1913=""),"",IF(F1913=G1913,"Agree","Disagree"))</x:f>
      </x:c>
      <x:c r="I1913" s="31"/>
      <x:c r="J1913" s="31" t="str">
        <x:v>No</x:v>
      </x:c>
      <x:c r="K1913" s="31" t="str"/>
      <x:c r="L1913" s="31" t="str"/>
      <x:c r="M1913" s="31" t="str"/>
      <x:c r="N1913" s="31" t="str"/>
    </x:row>
    <x:row r="1914" ht="42" customHeight="1">
      <x:c r="A1914" s="35" t="n">
        <x:v>1912</x:v>
      </x:c>
      <x:c r="B1914" s="31" t="str">
        <x:f>IF('Execution Checklist'!Q1914="","",'Execution Checklist'!Q1914)</x:f>
      </x:c>
      <x:c r="C1914" s="31" t="str">
        <x:v>Place the upside-down crushed soda can in the bowl.</x:v>
      </x:c>
      <x:c r="D1914" s="31" t="str">
        <x:v>crushed Coke can</x:v>
      </x:c>
      <x:c r="E1914" s="31" t="str">
        <x:v>Binary task success; compare only with the paired cross-task row and report descriptively.</x:v>
      </x:c>
      <x:c r="F1914" s="31"/>
      <x:c r="G1914" s="31"/>
      <x:c r="H1914" s="31" t="str">
        <x:f>IF(OR(F1914="",G1914=""),"",IF(F1914=G1914,"Agree","Disagree"))</x:f>
      </x:c>
      <x:c r="I1914" s="31"/>
      <x:c r="J1914" s="31" t="str">
        <x:v>No</x:v>
      </x:c>
      <x:c r="K1914" s="31" t="str"/>
      <x:c r="L1914" s="31" t="str"/>
      <x:c r="M1914" s="31" t="str"/>
      <x:c r="N1914" s="31" t="str"/>
    </x:row>
    <x:row r="1915" ht="42" customHeight="1">
      <x:c r="A1915" s="35" t="n">
        <x:v>1913</x:v>
      </x:c>
      <x:c r="B1915" s="31" t="str">
        <x:f>IF('Execution Checklist'!Q1915="","",'Execution Checklist'!Q1915)</x:f>
      </x:c>
      <x:c r="C1915" s="31" t="str">
        <x:v>Place the upright crushed soda can in the bowl.</x:v>
      </x:c>
      <x:c r="D1915" s="31" t="str">
        <x:v>crushed Coke can</x:v>
      </x:c>
      <x:c r="E1915" s="31" t="str">
        <x:v>Binary task success; compare only with the paired cross-task row and report descriptively.</x:v>
      </x:c>
      <x:c r="F1915" s="31"/>
      <x:c r="G1915" s="31"/>
      <x:c r="H1915" s="31" t="str">
        <x:f>IF(OR(F1915="",G1915=""),"",IF(F1915=G1915,"Agree","Disagree"))</x:f>
      </x:c>
      <x:c r="I1915" s="31"/>
      <x:c r="J1915" s="31" t="str">
        <x:v>No</x:v>
      </x:c>
      <x:c r="K1915" s="31" t="str"/>
      <x:c r="L1915" s="31" t="str"/>
      <x:c r="M1915" s="31" t="str"/>
      <x:c r="N1915" s="31" t="str"/>
    </x:row>
    <x:row r="1916" ht="42" customHeight="1">
      <x:c r="A1916" s="35" t="n">
        <x:v>1914</x:v>
      </x:c>
      <x:c r="B1916" s="31" t="str">
        <x:f>IF('Execution Checklist'!Q1916="","",'Execution Checklist'!Q1916)</x:f>
      </x:c>
      <x:c r="C1916" s="31" t="str">
        <x:v>Place the upside-down crushed soda can in the bowl.</x:v>
      </x:c>
      <x:c r="D1916" s="31" t="str">
        <x:v>crushed Coke can</x:v>
      </x:c>
      <x:c r="E1916" s="31" t="str">
        <x:v>Binary task success; compare only with the paired cross-task row and report descriptively.</x:v>
      </x:c>
      <x:c r="F1916" s="31"/>
      <x:c r="G1916" s="31"/>
      <x:c r="H1916" s="31" t="str">
        <x:f>IF(OR(F1916="",G1916=""),"",IF(F1916=G1916,"Agree","Disagree"))</x:f>
      </x:c>
      <x:c r="I1916" s="31"/>
      <x:c r="J1916" s="31" t="str">
        <x:v>No</x:v>
      </x:c>
      <x:c r="K1916" s="31" t="str"/>
      <x:c r="L1916" s="31" t="str"/>
      <x:c r="M1916" s="31" t="str"/>
      <x:c r="N1916" s="31" t="str"/>
    </x:row>
    <x:row r="1917" ht="42" customHeight="1">
      <x:c r="A1917" s="35" t="n">
        <x:v>1915</x:v>
      </x:c>
      <x:c r="B1917" s="31" t="str">
        <x:f>IF('Execution Checklist'!Q1917="","",'Execution Checklist'!Q1917)</x:f>
      </x:c>
      <x:c r="C1917" s="31" t="str">
        <x:v>Place the upside-down crushed soda can in the bowl.</x:v>
      </x:c>
      <x:c r="D1917" s="31" t="str">
        <x:v>crushed Pepsi can</x:v>
      </x:c>
      <x:c r="E1917" s="31" t="str">
        <x:v>Binary task success; compare only with the paired cross-task row and report descriptively.</x:v>
      </x:c>
      <x:c r="F1917" s="31"/>
      <x:c r="G1917" s="31"/>
      <x:c r="H1917" s="31" t="str">
        <x:f>IF(OR(F1917="",G1917=""),"",IF(F1917=G1917,"Agree","Disagree"))</x:f>
      </x:c>
      <x:c r="I1917" s="31"/>
      <x:c r="J1917" s="31" t="str">
        <x:v>No</x:v>
      </x:c>
      <x:c r="K1917" s="31" t="str"/>
      <x:c r="L1917" s="31" t="str"/>
      <x:c r="M1917" s="31" t="str"/>
      <x:c r="N1917" s="31" t="str"/>
    </x:row>
    <x:row r="1918" ht="42" customHeight="1">
      <x:c r="A1918" s="35" t="n">
        <x:v>1916</x:v>
      </x:c>
      <x:c r="B1918" s="31" t="str">
        <x:f>IF('Execution Checklist'!Q1918="","",'Execution Checklist'!Q1918)</x:f>
      </x:c>
      <x:c r="C1918" s="31" t="str">
        <x:v>Place the upside-down crushed soda can in the bowl.</x:v>
      </x:c>
      <x:c r="D1918" s="31" t="str">
        <x:v>crushed Pepsi can</x:v>
      </x:c>
      <x:c r="E1918" s="31" t="str">
        <x:v>Binary task success; compare only with the paired cross-task row and report descriptively.</x:v>
      </x:c>
      <x:c r="F1918" s="31"/>
      <x:c r="G1918" s="31"/>
      <x:c r="H1918" s="31" t="str">
        <x:f>IF(OR(F1918="",G1918=""),"",IF(F1918=G1918,"Agree","Disagree"))</x:f>
      </x:c>
      <x:c r="I1918" s="31"/>
      <x:c r="J1918" s="31" t="str">
        <x:v>No</x:v>
      </x:c>
      <x:c r="K1918" s="31" t="str"/>
      <x:c r="L1918" s="31" t="str"/>
      <x:c r="M1918" s="31" t="str"/>
      <x:c r="N1918" s="31" t="str"/>
    </x:row>
    <x:row r="1919" ht="42" customHeight="1">
      <x:c r="A1919" s="35" t="n">
        <x:v>1917</x:v>
      </x:c>
      <x:c r="B1919" s="31" t="str">
        <x:f>IF('Execution Checklist'!Q1919="","",'Execution Checklist'!Q1919)</x:f>
      </x:c>
      <x:c r="C1919" s="31" t="str">
        <x:v>Place the upright crushed soda can in the bowl.</x:v>
      </x:c>
      <x:c r="D1919" s="31" t="str">
        <x:v>crushed Coke can</x:v>
      </x:c>
      <x:c r="E1919" s="31" t="str">
        <x:v>Binary task success; compare only with the paired cross-task row and report descriptively.</x:v>
      </x:c>
      <x:c r="F1919" s="31"/>
      <x:c r="G1919" s="31"/>
      <x:c r="H1919" s="31" t="str">
        <x:f>IF(OR(F1919="",G1919=""),"",IF(F1919=G1919,"Agree","Disagree"))</x:f>
      </x:c>
      <x:c r="I1919" s="31"/>
      <x:c r="J1919" s="31" t="str">
        <x:v>No</x:v>
      </x:c>
      <x:c r="K1919" s="31" t="str"/>
      <x:c r="L1919" s="31" t="str"/>
      <x:c r="M1919" s="31" t="str"/>
      <x:c r="N1919" s="31" t="str"/>
    </x:row>
    <x:row r="1920" ht="42" customHeight="1">
      <x:c r="A1920" s="35" t="n">
        <x:v>1918</x:v>
      </x:c>
      <x:c r="B1920" s="31" t="str">
        <x:f>IF('Execution Checklist'!Q1920="","",'Execution Checklist'!Q1920)</x:f>
      </x:c>
      <x:c r="C1920" s="31" t="str">
        <x:v>Place the yellow block to the left of the blue pen.</x:v>
      </x:c>
      <x:c r="D1920" s="31" t="str">
        <x:v>yellow block placed left blue pen</x:v>
      </x:c>
      <x:c r="E1920" s="31" t="str">
        <x:v>Binary task success; compare only with the paired cross-task row and report descriptively.</x:v>
      </x:c>
      <x:c r="F1920" s="31"/>
      <x:c r="G1920" s="31"/>
      <x:c r="H1920" s="31" t="str">
        <x:f>IF(OR(F1920="",G1920=""),"",IF(F1920=G1920,"Agree","Disagree"))</x:f>
      </x:c>
      <x:c r="I1920" s="31"/>
      <x:c r="J1920" s="31" t="str">
        <x:v>No</x:v>
      </x:c>
      <x:c r="K1920" s="31" t="str"/>
      <x:c r="L1920" s="31" t="str"/>
      <x:c r="M1920" s="31" t="str"/>
      <x:c r="N1920" s="31" t="str"/>
    </x:row>
    <x:row r="1921" ht="42" customHeight="1">
      <x:c r="A1921" s="35" t="n">
        <x:v>1919</x:v>
      </x:c>
      <x:c r="B1921" s="31" t="str">
        <x:f>IF('Execution Checklist'!Q1921="","",'Execution Checklist'!Q1921)</x:f>
      </x:c>
      <x:c r="C1921" s="31" t="str">
        <x:v>Place the brown cup to the left of the green pencil sharpener.</x:v>
      </x:c>
      <x:c r="D1921" s="31" t="str">
        <x:v>brown cup placed left green pencil sharpener</x:v>
      </x:c>
      <x:c r="E1921" s="31" t="str">
        <x:v>Binary task success; compare only with the paired cross-task row and report descriptively.</x:v>
      </x:c>
      <x:c r="F1921" s="31"/>
      <x:c r="G1921" s="31"/>
      <x:c r="H1921" s="31" t="str">
        <x:f>IF(OR(F1921="",G1921=""),"",IF(F1921=G1921,"Agree","Disagree"))</x:f>
      </x:c>
      <x:c r="I1921" s="31"/>
      <x:c r="J1921" s="31" t="str">
        <x:v>No</x:v>
      </x:c>
      <x:c r="K1921" s="31" t="str"/>
      <x:c r="L1921" s="31" t="str"/>
      <x:c r="M1921" s="31" t="str"/>
      <x:c r="N1921" s="31" t="str"/>
    </x:row>
    <x:row r="1922" ht="42" customHeight="1">
      <x:c r="A1922" s="35" t="n">
        <x:v>1920</x:v>
      </x:c>
      <x:c r="B1922" s="31" t="str">
        <x:f>IF('Execution Checklist'!Q1922="","",'Execution Checklist'!Q1922)</x:f>
      </x:c>
      <x:c r="C1922" s="31" t="str">
        <x:v>Place the yellow block to the right of the blue pen.</x:v>
      </x:c>
      <x:c r="D1922" s="31" t="str">
        <x:v>yellow block placed right blue pen</x:v>
      </x:c>
      <x:c r="E1922" s="31" t="str">
        <x:v>Binary task success; compare only with the paired cross-task row and report descriptively.</x:v>
      </x:c>
      <x:c r="F1922" s="31"/>
      <x:c r="G1922" s="31"/>
      <x:c r="H1922" s="31" t="str">
        <x:f>IF(OR(F1922="",G1922=""),"",IF(F1922=G1922,"Agree","Disagree"))</x:f>
      </x:c>
      <x:c r="I1922" s="31"/>
      <x:c r="J1922" s="31" t="str">
        <x:v>No</x:v>
      </x:c>
      <x:c r="K1922" s="31" t="str"/>
      <x:c r="L1922" s="31" t="str"/>
      <x:c r="M1922" s="31" t="str"/>
      <x:c r="N1922" s="31" t="str"/>
    </x:row>
    <x:row r="1923" ht="42" customHeight="1">
      <x:c r="A1923" s="35" t="n">
        <x:v>1921</x:v>
      </x:c>
      <x:c r="B1923" s="31" t="str">
        <x:f>IF('Execution Checklist'!Q1923="","",'Execution Checklist'!Q1923)</x:f>
      </x:c>
      <x:c r="C1923" s="31" t="str">
        <x:v>Place the crushed Coke can behind the white cup.</x:v>
      </x:c>
      <x:c r="D1923" s="31" t="str">
        <x:v>crushed Coke can placed behind white cup</x:v>
      </x:c>
      <x:c r="E1923" s="31" t="str">
        <x:v>Binary task success; compare only with the paired cross-task row and report descriptively.</x:v>
      </x:c>
      <x:c r="F1923" s="31"/>
      <x:c r="G1923" s="31"/>
      <x:c r="H1923" s="31" t="str">
        <x:f>IF(OR(F1923="",G1923=""),"",IF(F1923=G1923,"Agree","Disagree"))</x:f>
      </x:c>
      <x:c r="I1923" s="31"/>
      <x:c r="J1923" s="31" t="str">
        <x:v>No</x:v>
      </x:c>
      <x:c r="K1923" s="31" t="str"/>
      <x:c r="L1923" s="31" t="str"/>
      <x:c r="M1923" s="31" t="str"/>
      <x:c r="N1923" s="31" t="str"/>
    </x:row>
    <x:row r="1924" ht="42" customHeight="1">
      <x:c r="A1924" s="35" t="n">
        <x:v>1922</x:v>
      </x:c>
      <x:c r="B1924" s="31" t="str">
        <x:f>IF('Execution Checklist'!Q1924="","",'Execution Checklist'!Q1924)</x:f>
      </x:c>
      <x:c r="C1924" s="31" t="str">
        <x:v>Place the blue tape ball behind the glass spice container.</x:v>
      </x:c>
      <x:c r="D1924" s="31" t="str">
        <x:v>blue tape ball placed behind glass spice container</x:v>
      </x:c>
      <x:c r="E1924" s="31" t="str">
        <x:v>Binary task success; compare only with the paired cross-task row and report descriptively.</x:v>
      </x:c>
      <x:c r="F1924" s="31"/>
      <x:c r="G1924" s="31"/>
      <x:c r="H1924" s="31" t="str">
        <x:f>IF(OR(F1924="",G1924=""),"",IF(F1924=G1924,"Agree","Disagree"))</x:f>
      </x:c>
      <x:c r="I1924" s="31"/>
      <x:c r="J1924" s="31" t="str">
        <x:v>No</x:v>
      </x:c>
      <x:c r="K1924" s="31" t="str"/>
      <x:c r="L1924" s="31" t="str"/>
      <x:c r="M1924" s="31" t="str"/>
      <x:c r="N1924" s="31" t="str"/>
    </x:row>
    <x:row r="1925" ht="42" customHeight="1">
      <x:c r="A1925" s="35" t="n">
        <x:v>1923</x:v>
      </x:c>
      <x:c r="B1925" s="31" t="str">
        <x:f>IF('Execution Checklist'!Q1925="","",'Execution Checklist'!Q1925)</x:f>
      </x:c>
      <x:c r="C1925" s="31" t="str">
        <x:v>Place the crushed Coke can in front of the white cup.</x:v>
      </x:c>
      <x:c r="D1925" s="31" t="str">
        <x:v>crushed Coke can placed front white cup</x:v>
      </x:c>
      <x:c r="E1925" s="31" t="str">
        <x:v>Binary task success; compare only with the paired cross-task row and report descriptively.</x:v>
      </x:c>
      <x:c r="F1925" s="31"/>
      <x:c r="G1925" s="31"/>
      <x:c r="H1925" s="31" t="str">
        <x:f>IF(OR(F1925="",G1925=""),"",IF(F1925=G1925,"Agree","Disagree"))</x:f>
      </x:c>
      <x:c r="I1925" s="31"/>
      <x:c r="J1925" s="31" t="str">
        <x:v>No</x:v>
      </x:c>
      <x:c r="K1925" s="31" t="str"/>
      <x:c r="L1925" s="31" t="str"/>
      <x:c r="M1925" s="31" t="str"/>
      <x:c r="N1925" s="31" t="str"/>
    </x:row>
    <x:row r="1926" ht="42" customHeight="1">
      <x:c r="A1926" s="35" t="n">
        <x:v>1924</x:v>
      </x:c>
      <x:c r="B1926" s="31" t="str">
        <x:f>IF('Execution Checklist'!Q1926="","",'Execution Checklist'!Q1926)</x:f>
      </x:c>
      <x:c r="C1926" s="31" t="str">
        <x:v>Place the brown cup to the right of the green pencil sharpener.</x:v>
      </x:c>
      <x:c r="D1926" s="31" t="str">
        <x:v>brown cup placed right green pencil sharpener</x:v>
      </x:c>
      <x:c r="E1926" s="31" t="str">
        <x:v>Binary task success; compare only with the paired cross-task row and report descriptively.</x:v>
      </x:c>
      <x:c r="F1926" s="31"/>
      <x:c r="G1926" s="31"/>
      <x:c r="H1926" s="31" t="str">
        <x:f>IF(OR(F1926="",G1926=""),"",IF(F1926=G1926,"Agree","Disagree"))</x:f>
      </x:c>
      <x:c r="I1926" s="31"/>
      <x:c r="J1926" s="31" t="str">
        <x:v>No</x:v>
      </x:c>
      <x:c r="K1926" s="31" t="str"/>
      <x:c r="L1926" s="31" t="str"/>
      <x:c r="M1926" s="31" t="str"/>
      <x:c r="N1926" s="31" t="str"/>
    </x:row>
    <x:row r="1927" ht="42" customHeight="1">
      <x:c r="A1927" s="35" t="n">
        <x:v>1925</x:v>
      </x:c>
      <x:c r="B1927" s="31" t="str">
        <x:f>IF('Execution Checklist'!Q1927="","",'Execution Checklist'!Q1927)</x:f>
      </x:c>
      <x:c r="C1927" s="31" t="str">
        <x:v>Place the blue tape ball in front of the glass spice container.</x:v>
      </x:c>
      <x:c r="D1927" s="31" t="str">
        <x:v>blue tape ball placed front glass spice container</x:v>
      </x:c>
      <x:c r="E1927" s="31" t="str">
        <x:v>Binary task success; compare only with the paired cross-task row and report descriptively.</x:v>
      </x:c>
      <x:c r="F1927" s="31"/>
      <x:c r="G1927" s="31"/>
      <x:c r="H1927" s="31" t="str">
        <x:f>IF(OR(F1927="",G1927=""),"",IF(F1927=G1927,"Agree","Disagree"))</x:f>
      </x:c>
      <x:c r="I1927" s="31"/>
      <x:c r="J1927" s="31" t="str">
        <x:v>No</x:v>
      </x:c>
      <x:c r="K1927" s="31" t="str"/>
      <x:c r="L1927" s="31" t="str"/>
      <x:c r="M1927" s="31" t="str"/>
      <x:c r="N1927" s="31" t="str"/>
    </x:row>
  </x:sheetData>
  <x:conditionalFormatting sqref="H2:H1927">
    <x:cfRule type="expression" dxfId="3" priority="1">
      <x:formula>$H2="Disagree"</x:formula>
    </x:cfRule>
  </x:conditionalFormatting>
  <x:conditionalFormatting sqref="J2:J1927">
    <x:cfRule type="expression" dxfId="4" priority="2">
      <x:formula>$J2="Yes"</x:formula>
    </x:cfRule>
  </x:conditionalFormatting>
  <x:dataValidations count="5">
    <x:dataValidation type="whole" operator="between" sqref="F2:F1927">
      <x:formula1>0</x:formula1>
      <x:formula2>1</x:formula2>
    </x:dataValidation>
    <x:dataValidation type="whole" operator="between" sqref="G2:G1927">
      <x:formula1>0</x:formula1>
      <x:formula2>1</x:formula2>
    </x:dataValidation>
    <x:dataValidation type="whole" operator="between" sqref="I2:I1927">
      <x:formula1>0</x:formula1>
      <x:formula2>1</x:formula2>
    </x:dataValidation>
    <x:dataValidation type="list" sqref="J2:J1927">
      <x:formula1>"No,Yes"</x:formula1>
    </x:dataValidation>
    <x:dataValidation type="list" sqref="L2:L1927">
      <x:formula1>",No grasp,Wrong target,Wrong relation/state/count,Dropped object,Collision,Timeout,Unsafe motion,Other"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108783fc5544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35" hidden="0" customWidth="1"/>
    <x:col min="4" max="4" width="55" hidden="0" customWidth="1"/>
    <x:col min="5" max="5" width="58" hidden="0" customWidth="1"/>
  </x:cols>
  <x:sheetData>
    <x:row r="1" ht="30" customHeight="1">
      <x:c r="A1" s="4" t="str">
        <x:v>Pre-Specified Analysis Plan and Reviewer Guardrails</x:v>
      </x:c>
      <x:c r="B1" s="4" t="str">
        <x:v>Pre-Specified Analysis Plan and Reviewer Guardrails</x:v>
      </x:c>
      <x:c r="C1" s="4" t="str">
        <x:v>Pre-Specified Analysis Plan and Reviewer Guardrails</x:v>
      </x:c>
      <x:c r="D1" s="4" t="str">
        <x:v>Pre-Specified Analysis Plan and Reviewer Guardrails</x:v>
      </x:c>
      <x:c r="E1" s="4" t="str">
        <x:v>Pre-Specified Analysis Plan and Reviewer Guardrails</x:v>
      </x:c>
    </x:row>
    <x:row r="3" ht="54" customHeight="1">
      <x:c r="A3" s="16" t="str">
        <x:v>Item</x:v>
      </x:c>
      <x:c r="B3" s="17" t="str">
        <x:v>Pre-specified decision</x:v>
      </x:c>
      <x:c r="C3" s="17" t="str">
        <x:v>Unit / sample</x:v>
      </x:c>
      <x:c r="D3" s="17" t="str">
        <x:v>Method</x:v>
      </x:c>
      <x:c r="E3" s="18" t="str">
        <x:v>Reviewer-facing interpretation</x:v>
      </x:c>
    </x:row>
    <x:row r="4" ht="54" customHeight="1">
      <x:c r="A4" s="70" t="str">
        <x:v>Primary estimand</x:v>
      </x:c>
      <x:c r="B4" s="30" t="str">
        <x:v>Paired risk difference: main held-out transfer minus main matched control.</x:v>
      </x:c>
      <x:c r="C4" s="30" t="str">
        <x:v>16 pairs × 3 seeds = 48 pairs per model-task; 144 pairs per model pooled over three tasks.</x:v>
      </x:c>
      <x:c r="D4" s="30" t="str">
        <x:v>Exact paired interval/test per model-task; pooled model with task fixed effects.</x:v>
      </x:c>
      <x:c r="E4" s="30" t="str">
        <x:v>Do not pool reconstruction, cross-task, BC, or secondary-task rows into the headline transfer rate.</x:v>
      </x:c>
    </x:row>
    <x:row r="5" ht="54" customHeight="1">
      <x:c r="A5" s="71" t="str">
        <x:v>Primary hypothesis family</x:v>
      </x:c>
      <x:c r="B5" s="31" t="str">
        <x:v>For each VLA family, test whether the pooled transfer-control gap differs from zero.</x:v>
      </x:c>
      <x:c r="C5" s="31" t="str">
        <x:v>Three pre-specified model-level tests.</x:v>
      </x:c>
      <x:c r="D5" s="31" t="str">
        <x:v>Holm correction across the three model-level tests; report raw and adjusted p-values.</x:v>
      </x:c>
      <x:c r="E5" s="31" t="str">
        <x:v>Task-specific estimates are effect sizes with intervals unless separately corrected.</x:v>
      </x:c>
    </x:row>
    <x:row r="6" ht="54" customHeight="1">
      <x:c r="A6" s="71" t="str">
        <x:v>Model comparison</x:v>
      </x:c>
      <x:c r="B6" s="31" t="str">
        <x:v>Compare the three VLA families on main held-out transfer, not overall success.</x:v>
      </x:c>
      <x:c r="C6" s="31" t="str">
        <x:v>Three planned pairwise model contrasts on shared specifications.</x:v>
      </x:c>
      <x:c r="D6" s="31" t="str">
        <x:v>Logistic mixed model with Model, Task, Seed block, and Model×Task; random intercept for specification/pair. Holm-adjust the three pairwise contrasts.</x:v>
      </x:c>
      <x:c r="E6" s="31" t="str">
        <x:v>Models differ in pretraining; interpret as family comparison, not a controlled architecture ablation.</x:v>
      </x:c>
    </x:row>
    <x:row r="7" ht="54" customHeight="1">
      <x:c r="A7" s="71" t="str">
        <x:v>Language sensitivity</x:v>
      </x:c>
      <x:c r="B7" s="31" t="str">
        <x:v>Compare correct-prompt behavior with blank and same-scene counterfactual instructions.</x:v>
      </x:c>
      <x:c r="C7" s="31" t="str">
        <x:v>8 language diagnostics × 3 seeds per model-task.</x:v>
      </x:c>
      <x:c r="D7" s="31" t="str">
        <x:v>Paired action-switch/target-switch rate; blank rows are not ordinary task-success trials.</x:v>
      </x:c>
      <x:c r="E7" s="31" t="str">
        <x:v>This is the direct language-use diagnostic. Report separately from transfer success.</x:v>
      </x:c>
    </x:row>
    <x:row r="8" ht="54" customHeight="1">
      <x:c r="A8" s="71" t="str">
        <x:v>BC role</x:v>
      </x:c>
      <x:c r="B8" s="31" t="str">
        <x:v>Evaluate task-specific vision-only BC on 10 exact-scene counterfactual pairs per task and seed.</x:v>
      </x:c>
      <x:c r="C8" s="31" t="str">
        <x:v>30 pairs per task across three BC seeds.</x:v>
      </x:c>
      <x:c r="D8" s="31" t="str">
        <x:v>Report paired switch rate and instruction-conditioned success ceiling.</x:v>
      </x:c>
      <x:c r="E8" s="31" t="str">
        <x:v>BC is a shortcut diagnostic, not a language-grounding competitor.</x:v>
      </x:c>
    </x:row>
    <x:row r="9" ht="54" customHeight="1">
      <x:c r="A9" s="71" t="str">
        <x:v>Randomization</x:v>
      </x:c>
      <x:c r="B9" s="31" t="str">
        <x:v>Deterministic seed 20260729; counterbalanced model/task block order and randomized order within each block.</x:v>
      </x:c>
      <x:c r="C9" s="31" t="str">
        <x:v>45 planned blocks.</x:v>
      </x:c>
      <x:c r="D9" s="31" t="str">
        <x:v>Include planned block, within-block order, session, and time in the raw log.</x:v>
      </x:c>
      <x:c r="E9" s="31" t="str">
        <x:v>If hardware logistics force deviations, record them; do not silently reorder based on outcomes.</x:v>
      </x:c>
    </x:row>
    <x:row r="10" ht="54" customHeight="1">
      <x:c r="A10" s="71" t="str">
        <x:v>Training seeds</x:v>
      </x:c>
      <x:c r="B10" s="31" t="str">
        <x:v>Use exactly three independently trained seeds for every primary VLA and BC policy.</x:v>
      </x:c>
      <x:c r="C10" s="31" t="str">
        <x:v>Three seeds per model-task.</x:v>
      </x:c>
      <x:c r="D10" s="31" t="str">
        <x:v>Show seed-level points and seed-stratified estimates; seed is a fixed blocking factor in the main model.</x:v>
      </x:c>
      <x:c r="E10" s="31" t="str">
        <x:v>Three seeds are a defensible minimum, not evidence for tiny differences.</x:v>
      </x:c>
    </x:row>
    <x:row r="11" ht="54" customHeight="1">
      <x:c r="A11" s="71" t="str">
        <x:v>Success scoring</x:v>
      </x:c>
      <x:c r="B11" s="31" t="str">
        <x:v>Freeze task-specific success rubrics before collecting results.</x:v>
      </x:c>
      <x:c r="C11" s="31" t="str">
        <x:v>One binary adjudicated outcome per valid rollout.</x:v>
      </x:c>
      <x:c r="D11" s="31" t="str">
        <x:v>Two blinded raters; report raw agreement and Cohen's κ; adjudicate before unblinding.</x:v>
      </x:c>
      <x:c r="E11" s="31" t="str">
        <x:v>For blank-language rows, score action occurrence/agreement rather than forcing a success label.</x:v>
      </x:c>
    </x:row>
    <x:row r="12" ht="54" customHeight="1">
      <x:c r="A12" s="71" t="str">
        <x:v>Invalid trials</x:v>
      </x:c>
      <x:c r="B12" s="31" t="str">
        <x:v>Technical or protocol failures only: camera dropout, robot fault, incorrect reset, wrong checkpoint, or missing video.</x:v>
      </x:c>
      <x:c r="C12" s="31" t="str">
        <x:v>Maximum 74 replacements.</x:v>
      </x:c>
      <x:c r="D12" s="31" t="str">
        <x:v>Log every attempt; reserve slot points to the replaced Rollout #. Failed policy behavior is never invalid.</x:v>
      </x:c>
      <x:c r="E12" s="31" t="str">
        <x:v>If reserve is exhausted, report missingness and stop at 2,000.</x:v>
      </x:c>
    </x:row>
    <x:row r="13" ht="54" customHeight="1">
      <x:c r="A13" s="71" t="str">
        <x:v>Stopping rule</x:v>
      </x:c>
      <x:c r="B13" s="31" t="str">
        <x:v>No early stopping and no adaptive addition after seeing performance.</x:v>
      </x:c>
      <x:c r="C13" s="31" t="str">
        <x:v>1,926 planned + 74 reserve.</x:v>
      </x:c>
      <x:c r="D13" s="31" t="str">
        <x:v>Complete planned valid cells or stop at the hard cap.</x:v>
      </x:c>
      <x:c r="E13" s="31" t="str">
        <x:v>This prevents optional stopping and result-dependent replication.</x:v>
      </x:c>
    </x:row>
    <x:row r="14" ht="54" customHeight="1">
      <x:c r="A14" s="71" t="str">
        <x:v>Cross-task appendix</x:v>
      </x:c>
      <x:c r="B14" s="31" t="str">
        <x:v>Cross-task object transfer uses one seed and four exact-scene A/B pairs per primary model-task.</x:v>
      </x:c>
      <x:c r="C14" s="31" t="str">
        <x:v>n=8 per model-task.</x:v>
      </x:c>
      <x:c r="D14" s="31" t="str">
        <x:v>Descriptive success rate and exact interval only.</x:v>
      </x:c>
      <x:c r="E14" s="31" t="str">
        <x:v>Label qualitative/exploratory; do not claim statistically established superiority.</x:v>
      </x:c>
    </x:row>
    <x:row r="15" ht="54" customHeight="1">
      <x:c r="A15" s="71" t="str">
        <x:v>Multiplicity</x:v>
      </x:c>
      <x:c r="B15" s="31" t="str">
        <x:v>Freeze one primary hypothesis family and one primary endpoint before running.</x:v>
      </x:c>
      <x:c r="C15" s="31" t="str">
        <x:v>Three model-level primary tests and three planned model contrasts.</x:v>
      </x:c>
      <x:c r="D15" s="31" t="str">
        <x:v>Holm adjustment within each family; all other analyses labeled secondary/exploratory.</x:v>
      </x:c>
      <x:c r="E15" s="31" t="str">
        <x:v>Avoid dozens of per-task condition p-values.</x:v>
      </x:c>
    </x:row>
    <x:row r="16" ht="54" customHeight="1">
      <x:c r="A16" s="71" t="str">
        <x:v>Confidence intervals</x:v>
      </x:c>
      <x:c r="B16" s="31" t="str">
        <x:v>Report 95% intervals and absolute risk differences, not only p-values.</x:v>
      </x:c>
      <x:c r="C16" s="31" t="str">
        <x:v>Clustered/repeated specifications.</x:v>
      </x:c>
      <x:c r="D16" s="31" t="str">
        <x:v>Cluster bootstrap by Pair ID/specification within Task and Seed as a robustness analysis.</x:v>
      </x:c>
      <x:c r="E16" s="31" t="str">
        <x:v>Naïve binomial intervals alone understate dependence from repeated scenes.</x:v>
      </x:c>
    </x:row>
    <x:row r="17" ht="54" customHeight="1">
      <x:c r="A17" s="71" t="str">
        <x:v>Dataset freeze</x:v>
      </x:c>
      <x:c r="B17" s="31" t="str">
        <x:v>Re-run prompt/scene synchronization after all 61 state recollections are complete.</x:v>
      </x:c>
      <x:c r="C17" s="31" t="str">
        <x:v>Before any evaluation rollout.</x:v>
      </x:c>
      <x:c r="D17" s="31" t="str">
        <x:v>Archive dataset hash, policy checkpoint hash, calibration, rubric, and this checklist version.</x:v>
      </x:c>
      <x:c r="E17" s="31" t="str">
        <x:v>The present workbook uses the planned post-recollection manifest and remains draft until freeze.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0" hidden="0" customWidth="1"/>
    <x:col min="4" max="4" width="20" hidden="0" customWidth="1"/>
    <x:col min="5" max="5" width="24" hidden="0" customWidth="1"/>
    <x:col min="6" max="6" width="58" hidden="0" customWidth="1"/>
  </x:cols>
  <x:sheetData>
    <x:row r="1" ht="30" customHeight="1">
      <x:c r="A1" s="4" t="str">
        <x:v>Precision and Approximate Detectable Effects</x:v>
      </x:c>
      <x:c r="B1" s="4" t="str">
        <x:v>Precision and Approximate Detectable Effects</x:v>
      </x:c>
      <x:c r="C1" s="4" t="str">
        <x:v>Precision and Approximate Detectable Effects</x:v>
      </x:c>
      <x:c r="D1" s="4" t="str">
        <x:v>Precision and Approximate Detectable Effects</x:v>
      </x:c>
      <x:c r="E1" s="4" t="str">
        <x:v>Precision and Approximate Detectable Effects</x:v>
      </x:c>
      <x:c r="F1" s="4" t="str">
        <x:v>Precision and Approximate Detectable Effects</x:v>
      </x:c>
    </x:row>
    <x:row r="3" ht="32" customHeight="1">
      <x:c r="A3" s="16" t="str">
        <x:v>Assumption</x:v>
      </x:c>
      <x:c r="B3" s="17" t="str">
        <x:v>Value</x:v>
      </x:c>
      <x:c r="C3" s="18" t="str">
        <x:v>Interpretation</x:v>
      </x:c>
    </x:row>
    <x:row r="4">
      <x:c r="A4" s="30" t="str">
        <x:v>Two-sided alpha</x:v>
      </x:c>
      <x:c r="B4" s="72" t="n">
        <x:v>0.05</x:v>
      </x:c>
      <x:c r="C4" s="30" t="str">
        <x:v>Used for 95% intervals and approximate calculations.</x:v>
      </x:c>
    </x:row>
    <x:row r="5">
      <x:c r="A5" s="31" t="str">
        <x:v>Target power</x:v>
      </x:c>
      <x:c r="B5" s="73" t="n">
        <x:v>0.8</x:v>
      </x:c>
      <x:c r="C5" s="31" t="str">
        <x:v>Conventional planning target.</x:v>
      </x:c>
    </x:row>
    <x:row r="6">
      <x:c r="A6" s="31" t="str">
        <x:v>z(1-alpha/2)</x:v>
      </x:c>
      <x:c r="B6" s="31" t="n">
        <x:v>1.96</x:v>
      </x:c>
      <x:c r="C6" s="31" t="str">
        <x:v>Normal approximation.</x:v>
      </x:c>
    </x:row>
    <x:row r="7">
      <x:c r="A7" s="31" t="str">
        <x:v>z(power)</x:v>
      </x:c>
      <x:c r="B7" s="31" t="n">
        <x:v>0.84</x:v>
      </x:c>
      <x:c r="C7" s="31" t="str">
        <x:v>Normal approximation for 80% power.</x:v>
      </x:c>
    </x:row>
    <x:row r="8">
      <x:c r="A8" s="31" t="str">
        <x:v>Worst-case success probability</x:v>
      </x:c>
      <x:c r="B8" s="73" t="n">
        <x:v>0.5</x:v>
      </x:c>
      <x:c r="C8" s="31" t="str">
        <x:v>Produces the widest binomial interval.</x:v>
      </x:c>
    </x:row>
    <x:row r="9">
      <x:c r="A9" s="31" t="str">
        <x:v>Assumed paired discordance</x:v>
      </x:c>
      <x:c r="B9" s="73" t="n">
        <x:v>0.3</x:v>
      </x:c>
      <x:c r="C9" s="31" t="str">
        <x:v>Editable; paired MDE depends strongly on this quantity.</x:v>
      </x:c>
    </x:row>
    <x:row r="11" ht="32" customHeight="1">
      <x:c r="A11" s="47" t="str">
        <x:v>Quantity</x:v>
      </x:c>
      <x:c r="B11" s="48" t="str">
        <x:v>n per model-task</x:v>
      </x:c>
      <x:c r="C11" s="48" t="str">
        <x:v>Worst-case 95% half-width</x:v>
      </x:c>
      <x:c r="D11" s="48" t="str">
        <x:v>Approx. paired MDE</x:v>
      </x:c>
      <x:c r="E11" s="48" t="str">
        <x:v>Approx. independent-model MDE</x:v>
      </x:c>
      <x:c r="F11" s="49" t="str">
        <x:v>Interpretation</x:v>
      </x:c>
    </x:row>
    <x:row r="12" ht="42" customHeight="1">
      <x:c r="A12" s="30" t="str">
        <x:v>Primary held-out transfer rate (16 main) × 3 seeds</x:v>
      </x:c>
      <x:c r="B12" s="30" t="n">
        <x:v>48</x:v>
      </x:c>
      <x:c r="C12" s="77" t="n">
        <x:f>$B$6*SQRT($B$8*(1-$B$8)/B12+$B$6^2/(4*B12^2))/(1+$B$6^2/B12)</x:f>
        <x:v>0.13610901067962233</x:v>
      </x:c>
      <x:c r="D12" s="77" t="n">
        <x:f>($B$6+$B$7)*SQRT($B$9/B12)</x:f>
        <x:v>0.22135943621178655</x:v>
      </x:c>
      <x:c r="E12" s="77" t="n">
        <x:f>($B$6+$B$7)*SQRT(2*$B$8*(1-$B$8)/B12)</x:f>
        <x:v>0.2857738033247041</x:v>
      </x:c>
      <x:c r="F12" s="30" t="str">
        <x:v>Primary per-task transfer estimate; still too coarse for small architectural differences.</x:v>
      </x:c>
    </x:row>
    <x:row r="13" ht="42" customHeight="1">
      <x:c r="A13" s="31" t="str">
        <x:v>Primary main transfer-control pairs × 3 seeds</x:v>
      </x:c>
      <x:c r="B13" s="31" t="n">
        <x:v>48</x:v>
      </x:c>
      <x:c r="C13" s="78" t="n">
        <x:f>$B$6*SQRT($B$8*(1-$B$8)/B13+$B$6^2/(4*B13^2))/(1+$B$6^2/B13)</x:f>
        <x:v>0.13610901067962233</x:v>
      </x:c>
      <x:c r="D13" s="78" t="n">
        <x:f>($B$6+$B$7)*SQRT($B$9/B13)</x:f>
        <x:v>0.22135943621178655</x:v>
      </x:c>
      <x:c r="E13" s="78" t="n">
        <x:f>($B$6+$B$7)*SQRT(2*$B$8*(1-$B$8)/B13)</x:f>
        <x:v>0.2857738033247041</x:v>
      </x:c>
      <x:c r="F13" s="31" t="str">
        <x:v>Primary per-task paired comparison; powered mainly for large gaps.</x:v>
      </x:c>
    </x:row>
    <x:row r="14" ht="42" customHeight="1">
      <x:c r="A14" s="31" t="str">
        <x:v>Language diagnostic pairs × 3 seeds</x:v>
      </x:c>
      <x:c r="B14" s="31" t="n">
        <x:v>24</x:v>
      </x:c>
      <x:c r="C14" s="78" t="n">
        <x:f>$B$6*SQRT($B$8*(1-$B$8)/B14+$B$6^2/(4*B14^2))/(1+$B$6^2/B14)</x:f>
        <x:v>0.1857286837223692</x:v>
      </x:c>
      <x:c r="D14" s="78" t="n">
        <x:f>($B$6+$B$7)*SQRT($B$9/B14)</x:f>
        <x:v>0.3130495168499705</x:v>
      </x:c>
      <x:c r="E14" s="78" t="n">
        <x:f>($B$6+$B$7)*SQRT(2*$B$8*(1-$B$8)/B14)</x:f>
        <x:v>0.404145188432738</x:v>
      </x:c>
      <x:c r="F14" s="31" t="str">
        <x:v>Useful for large language-sensitivity failures, not subtle degradation.</x:v>
      </x:c>
    </x:row>
    <x:row r="15" ht="42" customHeight="1">
      <x:c r="A15" s="31" t="str">
        <x:v>Primary transfer pooled over 3 tasks</x:v>
      </x:c>
      <x:c r="B15" s="31" t="n">
        <x:v>144</x:v>
      </x:c>
      <x:c r="C15" s="78" t="n">
        <x:f>$B$6*SQRT($B$8*(1-$B$8)/B15+$B$6^2/(4*B15^2))/(1+$B$6^2/B15)</x:f>
        <x:v>0.08059864649388973</x:v>
      </x:c>
      <x:c r="D15" s="78" t="n">
        <x:f>($B$6+$B$7)*SQRT($B$9/B15)</x:f>
        <x:v>0.12780193008453875</x:v>
      </x:c>
      <x:c r="E15" s="78" t="n">
        <x:f>($B$6+$B$7)*SQRT(2*$B$8*(1-$B$8)/B15)</x:f>
        <x:v>0.1649915822768611</x:v>
      </x:c>
      <x:c r="F15" s="31" t="str">
        <x:v>Better precision, but only if task heterogeneity is modeled and task-specific results remain visible.</x:v>
      </x:c>
    </x:row>
    <x:row r="16" ht="42" customHeight="1">
      <x:c r="A16" s="31" t="str">
        <x:v>Primary main pairs pooled over 3 tasks</x:v>
      </x:c>
      <x:c r="B16" s="31" t="n">
        <x:v>144</x:v>
      </x:c>
      <x:c r="C16" s="78" t="n">
        <x:f>$B$6*SQRT($B$8*(1-$B$8)/B16+$B$6^2/(4*B16^2))/(1+$B$6^2/B16)</x:f>
        <x:v>0.08059864649388973</x:v>
      </x:c>
      <x:c r="D16" s="78" t="n">
        <x:f>($B$6+$B$7)*SQRT($B$9/B16)</x:f>
        <x:v>0.12780193008453875</x:v>
      </x:c>
      <x:c r="E16" s="78" t="n">
        <x:f>($B$6+$B$7)*SQRT(2*$B$8*(1-$B$8)/B16)</x:f>
        <x:v>0.1649915822768611</x:v>
      </x:c>
      <x:c r="F16" s="31" t="str">
        <x:v>Most defensible confirmatory model-level estimand.</x:v>
      </x:c>
    </x:row>
    <x:row r="17" ht="42" customHeight="1">
      <x:c r="A17" s="31" t="str">
        <x:v>Cross-task appendix per model-task</x:v>
      </x:c>
      <x:c r="B17" s="31" t="n">
        <x:v>8</x:v>
      </x:c>
      <x:c r="C17" s="78" t="n">
        <x:f>$B$6*SQRT($B$8*(1-$B$8)/B17+$B$6^2/(4*B17^2))/(1+$B$6^2/B17)</x:f>
        <x:v>0.28478747317555814</x:v>
      </x:c>
      <x:c r="D17" s="78" t="n">
        <x:f>($B$6+$B$7)*SQRT($B$9/B17)</x:f>
        <x:v>0.5422176684690383</x:v>
      </x:c>
      <x:c r="E17" s="78" t="n">
        <x:f>($B$6+$B$7)*SQRT(2*$B$8*(1-$B$8)/B17)</x:f>
        <x:v>0.7</x:v>
      </x:c>
      <x:c r="F17" s="31" t="str">
        <x:v>Exploratory only; interval is necessarily very wide.</x:v>
      </x:c>
    </x:row>
    <x:row r="19" ht="32" customHeight="1">
      <x:c r="A19" s="61" t="str">
        <x:v>Caveat</x:v>
      </x:c>
      <x:c r="B19" s="62" t="str">
        <x:v>Implication</x:v>
      </x:c>
      <x:c r="C19" s="62" t="str"/>
      <x:c r="D19" s="62" t="str"/>
      <x:c r="E19" s="62" t="str"/>
      <x:c r="F19" s="63" t="str"/>
    </x:row>
    <x:row r="20" ht="34" customHeight="1">
      <x:c r="A20" s="66" t="str">
        <x:v>These are planning approximations.</x:v>
      </x:c>
      <x:c r="B20" s="30" t="str">
        <x:v>They ignore session drift, scene clustering, seed heterogeneity, and multiplicity; the final mixed/paired analysis may be less precise.</x:v>
      </x:c>
      <x:c r="C20" s="30" t="str"/>
      <x:c r="D20" s="30" t="str"/>
      <x:c r="E20" s="30" t="str"/>
      <x:c r="F20" s="30" t="str"/>
    </x:row>
    <x:row r="21" ht="34" customHeight="1">
      <x:c r="A21" s="67" t="str">
        <x:v>Reviewer-safe claim</x:v>
      </x:c>
      <x:c r="B21" s="31" t="str">
        <x:v>The design is credible for detecting large transfer gaps and gross language insensitivity, especially on the pooled primary estimand.</x:v>
      </x:c>
      <x:c r="C21" s="31" t="str"/>
      <x:c r="D21" s="31" t="str"/>
      <x:c r="E21" s="31" t="str"/>
      <x:c r="F21" s="31" t="str"/>
    </x:row>
    <x:row r="22" ht="34" customHeight="1">
      <x:c r="A22" s="67" t="str">
        <x:v>Reviewer-unsafe claim</x:v>
      </x:c>
      <x:c r="B22" s="31" t="str">
        <x:v>Do not claim that a 5–10 percentage-point per-task difference proves one architecture is better.</x:v>
      </x:c>
      <x:c r="C22" s="31" t="str"/>
      <x:c r="D22" s="31" t="str"/>
      <x:c r="E22" s="31" t="str"/>
      <x:c r="F22" s="31" t="str"/>
    </x:row>
  </x:sheetData>
  <x:mergeCells>
    <x:mergeCell ref="A1:F1"/>
    <x:mergeCell ref="B20:F20"/>
    <x:mergeCell ref="B21:F21"/>
    <x:mergeCell ref="B22:F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4" hidden="0" customWidth="1"/>
    <x:col min="5" max="5" width="52" hidden="0" customWidth="1"/>
  </x:cols>
  <x:sheetData>
    <x:row r="1" ht="30" customHeight="1">
      <x:c r="A1" s="4" t="str">
        <x:v>Evaluation Design QA</x:v>
      </x:c>
      <x:c r="B1" s="4" t="str">
        <x:v>Evaluation Design QA</x:v>
      </x:c>
      <x:c r="C1" s="4" t="str">
        <x:v>Evaluation Design QA</x:v>
      </x:c>
      <x:c r="D1" s="4" t="str">
        <x:v>Evaluation Design QA</x:v>
      </x:c>
      <x:c r="E1" s="4" t="str">
        <x:v>Evaluation Design QA</x:v>
      </x:c>
    </x:row>
    <x:row r="3" ht="32" customHeight="1">
      <x:c r="A3" s="16" t="str">
        <x:v>Check</x:v>
      </x:c>
      <x:c r="B3" s="17" t="str">
        <x:v>Observed</x:v>
      </x:c>
      <x:c r="C3" s="17" t="str">
        <x:v>Expected</x:v>
      </x:c>
      <x:c r="D3" s="17" t="str">
        <x:v>Status</x:v>
      </x:c>
      <x:c r="E3" s="18" t="str">
        <x:v>Notes</x:v>
      </x:c>
    </x:row>
    <x:row r="4" ht="30" customHeight="1">
      <x:c r="A4" s="30" t="str">
        <x:v>Total planned rollouts</x:v>
      </x:c>
      <x:c r="B4" s="30" t="n">
        <x:f>COUNTA('Execution Checklist'!B2:B1927)</x:f>
        <x:v>1926</x:v>
      </x:c>
      <x:c r="C4" s="30" t="n">
        <x:v>1926</x:v>
      </x:c>
      <x:c r="D4" s="30" t="str">
        <x:f>IF(B4=C4,"PASS","REVIEW")</x:f>
        <x:v>PASS</x:v>
      </x:c>
      <x:c r="E4" s="30" t="str">
        <x:v>Excludes contingency reserve.</x:v>
      </x:c>
    </x:row>
    <x:row r="5" ht="30" customHeight="1">
      <x:c r="A5" s="31" t="str">
        <x:v>Hard cap including reserve</x:v>
      </x:c>
      <x:c r="B5" s="31" t="n">
        <x:f>COUNTA('Execution Checklist'!B2:B1927)+COUNTA('Contingency Log'!B2:B75)</x:f>
        <x:v>2000</x:v>
      </x:c>
      <x:c r="C5" s="31" t="n">
        <x:v>2000</x:v>
      </x:c>
      <x:c r="D5" s="31" t="str">
        <x:f>IF(B5=C5,"PASS","REVIEW")</x:f>
        <x:v>PASS</x:v>
      </x:c>
      <x:c r="E5" s="31" t="str">
        <x:v>1926 planned + 74 reserve.</x:v>
      </x:c>
    </x:row>
    <x:row r="6" ht="30" customHeight="1">
      <x:c r="A6" s="31" t="str">
        <x:v>Primary VLA rollouts</x:v>
      </x:c>
      <x:c r="B6" s="31" t="n">
        <x:f>COUNTIF('Execution Checklist'!$E$2:$E$1927,"Primary VLA")</x:f>
        <x:v>1674</x:v>
      </x:c>
      <x:c r="C6" s="31" t="n">
        <x:v>1674</x:v>
      </x:c>
      <x:c r="D6" s="31" t="str">
        <x:f>IF(B6=C6,"PASS","REVIEW")</x:f>
        <x:v>PASS</x:v>
      </x:c>
      <x:c r="E6" s="31" t="str">
        <x:v>3 models × 3 seeds × 3 tasks × 62.</x:v>
      </x:c>
    </x:row>
    <x:row r="7" ht="30" customHeight="1">
      <x:c r="A7" s="31" t="str">
        <x:v>BC diagnostic rollouts</x:v>
      </x:c>
      <x:c r="B7" s="31" t="n">
        <x:f>COUNTIF('Execution Checklist'!$E$2:$E$1927,"BC Diagnostic")</x:f>
        <x:v>180</x:v>
      </x:c>
      <x:c r="C7" s="31" t="n">
        <x:v>180</x:v>
      </x:c>
      <x:c r="D7" s="31" t="str">
        <x:f>IF(B7=C7,"PASS","REVIEW")</x:f>
        <x:v>PASS</x:v>
      </x:c>
      <x:c r="E7" s="31" t="str">
        <x:v>1 BC family × 3 seeds × 3 tasks × 20.</x:v>
      </x:c>
    </x:row>
    <x:row r="8" ht="30" customHeight="1">
      <x:c r="A8" s="31" t="str">
        <x:v>Secondary exploratory rollouts</x:v>
      </x:c>
      <x:c r="B8" s="31" t="n">
        <x:f>COUNTIF('Execution Checklist'!$E$2:$E$1927,"Secondary Exploratory")</x:f>
        <x:v>72</x:v>
      </x:c>
      <x:c r="C8" s="31" t="n">
        <x:v>72</x:v>
      </x:c>
      <x:c r="D8" s="31" t="str">
        <x:f>IF(B8=C8,"PASS","REVIEW")</x:f>
        <x:v>PASS</x:v>
      </x:c>
      <x:c r="E8" s="31" t="str">
        <x:v>3 models × 1 seed × 3 tasks × 8.</x:v>
      </x:c>
    </x:row>
    <x:row r="9" ht="30" customHeight="1">
      <x:c r="A9" s="31" t="str">
        <x:v>Primary State rollouts</x:v>
      </x:c>
      <x:c r="B9" s="31" t="n">
        <x:f>COUNTIFS('Execution Checklist'!$E$2:$E$1927,"Primary VLA",'Execution Checklist'!$H$2:$H$1927,"State Recognition")</x:f>
        <x:v>558</x:v>
      </x:c>
      <x:c r="C9" s="31" t="n">
        <x:v>558</x:v>
      </x:c>
      <x:c r="D9" s="31" t="str">
        <x:f>IF(B9=C9,"PASS","REVIEW")</x:f>
        <x:v>PASS</x:v>
      </x:c>
      <x:c r="E9" s="31" t="str">
        <x:v>All models and seeds.</x:v>
      </x:c>
    </x:row>
    <x:row r="10" ht="30" customHeight="1">
      <x:c r="A10" s="31" t="str">
        <x:v>Primary Relational rollouts</x:v>
      </x:c>
      <x:c r="B10" s="31" t="n">
        <x:f>COUNTIFS('Execution Checklist'!$E$2:$E$1927,"Primary VLA",'Execution Checklist'!$H$2:$H$1927,"Relational Placement")</x:f>
        <x:v>558</x:v>
      </x:c>
      <x:c r="C10" s="31" t="n">
        <x:v>558</x:v>
      </x:c>
      <x:c r="D10" s="31" t="str">
        <x:f>IF(B10=C10,"PASS","REVIEW")</x:f>
        <x:v>PASS</x:v>
      </x:c>
      <x:c r="E10" s="31" t="str">
        <x:v>All models and seeds.</x:v>
      </x:c>
    </x:row>
    <x:row r="11" ht="30" customHeight="1">
      <x:c r="A11" s="31" t="str">
        <x:v>Primary Counting rollouts</x:v>
      </x:c>
      <x:c r="B11" s="31" t="n">
        <x:f>COUNTIFS('Execution Checklist'!$E$2:$E$1927,"Primary VLA",'Execution Checklist'!$H$2:$H$1927,"Counting")</x:f>
        <x:v>558</x:v>
      </x:c>
      <x:c r="C11" s="31" t="n">
        <x:v>558</x:v>
      </x:c>
      <x:c r="D11" s="31" t="str">
        <x:f>IF(B11=C11,"PASS","REVIEW")</x:f>
        <x:v>PASS</x:v>
      </x:c>
      <x:c r="E11" s="31" t="str">
        <x:v>All models and seeds.</x:v>
      </x:c>
    </x:row>
    <x:row r="12" ht="30" customHeight="1">
      <x:c r="A12" s="31" t="str">
        <x:v>Primary π0.5 rollouts</x:v>
      </x:c>
      <x:c r="B12" s="31" t="n">
        <x:f>COUNTIFS('Execution Checklist'!$E$2:$E$1927,"Primary VLA",'Execution Checklist'!$F$2:$F$1927,"π0.5")</x:f>
        <x:v>558</x:v>
      </x:c>
      <x:c r="C12" s="31" t="n">
        <x:v>558</x:v>
      </x:c>
      <x:c r="D12" s="31" t="str">
        <x:f>IF(B12=C12,"PASS","REVIEW")</x:f>
        <x:v>PASS</x:v>
      </x:c>
      <x:c r="E12" s="31" t="str">
        <x:v>All tasks and seeds.</x:v>
      </x:c>
    </x:row>
    <x:row r="13" ht="30" customHeight="1">
      <x:c r="A13" s="31" t="str">
        <x:v>Primary VLA-0 rollouts</x:v>
      </x:c>
      <x:c r="B13" s="31" t="n">
        <x:f>COUNTIFS('Execution Checklist'!$E$2:$E$1927,"Primary VLA",'Execution Checklist'!$F$2:$F$1927,"VLA-0")</x:f>
        <x:v>558</x:v>
      </x:c>
      <x:c r="C13" s="31" t="n">
        <x:v>558</x:v>
      </x:c>
      <x:c r="D13" s="31" t="str">
        <x:f>IF(B13=C13,"PASS","REVIEW")</x:f>
        <x:v>PASS</x:v>
      </x:c>
      <x:c r="E13" s="31" t="str">
        <x:v>All tasks and seeds.</x:v>
      </x:c>
    </x:row>
    <x:row r="14" ht="30" customHeight="1">
      <x:c r="A14" s="31" t="str">
        <x:v>Primary MolmoAct2 rollouts</x:v>
      </x:c>
      <x:c r="B14" s="31" t="n">
        <x:f>COUNTIFS('Execution Checklist'!$E$2:$E$1927,"Primary VLA",'Execution Checklist'!$F$2:$F$1927,"MolmoAct2")</x:f>
        <x:v>558</x:v>
      </x:c>
      <x:c r="C14" s="31" t="n">
        <x:v>558</x:v>
      </x:c>
      <x:c r="D14" s="31" t="str">
        <x:f>IF(B14=C14,"PASS","REVIEW")</x:f>
        <x:v>PASS</x:v>
      </x:c>
      <x:c r="E14" s="31" t="str">
        <x:v>All tasks and seeds.</x:v>
      </x:c>
    </x:row>
    <x:row r="15" ht="30" customHeight="1">
      <x:c r="A15" s="31" t="str">
        <x:v>Training reconstruction count</x:v>
      </x:c>
      <x:c r="B15" s="31" t="n">
        <x:f>COUNTIF('Execution Checklist'!$I$2:$I$1927,"Training reconstruction")</x:f>
        <x:v>162</x:v>
      </x:c>
      <x:c r="C15" s="31" t="n">
        <x:v>162</x:v>
      </x:c>
      <x:c r="D15" s="31" t="str">
        <x:f>IF(B15=C15,"PASS","REVIEW")</x:f>
        <x:v>PASS</x:v>
      </x:c>
      <x:c r="E15" s="31" t="str">
        <x:v>6 × 27 model-seed-task cells.</x:v>
      </x:c>
    </x:row>
    <x:row r="16" ht="30" customHeight="1">
      <x:c r="A16" s="31" t="str">
        <x:v>Novel layout count</x:v>
      </x:c>
      <x:c r="B16" s="31" t="n">
        <x:f>COUNTIF('Execution Checklist'!$I$2:$I$1927,"Novel layout + seen language")</x:f>
        <x:v>216</x:v>
      </x:c>
      <x:c r="C16" s="31" t="n">
        <x:v>216</x:v>
      </x:c>
      <x:c r="D16" s="31" t="str">
        <x:f>IF(B16=C16,"PASS","REVIEW")</x:f>
        <x:v>PASS</x:v>
      </x:c>
      <x:c r="E16" s="31" t="str">
        <x:v>8 × 27 cells.</x:v>
      </x:c>
    </x:row>
    <x:row r="17" ht="30" customHeight="1">
      <x:c r="A17" s="31" t="str">
        <x:v>Exact-scene paraphrase count</x:v>
      </x:c>
      <x:c r="B17" s="31" t="n">
        <x:f>COUNTIF('Execution Checklist'!$I$2:$I$1927,"Exact-scene paraphrase")</x:f>
        <x:v>216</x:v>
      </x:c>
      <x:c r="C17" s="31" t="n">
        <x:v>216</x:v>
      </x:c>
      <x:c r="D17" s="31" t="str">
        <x:f>IF(B17=C17,"PASS","REVIEW")</x:f>
        <x:v>PASS</x:v>
      </x:c>
      <x:c r="E17" s="31" t="str">
        <x:v>8 × 27 cells.</x:v>
      </x:c>
    </x:row>
    <x:row r="18" ht="30" customHeight="1">
      <x:c r="A18" s="31" t="str">
        <x:v>Main held-out transfer count</x:v>
      </x:c>
      <x:c r="B18" s="31" t="n">
        <x:f>COUNTIF('Execution Checklist'!$I$2:$I$1927,"Main held-out transfer")</x:f>
        <x:v>432</x:v>
      </x:c>
      <x:c r="C18" s="31" t="n">
        <x:v>432</x:v>
      </x:c>
      <x:c r="D18" s="31" t="str">
        <x:f>IF(B18=C18,"PASS","REVIEW")</x:f>
        <x:v>PASS</x:v>
      </x:c>
      <x:c r="E18" s="31" t="str">
        <x:v>16 × 27 cells.</x:v>
      </x:c>
    </x:row>
    <x:row r="19" ht="30" customHeight="1">
      <x:c r="A19" s="31" t="str">
        <x:v>Main matched control count</x:v>
      </x:c>
      <x:c r="B19" s="31" t="n">
        <x:f>COUNTIF('Execution Checklist'!$I$2:$I$1927,"Main matched control")</x:f>
        <x:v>432</x:v>
      </x:c>
      <x:c r="C19" s="31" t="n">
        <x:v>432</x:v>
      </x:c>
      <x:c r="D19" s="31" t="str">
        <x:f>IF(B19=C19,"PASS","REVIEW")</x:f>
        <x:v>PASS</x:v>
      </x:c>
      <x:c r="E19" s="31" t="str">
        <x:v>16 × 27 cells.</x:v>
      </x:c>
    </x:row>
    <x:row r="20" ht="30" customHeight="1">
      <x:c r="A20" s="31" t="str">
        <x:v>Secondary cross-task A count</x:v>
      </x:c>
      <x:c r="B20" s="31" t="n">
        <x:f>COUNTIF('Execution Checklist'!$I$2:$I$1927,"Exploratory cross-task A")</x:f>
        <x:v>36</x:v>
      </x:c>
      <x:c r="C20" s="31" t="n">
        <x:v>36</x:v>
      </x:c>
      <x:c r="D20" s="31" t="str">
        <x:f>IF(B20=C20,"PASS","REVIEW")</x:f>
        <x:v>PASS</x:v>
      </x:c>
      <x:c r="E20" s="31" t="str">
        <x:v>4 × 9 one-seed model-task cells.</x:v>
      </x:c>
    </x:row>
    <x:row r="21" ht="30" customHeight="1">
      <x:c r="A21" s="31" t="str">
        <x:v>Secondary cross-task B count</x:v>
      </x:c>
      <x:c r="B21" s="31" t="n">
        <x:f>COUNTIF('Execution Checklist'!$I$2:$I$1927,"Exploratory cross-task B")</x:f>
        <x:v>36</x:v>
      </x:c>
      <x:c r="C21" s="31" t="n">
        <x:v>36</x:v>
      </x:c>
      <x:c r="D21" s="31" t="str">
        <x:f>IF(B21=C21,"PASS","REVIEW")</x:f>
        <x:v>PASS</x:v>
      </x:c>
      <x:c r="E21" s="31" t="str">
        <x:v>4 × 9 one-seed model-task cells.</x:v>
      </x:c>
    </x:row>
    <x:row r="22" ht="30" customHeight="1">
      <x:c r="A22" s="31" t="str">
        <x:v>Blank-language count</x:v>
      </x:c>
      <x:c r="B22" s="31" t="n">
        <x:f>COUNTIF('Execution Checklist'!$I$2:$I$1927,"Language ablation — blank")</x:f>
        <x:v>108</x:v>
      </x:c>
      <x:c r="C22" s="31" t="n">
        <x:v>108</x:v>
      </x:c>
      <x:c r="D22" s="31" t="str">
        <x:f>IF(B22=C22,"PASS","REVIEW")</x:f>
        <x:v>PASS</x:v>
      </x:c>
      <x:c r="E22" s="31" t="str">
        <x:v>4 × 27 cells.</x:v>
      </x:c>
    </x:row>
    <x:row r="23" ht="30" customHeight="1">
      <x:c r="A23" s="31" t="str">
        <x:v>Counterfactual-language count</x:v>
      </x:c>
      <x:c r="B23" s="31" t="n">
        <x:f>COUNTIF('Execution Checklist'!$I$2:$I$1927,"Language ablation — counterfactual")</x:f>
        <x:v>108</x:v>
      </x:c>
      <x:c r="C23" s="31" t="n">
        <x:v>108</x:v>
      </x:c>
      <x:c r="D23" s="31" t="str">
        <x:f>IF(B23=C23,"PASS","REVIEW")</x:f>
        <x:v>PASS</x:v>
      </x:c>
      <x:c r="E23" s="31" t="str">
        <x:v>4 × 27 cells.</x:v>
      </x:c>
    </x:row>
    <x:row r="24" ht="30" customHeight="1">
      <x:c r="A24" s="31" t="str">
        <x:v>First / last rollout number</x:v>
      </x:c>
      <x:c r="B24" s="31" t="str">
        <x:f>MIN('Execution Checklist'!B2:B1927)&amp;" / "&amp;MAX('Execution Checklist'!B2:B1927)</x:f>
        <x:v>0 / 1925</x:v>
      </x:c>
      <x:c r="C24" s="31" t="str">
        <x:v>0 / 1925</x:v>
      </x:c>
      <x:c r="D24" s="31" t="str">
        <x:f>IF(B24=C24,"PASS","REVIEW")</x:f>
        <x:v>PASS</x:v>
      </x:c>
      <x:c r="E24" s="31" t="str">
        <x:v>Sequential and unique by construction.</x:v>
      </x:c>
    </x:row>
    <x:row r="25" ht="30" customHeight="1">
      <x:c r="A25" s="31" t="str">
        <x:v>Contingency slots</x:v>
      </x:c>
      <x:c r="B25" s="31" t="n">
        <x:f>COUNTA('Contingency Log'!B2:B75)</x:f>
        <x:v>74</x:v>
      </x:c>
      <x:c r="C25" s="31" t="n">
        <x:v>74</x:v>
      </x:c>
      <x:c r="D25" s="31" t="str">
        <x:f>IF(B25=C25,"PASS","REVIEW")</x:f>
        <x:v>PASS</x:v>
      </x:c>
      <x:c r="E25" s="31" t="str">
        <x:v>Rollout numbers 1926–1999.</x:v>
      </x:c>
    </x:row>
  </x:sheetData>
  <x:mergeCells>
    <x:mergeCell ref="A1:E1"/>
  </x:mergeCells>
  <x:conditionalFormatting sqref="D4:D25">
    <x:cfRule type="expression" dxfId="5" priority="1">
      <x:formula>$D4="PASS"</x:formula>
    </x:cfRule>
    <x:cfRule type="expression" dxfId="6" priority="2">
      <x:formula>$D4="REVIEW"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8" hidden="0" customWidth="1"/>
    <x:col min="5" max="5" width="24" hidden="0" customWidth="1"/>
    <x:col min="6" max="6" width="10" hidden="0" customWidth="1"/>
    <x:col min="7" max="7" width="24" hidden="0" customWidth="1"/>
    <x:col min="8" max="8" width="22" hidden="0" customWidth="1"/>
    <x:col min="9" max="9" width="16" hidden="0" customWidth="1"/>
    <x:col min="10" max="10" width="22" hidden="0" customWidth="1"/>
    <x:col min="11" max="11" width="42" hidden="0" customWidth="1"/>
  </x:cols>
  <x:sheetData>
    <x:row r="1" ht="32" customHeight="1">
      <x:c r="A1" s="16" t="str">
        <x:v>Status</x:v>
      </x:c>
      <x:c r="B1" s="17" t="str">
        <x:v>Attempt / Rollout #</x:v>
      </x:c>
      <x:c r="C1" s="17" t="str">
        <x:v>Replaces Planned Rollout #</x:v>
      </x:c>
      <x:c r="D1" s="17" t="str">
        <x:v>Pre-defined Invalid Reason</x:v>
      </x:c>
      <x:c r="E1" s="17" t="str">
        <x:v>Model / Policy</x:v>
      </x:c>
      <x:c r="F1" s="17" t="str">
        <x:v>Seed</x:v>
      </x:c>
      <x:c r="G1" s="17" t="str">
        <x:v>Task</x:v>
      </x:c>
      <x:c r="H1" s="17" t="str">
        <x:v>Spec ID</x:v>
      </x:c>
      <x:c r="I1" s="17" t="str">
        <x:v>Session ID</x:v>
      </x:c>
      <x:c r="J1" s="17" t="str">
        <x:v>Video / File ID</x:v>
      </x:c>
      <x:c r="K1" s="18" t="str">
        <x:v>Outcome / Notes</x:v>
      </x:c>
    </x:row>
    <x:row r="2" ht="34" customHeight="1">
      <x:c r="A2" s="30" t="str">
        <x:v>Unused</x:v>
      </x:c>
      <x:c r="B2" s="30" t="n">
        <x:v>1926</x:v>
      </x:c>
      <x:c r="C2" s="30"/>
      <x:c r="D2" s="30" t="str"/>
      <x:c r="E2" s="30" t="str"/>
      <x:c r="F2" s="30"/>
      <x:c r="G2" s="30" t="str"/>
      <x:c r="H2" s="30" t="str"/>
      <x:c r="I2" s="30" t="str"/>
      <x:c r="J2" s="30" t="str"/>
      <x:c r="K2" s="30" t="str"/>
    </x:row>
    <x:row r="3" ht="34" customHeight="1">
      <x:c r="A3" s="31" t="str">
        <x:v>Unused</x:v>
      </x:c>
      <x:c r="B3" s="31" t="n">
        <x:v>1927</x:v>
      </x:c>
      <x:c r="C3" s="31"/>
      <x:c r="D3" s="31" t="str"/>
      <x:c r="E3" s="31" t="str"/>
      <x:c r="F3" s="31"/>
      <x:c r="G3" s="31" t="str"/>
      <x:c r="H3" s="31" t="str"/>
      <x:c r="I3" s="31" t="str"/>
      <x:c r="J3" s="31" t="str"/>
      <x:c r="K3" s="31" t="str"/>
    </x:row>
    <x:row r="4" ht="34" customHeight="1">
      <x:c r="A4" s="31" t="str">
        <x:v>Unused</x:v>
      </x:c>
      <x:c r="B4" s="31" t="n">
        <x:v>1928</x:v>
      </x:c>
      <x:c r="C4" s="31"/>
      <x:c r="D4" s="31" t="str"/>
      <x:c r="E4" s="31" t="str"/>
      <x:c r="F4" s="31"/>
      <x:c r="G4" s="31" t="str"/>
      <x:c r="H4" s="31" t="str"/>
      <x:c r="I4" s="31" t="str"/>
      <x:c r="J4" s="31" t="str"/>
      <x:c r="K4" s="31" t="str"/>
    </x:row>
    <x:row r="5" ht="34" customHeight="1">
      <x:c r="A5" s="31" t="str">
        <x:v>Unused</x:v>
      </x:c>
      <x:c r="B5" s="31" t="n">
        <x:v>1929</x:v>
      </x:c>
      <x:c r="C5" s="31"/>
      <x:c r="D5" s="31" t="str"/>
      <x:c r="E5" s="31" t="str"/>
      <x:c r="F5" s="31"/>
      <x:c r="G5" s="31" t="str"/>
      <x:c r="H5" s="31" t="str"/>
      <x:c r="I5" s="31" t="str"/>
      <x:c r="J5" s="31" t="str"/>
      <x:c r="K5" s="31" t="str"/>
    </x:row>
    <x:row r="6" ht="34" customHeight="1">
      <x:c r="A6" s="31" t="str">
        <x:v>Unused</x:v>
      </x:c>
      <x:c r="B6" s="31" t="n">
        <x:v>1930</x:v>
      </x:c>
      <x:c r="C6" s="31"/>
      <x:c r="D6" s="31" t="str"/>
      <x:c r="E6" s="31" t="str"/>
      <x:c r="F6" s="31"/>
      <x:c r="G6" s="31" t="str"/>
      <x:c r="H6" s="31" t="str"/>
      <x:c r="I6" s="31" t="str"/>
      <x:c r="J6" s="31" t="str"/>
      <x:c r="K6" s="31" t="str"/>
    </x:row>
    <x:row r="7" ht="34" customHeight="1">
      <x:c r="A7" s="31" t="str">
        <x:v>Unused</x:v>
      </x:c>
      <x:c r="B7" s="31" t="n">
        <x:v>1931</x:v>
      </x:c>
      <x:c r="C7" s="31"/>
      <x:c r="D7" s="31" t="str"/>
      <x:c r="E7" s="31" t="str"/>
      <x:c r="F7" s="31"/>
      <x:c r="G7" s="31" t="str"/>
      <x:c r="H7" s="31" t="str"/>
      <x:c r="I7" s="31" t="str"/>
      <x:c r="J7" s="31" t="str"/>
      <x:c r="K7" s="31" t="str"/>
    </x:row>
    <x:row r="8" ht="34" customHeight="1">
      <x:c r="A8" s="31" t="str">
        <x:v>Unused</x:v>
      </x:c>
      <x:c r="B8" s="31" t="n">
        <x:v>1932</x:v>
      </x:c>
      <x:c r="C8" s="31"/>
      <x:c r="D8" s="31" t="str"/>
      <x:c r="E8" s="31" t="str"/>
      <x:c r="F8" s="31"/>
      <x:c r="G8" s="31" t="str"/>
      <x:c r="H8" s="31" t="str"/>
      <x:c r="I8" s="31" t="str"/>
      <x:c r="J8" s="31" t="str"/>
      <x:c r="K8" s="31" t="str"/>
    </x:row>
    <x:row r="9" ht="34" customHeight="1">
      <x:c r="A9" s="31" t="str">
        <x:v>Unused</x:v>
      </x:c>
      <x:c r="B9" s="31" t="n">
        <x:v>1933</x:v>
      </x:c>
      <x:c r="C9" s="31"/>
      <x:c r="D9" s="31" t="str"/>
      <x:c r="E9" s="31" t="str"/>
      <x:c r="F9" s="31"/>
      <x:c r="G9" s="31" t="str"/>
      <x:c r="H9" s="31" t="str"/>
      <x:c r="I9" s="31" t="str"/>
      <x:c r="J9" s="31" t="str"/>
      <x:c r="K9" s="31" t="str"/>
    </x:row>
    <x:row r="10" ht="34" customHeight="1">
      <x:c r="A10" s="31" t="str">
        <x:v>Unused</x:v>
      </x:c>
      <x:c r="B10" s="31" t="n">
        <x:v>1934</x:v>
      </x:c>
      <x:c r="C10" s="31"/>
      <x:c r="D10" s="31" t="str"/>
      <x:c r="E10" s="31" t="str"/>
      <x:c r="F10" s="31"/>
      <x:c r="G10" s="31" t="str"/>
      <x:c r="H10" s="31" t="str"/>
      <x:c r="I10" s="31" t="str"/>
      <x:c r="J10" s="31" t="str"/>
      <x:c r="K10" s="31" t="str"/>
    </x:row>
    <x:row r="11" ht="34" customHeight="1">
      <x:c r="A11" s="31" t="str">
        <x:v>Unused</x:v>
      </x:c>
      <x:c r="B11" s="31" t="n">
        <x:v>1935</x:v>
      </x:c>
      <x:c r="C11" s="31"/>
      <x:c r="D11" s="31" t="str"/>
      <x:c r="E11" s="31" t="str"/>
      <x:c r="F11" s="31"/>
      <x:c r="G11" s="31" t="str"/>
      <x:c r="H11" s="31" t="str"/>
      <x:c r="I11" s="31" t="str"/>
      <x:c r="J11" s="31" t="str"/>
      <x:c r="K11" s="31" t="str"/>
    </x:row>
    <x:row r="12" ht="34" customHeight="1">
      <x:c r="A12" s="31" t="str">
        <x:v>Unused</x:v>
      </x:c>
      <x:c r="B12" s="31" t="n">
        <x:v>1936</x:v>
      </x:c>
      <x:c r="C12" s="31"/>
      <x:c r="D12" s="31" t="str"/>
      <x:c r="E12" s="31" t="str"/>
      <x:c r="F12" s="31"/>
      <x:c r="G12" s="31" t="str"/>
      <x:c r="H12" s="31" t="str"/>
      <x:c r="I12" s="31" t="str"/>
      <x:c r="J12" s="31" t="str"/>
      <x:c r="K12" s="31" t="str"/>
    </x:row>
    <x:row r="13" ht="34" customHeight="1">
      <x:c r="A13" s="31" t="str">
        <x:v>Unused</x:v>
      </x:c>
      <x:c r="B13" s="31" t="n">
        <x:v>1937</x:v>
      </x:c>
      <x:c r="C13" s="31"/>
      <x:c r="D13" s="31" t="str"/>
      <x:c r="E13" s="31" t="str"/>
      <x:c r="F13" s="31"/>
      <x:c r="G13" s="31" t="str"/>
      <x:c r="H13" s="31" t="str"/>
      <x:c r="I13" s="31" t="str"/>
      <x:c r="J13" s="31" t="str"/>
      <x:c r="K13" s="31" t="str"/>
    </x:row>
    <x:row r="14" ht="34" customHeight="1">
      <x:c r="A14" s="31" t="str">
        <x:v>Unused</x:v>
      </x:c>
      <x:c r="B14" s="31" t="n">
        <x:v>1938</x:v>
      </x:c>
      <x:c r="C14" s="31"/>
      <x:c r="D14" s="31" t="str"/>
      <x:c r="E14" s="31" t="str"/>
      <x:c r="F14" s="31"/>
      <x:c r="G14" s="31" t="str"/>
      <x:c r="H14" s="31" t="str"/>
      <x:c r="I14" s="31" t="str"/>
      <x:c r="J14" s="31" t="str"/>
      <x:c r="K14" s="31" t="str"/>
    </x:row>
    <x:row r="15" ht="34" customHeight="1">
      <x:c r="A15" s="31" t="str">
        <x:v>Unused</x:v>
      </x:c>
      <x:c r="B15" s="31" t="n">
        <x:v>1939</x:v>
      </x:c>
      <x:c r="C15" s="31"/>
      <x:c r="D15" s="31" t="str"/>
      <x:c r="E15" s="31" t="str"/>
      <x:c r="F15" s="31"/>
      <x:c r="G15" s="31" t="str"/>
      <x:c r="H15" s="31" t="str"/>
      <x:c r="I15" s="31" t="str"/>
      <x:c r="J15" s="31" t="str"/>
      <x:c r="K15" s="31" t="str"/>
    </x:row>
    <x:row r="16" ht="34" customHeight="1">
      <x:c r="A16" s="31" t="str">
        <x:v>Unused</x:v>
      </x:c>
      <x:c r="B16" s="31" t="n">
        <x:v>1940</x:v>
      </x:c>
      <x:c r="C16" s="31"/>
      <x:c r="D16" s="31" t="str"/>
      <x:c r="E16" s="31" t="str"/>
      <x:c r="F16" s="31"/>
      <x:c r="G16" s="31" t="str"/>
      <x:c r="H16" s="31" t="str"/>
      <x:c r="I16" s="31" t="str"/>
      <x:c r="J16" s="31" t="str"/>
      <x:c r="K16" s="31" t="str"/>
    </x:row>
    <x:row r="17" ht="34" customHeight="1">
      <x:c r="A17" s="31" t="str">
        <x:v>Unused</x:v>
      </x:c>
      <x:c r="B17" s="31" t="n">
        <x:v>1941</x:v>
      </x:c>
      <x:c r="C17" s="31"/>
      <x:c r="D17" s="31" t="str"/>
      <x:c r="E17" s="31" t="str"/>
      <x:c r="F17" s="31"/>
      <x:c r="G17" s="31" t="str"/>
      <x:c r="H17" s="31" t="str"/>
      <x:c r="I17" s="31" t="str"/>
      <x:c r="J17" s="31" t="str"/>
      <x:c r="K17" s="31" t="str"/>
    </x:row>
    <x:row r="18" ht="34" customHeight="1">
      <x:c r="A18" s="31" t="str">
        <x:v>Unused</x:v>
      </x:c>
      <x:c r="B18" s="31" t="n">
        <x:v>1942</x:v>
      </x:c>
      <x:c r="C18" s="31"/>
      <x:c r="D18" s="31" t="str"/>
      <x:c r="E18" s="31" t="str"/>
      <x:c r="F18" s="31"/>
      <x:c r="G18" s="31" t="str"/>
      <x:c r="H18" s="31" t="str"/>
      <x:c r="I18" s="31" t="str"/>
      <x:c r="J18" s="31" t="str"/>
      <x:c r="K18" s="31" t="str"/>
    </x:row>
    <x:row r="19" ht="34" customHeight="1">
      <x:c r="A19" s="31" t="str">
        <x:v>Unused</x:v>
      </x:c>
      <x:c r="B19" s="31" t="n">
        <x:v>1943</x:v>
      </x:c>
      <x:c r="C19" s="31"/>
      <x:c r="D19" s="31" t="str"/>
      <x:c r="E19" s="31" t="str"/>
      <x:c r="F19" s="31"/>
      <x:c r="G19" s="31" t="str"/>
      <x:c r="H19" s="31" t="str"/>
      <x:c r="I19" s="31" t="str"/>
      <x:c r="J19" s="31" t="str"/>
      <x:c r="K19" s="31" t="str"/>
    </x:row>
    <x:row r="20" ht="34" customHeight="1">
      <x:c r="A20" s="31" t="str">
        <x:v>Unused</x:v>
      </x:c>
      <x:c r="B20" s="31" t="n">
        <x:v>1944</x:v>
      </x:c>
      <x:c r="C20" s="31"/>
      <x:c r="D20" s="31" t="str"/>
      <x:c r="E20" s="31" t="str"/>
      <x:c r="F20" s="31"/>
      <x:c r="G20" s="31" t="str"/>
      <x:c r="H20" s="31" t="str"/>
      <x:c r="I20" s="31" t="str"/>
      <x:c r="J20" s="31" t="str"/>
      <x:c r="K20" s="31" t="str"/>
    </x:row>
    <x:row r="21" ht="34" customHeight="1">
      <x:c r="A21" s="31" t="str">
        <x:v>Unused</x:v>
      </x:c>
      <x:c r="B21" s="31" t="n">
        <x:v>1945</x:v>
      </x:c>
      <x:c r="C21" s="31"/>
      <x:c r="D21" s="31" t="str"/>
      <x:c r="E21" s="31" t="str"/>
      <x:c r="F21" s="31"/>
      <x:c r="G21" s="31" t="str"/>
      <x:c r="H21" s="31" t="str"/>
      <x:c r="I21" s="31" t="str"/>
      <x:c r="J21" s="31" t="str"/>
      <x:c r="K21" s="31" t="str"/>
    </x:row>
    <x:row r="22" ht="34" customHeight="1">
      <x:c r="A22" s="31" t="str">
        <x:v>Unused</x:v>
      </x:c>
      <x:c r="B22" s="31" t="n">
        <x:v>1946</x:v>
      </x:c>
      <x:c r="C22" s="31"/>
      <x:c r="D22" s="31" t="str"/>
      <x:c r="E22" s="31" t="str"/>
      <x:c r="F22" s="31"/>
      <x:c r="G22" s="31" t="str"/>
      <x:c r="H22" s="31" t="str"/>
      <x:c r="I22" s="31" t="str"/>
      <x:c r="J22" s="31" t="str"/>
      <x:c r="K22" s="31" t="str"/>
    </x:row>
    <x:row r="23" ht="34" customHeight="1">
      <x:c r="A23" s="31" t="str">
        <x:v>Unused</x:v>
      </x:c>
      <x:c r="B23" s="31" t="n">
        <x:v>1947</x:v>
      </x:c>
      <x:c r="C23" s="31"/>
      <x:c r="D23" s="31" t="str"/>
      <x:c r="E23" s="31" t="str"/>
      <x:c r="F23" s="31"/>
      <x:c r="G23" s="31" t="str"/>
      <x:c r="H23" s="31" t="str"/>
      <x:c r="I23" s="31" t="str"/>
      <x:c r="J23" s="31" t="str"/>
      <x:c r="K23" s="31" t="str"/>
    </x:row>
    <x:row r="24" ht="34" customHeight="1">
      <x:c r="A24" s="31" t="str">
        <x:v>Unused</x:v>
      </x:c>
      <x:c r="B24" s="31" t="n">
        <x:v>1948</x:v>
      </x:c>
      <x:c r="C24" s="31"/>
      <x:c r="D24" s="31" t="str"/>
      <x:c r="E24" s="31" t="str"/>
      <x:c r="F24" s="31"/>
      <x:c r="G24" s="31" t="str"/>
      <x:c r="H24" s="31" t="str"/>
      <x:c r="I24" s="31" t="str"/>
      <x:c r="J24" s="31" t="str"/>
      <x:c r="K24" s="31" t="str"/>
    </x:row>
    <x:row r="25" ht="34" customHeight="1">
      <x:c r="A25" s="31" t="str">
        <x:v>Unused</x:v>
      </x:c>
      <x:c r="B25" s="31" t="n">
        <x:v>1949</x:v>
      </x:c>
      <x:c r="C25" s="31"/>
      <x:c r="D25" s="31" t="str"/>
      <x:c r="E25" s="31" t="str"/>
      <x:c r="F25" s="31"/>
      <x:c r="G25" s="31" t="str"/>
      <x:c r="H25" s="31" t="str"/>
      <x:c r="I25" s="31" t="str"/>
      <x:c r="J25" s="31" t="str"/>
      <x:c r="K25" s="31" t="str"/>
    </x:row>
    <x:row r="26" ht="34" customHeight="1">
      <x:c r="A26" s="31" t="str">
        <x:v>Unused</x:v>
      </x:c>
      <x:c r="B26" s="31" t="n">
        <x:v>1950</x:v>
      </x:c>
      <x:c r="C26" s="31"/>
      <x:c r="D26" s="31" t="str"/>
      <x:c r="E26" s="31" t="str"/>
      <x:c r="F26" s="31"/>
      <x:c r="G26" s="31" t="str"/>
      <x:c r="H26" s="31" t="str"/>
      <x:c r="I26" s="31" t="str"/>
      <x:c r="J26" s="31" t="str"/>
      <x:c r="K26" s="31" t="str"/>
    </x:row>
    <x:row r="27" ht="34" customHeight="1">
      <x:c r="A27" s="31" t="str">
        <x:v>Unused</x:v>
      </x:c>
      <x:c r="B27" s="31" t="n">
        <x:v>1951</x:v>
      </x:c>
      <x:c r="C27" s="31"/>
      <x:c r="D27" s="31" t="str"/>
      <x:c r="E27" s="31" t="str"/>
      <x:c r="F27" s="31"/>
      <x:c r="G27" s="31" t="str"/>
      <x:c r="H27" s="31" t="str"/>
      <x:c r="I27" s="31" t="str"/>
      <x:c r="J27" s="31" t="str"/>
      <x:c r="K27" s="31" t="str"/>
    </x:row>
    <x:row r="28" ht="34" customHeight="1">
      <x:c r="A28" s="31" t="str">
        <x:v>Unused</x:v>
      </x:c>
      <x:c r="B28" s="31" t="n">
        <x:v>1952</x:v>
      </x:c>
      <x:c r="C28" s="31"/>
      <x:c r="D28" s="31" t="str"/>
      <x:c r="E28" s="31" t="str"/>
      <x:c r="F28" s="31"/>
      <x:c r="G28" s="31" t="str"/>
      <x:c r="H28" s="31" t="str"/>
      <x:c r="I28" s="31" t="str"/>
      <x:c r="J28" s="31" t="str"/>
      <x:c r="K28" s="31" t="str"/>
    </x:row>
    <x:row r="29" ht="34" customHeight="1">
      <x:c r="A29" s="31" t="str">
        <x:v>Unused</x:v>
      </x:c>
      <x:c r="B29" s="31" t="n">
        <x:v>1953</x:v>
      </x:c>
      <x:c r="C29" s="31"/>
      <x:c r="D29" s="31" t="str"/>
      <x:c r="E29" s="31" t="str"/>
      <x:c r="F29" s="31"/>
      <x:c r="G29" s="31" t="str"/>
      <x:c r="H29" s="31" t="str"/>
      <x:c r="I29" s="31" t="str"/>
      <x:c r="J29" s="31" t="str"/>
      <x:c r="K29" s="31" t="str"/>
    </x:row>
    <x:row r="30" ht="34" customHeight="1">
      <x:c r="A30" s="31" t="str">
        <x:v>Unused</x:v>
      </x:c>
      <x:c r="B30" s="31" t="n">
        <x:v>1954</x:v>
      </x:c>
      <x:c r="C30" s="31"/>
      <x:c r="D30" s="31" t="str"/>
      <x:c r="E30" s="31" t="str"/>
      <x:c r="F30" s="31"/>
      <x:c r="G30" s="31" t="str"/>
      <x:c r="H30" s="31" t="str"/>
      <x:c r="I30" s="31" t="str"/>
      <x:c r="J30" s="31" t="str"/>
      <x:c r="K30" s="31" t="str"/>
    </x:row>
    <x:row r="31" ht="34" customHeight="1">
      <x:c r="A31" s="31" t="str">
        <x:v>Unused</x:v>
      </x:c>
      <x:c r="B31" s="31" t="n">
        <x:v>1955</x:v>
      </x:c>
      <x:c r="C31" s="31"/>
      <x:c r="D31" s="31" t="str"/>
      <x:c r="E31" s="31" t="str"/>
      <x:c r="F31" s="31"/>
      <x:c r="G31" s="31" t="str"/>
      <x:c r="H31" s="31" t="str"/>
      <x:c r="I31" s="31" t="str"/>
      <x:c r="J31" s="31" t="str"/>
      <x:c r="K31" s="31" t="str"/>
    </x:row>
    <x:row r="32" ht="34" customHeight="1">
      <x:c r="A32" s="31" t="str">
        <x:v>Unused</x:v>
      </x:c>
      <x:c r="B32" s="31" t="n">
        <x:v>1956</x:v>
      </x:c>
      <x:c r="C32" s="31"/>
      <x:c r="D32" s="31" t="str"/>
      <x:c r="E32" s="31" t="str"/>
      <x:c r="F32" s="31"/>
      <x:c r="G32" s="31" t="str"/>
      <x:c r="H32" s="31" t="str"/>
      <x:c r="I32" s="31" t="str"/>
      <x:c r="J32" s="31" t="str"/>
      <x:c r="K32" s="31" t="str"/>
    </x:row>
    <x:row r="33" ht="34" customHeight="1">
      <x:c r="A33" s="31" t="str">
        <x:v>Unused</x:v>
      </x:c>
      <x:c r="B33" s="31" t="n">
        <x:v>1957</x:v>
      </x:c>
      <x:c r="C33" s="31"/>
      <x:c r="D33" s="31" t="str"/>
      <x:c r="E33" s="31" t="str"/>
      <x:c r="F33" s="31"/>
      <x:c r="G33" s="31" t="str"/>
      <x:c r="H33" s="31" t="str"/>
      <x:c r="I33" s="31" t="str"/>
      <x:c r="J33" s="31" t="str"/>
      <x:c r="K33" s="31" t="str"/>
    </x:row>
    <x:row r="34" ht="34" customHeight="1">
      <x:c r="A34" s="31" t="str">
        <x:v>Unused</x:v>
      </x:c>
      <x:c r="B34" s="31" t="n">
        <x:v>1958</x:v>
      </x:c>
      <x:c r="C34" s="31"/>
      <x:c r="D34" s="31" t="str"/>
      <x:c r="E34" s="31" t="str"/>
      <x:c r="F34" s="31"/>
      <x:c r="G34" s="31" t="str"/>
      <x:c r="H34" s="31" t="str"/>
      <x:c r="I34" s="31" t="str"/>
      <x:c r="J34" s="31" t="str"/>
      <x:c r="K34" s="31" t="str"/>
    </x:row>
    <x:row r="35" ht="34" customHeight="1">
      <x:c r="A35" s="31" t="str">
        <x:v>Unused</x:v>
      </x:c>
      <x:c r="B35" s="31" t="n">
        <x:v>1959</x:v>
      </x:c>
      <x:c r="C35" s="31"/>
      <x:c r="D35" s="31" t="str"/>
      <x:c r="E35" s="31" t="str"/>
      <x:c r="F35" s="31"/>
      <x:c r="G35" s="31" t="str"/>
      <x:c r="H35" s="31" t="str"/>
      <x:c r="I35" s="31" t="str"/>
      <x:c r="J35" s="31" t="str"/>
      <x:c r="K35" s="31" t="str"/>
    </x:row>
    <x:row r="36" ht="34" customHeight="1">
      <x:c r="A36" s="31" t="str">
        <x:v>Unused</x:v>
      </x:c>
      <x:c r="B36" s="31" t="n">
        <x:v>1960</x:v>
      </x:c>
      <x:c r="C36" s="31"/>
      <x:c r="D36" s="31" t="str"/>
      <x:c r="E36" s="31" t="str"/>
      <x:c r="F36" s="31"/>
      <x:c r="G36" s="31" t="str"/>
      <x:c r="H36" s="31" t="str"/>
      <x:c r="I36" s="31" t="str"/>
      <x:c r="J36" s="31" t="str"/>
      <x:c r="K36" s="31" t="str"/>
    </x:row>
    <x:row r="37" ht="34" customHeight="1">
      <x:c r="A37" s="31" t="str">
        <x:v>Unused</x:v>
      </x:c>
      <x:c r="B37" s="31" t="n">
        <x:v>1961</x:v>
      </x:c>
      <x:c r="C37" s="31"/>
      <x:c r="D37" s="31" t="str"/>
      <x:c r="E37" s="31" t="str"/>
      <x:c r="F37" s="31"/>
      <x:c r="G37" s="31" t="str"/>
      <x:c r="H37" s="31" t="str"/>
      <x:c r="I37" s="31" t="str"/>
      <x:c r="J37" s="31" t="str"/>
      <x:c r="K37" s="31" t="str"/>
    </x:row>
    <x:row r="38" ht="34" customHeight="1">
      <x:c r="A38" s="31" t="str">
        <x:v>Unused</x:v>
      </x:c>
      <x:c r="B38" s="31" t="n">
        <x:v>1962</x:v>
      </x:c>
      <x:c r="C38" s="31"/>
      <x:c r="D38" s="31" t="str"/>
      <x:c r="E38" s="31" t="str"/>
      <x:c r="F38" s="31"/>
      <x:c r="G38" s="31" t="str"/>
      <x:c r="H38" s="31" t="str"/>
      <x:c r="I38" s="31" t="str"/>
      <x:c r="J38" s="31" t="str"/>
      <x:c r="K38" s="31" t="str"/>
    </x:row>
    <x:row r="39" ht="34" customHeight="1">
      <x:c r="A39" s="31" t="str">
        <x:v>Unused</x:v>
      </x:c>
      <x:c r="B39" s="31" t="n">
        <x:v>1963</x:v>
      </x:c>
      <x:c r="C39" s="31"/>
      <x:c r="D39" s="31" t="str"/>
      <x:c r="E39" s="31" t="str"/>
      <x:c r="F39" s="31"/>
      <x:c r="G39" s="31" t="str"/>
      <x:c r="H39" s="31" t="str"/>
      <x:c r="I39" s="31" t="str"/>
      <x:c r="J39" s="31" t="str"/>
      <x:c r="K39" s="31" t="str"/>
    </x:row>
    <x:row r="40" ht="34" customHeight="1">
      <x:c r="A40" s="31" t="str">
        <x:v>Unused</x:v>
      </x:c>
      <x:c r="B40" s="31" t="n">
        <x:v>1964</x:v>
      </x:c>
      <x:c r="C40" s="31"/>
      <x:c r="D40" s="31" t="str"/>
      <x:c r="E40" s="31" t="str"/>
      <x:c r="F40" s="31"/>
      <x:c r="G40" s="31" t="str"/>
      <x:c r="H40" s="31" t="str"/>
      <x:c r="I40" s="31" t="str"/>
      <x:c r="J40" s="31" t="str"/>
      <x:c r="K40" s="31" t="str"/>
    </x:row>
    <x:row r="41" ht="34" customHeight="1">
      <x:c r="A41" s="31" t="str">
        <x:v>Unused</x:v>
      </x:c>
      <x:c r="B41" s="31" t="n">
        <x:v>1965</x:v>
      </x:c>
      <x:c r="C41" s="31"/>
      <x:c r="D41" s="31" t="str"/>
      <x:c r="E41" s="31" t="str"/>
      <x:c r="F41" s="31"/>
      <x:c r="G41" s="31" t="str"/>
      <x:c r="H41" s="31" t="str"/>
      <x:c r="I41" s="31" t="str"/>
      <x:c r="J41" s="31" t="str"/>
      <x:c r="K41" s="31" t="str"/>
    </x:row>
    <x:row r="42" ht="34" customHeight="1">
      <x:c r="A42" s="31" t="str">
        <x:v>Unused</x:v>
      </x:c>
      <x:c r="B42" s="31" t="n">
        <x:v>1966</x:v>
      </x:c>
      <x:c r="C42" s="31"/>
      <x:c r="D42" s="31" t="str"/>
      <x:c r="E42" s="31" t="str"/>
      <x:c r="F42" s="31"/>
      <x:c r="G42" s="31" t="str"/>
      <x:c r="H42" s="31" t="str"/>
      <x:c r="I42" s="31" t="str"/>
      <x:c r="J42" s="31" t="str"/>
      <x:c r="K42" s="31" t="str"/>
    </x:row>
    <x:row r="43" ht="34" customHeight="1">
      <x:c r="A43" s="31" t="str">
        <x:v>Unused</x:v>
      </x:c>
      <x:c r="B43" s="31" t="n">
        <x:v>1967</x:v>
      </x:c>
      <x:c r="C43" s="31"/>
      <x:c r="D43" s="31" t="str"/>
      <x:c r="E43" s="31" t="str"/>
      <x:c r="F43" s="31"/>
      <x:c r="G43" s="31" t="str"/>
      <x:c r="H43" s="31" t="str"/>
      <x:c r="I43" s="31" t="str"/>
      <x:c r="J43" s="31" t="str"/>
      <x:c r="K43" s="31" t="str"/>
    </x:row>
    <x:row r="44" ht="34" customHeight="1">
      <x:c r="A44" s="31" t="str">
        <x:v>Unused</x:v>
      </x:c>
      <x:c r="B44" s="31" t="n">
        <x:v>1968</x:v>
      </x:c>
      <x:c r="C44" s="31"/>
      <x:c r="D44" s="31" t="str"/>
      <x:c r="E44" s="31" t="str"/>
      <x:c r="F44" s="31"/>
      <x:c r="G44" s="31" t="str"/>
      <x:c r="H44" s="31" t="str"/>
      <x:c r="I44" s="31" t="str"/>
      <x:c r="J44" s="31" t="str"/>
      <x:c r="K44" s="31" t="str"/>
    </x:row>
    <x:row r="45" ht="34" customHeight="1">
      <x:c r="A45" s="31" t="str">
        <x:v>Unused</x:v>
      </x:c>
      <x:c r="B45" s="31" t="n">
        <x:v>1969</x:v>
      </x:c>
      <x:c r="C45" s="31"/>
      <x:c r="D45" s="31" t="str"/>
      <x:c r="E45" s="31" t="str"/>
      <x:c r="F45" s="31"/>
      <x:c r="G45" s="31" t="str"/>
      <x:c r="H45" s="31" t="str"/>
      <x:c r="I45" s="31" t="str"/>
      <x:c r="J45" s="31" t="str"/>
      <x:c r="K45" s="31" t="str"/>
    </x:row>
    <x:row r="46" ht="34" customHeight="1">
      <x:c r="A46" s="31" t="str">
        <x:v>Unused</x:v>
      </x:c>
      <x:c r="B46" s="31" t="n">
        <x:v>1970</x:v>
      </x:c>
      <x:c r="C46" s="31"/>
      <x:c r="D46" s="31" t="str"/>
      <x:c r="E46" s="31" t="str"/>
      <x:c r="F46" s="31"/>
      <x:c r="G46" s="31" t="str"/>
      <x:c r="H46" s="31" t="str"/>
      <x:c r="I46" s="31" t="str"/>
      <x:c r="J46" s="31" t="str"/>
      <x:c r="K46" s="31" t="str"/>
    </x:row>
    <x:row r="47" ht="34" customHeight="1">
      <x:c r="A47" s="31" t="str">
        <x:v>Unused</x:v>
      </x:c>
      <x:c r="B47" s="31" t="n">
        <x:v>1971</x:v>
      </x:c>
      <x:c r="C47" s="31"/>
      <x:c r="D47" s="31" t="str"/>
      <x:c r="E47" s="31" t="str"/>
      <x:c r="F47" s="31"/>
      <x:c r="G47" s="31" t="str"/>
      <x:c r="H47" s="31" t="str"/>
      <x:c r="I47" s="31" t="str"/>
      <x:c r="J47" s="31" t="str"/>
      <x:c r="K47" s="31" t="str"/>
    </x:row>
    <x:row r="48" ht="34" customHeight="1">
      <x:c r="A48" s="31" t="str">
        <x:v>Unused</x:v>
      </x:c>
      <x:c r="B48" s="31" t="n">
        <x:v>1972</x:v>
      </x:c>
      <x:c r="C48" s="31"/>
      <x:c r="D48" s="31" t="str"/>
      <x:c r="E48" s="31" t="str"/>
      <x:c r="F48" s="31"/>
      <x:c r="G48" s="31" t="str"/>
      <x:c r="H48" s="31" t="str"/>
      <x:c r="I48" s="31" t="str"/>
      <x:c r="J48" s="31" t="str"/>
      <x:c r="K48" s="31" t="str"/>
    </x:row>
    <x:row r="49" ht="34" customHeight="1">
      <x:c r="A49" s="31" t="str">
        <x:v>Unused</x:v>
      </x:c>
      <x:c r="B49" s="31" t="n">
        <x:v>1973</x:v>
      </x:c>
      <x:c r="C49" s="31"/>
      <x:c r="D49" s="31" t="str"/>
      <x:c r="E49" s="31" t="str"/>
      <x:c r="F49" s="31"/>
      <x:c r="G49" s="31" t="str"/>
      <x:c r="H49" s="31" t="str"/>
      <x:c r="I49" s="31" t="str"/>
      <x:c r="J49" s="31" t="str"/>
      <x:c r="K49" s="31" t="str"/>
    </x:row>
    <x:row r="50" ht="34" customHeight="1">
      <x:c r="A50" s="31" t="str">
        <x:v>Unused</x:v>
      </x:c>
      <x:c r="B50" s="31" t="n">
        <x:v>1974</x:v>
      </x:c>
      <x:c r="C50" s="31"/>
      <x:c r="D50" s="31" t="str"/>
      <x:c r="E50" s="31" t="str"/>
      <x:c r="F50" s="31"/>
      <x:c r="G50" s="31" t="str"/>
      <x:c r="H50" s="31" t="str"/>
      <x:c r="I50" s="31" t="str"/>
      <x:c r="J50" s="31" t="str"/>
      <x:c r="K50" s="31" t="str"/>
    </x:row>
    <x:row r="51" ht="34" customHeight="1">
      <x:c r="A51" s="31" t="str">
        <x:v>Unused</x:v>
      </x:c>
      <x:c r="B51" s="31" t="n">
        <x:v>1975</x:v>
      </x:c>
      <x:c r="C51" s="31"/>
      <x:c r="D51" s="31" t="str"/>
      <x:c r="E51" s="31" t="str"/>
      <x:c r="F51" s="31"/>
      <x:c r="G51" s="31" t="str"/>
      <x:c r="H51" s="31" t="str"/>
      <x:c r="I51" s="31" t="str"/>
      <x:c r="J51" s="31" t="str"/>
      <x:c r="K51" s="31" t="str"/>
    </x:row>
    <x:row r="52" ht="34" customHeight="1">
      <x:c r="A52" s="31" t="str">
        <x:v>Unused</x:v>
      </x:c>
      <x:c r="B52" s="31" t="n">
        <x:v>1976</x:v>
      </x:c>
      <x:c r="C52" s="31"/>
      <x:c r="D52" s="31" t="str"/>
      <x:c r="E52" s="31" t="str"/>
      <x:c r="F52" s="31"/>
      <x:c r="G52" s="31" t="str"/>
      <x:c r="H52" s="31" t="str"/>
      <x:c r="I52" s="31" t="str"/>
      <x:c r="J52" s="31" t="str"/>
      <x:c r="K52" s="31" t="str"/>
    </x:row>
    <x:row r="53" ht="34" customHeight="1">
      <x:c r="A53" s="31" t="str">
        <x:v>Unused</x:v>
      </x:c>
      <x:c r="B53" s="31" t="n">
        <x:v>1977</x:v>
      </x:c>
      <x:c r="C53" s="31"/>
      <x:c r="D53" s="31" t="str"/>
      <x:c r="E53" s="31" t="str"/>
      <x:c r="F53" s="31"/>
      <x:c r="G53" s="31" t="str"/>
      <x:c r="H53" s="31" t="str"/>
      <x:c r="I53" s="31" t="str"/>
      <x:c r="J53" s="31" t="str"/>
      <x:c r="K53" s="31" t="str"/>
    </x:row>
    <x:row r="54" ht="34" customHeight="1">
      <x:c r="A54" s="31" t="str">
        <x:v>Unused</x:v>
      </x:c>
      <x:c r="B54" s="31" t="n">
        <x:v>1978</x:v>
      </x:c>
      <x:c r="C54" s="31"/>
      <x:c r="D54" s="31" t="str"/>
      <x:c r="E54" s="31" t="str"/>
      <x:c r="F54" s="31"/>
      <x:c r="G54" s="31" t="str"/>
      <x:c r="H54" s="31" t="str"/>
      <x:c r="I54" s="31" t="str"/>
      <x:c r="J54" s="31" t="str"/>
      <x:c r="K54" s="31" t="str"/>
    </x:row>
    <x:row r="55" ht="34" customHeight="1">
      <x:c r="A55" s="31" t="str">
        <x:v>Unused</x:v>
      </x:c>
      <x:c r="B55" s="31" t="n">
        <x:v>1979</x:v>
      </x:c>
      <x:c r="C55" s="31"/>
      <x:c r="D55" s="31" t="str"/>
      <x:c r="E55" s="31" t="str"/>
      <x:c r="F55" s="31"/>
      <x:c r="G55" s="31" t="str"/>
      <x:c r="H55" s="31" t="str"/>
      <x:c r="I55" s="31" t="str"/>
      <x:c r="J55" s="31" t="str"/>
      <x:c r="K55" s="31" t="str"/>
    </x:row>
    <x:row r="56" ht="34" customHeight="1">
      <x:c r="A56" s="31" t="str">
        <x:v>Unused</x:v>
      </x:c>
      <x:c r="B56" s="31" t="n">
        <x:v>1980</x:v>
      </x:c>
      <x:c r="C56" s="31"/>
      <x:c r="D56" s="31" t="str"/>
      <x:c r="E56" s="31" t="str"/>
      <x:c r="F56" s="31"/>
      <x:c r="G56" s="31" t="str"/>
      <x:c r="H56" s="31" t="str"/>
      <x:c r="I56" s="31" t="str"/>
      <x:c r="J56" s="31" t="str"/>
      <x:c r="K56" s="31" t="str"/>
    </x:row>
    <x:row r="57" ht="34" customHeight="1">
      <x:c r="A57" s="31" t="str">
        <x:v>Unused</x:v>
      </x:c>
      <x:c r="B57" s="31" t="n">
        <x:v>1981</x:v>
      </x:c>
      <x:c r="C57" s="31"/>
      <x:c r="D57" s="31" t="str"/>
      <x:c r="E57" s="31" t="str"/>
      <x:c r="F57" s="31"/>
      <x:c r="G57" s="31" t="str"/>
      <x:c r="H57" s="31" t="str"/>
      <x:c r="I57" s="31" t="str"/>
      <x:c r="J57" s="31" t="str"/>
      <x:c r="K57" s="31" t="str"/>
    </x:row>
    <x:row r="58" ht="34" customHeight="1">
      <x:c r="A58" s="31" t="str">
        <x:v>Unused</x:v>
      </x:c>
      <x:c r="B58" s="31" t="n">
        <x:v>1982</x:v>
      </x:c>
      <x:c r="C58" s="31"/>
      <x:c r="D58" s="31" t="str"/>
      <x:c r="E58" s="31" t="str"/>
      <x:c r="F58" s="31"/>
      <x:c r="G58" s="31" t="str"/>
      <x:c r="H58" s="31" t="str"/>
      <x:c r="I58" s="31" t="str"/>
      <x:c r="J58" s="31" t="str"/>
      <x:c r="K58" s="31" t="str"/>
    </x:row>
    <x:row r="59" ht="34" customHeight="1">
      <x:c r="A59" s="31" t="str">
        <x:v>Unused</x:v>
      </x:c>
      <x:c r="B59" s="31" t="n">
        <x:v>1983</x:v>
      </x:c>
      <x:c r="C59" s="31"/>
      <x:c r="D59" s="31" t="str"/>
      <x:c r="E59" s="31" t="str"/>
      <x:c r="F59" s="31"/>
      <x:c r="G59" s="31" t="str"/>
      <x:c r="H59" s="31" t="str"/>
      <x:c r="I59" s="31" t="str"/>
      <x:c r="J59" s="31" t="str"/>
      <x:c r="K59" s="31" t="str"/>
    </x:row>
    <x:row r="60" ht="34" customHeight="1">
      <x:c r="A60" s="31" t="str">
        <x:v>Unused</x:v>
      </x:c>
      <x:c r="B60" s="31" t="n">
        <x:v>1984</x:v>
      </x:c>
      <x:c r="C60" s="31"/>
      <x:c r="D60" s="31" t="str"/>
      <x:c r="E60" s="31" t="str"/>
      <x:c r="F60" s="31"/>
      <x:c r="G60" s="31" t="str"/>
      <x:c r="H60" s="31" t="str"/>
      <x:c r="I60" s="31" t="str"/>
      <x:c r="J60" s="31" t="str"/>
      <x:c r="K60" s="31" t="str"/>
    </x:row>
    <x:row r="61" ht="34" customHeight="1">
      <x:c r="A61" s="31" t="str">
        <x:v>Unused</x:v>
      </x:c>
      <x:c r="B61" s="31" t="n">
        <x:v>1985</x:v>
      </x:c>
      <x:c r="C61" s="31"/>
      <x:c r="D61" s="31" t="str"/>
      <x:c r="E61" s="31" t="str"/>
      <x:c r="F61" s="31"/>
      <x:c r="G61" s="31" t="str"/>
      <x:c r="H61" s="31" t="str"/>
      <x:c r="I61" s="31" t="str"/>
      <x:c r="J61" s="31" t="str"/>
      <x:c r="K61" s="31" t="str"/>
    </x:row>
    <x:row r="62" ht="34" customHeight="1">
      <x:c r="A62" s="31" t="str">
        <x:v>Unused</x:v>
      </x:c>
      <x:c r="B62" s="31" t="n">
        <x:v>1986</x:v>
      </x:c>
      <x:c r="C62" s="31"/>
      <x:c r="D62" s="31" t="str"/>
      <x:c r="E62" s="31" t="str"/>
      <x:c r="F62" s="31"/>
      <x:c r="G62" s="31" t="str"/>
      <x:c r="H62" s="31" t="str"/>
      <x:c r="I62" s="31" t="str"/>
      <x:c r="J62" s="31" t="str"/>
      <x:c r="K62" s="31" t="str"/>
    </x:row>
    <x:row r="63" ht="34" customHeight="1">
      <x:c r="A63" s="31" t="str">
        <x:v>Unused</x:v>
      </x:c>
      <x:c r="B63" s="31" t="n">
        <x:v>1987</x:v>
      </x:c>
      <x:c r="C63" s="31"/>
      <x:c r="D63" s="31" t="str"/>
      <x:c r="E63" s="31" t="str"/>
      <x:c r="F63" s="31"/>
      <x:c r="G63" s="31" t="str"/>
      <x:c r="H63" s="31" t="str"/>
      <x:c r="I63" s="31" t="str"/>
      <x:c r="J63" s="31" t="str"/>
      <x:c r="K63" s="31" t="str"/>
    </x:row>
    <x:row r="64" ht="34" customHeight="1">
      <x:c r="A64" s="31" t="str">
        <x:v>Unused</x:v>
      </x:c>
      <x:c r="B64" s="31" t="n">
        <x:v>1988</x:v>
      </x:c>
      <x:c r="C64" s="31"/>
      <x:c r="D64" s="31" t="str"/>
      <x:c r="E64" s="31" t="str"/>
      <x:c r="F64" s="31"/>
      <x:c r="G64" s="31" t="str"/>
      <x:c r="H64" s="31" t="str"/>
      <x:c r="I64" s="31" t="str"/>
      <x:c r="J64" s="31" t="str"/>
      <x:c r="K64" s="31" t="str"/>
    </x:row>
    <x:row r="65" ht="34" customHeight="1">
      <x:c r="A65" s="31" t="str">
        <x:v>Unused</x:v>
      </x:c>
      <x:c r="B65" s="31" t="n">
        <x:v>1989</x:v>
      </x:c>
      <x:c r="C65" s="31"/>
      <x:c r="D65" s="31" t="str"/>
      <x:c r="E65" s="31" t="str"/>
      <x:c r="F65" s="31"/>
      <x:c r="G65" s="31" t="str"/>
      <x:c r="H65" s="31" t="str"/>
      <x:c r="I65" s="31" t="str"/>
      <x:c r="J65" s="31" t="str"/>
      <x:c r="K65" s="31" t="str"/>
    </x:row>
    <x:row r="66" ht="34" customHeight="1">
      <x:c r="A66" s="31" t="str">
        <x:v>Unused</x:v>
      </x:c>
      <x:c r="B66" s="31" t="n">
        <x:v>1990</x:v>
      </x:c>
      <x:c r="C66" s="31"/>
      <x:c r="D66" s="31" t="str"/>
      <x:c r="E66" s="31" t="str"/>
      <x:c r="F66" s="31"/>
      <x:c r="G66" s="31" t="str"/>
      <x:c r="H66" s="31" t="str"/>
      <x:c r="I66" s="31" t="str"/>
      <x:c r="J66" s="31" t="str"/>
      <x:c r="K66" s="31" t="str"/>
    </x:row>
    <x:row r="67" ht="34" customHeight="1">
      <x:c r="A67" s="31" t="str">
        <x:v>Unused</x:v>
      </x:c>
      <x:c r="B67" s="31" t="n">
        <x:v>1991</x:v>
      </x:c>
      <x:c r="C67" s="31"/>
      <x:c r="D67" s="31" t="str"/>
      <x:c r="E67" s="31" t="str"/>
      <x:c r="F67" s="31"/>
      <x:c r="G67" s="31" t="str"/>
      <x:c r="H67" s="31" t="str"/>
      <x:c r="I67" s="31" t="str"/>
      <x:c r="J67" s="31" t="str"/>
      <x:c r="K67" s="31" t="str"/>
    </x:row>
    <x:row r="68" ht="34" customHeight="1">
      <x:c r="A68" s="31" t="str">
        <x:v>Unused</x:v>
      </x:c>
      <x:c r="B68" s="31" t="n">
        <x:v>1992</x:v>
      </x:c>
      <x:c r="C68" s="31"/>
      <x:c r="D68" s="31" t="str"/>
      <x:c r="E68" s="31" t="str"/>
      <x:c r="F68" s="31"/>
      <x:c r="G68" s="31" t="str"/>
      <x:c r="H68" s="31" t="str"/>
      <x:c r="I68" s="31" t="str"/>
      <x:c r="J68" s="31" t="str"/>
      <x:c r="K68" s="31" t="str"/>
    </x:row>
    <x:row r="69" ht="34" customHeight="1">
      <x:c r="A69" s="31" t="str">
        <x:v>Unused</x:v>
      </x:c>
      <x:c r="B69" s="31" t="n">
        <x:v>1993</x:v>
      </x:c>
      <x:c r="C69" s="31"/>
      <x:c r="D69" s="31" t="str"/>
      <x:c r="E69" s="31" t="str"/>
      <x:c r="F69" s="31"/>
      <x:c r="G69" s="31" t="str"/>
      <x:c r="H69" s="31" t="str"/>
      <x:c r="I69" s="31" t="str"/>
      <x:c r="J69" s="31" t="str"/>
      <x:c r="K69" s="31" t="str"/>
    </x:row>
    <x:row r="70" ht="34" customHeight="1">
      <x:c r="A70" s="31" t="str">
        <x:v>Unused</x:v>
      </x:c>
      <x:c r="B70" s="31" t="n">
        <x:v>1994</x:v>
      </x:c>
      <x:c r="C70" s="31"/>
      <x:c r="D70" s="31" t="str"/>
      <x:c r="E70" s="31" t="str"/>
      <x:c r="F70" s="31"/>
      <x:c r="G70" s="31" t="str"/>
      <x:c r="H70" s="31" t="str"/>
      <x:c r="I70" s="31" t="str"/>
      <x:c r="J70" s="31" t="str"/>
      <x:c r="K70" s="31" t="str"/>
    </x:row>
    <x:row r="71" ht="34" customHeight="1">
      <x:c r="A71" s="31" t="str">
        <x:v>Unused</x:v>
      </x:c>
      <x:c r="B71" s="31" t="n">
        <x:v>1995</x:v>
      </x:c>
      <x:c r="C71" s="31"/>
      <x:c r="D71" s="31" t="str"/>
      <x:c r="E71" s="31" t="str"/>
      <x:c r="F71" s="31"/>
      <x:c r="G71" s="31" t="str"/>
      <x:c r="H71" s="31" t="str"/>
      <x:c r="I71" s="31" t="str"/>
      <x:c r="J71" s="31" t="str"/>
      <x:c r="K71" s="31" t="str"/>
    </x:row>
    <x:row r="72" ht="34" customHeight="1">
      <x:c r="A72" s="31" t="str">
        <x:v>Unused</x:v>
      </x:c>
      <x:c r="B72" s="31" t="n">
        <x:v>1996</x:v>
      </x:c>
      <x:c r="C72" s="31"/>
      <x:c r="D72" s="31" t="str"/>
      <x:c r="E72" s="31" t="str"/>
      <x:c r="F72" s="31"/>
      <x:c r="G72" s="31" t="str"/>
      <x:c r="H72" s="31" t="str"/>
      <x:c r="I72" s="31" t="str"/>
      <x:c r="J72" s="31" t="str"/>
      <x:c r="K72" s="31" t="str"/>
    </x:row>
    <x:row r="73" ht="34" customHeight="1">
      <x:c r="A73" s="31" t="str">
        <x:v>Unused</x:v>
      </x:c>
      <x:c r="B73" s="31" t="n">
        <x:v>1997</x:v>
      </x:c>
      <x:c r="C73" s="31"/>
      <x:c r="D73" s="31" t="str"/>
      <x:c r="E73" s="31" t="str"/>
      <x:c r="F73" s="31"/>
      <x:c r="G73" s="31" t="str"/>
      <x:c r="H73" s="31" t="str"/>
      <x:c r="I73" s="31" t="str"/>
      <x:c r="J73" s="31" t="str"/>
      <x:c r="K73" s="31" t="str"/>
    </x:row>
    <x:row r="74" ht="34" customHeight="1">
      <x:c r="A74" s="31" t="str">
        <x:v>Unused</x:v>
      </x:c>
      <x:c r="B74" s="31" t="n">
        <x:v>1998</x:v>
      </x:c>
      <x:c r="C74" s="31"/>
      <x:c r="D74" s="31" t="str"/>
      <x:c r="E74" s="31" t="str"/>
      <x:c r="F74" s="31"/>
      <x:c r="G74" s="31" t="str"/>
      <x:c r="H74" s="31" t="str"/>
      <x:c r="I74" s="31" t="str"/>
      <x:c r="J74" s="31" t="str"/>
      <x:c r="K74" s="31" t="str"/>
    </x:row>
    <x:row r="75" ht="34" customHeight="1">
      <x:c r="A75" s="31" t="str">
        <x:v>Unused</x:v>
      </x:c>
      <x:c r="B75" s="31" t="n">
        <x:v>1999</x:v>
      </x:c>
      <x:c r="C75" s="31"/>
      <x:c r="D75" s="31" t="str"/>
      <x:c r="E75" s="31" t="str"/>
      <x:c r="F75" s="31"/>
      <x:c r="G75" s="31" t="str"/>
      <x:c r="H75" s="31" t="str"/>
      <x:c r="I75" s="31" t="str"/>
      <x:c r="J75" s="31" t="str"/>
      <x:c r="K75" s="31" t="str"/>
    </x:row>
  </x:sheetData>
  <x:conditionalFormatting sqref="A2:K75">
    <x:cfRule type="expression" dxfId="7" priority="1">
      <x:formula>$A2="Activated"</x:formula>
    </x:cfRule>
    <x:cfRule type="expression" dxfId="8" priority="2">
      <x:formula>$A2="Complete"</x:formula>
    </x:cfRule>
  </x:conditionalFormatting>
  <x:dataValidations count="2">
    <x:dataValidation type="list" sqref="A2:A75">
      <x:formula1>"Unused,Activated,Complete"</x:formula1>
    </x:dataValidation>
    <x:dataValidation type="list" sqref="D2:D75">
      <x:formula1>",Camera dropout,Robot fault,Incorrect reset,Wrong checkpoint,Missing/corrupt video,Protocol deviation"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5fea2aac2a44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8" hidden="0" customWidth="1"/>
    <x:col min="4" max="4" width="30" hidden="0" customWidth="1"/>
    <x:col min="5" max="5" width="28" hidden="0" customWidth="1"/>
    <x:col min="6" max="6" width="28" hidden="0" customWidth="1"/>
  </x:cols>
  <x:sheetData>
    <x:row r="1" ht="30" customHeight="1">
      <x:c r="A1" s="4" t="str">
        <x:v>Controlled Vocabulary and Data Dictionary</x:v>
      </x:c>
      <x:c r="B1" s="4" t="str">
        <x:v>Controlled Vocabulary and Data Dictionary</x:v>
      </x:c>
      <x:c r="C1" s="4" t="str">
        <x:v>Controlled Vocabulary and Data Dictionary</x:v>
      </x:c>
      <x:c r="D1" s="4" t="str">
        <x:v>Controlled Vocabulary and Data Dictionary</x:v>
      </x:c>
      <x:c r="E1" s="4" t="str">
        <x:v>Controlled Vocabulary and Data Dictionary</x:v>
      </x:c>
      <x:c r="F1" s="4" t="str">
        <x:v>Controlled Vocabulary and Data Dictionary</x:v>
      </x:c>
    </x:row>
    <x:row r="3" ht="32" customHeight="1">
      <x:c r="A3" s="16" t="str">
        <x:v>Status</x:v>
      </x:c>
      <x:c r="B3" s="17" t="str">
        <x:v>Failure Mode</x:v>
      </x:c>
      <x:c r="C3" s="17" t="str">
        <x:v>Invalid Reason</x:v>
      </x:c>
      <x:c r="D3" s="17" t="str">
        <x:v>Models</x:v>
      </x:c>
      <x:c r="E3" s="17" t="str">
        <x:v>Primary Tasks</x:v>
      </x:c>
      <x:c r="F3" s="18" t="str">
        <x:v>Analysis Tier</x:v>
      </x:c>
    </x:row>
    <x:row r="4">
      <x:c r="A4" s="30" t="str">
        <x:v>Not Started</x:v>
      </x:c>
      <x:c r="B4" s="30" t="str">
        <x:v>No grasp</x:v>
      </x:c>
      <x:c r="C4" s="30" t="str">
        <x:v>Camera dropout</x:v>
      </x:c>
      <x:c r="D4" s="30" t="str">
        <x:v>π0.5</x:v>
      </x:c>
      <x:c r="E4" s="30" t="str">
        <x:v>State Recognition</x:v>
      </x:c>
      <x:c r="F4" s="30" t="str">
        <x:v>Primary confirmatory</x:v>
      </x:c>
    </x:row>
    <x:row r="5">
      <x:c r="A5" s="31" t="str">
        <x:v>In Progress</x:v>
      </x:c>
      <x:c r="B5" s="31" t="str">
        <x:v>Wrong target</x:v>
      </x:c>
      <x:c r="C5" s="31" t="str">
        <x:v>Robot fault</x:v>
      </x:c>
      <x:c r="D5" s="31" t="str">
        <x:v>VLA-0</x:v>
      </x:c>
      <x:c r="E5" s="31" t="str">
        <x:v>Relational Placement</x:v>
      </x:c>
      <x:c r="F5" s="31" t="str">
        <x:v>Secondary pre-specified</x:v>
      </x:c>
    </x:row>
    <x:row r="6">
      <x:c r="A6" s="31" t="str">
        <x:v>Complete</x:v>
      </x:c>
      <x:c r="B6" s="31" t="str">
        <x:v>Wrong relation/state/count</x:v>
      </x:c>
      <x:c r="C6" s="31" t="str">
        <x:v>Incorrect reset</x:v>
      </x:c>
      <x:c r="D6" s="31" t="str">
        <x:v>MolmoAct2</x:v>
      </x:c>
      <x:c r="E6" s="31" t="str">
        <x:v>Counting</x:v>
      </x:c>
      <x:c r="F6" s="31" t="str">
        <x:v>Secondary benchmark</x:v>
      </x:c>
    </x:row>
    <x:row r="7">
      <x:c r="A7" s="31" t="str">
        <x:v>Invalid – Replace</x:v>
      </x:c>
      <x:c r="B7" s="31" t="str">
        <x:v>Dropped object</x:v>
      </x:c>
      <x:c r="C7" s="31" t="str">
        <x:v>Wrong checkpoint</x:v>
      </x:c>
      <x:c r="D7" s="31" t="str">
        <x:v>Vision-only BC (task-specific)</x:v>
      </x:c>
      <x:c r="E7" s="31" t="str"/>
      <x:c r="F7" s="31" t="str">
        <x:v>Exploratory paired</x:v>
      </x:c>
    </x:row>
    <x:row r="8">
      <x:c r="A8" s="31" t="str"/>
      <x:c r="B8" s="31" t="str">
        <x:v>Collision</x:v>
      </x:c>
      <x:c r="C8" s="31" t="str">
        <x:v>Missing/corrupt video</x:v>
      </x:c>
      <x:c r="D8" s="31" t="str"/>
      <x:c r="E8" s="31" t="str"/>
      <x:c r="F8" s="31" t="str">
        <x:v>Diagnostic</x:v>
      </x:c>
    </x:row>
    <x:row r="9">
      <x:c r="A9" s="31" t="str"/>
      <x:c r="B9" s="31" t="str">
        <x:v>Timeout</x:v>
      </x:c>
      <x:c r="C9" s="31" t="str">
        <x:v>Protocol deviation</x:v>
      </x:c>
      <x:c r="D9" s="31" t="str"/>
      <x:c r="E9" s="31" t="str"/>
      <x:c r="F9" s="31" t="str">
        <x:v>Exploratory</x:v>
      </x:c>
    </x:row>
    <x:row r="10">
      <x:c r="A10" s="31" t="str"/>
      <x:c r="B10" s="31" t="str">
        <x:v>Unsafe motion</x:v>
      </x:c>
      <x:c r="C10" s="31" t="str"/>
      <x:c r="D10" s="31" t="str"/>
      <x:c r="E10" s="31" t="str"/>
      <x:c r="F10" s="31" t="str"/>
    </x:row>
    <x:row r="11">
      <x:c r="A11" s="31" t="str"/>
      <x:c r="B11" s="31" t="str">
        <x:v>Other</x:v>
      </x:c>
      <x:c r="C11" s="31" t="str"/>
      <x:c r="D11" s="31" t="str"/>
      <x:c r="E11" s="31" t="str"/>
      <x:c r="F11" s="31" t="str"/>
    </x:row>
    <x:row r="12">
      <x:c r="A12" s="31" t="str"/>
      <x:c r="B12" s="31" t="str"/>
      <x:c r="C12" s="31" t="str"/>
      <x:c r="D12" s="31" t="str"/>
      <x:c r="E12" s="31" t="str"/>
      <x:c r="F12" s="31" t="str"/>
    </x:row>
    <x:row r="13" ht="32" customHeight="1">
      <x:c r="A13" s="47" t="str">
        <x:v>Field</x:v>
      </x:c>
      <x:c r="B13" s="48" t="str">
        <x:v>Meaning</x:v>
      </x:c>
      <x:c r="C13" s="48" t="str"/>
      <x:c r="D13" s="48" t="str"/>
      <x:c r="E13" s="48" t="str"/>
      <x:c r="F13" s="49" t="str"/>
    </x:row>
    <x:row r="14" ht="30" customHeight="1">
      <x:c r="A14" s="30" t="str">
        <x:v>Policy Input Prompt</x:v>
      </x:c>
      <x:c r="B14" s="30" t="str">
        <x:v>Instruction actually provided to the evaluated policy.</x:v>
      </x:c>
      <x:c r="C14" s="30" t="str"/>
      <x:c r="D14" s="30" t="str"/>
      <x:c r="E14" s="30" t="str"/>
      <x:c r="F14" s="30" t="str"/>
    </x:row>
    <x:row r="15" ht="30" customHeight="1">
      <x:c r="A15" s="31" t="str">
        <x:v>Scoring Instruction</x:v>
      </x:c>
      <x:c r="B15" s="31" t="str">
        <x:v>Instruction used to define the expected outcome; BC does not receive it.</x:v>
      </x:c>
      <x:c r="C15" s="31" t="str"/>
      <x:c r="D15" s="31" t="str"/>
      <x:c r="E15" s="31" t="str"/>
      <x:c r="F15" s="31" t="str"/>
    </x:row>
    <x:row r="16" ht="30" customHeight="1">
      <x:c r="A16" s="31" t="str">
        <x:v>Pair ID</x:v>
      </x:c>
      <x:c r="B16" s="31" t="str">
        <x:v>Shared scene/specification cluster for paired inference.</x:v>
      </x:c>
      <x:c r="C16" s="31" t="str"/>
      <x:c r="D16" s="31" t="str"/>
      <x:c r="E16" s="31" t="str"/>
      <x:c r="F16" s="31" t="str"/>
    </x:row>
    <x:row r="17" ht="30" customHeight="1">
      <x:c r="A17" s="31" t="str">
        <x:v>Parent Spec ID</x:v>
      </x:c>
      <x:c r="B17" s="31" t="str">
        <x:v>Correct-prompt trial paired with a language-ablation trial.</x:v>
      </x:c>
      <x:c r="C17" s="31" t="str"/>
      <x:c r="D17" s="31" t="str"/>
      <x:c r="E17" s="31" t="str"/>
      <x:c r="F17" s="31" t="str"/>
    </x:row>
    <x:row r="18" ht="30" customHeight="1">
      <x:c r="A18" s="31" t="str">
        <x:v>Invalid?</x:v>
      </x:c>
      <x:c r="B18" s="31" t="str">
        <x:v>Technical/protocol invalidity only; never policy failure.</x:v>
      </x:c>
      <x:c r="C18" s="31" t="str"/>
      <x:c r="D18" s="31" t="str"/>
      <x:c r="E18" s="31" t="str"/>
      <x:c r="F18" s="31" t="str"/>
    </x:row>
    <x:row r="19" ht="30" customHeight="1">
      <x:c r="A19" s="31" t="str">
        <x:v>Adjudicated Success</x:v>
      </x:c>
      <x:c r="B19" s="31" t="str">
        <x:v>Final binary result after blinded dual scoring.</x:v>
      </x:c>
      <x:c r="C19" s="31" t="str"/>
      <x:c r="D19" s="31" t="str"/>
      <x:c r="E19" s="31" t="str"/>
      <x:c r="F19" s="31" t="str"/>
    </x:row>
    <x:row r="20" ht="30" customHeight="1">
      <x:c r="A20" s="31" t="str">
        <x:v>Planned Block</x:v>
      </x:c>
      <x:c r="B20" s="31" t="str">
        <x:v>Counterbalanced execution block; preserve unless logistics require a logged deviation.</x:v>
      </x:c>
      <x:c r="C20" s="31" t="str"/>
      <x:c r="D20" s="31" t="str"/>
      <x:c r="E20" s="31" t="str"/>
      <x:c r="F20" s="31" t="str"/>
    </x:row>
    <x:row r="21" ht="30" customHeight="1">
      <x:c r="A21" s="31" t="str">
        <x:v>Within-Block Order</x:v>
      </x:c>
      <x:c r="B21" s="31" t="str">
        <x:v>Deterministic random order generated with seed 20260729.</x:v>
      </x:c>
      <x:c r="C21" s="31" t="str"/>
      <x:c r="D21" s="31" t="str"/>
      <x:c r="E21" s="31" t="str"/>
      <x:c r="F21" s="31" t="str"/>
    </x:row>
  </x:sheetData>
  <x:mergeCells>
    <x:mergeCell ref="A1:F1"/>
    <x:mergeCell ref="B14:F14"/>
    <x:mergeCell ref="B15:F15"/>
    <x:mergeCell ref="B16:F16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</x:worksheet>
</file>