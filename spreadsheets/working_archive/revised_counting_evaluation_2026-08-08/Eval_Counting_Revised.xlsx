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b918e92c4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0a031f5df9124c0f"/>
    <x:sheet xmlns:r="http://schemas.openxmlformats.org/officeDocument/2006/relationships" name="Object Inventory" sheetId="2" r:id="R38138d70ab7f4634"/>
    <x:sheet xmlns:r="http://schemas.openxmlformats.org/officeDocument/2006/relationships" name="Training Alignment" sheetId="3" r:id="Ra2705bea62a643c3"/>
    <x:sheet xmlns:r="http://schemas.openxmlformats.org/officeDocument/2006/relationships" name="Protocol" sheetId="4" r:id="R68724b889f33462a"/>
    <x:sheet xmlns:r="http://schemas.openxmlformats.org/officeDocument/2006/relationships" name="Design QA" sheetId="5" r:id="Rc0bb89827e2941ad"/>
    <x:sheet xmlns:r="http://schemas.openxmlformats.org/officeDocument/2006/relationships" name="pi0.5 Results" sheetId="6" r:id="R595b1e47a9b143a1"/>
    <x:sheet xmlns:r="http://schemas.openxmlformats.org/officeDocument/2006/relationships" name="VLA0 Results" sheetId="7" r:id="R2362efa036d84929"/>
    <x:sheet xmlns:r="http://schemas.openxmlformats.org/officeDocument/2006/relationships" name="MolmoAct2 Results" sheetId="8" r:id="Rb6faa73499fa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5F9F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F4B183"/>
      </x:patternFill>
    </x:fill>
  </x:fills>
  <x:borders count="5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4" fillId="7" borderId="3" xfId="0" applyNumberFormat="1" applyFont="1" applyFill="1" applyBorder="1" applyAlignment="1">
      <x:alignment horizontal="center"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4" fillId="11" borderId="3" xfId="0" applyNumberFormat="1" applyFont="1" applyFill="1" applyBorder="1" applyAlignment="1">
      <x:alignment vertical="top" wrapText="1"/>
    </x:xf>
    <x:xf numFmtId="0" fontId="4" fillId="12" borderId="3" xfId="0" applyNumberFormat="1" applyFont="1" applyFill="1" applyBorder="1" applyAlignment="1">
      <x:alignment vertical="top" wrapText="1"/>
    </x:xf>
    <x:xf numFmtId="0" fontId="4" fillId="13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0">
    <x:dxf>
      <x:font>
        <x:color rgb="FFFFFFFF"/>
      </x:font>
      <x:fill>
        <x:patternFill>
          <x:bgColor rgb="FF374151"/>
        </x:patternFill>
      </x:fill>
    </x:dxf>
    <x:dxf>
      <x:font>
        <x:b/>
        <x:color rgb="FF7F0000"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4DFE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color rgb="FFFFFFFF"/>
      </x:font>
      <x:fill>
        <x:patternFill>
          <x:bgColor rgb="FF374151"/>
        </x:patternFill>
      </x:fill>
    </x:dxf>
    <x:dxf>
      <x:font>
        <x:b/>
        <x:color rgb="FF7F0000"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4DFEC"/>
        </x:patternFill>
      </x:fill>
    </x:dxf>
    <x:dxf>
      <x:font>
        <x:color rgb="FFFFFFFF"/>
      </x:font>
      <x:fill>
        <x:patternFill>
          <x:bgColor rgb="FF374151"/>
        </x:patternFill>
      </x:fill>
    </x:dxf>
    <x:dxf>
      <x:font>
        <x:b/>
        <x:color rgb="FF7F0000"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4DFEC"/>
        </x:patternFill>
      </x:fill>
    </x:dxf>
    <x:dxf>
      <x:font>
        <x:color rgb="FFFFFFFF"/>
      </x:font>
      <x:fill>
        <x:patternFill>
          <x:bgColor rgb="FF374151"/>
        </x:patternFill>
      </x:fill>
    </x:dxf>
    <x:dxf>
      <x:font>
        <x:b/>
        <x:color rgb="FF7F0000"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4DFEC"/>
        </x:patternFill>
      </x:fill>
    </x:dxf>
    <x:dxf>
      <x:font>
        <x:b/>
        <x:color rgb="FFFFFFFF"/>
      </x:font>
      <x:fill>
        <x:patternFill patternType="solid">
          <x:bgColor rgb="FF548235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FFFFFF"/>
      </x:font>
      <x:fill>
        <x:patternFill patternType="solid">
          <x:bgColor rgb="FF548235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FFFFFF"/>
      </x:font>
      <x:fill>
        <x:patternFill patternType="solid">
          <x:bgColor rgb="FF548235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FFFFFF"/>
      </x:font>
      <x:fill>
        <x:patternFill patternType="solid">
          <x:bgColor rgb="FF548235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25fc338974663" /><Relationship Type="http://schemas.openxmlformats.org/officeDocument/2006/relationships/theme" Target="/xl/theme/theme1.xml" Id="R205c2ddc5bb44808" /><Relationship Type="http://schemas.openxmlformats.org/officeDocument/2006/relationships/sharedStrings" Target="/xl/sharedStrings.xml" Id="Rebe22d8f2e504669" /><Relationship Type="http://schemas.openxmlformats.org/officeDocument/2006/relationships/worksheet" Target="/xl/worksheets/sheet1.xml" Id="R0a031f5df9124c0f" /><Relationship Type="http://schemas.openxmlformats.org/officeDocument/2006/relationships/worksheet" Target="/xl/worksheets/sheet2.xml" Id="R38138d70ab7f4634" /><Relationship Type="http://schemas.openxmlformats.org/officeDocument/2006/relationships/worksheet" Target="/xl/worksheets/sheet3.xml" Id="Ra2705bea62a643c3" /><Relationship Type="http://schemas.openxmlformats.org/officeDocument/2006/relationships/worksheet" Target="/xl/worksheets/sheet4.xml" Id="R68724b889f33462a" /><Relationship Type="http://schemas.openxmlformats.org/officeDocument/2006/relationships/worksheet" Target="/xl/worksheets/sheet5.xml" Id="Rc0bb89827e2941ad" /><Relationship Type="http://schemas.openxmlformats.org/officeDocument/2006/relationships/worksheet" Target="/xl/worksheets/sheet6.xml" Id="R595b1e47a9b143a1" /><Relationship Type="http://schemas.openxmlformats.org/officeDocument/2006/relationships/worksheet" Target="/xl/worksheets/sheet7.xml" Id="R2362efa036d84929" /><Relationship Type="http://schemas.openxmlformats.org/officeDocument/2006/relationships/worksheet" Target="/xl/worksheets/sheet8.xml" Id="Rb6faa73499fa46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6.670000076293945" hidden="0" customWidth="1"/>
    <x:col min="3" max="3" width="28.889999389648438" hidden="0" customWidth="1"/>
    <x:col min="4" max="4" width="40" hidden="0" customWidth="1"/>
    <x:col min="5" max="5" width="9.4399995803833" hidden="0" customWidth="1"/>
    <x:col min="6" max="6" width="25" hidden="0" customWidth="1"/>
    <x:col min="7" max="7" width="28.889999389648438" hidden="0" customWidth="1"/>
    <x:col min="8" max="8" width="22.780000686645508" hidden="0" customWidth="1"/>
    <x:col min="9" max="9" width="10.5600004196167" hidden="0" customWidth="1"/>
    <x:col min="10" max="10" width="12.220000267028809" hidden="0" customWidth="1"/>
    <x:col min="11" max="11" width="8.890000343322754" hidden="0" customWidth="1"/>
    <x:col min="12" max="12" width="7.78000020980835" hidden="0" customWidth="1"/>
    <x:col min="13" max="13" width="10.5600004196167" hidden="0" customWidth="1"/>
    <x:col min="14" max="14" width="28.329999923706055" hidden="0" customWidth="1"/>
    <x:col min="15" max="15" width="9.4399995803833" hidden="0" customWidth="1"/>
    <x:col min="16" max="16" width="26.670000076293945" hidden="0" customWidth="1"/>
    <x:col min="17" max="17" width="34.439998626708984" hidden="0" customWidth="1"/>
    <x:col min="18" max="18" width="20.559999465942383" hidden="0" customWidth="1"/>
  </x:cols>
  <x:sheetData>
    <x:row r="1" ht="28.5" customHeight="1">
      <x:c r="A1" s="30" t="str">
        <x:v>Status</x:v>
      </x:c>
      <x:c r="B1" s="30" t="str">
        <x:v>Episode</x:v>
      </x:c>
      <x:c r="C1" s="30" t="str">
        <x:v>Prompt</x:v>
      </x:c>
      <x:c r="D1" s="30" t="str">
        <x:v>Scene Setup (Bowl / Table)</x:v>
      </x:c>
      <x:c r="E1" s="30" t="str">
        <x:v>Reference Episode</x:v>
      </x:c>
      <x:c r="F1" s="30" t="str">
        <x:v>Expected Target / Action</x:v>
      </x:c>
      <x:c r="G1" s="30" t="str">
        <x:v>Observations</x:v>
      </x:c>
      <x:c r="H1" s="30" t="str">
        <x:v>Condition</x:v>
      </x:c>
      <x:c r="I1" s="30" t="str">
        <x:v>Scene Family</x:v>
      </x:c>
      <x:c r="J1" s="30" t="str">
        <x:v>Contrast Pair</x:v>
      </x:c>
      <x:c r="K1" s="30" t="str">
        <x:v>Initial Bowl Count</x:v>
      </x:c>
      <x:c r="L1" s="30" t="str">
        <x:v>Goal Count</x:v>
      </x:c>
      <x:c r="M1" s="30" t="str">
        <x:v>Action Direction</x:v>
      </x:c>
      <x:c r="N1" s="30" t="str">
        <x:v>Comparison / Subtype</x:v>
      </x:c>
      <x:c r="O1" s="30" t="str">
        <x:v>Collection Block</x:v>
      </x:c>
      <x:c r="P1" s="30" t="str">
        <x:v>Setup Change from Previous</x:v>
      </x:c>
      <x:c r="Q1" s="30" t="str">
        <x:v>Design Note</x:v>
      </x:c>
      <x:c r="R1" s="30" t="str">
        <x:v>Reference Media Filename</x:v>
      </x:c>
    </x:row>
    <x:row r="2" ht="46.5" customHeight="1">
      <x:c r="A2" s="31" t="str">
        <x:v>Not collected</x:v>
      </x:c>
      <x:c r="B2" s="33" t="n">
        <x:v>0</x:v>
      </x:c>
      <x:c r="C2" s="31" t="str">
        <x:v>Leave exactly one object in the bowl.</x:v>
      </x:c>
      <x:c r="D2" s="31" t="str">
        <x:v>Bowl objects: [none] | Table objects: [blue pen, yellow block, green pencil sharpener, airplane toy without propellers]</x:v>
      </x:c>
      <x:c r="E2" s="33" t="str"/>
      <x:c r="F2" s="31" t="str">
        <x:v>ADD any one table object; finish with 1 object in the bowl</x:v>
      </x:c>
      <x:c r="G2" s="31" t="str"/>
      <x:c r="H2" s="35" t="str">
        <x:v>In-distribution concept baseline</x:v>
      </x:c>
      <x:c r="I2" s="31" t="str">
        <x:v>ID-CF01</x:v>
      </x:c>
      <x:c r="J2" s="31" t="str">
        <x:v>ID-CF01</x:v>
      </x:c>
      <x:c r="K2" s="33" t="n">
        <x:v>0</x:v>
      </x:c>
      <x:c r="L2" s="33" t="n">
        <x:v>1</x:v>
      </x:c>
      <x:c r="M2" s="33" t="str">
        <x:v>ADD</x:v>
      </x:c>
      <x:c r="N2" s="31" t="str">
        <x:v>In-distribution: one via trained 0→1 addition</x:v>
      </x:c>
      <x:c r="O2" s="33" t="n">
        <x:v>1</x:v>
      </x:c>
      <x:c r="P2" s="31" t="str">
        <x:v>Build the empty-bowl scene.</x:v>
      </x:c>
      <x:c r="Q2" s="31" t="str">
        <x:v>The word one and the 0→1 addition transition are explicitly paired in training.</x:v>
      </x:c>
      <x:c r="R2" s="31" t="str"/>
    </x:row>
    <x:row r="3" ht="46.5" customHeight="1">
      <x:c r="A3" s="32" t="str">
        <x:v>Not collected</x:v>
      </x:c>
      <x:c r="B3" s="34" t="n">
        <x:v>1</x:v>
      </x:c>
      <x:c r="C3" s="32" t="str">
        <x:v>Leave exactly three objects in the bowl.</x:v>
      </x:c>
      <x:c r="D3" s="32" t="str">
        <x:v>Bowl objects: [blue pen, yellow block, green pencil sharpener, airplane toy without propellers] | Table objects: [none]</x:v>
      </x:c>
      <x:c r="E3" s="34" t="str"/>
      <x:c r="F3" s="32" t="str">
        <x:v>REMOVE any one bowl object; finish with 3 objects in the bowl</x:v>
      </x:c>
      <x:c r="G3" s="32" t="str"/>
      <x:c r="H3" s="35" t="str">
        <x:v>In-distribution concept baseline</x:v>
      </x:c>
      <x:c r="I3" s="32" t="str">
        <x:v>ID-CF01</x:v>
      </x:c>
      <x:c r="J3" s="32" t="str">
        <x:v>ID-CF01</x:v>
      </x:c>
      <x:c r="K3" s="34" t="n">
        <x:v>4</x:v>
      </x:c>
      <x:c r="L3" s="34" t="n">
        <x:v>3</x:v>
      </x:c>
      <x:c r="M3" s="34" t="str">
        <x:v>REMOVE</x:v>
      </x:c>
      <x:c r="N3" s="32" t="str">
        <x:v>In-distribution: three via trained 4→3 removal</x:v>
      </x:c>
      <x:c r="O3" s="34" t="n">
        <x:v>1</x:v>
      </x:c>
      <x:c r="P3" s="32" t="str">
        <x:v>Move all four objects into the bowl.</x:v>
      </x:c>
      <x:c r="Q3" s="32" t="str">
        <x:v>The word three and the 4→3 removal transition are explicitly paired in training.</x:v>
      </x:c>
      <x:c r="R3" s="32" t="str"/>
    </x:row>
    <x:row r="4" ht="46.5" customHeight="1">
      <x:c r="A4" s="31" t="str">
        <x:v>Not collected</x:v>
      </x:c>
      <x:c r="B4" s="33" t="n">
        <x:v>2</x:v>
      </x:c>
      <x:c r="C4" s="31" t="str">
        <x:v>Leave exactly three objects in the bowl.</x:v>
      </x:c>
      <x:c r="D4" s="31" t="str">
        <x:v>Bowl objects: [blue pen, yellow block, green pencil sharpener, airplane toy without propellers] | Table objects: [none]</x:v>
      </x:c>
      <x:c r="E4" s="33" t="str"/>
      <x:c r="F4" s="31" t="str">
        <x:v>REMOVE any one bowl object; finish with 3 objects in the bowl</x:v>
      </x:c>
      <x:c r="G4" s="31" t="str"/>
      <x:c r="H4" s="35" t="str">
        <x:v>In-distribution concept baseline</x:v>
      </x:c>
      <x:c r="I4" s="31" t="str">
        <x:v>ID-CF02</x:v>
      </x:c>
      <x:c r="J4" s="31" t="str">
        <x:v>ID-CF02</x:v>
      </x:c>
      <x:c r="K4" s="33" t="n">
        <x:v>4</x:v>
      </x:c>
      <x:c r="L4" s="33" t="n">
        <x:v>3</x:v>
      </x:c>
      <x:c r="M4" s="33" t="str">
        <x:v>REMOVE</x:v>
      </x:c>
      <x:c r="N4" s="31" t="str">
        <x:v>In-distribution: three via trained 4→3 removal</x:v>
      </x:c>
      <x:c r="O4" s="33" t="n">
        <x:v>1</x:v>
      </x:c>
      <x:c r="P4" s="31" t="str">
        <x:v>Move all four objects into the bowl.</x:v>
      </x:c>
      <x:c r="Q4" s="31" t="str">
        <x:v>The word three and the 4→3 removal transition are explicitly paired in training.</x:v>
      </x:c>
      <x:c r="R4" s="31" t="str"/>
    </x:row>
    <x:row r="5" ht="46.5" customHeight="1">
      <x:c r="A5" s="32" t="str">
        <x:v>Not collected</x:v>
      </x:c>
      <x:c r="B5" s="34" t="n">
        <x:v>3</x:v>
      </x:c>
      <x:c r="C5" s="32" t="str">
        <x:v>Leave exactly one object in the bowl.</x:v>
      </x:c>
      <x:c r="D5" s="32" t="str">
        <x:v>Bowl objects: [none] | Table objects: [blue pen, yellow block, green pencil sharpener, airplane toy without propellers]</x:v>
      </x:c>
      <x:c r="E5" s="34" t="str"/>
      <x:c r="F5" s="32" t="str">
        <x:v>ADD any one table object; finish with 1 object in the bowl</x:v>
      </x:c>
      <x:c r="G5" s="32" t="str"/>
      <x:c r="H5" s="35" t="str">
        <x:v>In-distribution concept baseline</x:v>
      </x:c>
      <x:c r="I5" s="32" t="str">
        <x:v>ID-CF02</x:v>
      </x:c>
      <x:c r="J5" s="32" t="str">
        <x:v>ID-CF02</x:v>
      </x:c>
      <x:c r="K5" s="34" t="n">
        <x:v>0</x:v>
      </x:c>
      <x:c r="L5" s="34" t="n">
        <x:v>1</x:v>
      </x:c>
      <x:c r="M5" s="34" t="str">
        <x:v>ADD</x:v>
      </x:c>
      <x:c r="N5" s="32" t="str">
        <x:v>In-distribution: one via trained 0→1 addition</x:v>
      </x:c>
      <x:c r="O5" s="34" t="n">
        <x:v>1</x:v>
      </x:c>
      <x:c r="P5" s="32" t="str">
        <x:v>Build the empty-bowl scene.</x:v>
      </x:c>
      <x:c r="Q5" s="32" t="str">
        <x:v>The word one and the 0→1 addition transition are explicitly paired in training.</x:v>
      </x:c>
      <x:c r="R5" s="32" t="str"/>
    </x:row>
    <x:row r="6" ht="46.5" customHeight="1">
      <x:c r="A6" s="31" t="str">
        <x:v>Not collected</x:v>
      </x:c>
      <x:c r="B6" s="33" t="n">
        <x:v>4</x:v>
      </x:c>
      <x:c r="C6" s="31" t="str">
        <x:v>Leave exactly one object in the bowl.</x:v>
      </x:c>
      <x:c r="D6" s="31" t="str">
        <x:v>Bowl objects: [none] | Table objects: [blue pen, yellow block, green pencil sharpener, airplane toy without propellers]</x:v>
      </x:c>
      <x:c r="E6" s="33" t="str"/>
      <x:c r="F6" s="31" t="str">
        <x:v>ADD any one table object; finish with 1 object in the bowl</x:v>
      </x:c>
      <x:c r="G6" s="31" t="str"/>
      <x:c r="H6" s="35" t="str">
        <x:v>In-distribution concept baseline</x:v>
      </x:c>
      <x:c r="I6" s="31" t="str">
        <x:v>ID-CF03</x:v>
      </x:c>
      <x:c r="J6" s="31" t="str">
        <x:v>ID-CF03</x:v>
      </x:c>
      <x:c r="K6" s="33" t="n">
        <x:v>0</x:v>
      </x:c>
      <x:c r="L6" s="33" t="n">
        <x:v>1</x:v>
      </x:c>
      <x:c r="M6" s="33" t="str">
        <x:v>ADD</x:v>
      </x:c>
      <x:c r="N6" s="31" t="str">
        <x:v>In-distribution: one via trained 0→1 addition</x:v>
      </x:c>
      <x:c r="O6" s="33" t="n">
        <x:v>1</x:v>
      </x:c>
      <x:c r="P6" s="31" t="str">
        <x:v>Build the empty-bowl scene.</x:v>
      </x:c>
      <x:c r="Q6" s="31" t="str">
        <x:v>The word one and the 0→1 addition transition are explicitly paired in training.</x:v>
      </x:c>
      <x:c r="R6" s="31" t="str"/>
    </x:row>
    <x:row r="7" ht="46.5" customHeight="1">
      <x:c r="A7" s="32" t="str">
        <x:v>Not collected</x:v>
      </x:c>
      <x:c r="B7" s="34" t="n">
        <x:v>5</x:v>
      </x:c>
      <x:c r="C7" s="32" t="str">
        <x:v>Leave exactly three objects in the bowl.</x:v>
      </x:c>
      <x:c r="D7" s="32" t="str">
        <x:v>Bowl objects: [blue pen, yellow block, green pencil sharpener, airplane toy without propellers] | Table objects: [none]</x:v>
      </x:c>
      <x:c r="E7" s="34" t="str"/>
      <x:c r="F7" s="32" t="str">
        <x:v>REMOVE any one bowl object; finish with 3 objects in the bowl</x:v>
      </x:c>
      <x:c r="G7" s="32" t="str"/>
      <x:c r="H7" s="35" t="str">
        <x:v>In-distribution concept baseline</x:v>
      </x:c>
      <x:c r="I7" s="32" t="str">
        <x:v>ID-CF03</x:v>
      </x:c>
      <x:c r="J7" s="32" t="str">
        <x:v>ID-CF03</x:v>
      </x:c>
      <x:c r="K7" s="34" t="n">
        <x:v>4</x:v>
      </x:c>
      <x:c r="L7" s="34" t="n">
        <x:v>3</x:v>
      </x:c>
      <x:c r="M7" s="34" t="str">
        <x:v>REMOVE</x:v>
      </x:c>
      <x:c r="N7" s="32" t="str">
        <x:v>In-distribution: three via trained 4→3 removal</x:v>
      </x:c>
      <x:c r="O7" s="34" t="n">
        <x:v>1</x:v>
      </x:c>
      <x:c r="P7" s="32" t="str">
        <x:v>Move all four objects into the bowl.</x:v>
      </x:c>
      <x:c r="Q7" s="32" t="str">
        <x:v>The word three and the 4→3 removal transition are explicitly paired in training.</x:v>
      </x:c>
      <x:c r="R7" s="32" t="str"/>
    </x:row>
    <x:row r="8" ht="46.5" customHeight="1">
      <x:c r="A8" s="31" t="str">
        <x:v>Not collected</x:v>
      </x:c>
      <x:c r="B8" s="33" t="n">
        <x:v>6</x:v>
      </x:c>
      <x:c r="C8" s="31" t="str">
        <x:v>Leave exactly three objects in the bowl.</x:v>
      </x:c>
      <x:c r="D8" s="31" t="str">
        <x:v>Bowl objects: [blue pen, yellow block, green pencil sharpener, airplane toy without propellers] | Table objects: [none]</x:v>
      </x:c>
      <x:c r="E8" s="33" t="str"/>
      <x:c r="F8" s="31" t="str">
        <x:v>REMOVE any one bowl object; finish with 3 objects in the bowl</x:v>
      </x:c>
      <x:c r="G8" s="31" t="str"/>
      <x:c r="H8" s="35" t="str">
        <x:v>In-distribution concept baseline</x:v>
      </x:c>
      <x:c r="I8" s="31" t="str">
        <x:v>ID-CF04</x:v>
      </x:c>
      <x:c r="J8" s="31" t="str">
        <x:v>ID-CF04</x:v>
      </x:c>
      <x:c r="K8" s="33" t="n">
        <x:v>4</x:v>
      </x:c>
      <x:c r="L8" s="33" t="n">
        <x:v>3</x:v>
      </x:c>
      <x:c r="M8" s="33" t="str">
        <x:v>REMOVE</x:v>
      </x:c>
      <x:c r="N8" s="31" t="str">
        <x:v>In-distribution: three via trained 4→3 removal</x:v>
      </x:c>
      <x:c r="O8" s="33" t="n">
        <x:v>1</x:v>
      </x:c>
      <x:c r="P8" s="31" t="str">
        <x:v>Move all four objects into the bowl.</x:v>
      </x:c>
      <x:c r="Q8" s="31" t="str">
        <x:v>The word three and the 4→3 removal transition are explicitly paired in training.</x:v>
      </x:c>
      <x:c r="R8" s="31" t="str"/>
    </x:row>
    <x:row r="9" ht="46.5" customHeight="1">
      <x:c r="A9" s="32" t="str">
        <x:v>Not collected</x:v>
      </x:c>
      <x:c r="B9" s="34" t="n">
        <x:v>7</x:v>
      </x:c>
      <x:c r="C9" s="32" t="str">
        <x:v>Leave exactly one object in the bowl.</x:v>
      </x:c>
      <x:c r="D9" s="32" t="str">
        <x:v>Bowl objects: [none] | Table objects: [blue pen, yellow block, green pencil sharpener, airplane toy without propellers]</x:v>
      </x:c>
      <x:c r="E9" s="34" t="str"/>
      <x:c r="F9" s="32" t="str">
        <x:v>ADD any one table object; finish with 1 object in the bowl</x:v>
      </x:c>
      <x:c r="G9" s="32" t="str"/>
      <x:c r="H9" s="35" t="str">
        <x:v>In-distribution concept baseline</x:v>
      </x:c>
      <x:c r="I9" s="32" t="str">
        <x:v>ID-CF04</x:v>
      </x:c>
      <x:c r="J9" s="32" t="str">
        <x:v>ID-CF04</x:v>
      </x:c>
      <x:c r="K9" s="34" t="n">
        <x:v>0</x:v>
      </x:c>
      <x:c r="L9" s="34" t="n">
        <x:v>1</x:v>
      </x:c>
      <x:c r="M9" s="34" t="str">
        <x:v>ADD</x:v>
      </x:c>
      <x:c r="N9" s="32" t="str">
        <x:v>In-distribution: one via trained 0→1 addition</x:v>
      </x:c>
      <x:c r="O9" s="34" t="n">
        <x:v>1</x:v>
      </x:c>
      <x:c r="P9" s="32" t="str">
        <x:v>Build the empty-bowl scene.</x:v>
      </x:c>
      <x:c r="Q9" s="32" t="str">
        <x:v>The word one and the 0→1 addition transition are explicitly paired in training.</x:v>
      </x:c>
      <x:c r="R9" s="32" t="str"/>
    </x:row>
    <x:row r="10" ht="46.5" customHeight="1">
      <x:c r="A10" s="31" t="str">
        <x:v>Not collected</x:v>
      </x:c>
      <x:c r="B10" s="33" t="n">
        <x:v>8</x:v>
      </x:c>
      <x:c r="C10" s="31" t="str">
        <x:v>Leave exactly one object in the bowl.</x:v>
      </x:c>
      <x:c r="D10" s="31" t="str">
        <x:v>Bowl objects: [none] | Table objects: [blue pen, yellow block, green pencil sharpener, airplane toy without propellers]</x:v>
      </x:c>
      <x:c r="E10" s="33" t="str"/>
      <x:c r="F10" s="31" t="str">
        <x:v>ADD any one table object; finish with 1 object in the bowl</x:v>
      </x:c>
      <x:c r="G10" s="31" t="str"/>
      <x:c r="H10" s="35" t="str">
        <x:v>In-distribution concept baseline</x:v>
      </x:c>
      <x:c r="I10" s="31" t="str">
        <x:v>ID-CF05</x:v>
      </x:c>
      <x:c r="J10" s="31" t="str">
        <x:v>ID-CF05</x:v>
      </x:c>
      <x:c r="K10" s="33" t="n">
        <x:v>0</x:v>
      </x:c>
      <x:c r="L10" s="33" t="n">
        <x:v>1</x:v>
      </x:c>
      <x:c r="M10" s="33" t="str">
        <x:v>ADD</x:v>
      </x:c>
      <x:c r="N10" s="31" t="str">
        <x:v>In-distribution: one via trained 0→1 addition</x:v>
      </x:c>
      <x:c r="O10" s="33" t="n">
        <x:v>1</x:v>
      </x:c>
      <x:c r="P10" s="31" t="str">
        <x:v>Build the empty-bowl scene.</x:v>
      </x:c>
      <x:c r="Q10" s="31" t="str">
        <x:v>The word one and the 0→1 addition transition are explicitly paired in training.</x:v>
      </x:c>
      <x:c r="R10" s="31" t="str"/>
    </x:row>
    <x:row r="11" ht="46.5" customHeight="1">
      <x:c r="A11" s="32" t="str">
        <x:v>Not collected</x:v>
      </x:c>
      <x:c r="B11" s="34" t="n">
        <x:v>9</x:v>
      </x:c>
      <x:c r="C11" s="32" t="str">
        <x:v>Leave exactly three objects in the bowl.</x:v>
      </x:c>
      <x:c r="D11" s="32" t="str">
        <x:v>Bowl objects: [blue pen, yellow block, green pencil sharpener, airplane toy without propellers] | Table objects: [none]</x:v>
      </x:c>
      <x:c r="E11" s="34" t="str"/>
      <x:c r="F11" s="32" t="str">
        <x:v>REMOVE any one bowl object; finish with 3 objects in the bowl</x:v>
      </x:c>
      <x:c r="G11" s="32" t="str"/>
      <x:c r="H11" s="35" t="str">
        <x:v>In-distribution concept baseline</x:v>
      </x:c>
      <x:c r="I11" s="32" t="str">
        <x:v>ID-CF05</x:v>
      </x:c>
      <x:c r="J11" s="32" t="str">
        <x:v>ID-CF05</x:v>
      </x:c>
      <x:c r="K11" s="34" t="n">
        <x:v>4</x:v>
      </x:c>
      <x:c r="L11" s="34" t="n">
        <x:v>3</x:v>
      </x:c>
      <x:c r="M11" s="34" t="str">
        <x:v>REMOVE</x:v>
      </x:c>
      <x:c r="N11" s="32" t="str">
        <x:v>In-distribution: three via trained 4→3 removal</x:v>
      </x:c>
      <x:c r="O11" s="34" t="n">
        <x:v>1</x:v>
      </x:c>
      <x:c r="P11" s="32" t="str">
        <x:v>Move all four objects into the bowl.</x:v>
      </x:c>
      <x:c r="Q11" s="32" t="str">
        <x:v>The word three and the 4→3 removal transition are explicitly paired in training.</x:v>
      </x:c>
      <x:c r="R11" s="32" t="str"/>
    </x:row>
    <x:row r="12" ht="46.5" customHeight="1">
      <x:c r="A12" s="31" t="str">
        <x:v>Not collected</x:v>
      </x:c>
      <x:c r="B12" s="33" t="n">
        <x:v>10</x:v>
      </x:c>
      <x:c r="C12" s="31" t="str">
        <x:v>Leave exactly three objects in the bowl.</x:v>
      </x:c>
      <x:c r="D12" s="31" t="str">
        <x:v>Bowl objects: [blue pen, yellow block, green pencil sharpener, airplane toy without propellers] | Table objects: [none]</x:v>
      </x:c>
      <x:c r="E12" s="33" t="str"/>
      <x:c r="F12" s="31" t="str">
        <x:v>REMOVE any one bowl object; finish with 3 objects in the bowl</x:v>
      </x:c>
      <x:c r="G12" s="31" t="str"/>
      <x:c r="H12" s="35" t="str">
        <x:v>In-distribution concept baseline</x:v>
      </x:c>
      <x:c r="I12" s="31" t="str">
        <x:v>ID-CF06</x:v>
      </x:c>
      <x:c r="J12" s="31" t="str">
        <x:v>ID-CF06</x:v>
      </x:c>
      <x:c r="K12" s="33" t="n">
        <x:v>4</x:v>
      </x:c>
      <x:c r="L12" s="33" t="n">
        <x:v>3</x:v>
      </x:c>
      <x:c r="M12" s="33" t="str">
        <x:v>REMOVE</x:v>
      </x:c>
      <x:c r="N12" s="31" t="str">
        <x:v>In-distribution: three via trained 4→3 removal</x:v>
      </x:c>
      <x:c r="O12" s="33" t="n">
        <x:v>1</x:v>
      </x:c>
      <x:c r="P12" s="31" t="str">
        <x:v>Move all four objects into the bowl.</x:v>
      </x:c>
      <x:c r="Q12" s="31" t="str">
        <x:v>The word three and the 4→3 removal transition are explicitly paired in training.</x:v>
      </x:c>
      <x:c r="R12" s="31" t="str"/>
    </x:row>
    <x:row r="13" ht="46.5" customHeight="1">
      <x:c r="A13" s="32" t="str">
        <x:v>Not collected</x:v>
      </x:c>
      <x:c r="B13" s="34" t="n">
        <x:v>11</x:v>
      </x:c>
      <x:c r="C13" s="32" t="str">
        <x:v>Leave exactly one object in the bowl.</x:v>
      </x:c>
      <x:c r="D13" s="32" t="str">
        <x:v>Bowl objects: [none] | Table objects: [blue pen, yellow block, green pencil sharpener, airplane toy without propellers]</x:v>
      </x:c>
      <x:c r="E13" s="34" t="str"/>
      <x:c r="F13" s="32" t="str">
        <x:v>ADD any one table object; finish with 1 object in the bowl</x:v>
      </x:c>
      <x:c r="G13" s="32" t="str"/>
      <x:c r="H13" s="35" t="str">
        <x:v>In-distribution concept baseline</x:v>
      </x:c>
      <x:c r="I13" s="32" t="str">
        <x:v>ID-CF06</x:v>
      </x:c>
      <x:c r="J13" s="32" t="str">
        <x:v>ID-CF06</x:v>
      </x:c>
      <x:c r="K13" s="34" t="n">
        <x:v>0</x:v>
      </x:c>
      <x:c r="L13" s="34" t="n">
        <x:v>1</x:v>
      </x:c>
      <x:c r="M13" s="34" t="str">
        <x:v>ADD</x:v>
      </x:c>
      <x:c r="N13" s="32" t="str">
        <x:v>In-distribution: one via trained 0→1 addition</x:v>
      </x:c>
      <x:c r="O13" s="34" t="n">
        <x:v>1</x:v>
      </x:c>
      <x:c r="P13" s="32" t="str">
        <x:v>Build the empty-bowl scene.</x:v>
      </x:c>
      <x:c r="Q13" s="32" t="str">
        <x:v>The word one and the 0→1 addition transition are explicitly paired in training.</x:v>
      </x:c>
      <x:c r="R13" s="32" t="str"/>
    </x:row>
    <x:row r="14" ht="46.5" customHeight="1">
      <x:c r="A14" s="31" t="str">
        <x:v>Not collected</x:v>
      </x:c>
      <x:c r="B14" s="33" t="n">
        <x:v>12</x:v>
      </x:c>
      <x:c r="C14" s="31" t="str">
        <x:v>Leave exactly one object in the bowl.</x:v>
      </x:c>
      <x:c r="D14" s="31" t="str">
        <x:v>Bowl objects: [none] | Table objects: [blue pen, yellow block, green pencil sharpener, airplane toy without propellers]</x:v>
      </x:c>
      <x:c r="E14" s="33" t="str"/>
      <x:c r="F14" s="31" t="str">
        <x:v>ADD any one table object; finish with 1 object in the bowl</x:v>
      </x:c>
      <x:c r="G14" s="31" t="str"/>
      <x:c r="H14" s="35" t="str">
        <x:v>In-distribution concept baseline</x:v>
      </x:c>
      <x:c r="I14" s="31" t="str">
        <x:v>ID-CF07</x:v>
      </x:c>
      <x:c r="J14" s="31" t="str">
        <x:v>ID-CF07</x:v>
      </x:c>
      <x:c r="K14" s="33" t="n">
        <x:v>0</x:v>
      </x:c>
      <x:c r="L14" s="33" t="n">
        <x:v>1</x:v>
      </x:c>
      <x:c r="M14" s="33" t="str">
        <x:v>ADD</x:v>
      </x:c>
      <x:c r="N14" s="31" t="str">
        <x:v>In-distribution: one via trained 0→1 addition</x:v>
      </x:c>
      <x:c r="O14" s="33" t="n">
        <x:v>1</x:v>
      </x:c>
      <x:c r="P14" s="31" t="str">
        <x:v>Build the empty-bowl scene.</x:v>
      </x:c>
      <x:c r="Q14" s="31" t="str">
        <x:v>The word one and the 0→1 addition transition are explicitly paired in training.</x:v>
      </x:c>
      <x:c r="R14" s="31" t="str"/>
    </x:row>
    <x:row r="15" ht="46.5" customHeight="1">
      <x:c r="A15" s="32" t="str">
        <x:v>Not collected</x:v>
      </x:c>
      <x:c r="B15" s="34" t="n">
        <x:v>13</x:v>
      </x:c>
      <x:c r="C15" s="32" t="str">
        <x:v>Leave exactly three objects in the bowl.</x:v>
      </x:c>
      <x:c r="D15" s="32" t="str">
        <x:v>Bowl objects: [blue pen, yellow block, green pencil sharpener, airplane toy without propellers] | Table objects: [none]</x:v>
      </x:c>
      <x:c r="E15" s="34" t="str"/>
      <x:c r="F15" s="32" t="str">
        <x:v>REMOVE any one bowl object; finish with 3 objects in the bowl</x:v>
      </x:c>
      <x:c r="G15" s="32" t="str"/>
      <x:c r="H15" s="35" t="str">
        <x:v>In-distribution concept baseline</x:v>
      </x:c>
      <x:c r="I15" s="32" t="str">
        <x:v>ID-CF07</x:v>
      </x:c>
      <x:c r="J15" s="32" t="str">
        <x:v>ID-CF07</x:v>
      </x:c>
      <x:c r="K15" s="34" t="n">
        <x:v>4</x:v>
      </x:c>
      <x:c r="L15" s="34" t="n">
        <x:v>3</x:v>
      </x:c>
      <x:c r="M15" s="34" t="str">
        <x:v>REMOVE</x:v>
      </x:c>
      <x:c r="N15" s="32" t="str">
        <x:v>In-distribution: three via trained 4→3 removal</x:v>
      </x:c>
      <x:c r="O15" s="34" t="n">
        <x:v>1</x:v>
      </x:c>
      <x:c r="P15" s="32" t="str">
        <x:v>Move all four objects into the bowl.</x:v>
      </x:c>
      <x:c r="Q15" s="32" t="str">
        <x:v>The word three and the 4→3 removal transition are explicitly paired in training.</x:v>
      </x:c>
      <x:c r="R15" s="32" t="str"/>
    </x:row>
    <x:row r="16" ht="46.5" customHeight="1">
      <x:c r="A16" s="31" t="str">
        <x:v>Not collected</x:v>
      </x:c>
      <x:c r="B16" s="33" t="n">
        <x:v>14</x:v>
      </x:c>
      <x:c r="C16" s="31" t="str">
        <x:v>Leave exactly three objects in the bowl.</x:v>
      </x:c>
      <x:c r="D16" s="31" t="str">
        <x:v>Bowl objects: [blue pen, yellow block, green pencil sharpener, airplane toy without propellers] | Table objects: [none]</x:v>
      </x:c>
      <x:c r="E16" s="33" t="str"/>
      <x:c r="F16" s="31" t="str">
        <x:v>REMOVE any one bowl object; finish with 3 objects in the bowl</x:v>
      </x:c>
      <x:c r="G16" s="31" t="str"/>
      <x:c r="H16" s="35" t="str">
        <x:v>In-distribution concept baseline</x:v>
      </x:c>
      <x:c r="I16" s="31" t="str">
        <x:v>ID-CF08</x:v>
      </x:c>
      <x:c r="J16" s="31" t="str">
        <x:v>ID-CF08</x:v>
      </x:c>
      <x:c r="K16" s="33" t="n">
        <x:v>4</x:v>
      </x:c>
      <x:c r="L16" s="33" t="n">
        <x:v>3</x:v>
      </x:c>
      <x:c r="M16" s="33" t="str">
        <x:v>REMOVE</x:v>
      </x:c>
      <x:c r="N16" s="31" t="str">
        <x:v>In-distribution: three via trained 4→3 removal</x:v>
      </x:c>
      <x:c r="O16" s="33" t="n">
        <x:v>1</x:v>
      </x:c>
      <x:c r="P16" s="31" t="str">
        <x:v>Move all four objects into the bowl.</x:v>
      </x:c>
      <x:c r="Q16" s="31" t="str">
        <x:v>The word three and the 4→3 removal transition are explicitly paired in training.</x:v>
      </x:c>
      <x:c r="R16" s="31" t="str"/>
    </x:row>
    <x:row r="17" ht="46.5" customHeight="1">
      <x:c r="A17" s="32" t="str">
        <x:v>Not collected</x:v>
      </x:c>
      <x:c r="B17" s="34" t="n">
        <x:v>15</x:v>
      </x:c>
      <x:c r="C17" s="32" t="str">
        <x:v>Leave exactly one object in the bowl.</x:v>
      </x:c>
      <x:c r="D17" s="32" t="str">
        <x:v>Bowl objects: [none] | Table objects: [blue pen, yellow block, green pencil sharpener, airplane toy without propellers]</x:v>
      </x:c>
      <x:c r="E17" s="34" t="str"/>
      <x:c r="F17" s="32" t="str">
        <x:v>ADD any one table object; finish with 1 object in the bowl</x:v>
      </x:c>
      <x:c r="G17" s="32" t="str"/>
      <x:c r="H17" s="35" t="str">
        <x:v>In-distribution concept baseline</x:v>
      </x:c>
      <x:c r="I17" s="32" t="str">
        <x:v>ID-CF08</x:v>
      </x:c>
      <x:c r="J17" s="32" t="str">
        <x:v>ID-CF08</x:v>
      </x:c>
      <x:c r="K17" s="34" t="n">
        <x:v>0</x:v>
      </x:c>
      <x:c r="L17" s="34" t="n">
        <x:v>1</x:v>
      </x:c>
      <x:c r="M17" s="34" t="str">
        <x:v>ADD</x:v>
      </x:c>
      <x:c r="N17" s="32" t="str">
        <x:v>In-distribution: one via trained 0→1 addition</x:v>
      </x:c>
      <x:c r="O17" s="34" t="n">
        <x:v>1</x:v>
      </x:c>
      <x:c r="P17" s="32" t="str">
        <x:v>Build the empty-bowl scene.</x:v>
      </x:c>
      <x:c r="Q17" s="32" t="str">
        <x:v>The word one and the 0→1 addition transition are explicitly paired in training.</x:v>
      </x:c>
      <x:c r="R17" s="32" t="str"/>
    </x:row>
    <x:row r="18" ht="46.5" customHeight="1">
      <x:c r="A18" s="31" t="str">
        <x:v>Not collected</x:v>
      </x:c>
      <x:c r="B18" s="33" t="n">
        <x:v>16</x:v>
      </x:c>
      <x:c r="C18" s="31" t="str">
        <x:v>Leave exactly one object in the bowl.</x:v>
      </x:c>
      <x:c r="D18" s="31" t="str">
        <x:v>Bowl objects: [none] | Table objects: [blue pen, yellow block, green pencil sharpener, airplane toy without propellers]</x:v>
      </x:c>
      <x:c r="E18" s="33" t="str"/>
      <x:c r="F18" s="31" t="str">
        <x:v>ADD any one table object; finish with 1 object in the bowl</x:v>
      </x:c>
      <x:c r="G18" s="31" t="str"/>
      <x:c r="H18" s="35" t="str">
        <x:v>In-distribution concept baseline</x:v>
      </x:c>
      <x:c r="I18" s="31" t="str">
        <x:v>ID-CF09</x:v>
      </x:c>
      <x:c r="J18" s="31" t="str">
        <x:v>ID-CF09</x:v>
      </x:c>
      <x:c r="K18" s="33" t="n">
        <x:v>0</x:v>
      </x:c>
      <x:c r="L18" s="33" t="n">
        <x:v>1</x:v>
      </x:c>
      <x:c r="M18" s="33" t="str">
        <x:v>ADD</x:v>
      </x:c>
      <x:c r="N18" s="31" t="str">
        <x:v>In-distribution: one via trained 0→1 addition</x:v>
      </x:c>
      <x:c r="O18" s="33" t="n">
        <x:v>1</x:v>
      </x:c>
      <x:c r="P18" s="31" t="str">
        <x:v>Build the empty-bowl scene.</x:v>
      </x:c>
      <x:c r="Q18" s="31" t="str">
        <x:v>The word one and the 0→1 addition transition are explicitly paired in training.</x:v>
      </x:c>
      <x:c r="R18" s="31" t="str"/>
    </x:row>
    <x:row r="19" ht="46.5" customHeight="1">
      <x:c r="A19" s="32" t="str">
        <x:v>Not collected</x:v>
      </x:c>
      <x:c r="B19" s="34" t="n">
        <x:v>17</x:v>
      </x:c>
      <x:c r="C19" s="32" t="str">
        <x:v>Leave exactly three objects in the bowl.</x:v>
      </x:c>
      <x:c r="D19" s="32" t="str">
        <x:v>Bowl objects: [blue pen, yellow block, green pencil sharpener, airplane toy without propellers] | Table objects: [none]</x:v>
      </x:c>
      <x:c r="E19" s="34" t="str"/>
      <x:c r="F19" s="32" t="str">
        <x:v>REMOVE any one bowl object; finish with 3 objects in the bowl</x:v>
      </x:c>
      <x:c r="G19" s="32" t="str"/>
      <x:c r="H19" s="35" t="str">
        <x:v>In-distribution concept baseline</x:v>
      </x:c>
      <x:c r="I19" s="32" t="str">
        <x:v>ID-CF09</x:v>
      </x:c>
      <x:c r="J19" s="32" t="str">
        <x:v>ID-CF09</x:v>
      </x:c>
      <x:c r="K19" s="34" t="n">
        <x:v>4</x:v>
      </x:c>
      <x:c r="L19" s="34" t="n">
        <x:v>3</x:v>
      </x:c>
      <x:c r="M19" s="34" t="str">
        <x:v>REMOVE</x:v>
      </x:c>
      <x:c r="N19" s="32" t="str">
        <x:v>In-distribution: three via trained 4→3 removal</x:v>
      </x:c>
      <x:c r="O19" s="34" t="n">
        <x:v>1</x:v>
      </x:c>
      <x:c r="P19" s="32" t="str">
        <x:v>Move all four objects into the bowl.</x:v>
      </x:c>
      <x:c r="Q19" s="32" t="str">
        <x:v>The word three and the 4→3 removal transition are explicitly paired in training.</x:v>
      </x:c>
      <x:c r="R19" s="32" t="str"/>
    </x:row>
    <x:row r="20" ht="46.5" customHeight="1">
      <x:c r="A20" s="31" t="str">
        <x:v>Not collected</x:v>
      </x:c>
      <x:c r="B20" s="33" t="n">
        <x:v>18</x:v>
      </x:c>
      <x:c r="C20" s="31" t="str">
        <x:v>Leave exactly three objects in the bowl.</x:v>
      </x:c>
      <x:c r="D20" s="31" t="str">
        <x:v>Bowl objects: [blue pen, yellow block, green pencil sharpener, airplane toy without propellers] | Table objects: [none]</x:v>
      </x:c>
      <x:c r="E20" s="33" t="str"/>
      <x:c r="F20" s="31" t="str">
        <x:v>REMOVE any one bowl object; finish with 3 objects in the bowl</x:v>
      </x:c>
      <x:c r="G20" s="31" t="str"/>
      <x:c r="H20" s="35" t="str">
        <x:v>In-distribution concept baseline</x:v>
      </x:c>
      <x:c r="I20" s="31" t="str">
        <x:v>ID-CF10</x:v>
      </x:c>
      <x:c r="J20" s="31" t="str">
        <x:v>ID-CF10</x:v>
      </x:c>
      <x:c r="K20" s="33" t="n">
        <x:v>4</x:v>
      </x:c>
      <x:c r="L20" s="33" t="n">
        <x:v>3</x:v>
      </x:c>
      <x:c r="M20" s="33" t="str">
        <x:v>REMOVE</x:v>
      </x:c>
      <x:c r="N20" s="31" t="str">
        <x:v>In-distribution: three via trained 4→3 removal</x:v>
      </x:c>
      <x:c r="O20" s="33" t="n">
        <x:v>1</x:v>
      </x:c>
      <x:c r="P20" s="31" t="str">
        <x:v>Move all four objects into the bowl.</x:v>
      </x:c>
      <x:c r="Q20" s="31" t="str">
        <x:v>The word three and the 4→3 removal transition are explicitly paired in training.</x:v>
      </x:c>
      <x:c r="R20" s="31" t="str"/>
    </x:row>
    <x:row r="21" ht="46.5" customHeight="1">
      <x:c r="A21" s="32" t="str">
        <x:v>Not collected</x:v>
      </x:c>
      <x:c r="B21" s="34" t="n">
        <x:v>19</x:v>
      </x:c>
      <x:c r="C21" s="32" t="str">
        <x:v>Leave exactly one object in the bowl.</x:v>
      </x:c>
      <x:c r="D21" s="32" t="str">
        <x:v>Bowl objects: [none] | Table objects: [blue pen, yellow block, green pencil sharpener, airplane toy without propellers]</x:v>
      </x:c>
      <x:c r="E21" s="34" t="str"/>
      <x:c r="F21" s="32" t="str">
        <x:v>ADD any one table object; finish with 1 object in the bowl</x:v>
      </x:c>
      <x:c r="G21" s="32" t="str"/>
      <x:c r="H21" s="35" t="str">
        <x:v>In-distribution concept baseline</x:v>
      </x:c>
      <x:c r="I21" s="32" t="str">
        <x:v>ID-CF10</x:v>
      </x:c>
      <x:c r="J21" s="32" t="str">
        <x:v>ID-CF10</x:v>
      </x:c>
      <x:c r="K21" s="34" t="n">
        <x:v>0</x:v>
      </x:c>
      <x:c r="L21" s="34" t="n">
        <x:v>1</x:v>
      </x:c>
      <x:c r="M21" s="34" t="str">
        <x:v>ADD</x:v>
      </x:c>
      <x:c r="N21" s="32" t="str">
        <x:v>In-distribution: one via trained 0→1 addition</x:v>
      </x:c>
      <x:c r="O21" s="34" t="n">
        <x:v>1</x:v>
      </x:c>
      <x:c r="P21" s="32" t="str">
        <x:v>Build the empty-bowl scene.</x:v>
      </x:c>
      <x:c r="Q21" s="32" t="str">
        <x:v>The word one and the 0→1 addition transition are explicitly paired in training.</x:v>
      </x:c>
      <x:c r="R21" s="32" t="str"/>
    </x:row>
    <x:row r="22" ht="46.5" customHeight="1">
      <x:c r="A22" s="31" t="str">
        <x:v>Not collected</x:v>
      </x:c>
      <x:c r="B22" s="33" t="n">
        <x:v>20</x:v>
      </x:c>
      <x:c r="C22" s="31" t="str">
        <x:v>Leave exactly one object in the bowl.</x:v>
      </x:c>
      <x:c r="D22" s="31" t="str">
        <x:v>Bowl objects: [blue pen, airplane toy without propellers] | Table objects: [yellow block, green pencil sharpener]</x:v>
      </x:c>
      <x:c r="E22" s="33" t="str"/>
      <x:c r="F22" s="31" t="str">
        <x:v>REMOVE any one bowl object; finish with 1 object in the bowl</x:v>
      </x:c>
      <x:c r="G22" s="31" t="str"/>
      <x:c r="H22" s="36" t="str">
        <x:v>Concept/compositional transfer</x:v>
      </x:c>
      <x:c r="I22" s="31" t="str">
        <x:v>CT-CF01</x:v>
      </x:c>
      <x:c r="J22" s="31" t="str">
        <x:v>CT-CF01-REMOVE</x:v>
      </x:c>
      <x:c r="K22" s="33" t="n">
        <x:v>2</x:v>
      </x:c>
      <x:c r="L22" s="33" t="n">
        <x:v>1</x:v>
      </x:c>
      <x:c r="M22" s="33" t="str">
        <x:v>REMOVE</x:v>
      </x:c>
      <x:c r="N22" s="31" t="str">
        <x:v>Primary: one via held-out 2→1 removal</x:v>
      </x:c>
      <x:c r="O22" s="33" t="n">
        <x:v>2</x:v>
      </x:c>
      <x:c r="P22" s="31" t="str">
        <x:v>Build the listed count-2 scene.</x:v>
      </x:c>
      <x:c r="Q22" s="31" t="str">
        <x:v>The goal word one is trained, and this 2→1 trajectory is trained under a direct instruction, but the combination is withheld.</x:v>
      </x:c>
      <x:c r="R22" s="31" t="str"/>
    </x:row>
    <x:row r="23" ht="46.5" customHeight="1">
      <x:c r="A23" s="32" t="str">
        <x:v>Not collected</x:v>
      </x:c>
      <x:c r="B23" s="34" t="n">
        <x:v>21</x:v>
      </x:c>
      <x:c r="C23" s="32" t="str">
        <x:v>Move the blue pen from the bowl to the table.</x:v>
      </x:c>
      <x:c r="D23" s="32" t="str">
        <x:v>Bowl objects: [blue pen, airplane toy without propellers] | Table objects: [yellow block, green pencil sharpener]</x:v>
      </x:c>
      <x:c r="E23" s="34" t="n">
        <x:v>20</x:v>
      </x:c>
      <x:c r="F23" s="32" t="str">
        <x:v>REMOVE blue pen</x:v>
      </x:c>
      <x:c r="G23" s="32" t="str"/>
      <x:c r="H23" s="37" t="str">
        <x:v>Matched manipulation control</x:v>
      </x:c>
      <x:c r="I23" s="32" t="str">
        <x:v>CT-CF01</x:v>
      </x:c>
      <x:c r="J23" s="32" t="str">
        <x:v>CT-CF01-REMOVE</x:v>
      </x:c>
      <x:c r="K23" s="34" t="n">
        <x:v>2</x:v>
      </x:c>
      <x:c r="L23" s="34" t="n">
        <x:v>1</x:v>
      </x:c>
      <x:c r="M23" s="34" t="str">
        <x:v>REMOVE</x:v>
      </x:c>
      <x:c r="N23" s="32" t="str">
        <x:v>Matched direct REMOVE control</x:v>
      </x:c>
      <x:c r="O23" s="34" t="n">
        <x:v>2</x:v>
      </x:c>
      <x:c r="P23" s="32" t="str">
        <x:v>Reset the exact count-2 scene; change only the prompt.</x:v>
      </x:c>
      <x:c r="Q23" s="32" t="str">
        <x:v>The direct prompt is present in Counting training for this same-task object and action direction.</x:v>
      </x:c>
      <x:c r="R23" s="32" t="str"/>
    </x:row>
    <x:row r="24" ht="46.5" customHeight="1">
      <x:c r="A24" s="31" t="str">
        <x:v>Not collected</x:v>
      </x:c>
      <x:c r="B24" s="33" t="n">
        <x:v>22</x:v>
      </x:c>
      <x:c r="C24" s="31" t="str">
        <x:v>Finish with one object in the bowl.</x:v>
      </x:c>
      <x:c r="D24" s="31" t="str">
        <x:v>Bowl objects: [blue pen, airplane toy without propellers] | Table objects: [yellow block, green pencil sharpener]</x:v>
      </x:c>
      <x:c r="E24" s="33" t="n">
        <x:v>20</x:v>
      </x:c>
      <x:c r="F24" s="31" t="str">
        <x:v>REMOVE any one bowl object; finish with 1 object in the bowl</x:v>
      </x:c>
      <x:c r="G24" s="31" t="str"/>
      <x:c r="H24" s="38" t="str">
        <x:v>Language robustness</x:v>
      </x:c>
      <x:c r="I24" s="31" t="str">
        <x:v>CT-CF01</x:v>
      </x:c>
      <x:c r="J24" s="31" t="str">
        <x:v>CT-CF01-REMOVE</x:v>
      </x:c>
      <x:c r="K24" s="33" t="n">
        <x:v>2</x:v>
      </x:c>
      <x:c r="L24" s="33" t="n">
        <x:v>1</x:v>
      </x:c>
      <x:c r="M24" s="33" t="str">
        <x:v>REMOVE</x:v>
      </x:c>
      <x:c r="N24" s="31" t="str">
        <x:v>Primary compositional paraphrase: one via 2→1 removal</x:v>
      </x:c>
      <x:c r="O24" s="33" t="n">
        <x:v>2</x:v>
      </x:c>
      <x:c r="P24" s="31" t="str">
        <x:v>Build the listed count-2 scene.</x:v>
      </x:c>
      <x:c r="Q24" s="31" t="str">
        <x:v>Exact-scene paraphrase of the canonical held-out composition.</x:v>
      </x:c>
      <x:c r="R24" s="31" t="str"/>
    </x:row>
    <x:row r="25" ht="46.5" customHeight="1">
      <x:c r="A25" s="32" t="str">
        <x:v>Not collected</x:v>
      </x:c>
      <x:c r="B25" s="34" t="n">
        <x:v>23</x:v>
      </x:c>
      <x:c r="C25" s="32" t="str">
        <x:v>Lift the blue pen out of the bowl and set it on the table.</x:v>
      </x:c>
      <x:c r="D25" s="32" t="str">
        <x:v>Bowl objects: [blue pen, airplane toy without propellers] | Table objects: [yellow block, green pencil sharpener]</x:v>
      </x:c>
      <x:c r="E25" s="34" t="n">
        <x:v>21</x:v>
      </x:c>
      <x:c r="F25" s="32" t="str">
        <x:v>REMOVE blue pen</x:v>
      </x:c>
      <x:c r="G25" s="32" t="str"/>
      <x:c r="H25" s="38" t="str">
        <x:v>Language robustness</x:v>
      </x:c>
      <x:c r="I25" s="32" t="str">
        <x:v>CT-CF01</x:v>
      </x:c>
      <x:c r="J25" s="32" t="str">
        <x:v>CT-CF01-REMOVE</x:v>
      </x:c>
      <x:c r="K25" s="34" t="n">
        <x:v>2</x:v>
      </x:c>
      <x:c r="L25" s="34" t="n">
        <x:v>1</x:v>
      </x:c>
      <x:c r="M25" s="34" t="str">
        <x:v>REMOVE</x:v>
      </x:c>
      <x:c r="N25" s="32" t="str">
        <x:v>Matched-control paraphrase: REMOVE</x:v>
      </x:c>
      <x:c r="O25" s="34" t="n">
        <x:v>2</x:v>
      </x:c>
      <x:c r="P25" s="32" t="str">
        <x:v>Reset the exact count-2 scene; change only the prompt.</x:v>
      </x:c>
      <x:c r="Q25" s="32" t="str">
        <x:v>Exact-scene paraphrase of the direct manipulation control.</x:v>
      </x:c>
      <x:c r="R25" s="32" t="str"/>
    </x:row>
    <x:row r="26" ht="46.5" customHeight="1">
      <x:c r="A26" s="31" t="str">
        <x:v>Not collected</x:v>
      </x:c>
      <x:c r="B26" s="33" t="n">
        <x:v>24</x:v>
      </x:c>
      <x:c r="C26" s="31" t="str">
        <x:v>Move the green pencil sharpener into the bowl.</x:v>
      </x:c>
      <x:c r="D26" s="31" t="str">
        <x:v>Bowl objects: [blue pen, airplane toy without propellers] | Table objects: [yellow block, green pencil sharpener]</x:v>
      </x:c>
      <x:c r="E26" s="33" t="str"/>
      <x:c r="F26" s="31" t="str">
        <x:v>ADD green pencil sharpener</x:v>
      </x:c>
      <x:c r="G26" s="31" t="str"/>
      <x:c r="H26" s="37" t="str">
        <x:v>Matched manipulation control</x:v>
      </x:c>
      <x:c r="I26" s="31" t="str">
        <x:v>CT-CF01</x:v>
      </x:c>
      <x:c r="J26" s="31" t="str">
        <x:v>CT-CF01-ADD</x:v>
      </x:c>
      <x:c r="K26" s="33" t="n">
        <x:v>2</x:v>
      </x:c>
      <x:c r="L26" s="33" t="n">
        <x:v>3</x:v>
      </x:c>
      <x:c r="M26" s="33" t="str">
        <x:v>ADD</x:v>
      </x:c>
      <x:c r="N26" s="31" t="str">
        <x:v>Matched direct ADD control</x:v>
      </x:c>
      <x:c r="O26" s="33" t="n">
        <x:v>2</x:v>
      </x:c>
      <x:c r="P26" s="31" t="str">
        <x:v>Reset the exact count-2 scene; change only the prompt.</x:v>
      </x:c>
      <x:c r="Q26" s="31" t="str">
        <x:v>The direct prompt is present in Counting training for this same-task object and action direction.</x:v>
      </x:c>
      <x:c r="R26" s="31" t="str"/>
    </x:row>
    <x:row r="27" ht="46.5" customHeight="1">
      <x:c r="A27" s="32" t="str">
        <x:v>Not collected</x:v>
      </x:c>
      <x:c r="B27" s="34" t="n">
        <x:v>25</x:v>
      </x:c>
      <x:c r="C27" s="32" t="str">
        <x:v>Leave exactly three objects in the bowl.</x:v>
      </x:c>
      <x:c r="D27" s="32" t="str">
        <x:v>Bowl objects: [blue pen, airplane toy without propellers] | Table objects: [yellow block, green pencil sharpener]</x:v>
      </x:c>
      <x:c r="E27" s="34" t="n">
        <x:v>24</x:v>
      </x:c>
      <x:c r="F27" s="32" t="str">
        <x:v>ADD any one table object; finish with 3 objects in the bowl</x:v>
      </x:c>
      <x:c r="G27" s="32" t="str"/>
      <x:c r="H27" s="36" t="str">
        <x:v>Concept/compositional transfer</x:v>
      </x:c>
      <x:c r="I27" s="32" t="str">
        <x:v>CT-CF01</x:v>
      </x:c>
      <x:c r="J27" s="32" t="str">
        <x:v>CT-CF01-ADD</x:v>
      </x:c>
      <x:c r="K27" s="34" t="n">
        <x:v>2</x:v>
      </x:c>
      <x:c r="L27" s="34" t="n">
        <x:v>3</x:v>
      </x:c>
      <x:c r="M27" s="34" t="str">
        <x:v>ADD</x:v>
      </x:c>
      <x:c r="N27" s="32" t="str">
        <x:v>Primary: three via held-out 2→3 addition</x:v>
      </x:c>
      <x:c r="O27" s="34" t="n">
        <x:v>2</x:v>
      </x:c>
      <x:c r="P27" s="32" t="str">
        <x:v>Reset the exact count-2 scene; change only the prompt.</x:v>
      </x:c>
      <x:c r="Q27" s="32" t="str">
        <x:v>The goal word three is trained, and this 2→3 trajectory is trained under a direct instruction, but the combination is withheld.</x:v>
      </x:c>
      <x:c r="R27" s="32" t="str"/>
    </x:row>
    <x:row r="28" ht="46.5" customHeight="1">
      <x:c r="A28" s="31" t="str">
        <x:v>Not collected</x:v>
      </x:c>
      <x:c r="B28" s="33" t="n">
        <x:v>26</x:v>
      </x:c>
      <x:c r="C28" s="31" t="str">
        <x:v>Lift the green pencil sharpener from the table and set it inside the bowl.</x:v>
      </x:c>
      <x:c r="D28" s="31" t="str">
        <x:v>Bowl objects: [blue pen, airplane toy without propellers] | Table objects: [yellow block, green pencil sharpener]</x:v>
      </x:c>
      <x:c r="E28" s="33" t="n">
        <x:v>24</x:v>
      </x:c>
      <x:c r="F28" s="31" t="str">
        <x:v>ADD green pencil sharpener</x:v>
      </x:c>
      <x:c r="G28" s="31" t="str"/>
      <x:c r="H28" s="38" t="str">
        <x:v>Language robustness</x:v>
      </x:c>
      <x:c r="I28" s="31" t="str">
        <x:v>CT-CF01</x:v>
      </x:c>
      <x:c r="J28" s="31" t="str">
        <x:v>CT-CF01-ADD</x:v>
      </x:c>
      <x:c r="K28" s="33" t="n">
        <x:v>2</x:v>
      </x:c>
      <x:c r="L28" s="33" t="n">
        <x:v>3</x:v>
      </x:c>
      <x:c r="M28" s="33" t="str">
        <x:v>ADD</x:v>
      </x:c>
      <x:c r="N28" s="31" t="str">
        <x:v>Matched-control paraphrase: ADD</x:v>
      </x:c>
      <x:c r="O28" s="33" t="n">
        <x:v>2</x:v>
      </x:c>
      <x:c r="P28" s="31" t="str">
        <x:v>Reset the exact count-2 scene; change only the prompt.</x:v>
      </x:c>
      <x:c r="Q28" s="31" t="str">
        <x:v>Exact-scene paraphrase of the direct manipulation control.</x:v>
      </x:c>
      <x:c r="R28" s="31" t="str"/>
    </x:row>
    <x:row r="29" ht="46.5" customHeight="1">
      <x:c r="A29" s="32" t="str">
        <x:v>Not collected</x:v>
      </x:c>
      <x:c r="B29" s="34" t="n">
        <x:v>27</x:v>
      </x:c>
      <x:c r="C29" s="32" t="str">
        <x:v>Finish with three objects in the bowl.</x:v>
      </x:c>
      <x:c r="D29" s="32" t="str">
        <x:v>Bowl objects: [blue pen, airplane toy without propellers] | Table objects: [yellow block, green pencil sharpener]</x:v>
      </x:c>
      <x:c r="E29" s="34" t="n">
        <x:v>25</x:v>
      </x:c>
      <x:c r="F29" s="32" t="str">
        <x:v>ADD any one table object; finish with 3 objects in the bowl</x:v>
      </x:c>
      <x:c r="G29" s="32" t="str"/>
      <x:c r="H29" s="38" t="str">
        <x:v>Language robustness</x:v>
      </x:c>
      <x:c r="I29" s="32" t="str">
        <x:v>CT-CF01</x:v>
      </x:c>
      <x:c r="J29" s="32" t="str">
        <x:v>CT-CF01-ADD</x:v>
      </x:c>
      <x:c r="K29" s="34" t="n">
        <x:v>2</x:v>
      </x:c>
      <x:c r="L29" s="34" t="n">
        <x:v>3</x:v>
      </x:c>
      <x:c r="M29" s="34" t="str">
        <x:v>ADD</x:v>
      </x:c>
      <x:c r="N29" s="32" t="str">
        <x:v>Primary compositional paraphrase: three via 2→3 addition</x:v>
      </x:c>
      <x:c r="O29" s="34" t="n">
        <x:v>2</x:v>
      </x:c>
      <x:c r="P29" s="32" t="str">
        <x:v>Reset the exact count-2 scene; change only the prompt.</x:v>
      </x:c>
      <x:c r="Q29" s="32" t="str">
        <x:v>Exact-scene paraphrase of the canonical held-out composition.</x:v>
      </x:c>
      <x:c r="R29" s="32" t="str"/>
    </x:row>
    <x:row r="30" ht="46.5" customHeight="1">
      <x:c r="A30" s="31" t="str">
        <x:v>Not collected</x:v>
      </x:c>
      <x:c r="B30" s="33" t="n">
        <x:v>28</x:v>
      </x:c>
      <x:c r="C30" s="31" t="str">
        <x:v>Leave exactly three objects in the bowl.</x:v>
      </x:c>
      <x:c r="D30" s="31" t="str">
        <x:v>Bowl objects: [yellow block, blue pen] | Table objects: [green pencil sharpener, airplane toy without propellers]</x:v>
      </x:c>
      <x:c r="E30" s="33" t="str"/>
      <x:c r="F30" s="31" t="str">
        <x:v>ADD any one table object; finish with 3 objects in the bowl</x:v>
      </x:c>
      <x:c r="G30" s="31" t="str"/>
      <x:c r="H30" s="36" t="str">
        <x:v>Concept/compositional transfer</x:v>
      </x:c>
      <x:c r="I30" s="31" t="str">
        <x:v>CT-CF02</x:v>
      </x:c>
      <x:c r="J30" s="31" t="str">
        <x:v>CT-CF02-ADD</x:v>
      </x:c>
      <x:c r="K30" s="33" t="n">
        <x:v>2</x:v>
      </x:c>
      <x:c r="L30" s="33" t="n">
        <x:v>3</x:v>
      </x:c>
      <x:c r="M30" s="33" t="str">
        <x:v>ADD</x:v>
      </x:c>
      <x:c r="N30" s="31" t="str">
        <x:v>Primary: three via held-out 2→3 addition</x:v>
      </x:c>
      <x:c r="O30" s="33" t="n">
        <x:v>2</x:v>
      </x:c>
      <x:c r="P30" s="31" t="str">
        <x:v>Reset the exact count-2 scene; change only the prompt.</x:v>
      </x:c>
      <x:c r="Q30" s="31" t="str">
        <x:v>The goal word three is trained, and this 2→3 trajectory is trained under a direct instruction, but the combination is withheld.</x:v>
      </x:c>
      <x:c r="R30" s="31" t="str"/>
    </x:row>
    <x:row r="31" ht="46.5" customHeight="1">
      <x:c r="A31" s="32" t="str">
        <x:v>Not collected</x:v>
      </x:c>
      <x:c r="B31" s="34" t="n">
        <x:v>29</x:v>
      </x:c>
      <x:c r="C31" s="32" t="str">
        <x:v>Move the airplane toy without propellers into the bowl.</x:v>
      </x:c>
      <x:c r="D31" s="32" t="str">
        <x:v>Bowl objects: [yellow block, blue pen] | Table objects: [green pencil sharpener, airplane toy without propellers]</x:v>
      </x:c>
      <x:c r="E31" s="34" t="n">
        <x:v>28</x:v>
      </x:c>
      <x:c r="F31" s="32" t="str">
        <x:v>ADD airplane toy without propellers</x:v>
      </x:c>
      <x:c r="G31" s="32" t="str"/>
      <x:c r="H31" s="37" t="str">
        <x:v>Matched manipulation control</x:v>
      </x:c>
      <x:c r="I31" s="32" t="str">
        <x:v>CT-CF02</x:v>
      </x:c>
      <x:c r="J31" s="32" t="str">
        <x:v>CT-CF02-ADD</x:v>
      </x:c>
      <x:c r="K31" s="34" t="n">
        <x:v>2</x:v>
      </x:c>
      <x:c r="L31" s="34" t="n">
        <x:v>3</x:v>
      </x:c>
      <x:c r="M31" s="34" t="str">
        <x:v>ADD</x:v>
      </x:c>
      <x:c r="N31" s="32" t="str">
        <x:v>Matched direct ADD control</x:v>
      </x:c>
      <x:c r="O31" s="34" t="n">
        <x:v>2</x:v>
      </x:c>
      <x:c r="P31" s="32" t="str">
        <x:v>Reset the exact count-2 scene; change only the prompt.</x:v>
      </x:c>
      <x:c r="Q31" s="32" t="str">
        <x:v>The direct prompt is present in Counting training for this same-task object and action direction.</x:v>
      </x:c>
      <x:c r="R31" s="32" t="str"/>
    </x:row>
    <x:row r="32" ht="46.5" customHeight="1">
      <x:c r="A32" s="31" t="str">
        <x:v>Not collected</x:v>
      </x:c>
      <x:c r="B32" s="33" t="n">
        <x:v>30</x:v>
      </x:c>
      <x:c r="C32" s="31" t="str">
        <x:v>Set the bowl's final object count to three.</x:v>
      </x:c>
      <x:c r="D32" s="31" t="str">
        <x:v>Bowl objects: [yellow block, blue pen] | Table objects: [green pencil sharpener, airplane toy without propellers]</x:v>
      </x:c>
      <x:c r="E32" s="33" t="n">
        <x:v>28</x:v>
      </x:c>
      <x:c r="F32" s="31" t="str">
        <x:v>ADD any one table object; finish with 3 objects in the bowl</x:v>
      </x:c>
      <x:c r="G32" s="31" t="str"/>
      <x:c r="H32" s="38" t="str">
        <x:v>Language robustness</x:v>
      </x:c>
      <x:c r="I32" s="31" t="str">
        <x:v>CT-CF02</x:v>
      </x:c>
      <x:c r="J32" s="31" t="str">
        <x:v>CT-CF02-ADD</x:v>
      </x:c>
      <x:c r="K32" s="33" t="n">
        <x:v>2</x:v>
      </x:c>
      <x:c r="L32" s="33" t="n">
        <x:v>3</x:v>
      </x:c>
      <x:c r="M32" s="33" t="str">
        <x:v>ADD</x:v>
      </x:c>
      <x:c r="N32" s="31" t="str">
        <x:v>Primary compositional paraphrase: three via 2→3 addition</x:v>
      </x:c>
      <x:c r="O32" s="33" t="n">
        <x:v>2</x:v>
      </x:c>
      <x:c r="P32" s="31" t="str">
        <x:v>Reset the exact count-2 scene; change only the prompt.</x:v>
      </x:c>
      <x:c r="Q32" s="31" t="str">
        <x:v>Exact-scene paraphrase of the canonical held-out composition.</x:v>
      </x:c>
      <x:c r="R32" s="31" t="str"/>
    </x:row>
    <x:row r="33" ht="46.5" customHeight="1">
      <x:c r="A33" s="32" t="str">
        <x:v>Not collected</x:v>
      </x:c>
      <x:c r="B33" s="34" t="n">
        <x:v>31</x:v>
      </x:c>
      <x:c r="C33" s="32" t="str">
        <x:v>Lift the airplane toy without propellers from the table and set it inside the bowl.</x:v>
      </x:c>
      <x:c r="D33" s="32" t="str">
        <x:v>Bowl objects: [yellow block, blue pen] | Table objects: [green pencil sharpener, airplane toy without propellers]</x:v>
      </x:c>
      <x:c r="E33" s="34" t="n">
        <x:v>29</x:v>
      </x:c>
      <x:c r="F33" s="32" t="str">
        <x:v>ADD airplane toy without propellers</x:v>
      </x:c>
      <x:c r="G33" s="32" t="str"/>
      <x:c r="H33" s="38" t="str">
        <x:v>Language robustness</x:v>
      </x:c>
      <x:c r="I33" s="32" t="str">
        <x:v>CT-CF02</x:v>
      </x:c>
      <x:c r="J33" s="32" t="str">
        <x:v>CT-CF02-ADD</x:v>
      </x:c>
      <x:c r="K33" s="34" t="n">
        <x:v>2</x:v>
      </x:c>
      <x:c r="L33" s="34" t="n">
        <x:v>3</x:v>
      </x:c>
      <x:c r="M33" s="34" t="str">
        <x:v>ADD</x:v>
      </x:c>
      <x:c r="N33" s="32" t="str">
        <x:v>Matched-control paraphrase: ADD</x:v>
      </x:c>
      <x:c r="O33" s="34" t="n">
        <x:v>2</x:v>
      </x:c>
      <x:c r="P33" s="32" t="str">
        <x:v>Reset the exact count-2 scene; change only the prompt.</x:v>
      </x:c>
      <x:c r="Q33" s="32" t="str">
        <x:v>Exact-scene paraphrase of the direct manipulation control.</x:v>
      </x:c>
      <x:c r="R33" s="32" t="str"/>
    </x:row>
    <x:row r="34" ht="46.5" customHeight="1">
      <x:c r="A34" s="31" t="str">
        <x:v>Not collected</x:v>
      </x:c>
      <x:c r="B34" s="33" t="n">
        <x:v>32</x:v>
      </x:c>
      <x:c r="C34" s="31" t="str">
        <x:v>Move the yellow block from the bowl to the table.</x:v>
      </x:c>
      <x:c r="D34" s="31" t="str">
        <x:v>Bowl objects: [yellow block, blue pen] | Table objects: [green pencil sharpener, airplane toy without propellers]</x:v>
      </x:c>
      <x:c r="E34" s="33" t="str"/>
      <x:c r="F34" s="31" t="str">
        <x:v>REMOVE yellow block</x:v>
      </x:c>
      <x:c r="G34" s="31" t="str"/>
      <x:c r="H34" s="37" t="str">
        <x:v>Matched manipulation control</x:v>
      </x:c>
      <x:c r="I34" s="31" t="str">
        <x:v>CT-CF02</x:v>
      </x:c>
      <x:c r="J34" s="31" t="str">
        <x:v>CT-CF02-REMOVE</x:v>
      </x:c>
      <x:c r="K34" s="33" t="n">
        <x:v>2</x:v>
      </x:c>
      <x:c r="L34" s="33" t="n">
        <x:v>1</x:v>
      </x:c>
      <x:c r="M34" s="33" t="str">
        <x:v>REMOVE</x:v>
      </x:c>
      <x:c r="N34" s="31" t="str">
        <x:v>Matched direct REMOVE control</x:v>
      </x:c>
      <x:c r="O34" s="33" t="n">
        <x:v>2</x:v>
      </x:c>
      <x:c r="P34" s="31" t="str">
        <x:v>Reset the exact count-2 scene; change only the prompt.</x:v>
      </x:c>
      <x:c r="Q34" s="31" t="str">
        <x:v>The direct prompt is present in Counting training for this same-task object and action direction.</x:v>
      </x:c>
      <x:c r="R34" s="31" t="str"/>
    </x:row>
    <x:row r="35" ht="46.5" customHeight="1">
      <x:c r="A35" s="32" t="str">
        <x:v>Not collected</x:v>
      </x:c>
      <x:c r="B35" s="34" t="n">
        <x:v>33</x:v>
      </x:c>
      <x:c r="C35" s="32" t="str">
        <x:v>Leave exactly one object in the bowl.</x:v>
      </x:c>
      <x:c r="D35" s="32" t="str">
        <x:v>Bowl objects: [yellow block, blue pen] | Table objects: [green pencil sharpener, airplane toy without propellers]</x:v>
      </x:c>
      <x:c r="E35" s="34" t="n">
        <x:v>32</x:v>
      </x:c>
      <x:c r="F35" s="32" t="str">
        <x:v>REMOVE any one bowl object; finish with 1 object in the bowl</x:v>
      </x:c>
      <x:c r="G35" s="32" t="str"/>
      <x:c r="H35" s="36" t="str">
        <x:v>Concept/compositional transfer</x:v>
      </x:c>
      <x:c r="I35" s="32" t="str">
        <x:v>CT-CF02</x:v>
      </x:c>
      <x:c r="J35" s="32" t="str">
        <x:v>CT-CF02-REMOVE</x:v>
      </x:c>
      <x:c r="K35" s="34" t="n">
        <x:v>2</x:v>
      </x:c>
      <x:c r="L35" s="34" t="n">
        <x:v>1</x:v>
      </x:c>
      <x:c r="M35" s="34" t="str">
        <x:v>REMOVE</x:v>
      </x:c>
      <x:c r="N35" s="32" t="str">
        <x:v>Primary: one via held-out 2→1 removal</x:v>
      </x:c>
      <x:c r="O35" s="34" t="n">
        <x:v>2</x:v>
      </x:c>
      <x:c r="P35" s="32" t="str">
        <x:v>Build the listed count-2 scene.</x:v>
      </x:c>
      <x:c r="Q35" s="32" t="str">
        <x:v>The goal word one is trained, and this 2→1 trajectory is trained under a direct instruction, but the combination is withheld.</x:v>
      </x:c>
      <x:c r="R35" s="32" t="str"/>
    </x:row>
    <x:row r="36" ht="46.5" customHeight="1">
      <x:c r="A36" s="31" t="str">
        <x:v>Not collected</x:v>
      </x:c>
      <x:c r="B36" s="33" t="n">
        <x:v>34</x:v>
      </x:c>
      <x:c r="C36" s="31" t="str">
        <x:v>Lift the yellow block out of the bowl and set it on the table.</x:v>
      </x:c>
      <x:c r="D36" s="31" t="str">
        <x:v>Bowl objects: [yellow block, blue pen] | Table objects: [green pencil sharpener, airplane toy without propellers]</x:v>
      </x:c>
      <x:c r="E36" s="33" t="n">
        <x:v>32</x:v>
      </x:c>
      <x:c r="F36" s="31" t="str">
        <x:v>REMOVE yellow block</x:v>
      </x:c>
      <x:c r="G36" s="31" t="str"/>
      <x:c r="H36" s="38" t="str">
        <x:v>Language robustness</x:v>
      </x:c>
      <x:c r="I36" s="31" t="str">
        <x:v>CT-CF02</x:v>
      </x:c>
      <x:c r="J36" s="31" t="str">
        <x:v>CT-CF02-REMOVE</x:v>
      </x:c>
      <x:c r="K36" s="33" t="n">
        <x:v>2</x:v>
      </x:c>
      <x:c r="L36" s="33" t="n">
        <x:v>1</x:v>
      </x:c>
      <x:c r="M36" s="33" t="str">
        <x:v>REMOVE</x:v>
      </x:c>
      <x:c r="N36" s="31" t="str">
        <x:v>Matched-control paraphrase: REMOVE</x:v>
      </x:c>
      <x:c r="O36" s="33" t="n">
        <x:v>2</x:v>
      </x:c>
      <x:c r="P36" s="31" t="str">
        <x:v>Reset the exact count-2 scene; change only the prompt.</x:v>
      </x:c>
      <x:c r="Q36" s="31" t="str">
        <x:v>Exact-scene paraphrase of the direct manipulation control.</x:v>
      </x:c>
      <x:c r="R36" s="31" t="str"/>
    </x:row>
    <x:row r="37" ht="46.5" customHeight="1">
      <x:c r="A37" s="32" t="str">
        <x:v>Not collected</x:v>
      </x:c>
      <x:c r="B37" s="34" t="n">
        <x:v>35</x:v>
      </x:c>
      <x:c r="C37" s="32" t="str">
        <x:v>Set the bowl's final object count to one.</x:v>
      </x:c>
      <x:c r="D37" s="32" t="str">
        <x:v>Bowl objects: [yellow block, blue pen] | Table objects: [green pencil sharpener, airplane toy without propellers]</x:v>
      </x:c>
      <x:c r="E37" s="34" t="n">
        <x:v>33</x:v>
      </x:c>
      <x:c r="F37" s="32" t="str">
        <x:v>REMOVE any one bowl object; finish with 1 object in the bowl</x:v>
      </x:c>
      <x:c r="G37" s="32" t="str"/>
      <x:c r="H37" s="38" t="str">
        <x:v>Language robustness</x:v>
      </x:c>
      <x:c r="I37" s="32" t="str">
        <x:v>CT-CF02</x:v>
      </x:c>
      <x:c r="J37" s="32" t="str">
        <x:v>CT-CF02-REMOVE</x:v>
      </x:c>
      <x:c r="K37" s="34" t="n">
        <x:v>2</x:v>
      </x:c>
      <x:c r="L37" s="34" t="n">
        <x:v>1</x:v>
      </x:c>
      <x:c r="M37" s="34" t="str">
        <x:v>REMOVE</x:v>
      </x:c>
      <x:c r="N37" s="32" t="str">
        <x:v>Primary compositional paraphrase: one via 2→1 removal</x:v>
      </x:c>
      <x:c r="O37" s="34" t="n">
        <x:v>2</x:v>
      </x:c>
      <x:c r="P37" s="32" t="str">
        <x:v>Build the listed count-2 scene.</x:v>
      </x:c>
      <x:c r="Q37" s="32" t="str">
        <x:v>Exact-scene paraphrase of the canonical held-out composition.</x:v>
      </x:c>
      <x:c r="R37" s="32" t="str"/>
    </x:row>
    <x:row r="38" ht="46.5" customHeight="1">
      <x:c r="A38" s="31" t="str">
        <x:v>Not collected</x:v>
      </x:c>
      <x:c r="B38" s="33" t="n">
        <x:v>36</x:v>
      </x:c>
      <x:c r="C38" s="31" t="str">
        <x:v>Leave exactly one object in the bowl.</x:v>
      </x:c>
      <x:c r="D38" s="31" t="str">
        <x:v>Bowl objects: [green pencil sharpener, airplane toy without propellers] | Table objects: [blue pen, yellow block]</x:v>
      </x:c>
      <x:c r="E38" s="33" t="str"/>
      <x:c r="F38" s="31" t="str">
        <x:v>REMOVE any one bowl object; finish with 1 object in the bowl</x:v>
      </x:c>
      <x:c r="G38" s="31" t="str"/>
      <x:c r="H38" s="36" t="str">
        <x:v>Concept/compositional transfer</x:v>
      </x:c>
      <x:c r="I38" s="31" t="str">
        <x:v>CT-CF03</x:v>
      </x:c>
      <x:c r="J38" s="31" t="str">
        <x:v>CT-CF03-REMOVE</x:v>
      </x:c>
      <x:c r="K38" s="33" t="n">
        <x:v>2</x:v>
      </x:c>
      <x:c r="L38" s="33" t="n">
        <x:v>1</x:v>
      </x:c>
      <x:c r="M38" s="33" t="str">
        <x:v>REMOVE</x:v>
      </x:c>
      <x:c r="N38" s="31" t="str">
        <x:v>Primary: one via held-out 2→1 removal</x:v>
      </x:c>
      <x:c r="O38" s="33" t="n">
        <x:v>2</x:v>
      </x:c>
      <x:c r="P38" s="31" t="str">
        <x:v>Build the listed count-2 scene.</x:v>
      </x:c>
      <x:c r="Q38" s="31" t="str">
        <x:v>The goal word one is trained, and this 2→1 trajectory is trained under a direct instruction, but the combination is withheld.</x:v>
      </x:c>
      <x:c r="R38" s="31" t="str"/>
    </x:row>
    <x:row r="39" ht="46.5" customHeight="1">
      <x:c r="A39" s="32" t="str">
        <x:v>Not collected</x:v>
      </x:c>
      <x:c r="B39" s="34" t="n">
        <x:v>37</x:v>
      </x:c>
      <x:c r="C39" s="32" t="str">
        <x:v>Move the green pencil sharpener from the bowl to the table.</x:v>
      </x:c>
      <x:c r="D39" s="32" t="str">
        <x:v>Bowl objects: [green pencil sharpener, airplane toy without propellers] | Table objects: [blue pen, yellow block]</x:v>
      </x:c>
      <x:c r="E39" s="34" t="n">
        <x:v>36</x:v>
      </x:c>
      <x:c r="F39" s="32" t="str">
        <x:v>REMOVE green pencil sharpener</x:v>
      </x:c>
      <x:c r="G39" s="32" t="str"/>
      <x:c r="H39" s="37" t="str">
        <x:v>Matched manipulation control</x:v>
      </x:c>
      <x:c r="I39" s="32" t="str">
        <x:v>CT-CF03</x:v>
      </x:c>
      <x:c r="J39" s="32" t="str">
        <x:v>CT-CF03-REMOVE</x:v>
      </x:c>
      <x:c r="K39" s="34" t="n">
        <x:v>2</x:v>
      </x:c>
      <x:c r="L39" s="34" t="n">
        <x:v>1</x:v>
      </x:c>
      <x:c r="M39" s="34" t="str">
        <x:v>REMOVE</x:v>
      </x:c>
      <x:c r="N39" s="32" t="str">
        <x:v>Matched direct REMOVE control</x:v>
      </x:c>
      <x:c r="O39" s="34" t="n">
        <x:v>2</x:v>
      </x:c>
      <x:c r="P39" s="32" t="str">
        <x:v>Reset the exact count-2 scene; change only the prompt.</x:v>
      </x:c>
      <x:c r="Q39" s="32" t="str">
        <x:v>The direct prompt is present in Counting training for this same-task object and action direction.</x:v>
      </x:c>
      <x:c r="R39" s="32" t="str"/>
    </x:row>
    <x:row r="40" ht="46.5" customHeight="1">
      <x:c r="A40" s="31" t="str">
        <x:v>Not collected</x:v>
      </x:c>
      <x:c r="B40" s="33" t="n">
        <x:v>38</x:v>
      </x:c>
      <x:c r="C40" s="31" t="str">
        <x:v>Change the contents so the bowl ends up holding one item.</x:v>
      </x:c>
      <x:c r="D40" s="31" t="str">
        <x:v>Bowl objects: [green pencil sharpener, airplane toy without propellers] | Table objects: [blue pen, yellow block]</x:v>
      </x:c>
      <x:c r="E40" s="33" t="n">
        <x:v>36</x:v>
      </x:c>
      <x:c r="F40" s="31" t="str">
        <x:v>REMOVE any one bowl object; finish with 1 object in the bowl</x:v>
      </x:c>
      <x:c r="G40" s="31" t="str"/>
      <x:c r="H40" s="38" t="str">
        <x:v>Language robustness</x:v>
      </x:c>
      <x:c r="I40" s="31" t="str">
        <x:v>CT-CF03</x:v>
      </x:c>
      <x:c r="J40" s="31" t="str">
        <x:v>CT-CF03-REMOVE</x:v>
      </x:c>
      <x:c r="K40" s="33" t="n">
        <x:v>2</x:v>
      </x:c>
      <x:c r="L40" s="33" t="n">
        <x:v>1</x:v>
      </x:c>
      <x:c r="M40" s="33" t="str">
        <x:v>REMOVE</x:v>
      </x:c>
      <x:c r="N40" s="31" t="str">
        <x:v>Primary compositional paraphrase: one via 2→1 removal</x:v>
      </x:c>
      <x:c r="O40" s="33" t="n">
        <x:v>2</x:v>
      </x:c>
      <x:c r="P40" s="31" t="str">
        <x:v>Build the listed count-2 scene.</x:v>
      </x:c>
      <x:c r="Q40" s="31" t="str">
        <x:v>Exact-scene paraphrase of the canonical held-out composition.</x:v>
      </x:c>
      <x:c r="R40" s="31" t="str"/>
    </x:row>
    <x:row r="41" ht="46.5" customHeight="1">
      <x:c r="A41" s="32" t="str">
        <x:v>Not collected</x:v>
      </x:c>
      <x:c r="B41" s="34" t="n">
        <x:v>39</x:v>
      </x:c>
      <x:c r="C41" s="32" t="str">
        <x:v>Lift the green pencil sharpener out of the bowl and set it on the table.</x:v>
      </x:c>
      <x:c r="D41" s="32" t="str">
        <x:v>Bowl objects: [green pencil sharpener, airplane toy without propellers] | Table objects: [blue pen, yellow block]</x:v>
      </x:c>
      <x:c r="E41" s="34" t="n">
        <x:v>37</x:v>
      </x:c>
      <x:c r="F41" s="32" t="str">
        <x:v>REMOVE green pencil sharpener</x:v>
      </x:c>
      <x:c r="G41" s="32" t="str"/>
      <x:c r="H41" s="38" t="str">
        <x:v>Language robustness</x:v>
      </x:c>
      <x:c r="I41" s="32" t="str">
        <x:v>CT-CF03</x:v>
      </x:c>
      <x:c r="J41" s="32" t="str">
        <x:v>CT-CF03-REMOVE</x:v>
      </x:c>
      <x:c r="K41" s="34" t="n">
        <x:v>2</x:v>
      </x:c>
      <x:c r="L41" s="34" t="n">
        <x:v>1</x:v>
      </x:c>
      <x:c r="M41" s="34" t="str">
        <x:v>REMOVE</x:v>
      </x:c>
      <x:c r="N41" s="32" t="str">
        <x:v>Matched-control paraphrase: REMOVE</x:v>
      </x:c>
      <x:c r="O41" s="34" t="n">
        <x:v>2</x:v>
      </x:c>
      <x:c r="P41" s="32" t="str">
        <x:v>Reset the exact count-2 scene; change only the prompt.</x:v>
      </x:c>
      <x:c r="Q41" s="32" t="str">
        <x:v>Exact-scene paraphrase of the direct manipulation control.</x:v>
      </x:c>
      <x:c r="R41" s="32" t="str"/>
    </x:row>
    <x:row r="42" ht="46.5" customHeight="1">
      <x:c r="A42" s="31" t="str">
        <x:v>Not collected</x:v>
      </x:c>
      <x:c r="B42" s="33" t="n">
        <x:v>40</x:v>
      </x:c>
      <x:c r="C42" s="31" t="str">
        <x:v>Move the blue pen into the bowl.</x:v>
      </x:c>
      <x:c r="D42" s="31" t="str">
        <x:v>Bowl objects: [green pencil sharpener, airplane toy without propellers] | Table objects: [blue pen, yellow block]</x:v>
      </x:c>
      <x:c r="E42" s="33" t="str"/>
      <x:c r="F42" s="31" t="str">
        <x:v>ADD blue pen</x:v>
      </x:c>
      <x:c r="G42" s="31" t="str"/>
      <x:c r="H42" s="37" t="str">
        <x:v>Matched manipulation control</x:v>
      </x:c>
      <x:c r="I42" s="31" t="str">
        <x:v>CT-CF03</x:v>
      </x:c>
      <x:c r="J42" s="31" t="str">
        <x:v>CT-CF03-ADD</x:v>
      </x:c>
      <x:c r="K42" s="33" t="n">
        <x:v>2</x:v>
      </x:c>
      <x:c r="L42" s="33" t="n">
        <x:v>3</x:v>
      </x:c>
      <x:c r="M42" s="33" t="str">
        <x:v>ADD</x:v>
      </x:c>
      <x:c r="N42" s="31" t="str">
        <x:v>Matched direct ADD control</x:v>
      </x:c>
      <x:c r="O42" s="33" t="n">
        <x:v>2</x:v>
      </x:c>
      <x:c r="P42" s="31" t="str">
        <x:v>Reset the exact count-2 scene; change only the prompt.</x:v>
      </x:c>
      <x:c r="Q42" s="31" t="str">
        <x:v>The direct prompt is present in Counting training for this same-task object and action direction.</x:v>
      </x:c>
      <x:c r="R42" s="31" t="str"/>
    </x:row>
    <x:row r="43" ht="46.5" customHeight="1">
      <x:c r="A43" s="32" t="str">
        <x:v>Not collected</x:v>
      </x:c>
      <x:c r="B43" s="34" t="n">
        <x:v>41</x:v>
      </x:c>
      <x:c r="C43" s="32" t="str">
        <x:v>Leave exactly three objects in the bowl.</x:v>
      </x:c>
      <x:c r="D43" s="32" t="str">
        <x:v>Bowl objects: [green pencil sharpener, airplane toy without propellers] | Table objects: [blue pen, yellow block]</x:v>
      </x:c>
      <x:c r="E43" s="34" t="n">
        <x:v>40</x:v>
      </x:c>
      <x:c r="F43" s="32" t="str">
        <x:v>ADD any one table object; finish with 3 objects in the bowl</x:v>
      </x:c>
      <x:c r="G43" s="32" t="str"/>
      <x:c r="H43" s="36" t="str">
        <x:v>Concept/compositional transfer</x:v>
      </x:c>
      <x:c r="I43" s="32" t="str">
        <x:v>CT-CF03</x:v>
      </x:c>
      <x:c r="J43" s="32" t="str">
        <x:v>CT-CF03-ADD</x:v>
      </x:c>
      <x:c r="K43" s="34" t="n">
        <x:v>2</x:v>
      </x:c>
      <x:c r="L43" s="34" t="n">
        <x:v>3</x:v>
      </x:c>
      <x:c r="M43" s="34" t="str">
        <x:v>ADD</x:v>
      </x:c>
      <x:c r="N43" s="32" t="str">
        <x:v>Primary: three via held-out 2→3 addition</x:v>
      </x:c>
      <x:c r="O43" s="34" t="n">
        <x:v>2</x:v>
      </x:c>
      <x:c r="P43" s="32" t="str">
        <x:v>Reset the exact count-2 scene; change only the prompt.</x:v>
      </x:c>
      <x:c r="Q43" s="32" t="str">
        <x:v>The goal word three is trained, and this 2→3 trajectory is trained under a direct instruction, but the combination is withheld.</x:v>
      </x:c>
      <x:c r="R43" s="32" t="str"/>
    </x:row>
    <x:row r="44" ht="46.5" customHeight="1">
      <x:c r="A44" s="31" t="str">
        <x:v>Not collected</x:v>
      </x:c>
      <x:c r="B44" s="33" t="n">
        <x:v>42</x:v>
      </x:c>
      <x:c r="C44" s="31" t="str">
        <x:v>Lift the blue pen from the table and set it inside the bowl.</x:v>
      </x:c>
      <x:c r="D44" s="31" t="str">
        <x:v>Bowl objects: [green pencil sharpener, airplane toy without propellers] | Table objects: [blue pen, yellow block]</x:v>
      </x:c>
      <x:c r="E44" s="33" t="n">
        <x:v>40</x:v>
      </x:c>
      <x:c r="F44" s="31" t="str">
        <x:v>ADD blue pen</x:v>
      </x:c>
      <x:c r="G44" s="31" t="str"/>
      <x:c r="H44" s="38" t="str">
        <x:v>Language robustness</x:v>
      </x:c>
      <x:c r="I44" s="31" t="str">
        <x:v>CT-CF03</x:v>
      </x:c>
      <x:c r="J44" s="31" t="str">
        <x:v>CT-CF03-ADD</x:v>
      </x:c>
      <x:c r="K44" s="33" t="n">
        <x:v>2</x:v>
      </x:c>
      <x:c r="L44" s="33" t="n">
        <x:v>3</x:v>
      </x:c>
      <x:c r="M44" s="33" t="str">
        <x:v>ADD</x:v>
      </x:c>
      <x:c r="N44" s="31" t="str">
        <x:v>Matched-control paraphrase: ADD</x:v>
      </x:c>
      <x:c r="O44" s="33" t="n">
        <x:v>2</x:v>
      </x:c>
      <x:c r="P44" s="31" t="str">
        <x:v>Reset the exact count-2 scene; change only the prompt.</x:v>
      </x:c>
      <x:c r="Q44" s="31" t="str">
        <x:v>Exact-scene paraphrase of the direct manipulation control.</x:v>
      </x:c>
      <x:c r="R44" s="31" t="str"/>
    </x:row>
    <x:row r="45" ht="46.5" customHeight="1">
      <x:c r="A45" s="32" t="str">
        <x:v>Not collected</x:v>
      </x:c>
      <x:c r="B45" s="34" t="n">
        <x:v>43</x:v>
      </x:c>
      <x:c r="C45" s="32" t="str">
        <x:v>Change the contents so the bowl ends up holding three items.</x:v>
      </x:c>
      <x:c r="D45" s="32" t="str">
        <x:v>Bowl objects: [green pencil sharpener, airplane toy without propellers] | Table objects: [blue pen, yellow block]</x:v>
      </x:c>
      <x:c r="E45" s="34" t="n">
        <x:v>41</x:v>
      </x:c>
      <x:c r="F45" s="32" t="str">
        <x:v>ADD any one table object; finish with 3 objects in the bowl</x:v>
      </x:c>
      <x:c r="G45" s="32" t="str"/>
      <x:c r="H45" s="38" t="str">
        <x:v>Language robustness</x:v>
      </x:c>
      <x:c r="I45" s="32" t="str">
        <x:v>CT-CF03</x:v>
      </x:c>
      <x:c r="J45" s="32" t="str">
        <x:v>CT-CF03-ADD</x:v>
      </x:c>
      <x:c r="K45" s="34" t="n">
        <x:v>2</x:v>
      </x:c>
      <x:c r="L45" s="34" t="n">
        <x:v>3</x:v>
      </x:c>
      <x:c r="M45" s="34" t="str">
        <x:v>ADD</x:v>
      </x:c>
      <x:c r="N45" s="32" t="str">
        <x:v>Primary compositional paraphrase: three via 2→3 addition</x:v>
      </x:c>
      <x:c r="O45" s="34" t="n">
        <x:v>2</x:v>
      </x:c>
      <x:c r="P45" s="32" t="str">
        <x:v>Reset the exact count-2 scene; change only the prompt.</x:v>
      </x:c>
      <x:c r="Q45" s="32" t="str">
        <x:v>Exact-scene paraphrase of the canonical held-out composition.</x:v>
      </x:c>
      <x:c r="R45" s="32" t="str"/>
    </x:row>
    <x:row r="46" ht="46.5" customHeight="1">
      <x:c r="A46" s="31" t="str">
        <x:v>Not collected</x:v>
      </x:c>
      <x:c r="B46" s="33" t="n">
        <x:v>44</x:v>
      </x:c>
      <x:c r="C46" s="31" t="str">
        <x:v>Leave exactly three objects in the bowl.</x:v>
      </x:c>
      <x:c r="D46" s="31" t="str">
        <x:v>Bowl objects: [airplane toy without propellers, blue pen] | Table objects: [yellow block, green pencil sharpener]</x:v>
      </x:c>
      <x:c r="E46" s="33" t="str"/>
      <x:c r="F46" s="31" t="str">
        <x:v>ADD any one table object; finish with 3 objects in the bowl</x:v>
      </x:c>
      <x:c r="G46" s="31" t="str"/>
      <x:c r="H46" s="36" t="str">
        <x:v>Concept/compositional transfer</x:v>
      </x:c>
      <x:c r="I46" s="31" t="str">
        <x:v>CT-CF04</x:v>
      </x:c>
      <x:c r="J46" s="31" t="str">
        <x:v>CT-CF04-ADD</x:v>
      </x:c>
      <x:c r="K46" s="33" t="n">
        <x:v>2</x:v>
      </x:c>
      <x:c r="L46" s="33" t="n">
        <x:v>3</x:v>
      </x:c>
      <x:c r="M46" s="33" t="str">
        <x:v>ADD</x:v>
      </x:c>
      <x:c r="N46" s="31" t="str">
        <x:v>Primary: three via held-out 2→3 addition</x:v>
      </x:c>
      <x:c r="O46" s="33" t="n">
        <x:v>2</x:v>
      </x:c>
      <x:c r="P46" s="31" t="str">
        <x:v>Reset the exact count-2 scene; change only the prompt.</x:v>
      </x:c>
      <x:c r="Q46" s="31" t="str">
        <x:v>The goal word three is trained, and this 2→3 trajectory is trained under a direct instruction, but the combination is withheld.</x:v>
      </x:c>
      <x:c r="R46" s="31" t="str"/>
    </x:row>
    <x:row r="47" ht="46.5" customHeight="1">
      <x:c r="A47" s="32" t="str">
        <x:v>Not collected</x:v>
      </x:c>
      <x:c r="B47" s="34" t="n">
        <x:v>45</x:v>
      </x:c>
      <x:c r="C47" s="32" t="str">
        <x:v>Move the yellow block into the bowl.</x:v>
      </x:c>
      <x:c r="D47" s="32" t="str">
        <x:v>Bowl objects: [airplane toy without propellers, blue pen] | Table objects: [yellow block, green pencil sharpener]</x:v>
      </x:c>
      <x:c r="E47" s="34" t="n">
        <x:v>44</x:v>
      </x:c>
      <x:c r="F47" s="32" t="str">
        <x:v>ADD yellow block</x:v>
      </x:c>
      <x:c r="G47" s="32" t="str"/>
      <x:c r="H47" s="37" t="str">
        <x:v>Matched manipulation control</x:v>
      </x:c>
      <x:c r="I47" s="32" t="str">
        <x:v>CT-CF04</x:v>
      </x:c>
      <x:c r="J47" s="32" t="str">
        <x:v>CT-CF04-ADD</x:v>
      </x:c>
      <x:c r="K47" s="34" t="n">
        <x:v>2</x:v>
      </x:c>
      <x:c r="L47" s="34" t="n">
        <x:v>3</x:v>
      </x:c>
      <x:c r="M47" s="34" t="str">
        <x:v>ADD</x:v>
      </x:c>
      <x:c r="N47" s="32" t="str">
        <x:v>Matched direct ADD control</x:v>
      </x:c>
      <x:c r="O47" s="34" t="n">
        <x:v>2</x:v>
      </x:c>
      <x:c r="P47" s="32" t="str">
        <x:v>Reset the exact count-2 scene; change only the prompt.</x:v>
      </x:c>
      <x:c r="Q47" s="32" t="str">
        <x:v>The direct prompt is present in Counting training for this same-task object and action direction.</x:v>
      </x:c>
      <x:c r="R47" s="32" t="str"/>
    </x:row>
    <x:row r="48" ht="46.5" customHeight="1">
      <x:c r="A48" s="31" t="str">
        <x:v>Not collected</x:v>
      </x:c>
      <x:c r="B48" s="33" t="n">
        <x:v>46</x:v>
      </x:c>
      <x:c r="C48" s="31" t="str">
        <x:v>End with three items inside the bowl.</x:v>
      </x:c>
      <x:c r="D48" s="31" t="str">
        <x:v>Bowl objects: [airplane toy without propellers, blue pen] | Table objects: [yellow block, green pencil sharpener]</x:v>
      </x:c>
      <x:c r="E48" s="33" t="n">
        <x:v>44</x:v>
      </x:c>
      <x:c r="F48" s="31" t="str">
        <x:v>ADD any one table object; finish with 3 objects in the bowl</x:v>
      </x:c>
      <x:c r="G48" s="31" t="str"/>
      <x:c r="H48" s="38" t="str">
        <x:v>Language robustness</x:v>
      </x:c>
      <x:c r="I48" s="31" t="str">
        <x:v>CT-CF04</x:v>
      </x:c>
      <x:c r="J48" s="31" t="str">
        <x:v>CT-CF04-ADD</x:v>
      </x:c>
      <x:c r="K48" s="33" t="n">
        <x:v>2</x:v>
      </x:c>
      <x:c r="L48" s="33" t="n">
        <x:v>3</x:v>
      </x:c>
      <x:c r="M48" s="33" t="str">
        <x:v>ADD</x:v>
      </x:c>
      <x:c r="N48" s="31" t="str">
        <x:v>Primary compositional paraphrase: three via 2→3 addition</x:v>
      </x:c>
      <x:c r="O48" s="33" t="n">
        <x:v>2</x:v>
      </x:c>
      <x:c r="P48" s="31" t="str">
        <x:v>Reset the exact count-2 scene; change only the prompt.</x:v>
      </x:c>
      <x:c r="Q48" s="31" t="str">
        <x:v>Exact-scene paraphrase of the canonical held-out composition.</x:v>
      </x:c>
      <x:c r="R48" s="31" t="str"/>
    </x:row>
    <x:row r="49" ht="46.5" customHeight="1">
      <x:c r="A49" s="32" t="str">
        <x:v>Not collected</x:v>
      </x:c>
      <x:c r="B49" s="34" t="n">
        <x:v>47</x:v>
      </x:c>
      <x:c r="C49" s="32" t="str">
        <x:v>Lift the yellow block from the table and set it inside the bowl.</x:v>
      </x:c>
      <x:c r="D49" s="32" t="str">
        <x:v>Bowl objects: [airplane toy without propellers, blue pen] | Table objects: [yellow block, green pencil sharpener]</x:v>
      </x:c>
      <x:c r="E49" s="34" t="n">
        <x:v>45</x:v>
      </x:c>
      <x:c r="F49" s="32" t="str">
        <x:v>ADD yellow block</x:v>
      </x:c>
      <x:c r="G49" s="32" t="str"/>
      <x:c r="H49" s="38" t="str">
        <x:v>Language robustness</x:v>
      </x:c>
      <x:c r="I49" s="32" t="str">
        <x:v>CT-CF04</x:v>
      </x:c>
      <x:c r="J49" s="32" t="str">
        <x:v>CT-CF04-ADD</x:v>
      </x:c>
      <x:c r="K49" s="34" t="n">
        <x:v>2</x:v>
      </x:c>
      <x:c r="L49" s="34" t="n">
        <x:v>3</x:v>
      </x:c>
      <x:c r="M49" s="34" t="str">
        <x:v>ADD</x:v>
      </x:c>
      <x:c r="N49" s="32" t="str">
        <x:v>Matched-control paraphrase: ADD</x:v>
      </x:c>
      <x:c r="O49" s="34" t="n">
        <x:v>2</x:v>
      </x:c>
      <x:c r="P49" s="32" t="str">
        <x:v>Reset the exact count-2 scene; change only the prompt.</x:v>
      </x:c>
      <x:c r="Q49" s="32" t="str">
        <x:v>Exact-scene paraphrase of the direct manipulation control.</x:v>
      </x:c>
      <x:c r="R49" s="32" t="str"/>
    </x:row>
    <x:row r="50" ht="46.5" customHeight="1">
      <x:c r="A50" s="31" t="str">
        <x:v>Not collected</x:v>
      </x:c>
      <x:c r="B50" s="33" t="n">
        <x:v>48</x:v>
      </x:c>
      <x:c r="C50" s="31" t="str">
        <x:v>Move the airplane toy without propellers from the bowl to the table.</x:v>
      </x:c>
      <x:c r="D50" s="31" t="str">
        <x:v>Bowl objects: [airplane toy without propellers, blue pen] | Table objects: [yellow block, green pencil sharpener]</x:v>
      </x:c>
      <x:c r="E50" s="33" t="str"/>
      <x:c r="F50" s="31" t="str">
        <x:v>REMOVE airplane toy without propellers</x:v>
      </x:c>
      <x:c r="G50" s="31" t="str"/>
      <x:c r="H50" s="37" t="str">
        <x:v>Matched manipulation control</x:v>
      </x:c>
      <x:c r="I50" s="31" t="str">
        <x:v>CT-CF04</x:v>
      </x:c>
      <x:c r="J50" s="31" t="str">
        <x:v>CT-CF04-REMOVE</x:v>
      </x:c>
      <x:c r="K50" s="33" t="n">
        <x:v>2</x:v>
      </x:c>
      <x:c r="L50" s="33" t="n">
        <x:v>1</x:v>
      </x:c>
      <x:c r="M50" s="33" t="str">
        <x:v>REMOVE</x:v>
      </x:c>
      <x:c r="N50" s="31" t="str">
        <x:v>Matched direct REMOVE control</x:v>
      </x:c>
      <x:c r="O50" s="33" t="n">
        <x:v>2</x:v>
      </x:c>
      <x:c r="P50" s="31" t="str">
        <x:v>Reset the exact count-2 scene; change only the prompt.</x:v>
      </x:c>
      <x:c r="Q50" s="31" t="str">
        <x:v>The direct prompt is present in Counting training for this same-task object and action direction.</x:v>
      </x:c>
      <x:c r="R50" s="31" t="str"/>
    </x:row>
    <x:row r="51" ht="46.5" customHeight="1">
      <x:c r="A51" s="32" t="str">
        <x:v>Not collected</x:v>
      </x:c>
      <x:c r="B51" s="34" t="n">
        <x:v>49</x:v>
      </x:c>
      <x:c r="C51" s="32" t="str">
        <x:v>Leave exactly one object in the bowl.</x:v>
      </x:c>
      <x:c r="D51" s="32" t="str">
        <x:v>Bowl objects: [airplane toy without propellers, blue pen] | Table objects: [yellow block, green pencil sharpener]</x:v>
      </x:c>
      <x:c r="E51" s="34" t="n">
        <x:v>48</x:v>
      </x:c>
      <x:c r="F51" s="32" t="str">
        <x:v>REMOVE any one bowl object; finish with 1 object in the bowl</x:v>
      </x:c>
      <x:c r="G51" s="32" t="str"/>
      <x:c r="H51" s="36" t="str">
        <x:v>Concept/compositional transfer</x:v>
      </x:c>
      <x:c r="I51" s="32" t="str">
        <x:v>CT-CF04</x:v>
      </x:c>
      <x:c r="J51" s="32" t="str">
        <x:v>CT-CF04-REMOVE</x:v>
      </x:c>
      <x:c r="K51" s="34" t="n">
        <x:v>2</x:v>
      </x:c>
      <x:c r="L51" s="34" t="n">
        <x:v>1</x:v>
      </x:c>
      <x:c r="M51" s="34" t="str">
        <x:v>REMOVE</x:v>
      </x:c>
      <x:c r="N51" s="32" t="str">
        <x:v>Primary: one via held-out 2→1 removal</x:v>
      </x:c>
      <x:c r="O51" s="34" t="n">
        <x:v>2</x:v>
      </x:c>
      <x:c r="P51" s="32" t="str">
        <x:v>Build the listed count-2 scene.</x:v>
      </x:c>
      <x:c r="Q51" s="32" t="str">
        <x:v>The goal word one is trained, and this 2→1 trajectory is trained under a direct instruction, but the combination is withheld.</x:v>
      </x:c>
      <x:c r="R51" s="32" t="str"/>
    </x:row>
    <x:row r="52" ht="46.5" customHeight="1">
      <x:c r="A52" s="31" t="str">
        <x:v>Not collected</x:v>
      </x:c>
      <x:c r="B52" s="33" t="n">
        <x:v>50</x:v>
      </x:c>
      <x:c r="C52" s="31" t="str">
        <x:v>Lift the airplane toy without propellers out of the bowl and set it on the table.</x:v>
      </x:c>
      <x:c r="D52" s="31" t="str">
        <x:v>Bowl objects: [airplane toy without propellers, blue pen] | Table objects: [yellow block, green pencil sharpener]</x:v>
      </x:c>
      <x:c r="E52" s="33" t="n">
        <x:v>48</x:v>
      </x:c>
      <x:c r="F52" s="31" t="str">
        <x:v>REMOVE airplane toy without propellers</x:v>
      </x:c>
      <x:c r="G52" s="31" t="str"/>
      <x:c r="H52" s="38" t="str">
        <x:v>Language robustness</x:v>
      </x:c>
      <x:c r="I52" s="31" t="str">
        <x:v>CT-CF04</x:v>
      </x:c>
      <x:c r="J52" s="31" t="str">
        <x:v>CT-CF04-REMOVE</x:v>
      </x:c>
      <x:c r="K52" s="33" t="n">
        <x:v>2</x:v>
      </x:c>
      <x:c r="L52" s="33" t="n">
        <x:v>1</x:v>
      </x:c>
      <x:c r="M52" s="33" t="str">
        <x:v>REMOVE</x:v>
      </x:c>
      <x:c r="N52" s="31" t="str">
        <x:v>Matched-control paraphrase: REMOVE</x:v>
      </x:c>
      <x:c r="O52" s="33" t="n">
        <x:v>2</x:v>
      </x:c>
      <x:c r="P52" s="31" t="str">
        <x:v>Reset the exact count-2 scene; change only the prompt.</x:v>
      </x:c>
      <x:c r="Q52" s="31" t="str">
        <x:v>Exact-scene paraphrase of the direct manipulation control.</x:v>
      </x:c>
      <x:c r="R52" s="31" t="str"/>
    </x:row>
    <x:row r="53" ht="46.5" customHeight="1">
      <x:c r="A53" s="32" t="str">
        <x:v>Not collected</x:v>
      </x:c>
      <x:c r="B53" s="34" t="n">
        <x:v>51</x:v>
      </x:c>
      <x:c r="C53" s="32" t="str">
        <x:v>End with a single object in the bowl.</x:v>
      </x:c>
      <x:c r="D53" s="32" t="str">
        <x:v>Bowl objects: [airplane toy without propellers, blue pen] | Table objects: [yellow block, green pencil sharpener]</x:v>
      </x:c>
      <x:c r="E53" s="34" t="n">
        <x:v>49</x:v>
      </x:c>
      <x:c r="F53" s="32" t="str">
        <x:v>REMOVE any one bowl object; finish with 1 object in the bowl</x:v>
      </x:c>
      <x:c r="G53" s="32" t="str"/>
      <x:c r="H53" s="38" t="str">
        <x:v>Language robustness</x:v>
      </x:c>
      <x:c r="I53" s="32" t="str">
        <x:v>CT-CF04</x:v>
      </x:c>
      <x:c r="J53" s="32" t="str">
        <x:v>CT-CF04-REMOVE</x:v>
      </x:c>
      <x:c r="K53" s="34" t="n">
        <x:v>2</x:v>
      </x:c>
      <x:c r="L53" s="34" t="n">
        <x:v>1</x:v>
      </x:c>
      <x:c r="M53" s="34" t="str">
        <x:v>REMOVE</x:v>
      </x:c>
      <x:c r="N53" s="32" t="str">
        <x:v>Primary compositional paraphrase: one via 2→1 removal</x:v>
      </x:c>
      <x:c r="O53" s="34" t="n">
        <x:v>2</x:v>
      </x:c>
      <x:c r="P53" s="32" t="str">
        <x:v>Build the listed count-2 scene.</x:v>
      </x:c>
      <x:c r="Q53" s="32" t="str">
        <x:v>Exact-scene paraphrase of the canonical held-out composition.</x:v>
      </x:c>
      <x:c r="R53" s="32" t="str"/>
    </x:row>
    <x:row r="54" ht="46.5" customHeight="1">
      <x:c r="A54" s="31" t="str">
        <x:v>Not collected</x:v>
      </x:c>
      <x:c r="B54" s="33" t="n">
        <x:v>52</x:v>
      </x:c>
      <x:c r="C54" s="31" t="str">
        <x:v>Leave exactly one object in the bowl.</x:v>
      </x:c>
      <x:c r="D54" s="31" t="str">
        <x:v>Bowl objects: [blue pen, yellow block] | Table objects: [green pencil sharpener, airplane toy without propellers]</x:v>
      </x:c>
      <x:c r="E54" s="33" t="str"/>
      <x:c r="F54" s="31" t="str">
        <x:v>REMOVE any one bowl object; finish with 1 object in the bowl</x:v>
      </x:c>
      <x:c r="G54" s="31" t="str"/>
      <x:c r="H54" s="36" t="str">
        <x:v>Concept/compositional transfer</x:v>
      </x:c>
      <x:c r="I54" s="31" t="str">
        <x:v>CT-CF05</x:v>
      </x:c>
      <x:c r="J54" s="31" t="str">
        <x:v>CT-CF05-REMOVE</x:v>
      </x:c>
      <x:c r="K54" s="33" t="n">
        <x:v>2</x:v>
      </x:c>
      <x:c r="L54" s="33" t="n">
        <x:v>1</x:v>
      </x:c>
      <x:c r="M54" s="33" t="str">
        <x:v>REMOVE</x:v>
      </x:c>
      <x:c r="N54" s="31" t="str">
        <x:v>Primary: one via held-out 2→1 removal</x:v>
      </x:c>
      <x:c r="O54" s="33" t="n">
        <x:v>2</x:v>
      </x:c>
      <x:c r="P54" s="31" t="str">
        <x:v>Build the listed count-2 scene.</x:v>
      </x:c>
      <x:c r="Q54" s="31" t="str">
        <x:v>The goal word one is trained, and this 2→1 trajectory is trained under a direct instruction, but the combination is withheld.</x:v>
      </x:c>
      <x:c r="R54" s="31" t="str"/>
    </x:row>
    <x:row r="55" ht="46.5" customHeight="1">
      <x:c r="A55" s="32" t="str">
        <x:v>Not collected</x:v>
      </x:c>
      <x:c r="B55" s="34" t="n">
        <x:v>53</x:v>
      </x:c>
      <x:c r="C55" s="32" t="str">
        <x:v>Move the blue pen from the bowl to the table.</x:v>
      </x:c>
      <x:c r="D55" s="32" t="str">
        <x:v>Bowl objects: [blue pen, yellow block] | Table objects: [green pencil sharpener, airplane toy without propellers]</x:v>
      </x:c>
      <x:c r="E55" s="34" t="n">
        <x:v>52</x:v>
      </x:c>
      <x:c r="F55" s="32" t="str">
        <x:v>REMOVE blue pen</x:v>
      </x:c>
      <x:c r="G55" s="32" t="str"/>
      <x:c r="H55" s="37" t="str">
        <x:v>Matched manipulation control</x:v>
      </x:c>
      <x:c r="I55" s="32" t="str">
        <x:v>CT-CF05</x:v>
      </x:c>
      <x:c r="J55" s="32" t="str">
        <x:v>CT-CF05-REMOVE</x:v>
      </x:c>
      <x:c r="K55" s="34" t="n">
        <x:v>2</x:v>
      </x:c>
      <x:c r="L55" s="34" t="n">
        <x:v>1</x:v>
      </x:c>
      <x:c r="M55" s="34" t="str">
        <x:v>REMOVE</x:v>
      </x:c>
      <x:c r="N55" s="32" t="str">
        <x:v>Matched direct REMOVE control</x:v>
      </x:c>
      <x:c r="O55" s="34" t="n">
        <x:v>2</x:v>
      </x:c>
      <x:c r="P55" s="32" t="str">
        <x:v>Reset the exact count-2 scene; change only the prompt.</x:v>
      </x:c>
      <x:c r="Q55" s="32" t="str">
        <x:v>The direct prompt is present in Counting training for this same-task object and action direction.</x:v>
      </x:c>
      <x:c r="R55" s="32" t="str"/>
    </x:row>
    <x:row r="56" ht="46.5" customHeight="1">
      <x:c r="A56" s="31" t="str">
        <x:v>Not collected</x:v>
      </x:c>
      <x:c r="B56" s="33" t="n">
        <x:v>54</x:v>
      </x:c>
      <x:c r="C56" s="31" t="str">
        <x:v>Adjust the contents until only one object remains in the bowl.</x:v>
      </x:c>
      <x:c r="D56" s="31" t="str">
        <x:v>Bowl objects: [blue pen, yellow block] | Table objects: [green pencil sharpener, airplane toy without propellers]</x:v>
      </x:c>
      <x:c r="E56" s="33" t="n">
        <x:v>52</x:v>
      </x:c>
      <x:c r="F56" s="31" t="str">
        <x:v>REMOVE any one bowl object; finish with 1 object in the bowl</x:v>
      </x:c>
      <x:c r="G56" s="31" t="str"/>
      <x:c r="H56" s="38" t="str">
        <x:v>Language robustness</x:v>
      </x:c>
      <x:c r="I56" s="31" t="str">
        <x:v>CT-CF05</x:v>
      </x:c>
      <x:c r="J56" s="31" t="str">
        <x:v>CT-CF05-REMOVE</x:v>
      </x:c>
      <x:c r="K56" s="33" t="n">
        <x:v>2</x:v>
      </x:c>
      <x:c r="L56" s="33" t="n">
        <x:v>1</x:v>
      </x:c>
      <x:c r="M56" s="33" t="str">
        <x:v>REMOVE</x:v>
      </x:c>
      <x:c r="N56" s="31" t="str">
        <x:v>Primary compositional paraphrase: one via 2→1 removal</x:v>
      </x:c>
      <x:c r="O56" s="33" t="n">
        <x:v>2</x:v>
      </x:c>
      <x:c r="P56" s="31" t="str">
        <x:v>Build the listed count-2 scene.</x:v>
      </x:c>
      <x:c r="Q56" s="31" t="str">
        <x:v>Exact-scene paraphrase of the canonical held-out composition.</x:v>
      </x:c>
      <x:c r="R56" s="31" t="str"/>
    </x:row>
    <x:row r="57" ht="46.5" customHeight="1">
      <x:c r="A57" s="32" t="str">
        <x:v>Not collected</x:v>
      </x:c>
      <x:c r="B57" s="34" t="n">
        <x:v>55</x:v>
      </x:c>
      <x:c r="C57" s="32" t="str">
        <x:v>Lift the blue pen out of the bowl and set it on the table.</x:v>
      </x:c>
      <x:c r="D57" s="32" t="str">
        <x:v>Bowl objects: [blue pen, yellow block] | Table objects: [green pencil sharpener, airplane toy without propellers]</x:v>
      </x:c>
      <x:c r="E57" s="34" t="n">
        <x:v>53</x:v>
      </x:c>
      <x:c r="F57" s="32" t="str">
        <x:v>REMOVE blue pen</x:v>
      </x:c>
      <x:c r="G57" s="32" t="str"/>
      <x:c r="H57" s="38" t="str">
        <x:v>Language robustness</x:v>
      </x:c>
      <x:c r="I57" s="32" t="str">
        <x:v>CT-CF05</x:v>
      </x:c>
      <x:c r="J57" s="32" t="str">
        <x:v>CT-CF05-REMOVE</x:v>
      </x:c>
      <x:c r="K57" s="34" t="n">
        <x:v>2</x:v>
      </x:c>
      <x:c r="L57" s="34" t="n">
        <x:v>1</x:v>
      </x:c>
      <x:c r="M57" s="34" t="str">
        <x:v>REMOVE</x:v>
      </x:c>
      <x:c r="N57" s="32" t="str">
        <x:v>Matched-control paraphrase: REMOVE</x:v>
      </x:c>
      <x:c r="O57" s="34" t="n">
        <x:v>2</x:v>
      </x:c>
      <x:c r="P57" s="32" t="str">
        <x:v>Reset the exact count-2 scene; change only the prompt.</x:v>
      </x:c>
      <x:c r="Q57" s="32" t="str">
        <x:v>Exact-scene paraphrase of the direct manipulation control.</x:v>
      </x:c>
      <x:c r="R57" s="32" t="str"/>
    </x:row>
    <x:row r="58" ht="46.5" customHeight="1">
      <x:c r="A58" s="31" t="str">
        <x:v>Not collected</x:v>
      </x:c>
      <x:c r="B58" s="33" t="n">
        <x:v>56</x:v>
      </x:c>
      <x:c r="C58" s="31" t="str">
        <x:v>Move the green pencil sharpener into the bowl.</x:v>
      </x:c>
      <x:c r="D58" s="31" t="str">
        <x:v>Bowl objects: [blue pen, yellow block] | Table objects: [green pencil sharpener, airplane toy without propellers]</x:v>
      </x:c>
      <x:c r="E58" s="33" t="str"/>
      <x:c r="F58" s="31" t="str">
        <x:v>ADD green pencil sharpener</x:v>
      </x:c>
      <x:c r="G58" s="31" t="str"/>
      <x:c r="H58" s="37" t="str">
        <x:v>Matched manipulation control</x:v>
      </x:c>
      <x:c r="I58" s="31" t="str">
        <x:v>CT-CF05</x:v>
      </x:c>
      <x:c r="J58" s="31" t="str">
        <x:v>CT-CF05-ADD</x:v>
      </x:c>
      <x:c r="K58" s="33" t="n">
        <x:v>2</x:v>
      </x:c>
      <x:c r="L58" s="33" t="n">
        <x:v>3</x:v>
      </x:c>
      <x:c r="M58" s="33" t="str">
        <x:v>ADD</x:v>
      </x:c>
      <x:c r="N58" s="31" t="str">
        <x:v>Matched direct ADD control</x:v>
      </x:c>
      <x:c r="O58" s="33" t="n">
        <x:v>2</x:v>
      </x:c>
      <x:c r="P58" s="31" t="str">
        <x:v>Reset the exact count-2 scene; change only the prompt.</x:v>
      </x:c>
      <x:c r="Q58" s="31" t="str">
        <x:v>The direct prompt is present in Counting training for this same-task object and action direction.</x:v>
      </x:c>
      <x:c r="R58" s="31" t="str"/>
    </x:row>
    <x:row r="59" ht="46.5" customHeight="1">
      <x:c r="A59" s="32" t="str">
        <x:v>Not collected</x:v>
      </x:c>
      <x:c r="B59" s="34" t="n">
        <x:v>57</x:v>
      </x:c>
      <x:c r="C59" s="32" t="str">
        <x:v>Leave exactly three objects in the bowl.</x:v>
      </x:c>
      <x:c r="D59" s="32" t="str">
        <x:v>Bowl objects: [blue pen, yellow block] | Table objects: [green pencil sharpener, airplane toy without propellers]</x:v>
      </x:c>
      <x:c r="E59" s="34" t="n">
        <x:v>56</x:v>
      </x:c>
      <x:c r="F59" s="32" t="str">
        <x:v>ADD any one table object; finish with 3 objects in the bowl</x:v>
      </x:c>
      <x:c r="G59" s="32" t="str"/>
      <x:c r="H59" s="36" t="str">
        <x:v>Concept/compositional transfer</x:v>
      </x:c>
      <x:c r="I59" s="32" t="str">
        <x:v>CT-CF05</x:v>
      </x:c>
      <x:c r="J59" s="32" t="str">
        <x:v>CT-CF05-ADD</x:v>
      </x:c>
      <x:c r="K59" s="34" t="n">
        <x:v>2</x:v>
      </x:c>
      <x:c r="L59" s="34" t="n">
        <x:v>3</x:v>
      </x:c>
      <x:c r="M59" s="34" t="str">
        <x:v>ADD</x:v>
      </x:c>
      <x:c r="N59" s="32" t="str">
        <x:v>Primary: three via held-out 2→3 addition</x:v>
      </x:c>
      <x:c r="O59" s="34" t="n">
        <x:v>2</x:v>
      </x:c>
      <x:c r="P59" s="32" t="str">
        <x:v>Reset the exact count-2 scene; change only the prompt.</x:v>
      </x:c>
      <x:c r="Q59" s="32" t="str">
        <x:v>The goal word three is trained, and this 2→3 trajectory is trained under a direct instruction, but the combination is withheld.</x:v>
      </x:c>
      <x:c r="R59" s="32" t="str"/>
    </x:row>
    <x:row r="60" ht="46.5" customHeight="1">
      <x:c r="A60" s="31" t="str">
        <x:v>Not collected</x:v>
      </x:c>
      <x:c r="B60" s="33" t="n">
        <x:v>58</x:v>
      </x:c>
      <x:c r="C60" s="31" t="str">
        <x:v>Lift the green pencil sharpener from the table and set it inside the bowl.</x:v>
      </x:c>
      <x:c r="D60" s="31" t="str">
        <x:v>Bowl objects: [blue pen, yellow block] | Table objects: [green pencil sharpener, airplane toy without propellers]</x:v>
      </x:c>
      <x:c r="E60" s="33" t="n">
        <x:v>56</x:v>
      </x:c>
      <x:c r="F60" s="31" t="str">
        <x:v>ADD green pencil sharpener</x:v>
      </x:c>
      <x:c r="G60" s="31" t="str"/>
      <x:c r="H60" s="38" t="str">
        <x:v>Language robustness</x:v>
      </x:c>
      <x:c r="I60" s="31" t="str">
        <x:v>CT-CF05</x:v>
      </x:c>
      <x:c r="J60" s="31" t="str">
        <x:v>CT-CF05-ADD</x:v>
      </x:c>
      <x:c r="K60" s="33" t="n">
        <x:v>2</x:v>
      </x:c>
      <x:c r="L60" s="33" t="n">
        <x:v>3</x:v>
      </x:c>
      <x:c r="M60" s="33" t="str">
        <x:v>ADD</x:v>
      </x:c>
      <x:c r="N60" s="31" t="str">
        <x:v>Matched-control paraphrase: ADD</x:v>
      </x:c>
      <x:c r="O60" s="33" t="n">
        <x:v>2</x:v>
      </x:c>
      <x:c r="P60" s="31" t="str">
        <x:v>Reset the exact count-2 scene; change only the prompt.</x:v>
      </x:c>
      <x:c r="Q60" s="31" t="str">
        <x:v>Exact-scene paraphrase of the direct manipulation control.</x:v>
      </x:c>
      <x:c r="R60" s="31" t="str"/>
    </x:row>
    <x:row r="61" ht="46.5" customHeight="1">
      <x:c r="A61" s="32" t="str">
        <x:v>Not collected</x:v>
      </x:c>
      <x:c r="B61" s="34" t="n">
        <x:v>59</x:v>
      </x:c>
      <x:c r="C61" s="32" t="str">
        <x:v>Adjust the contents until three objects remain in the bowl.</x:v>
      </x:c>
      <x:c r="D61" s="32" t="str">
        <x:v>Bowl objects: [blue pen, yellow block] | Table objects: [green pencil sharpener, airplane toy without propellers]</x:v>
      </x:c>
      <x:c r="E61" s="34" t="n">
        <x:v>57</x:v>
      </x:c>
      <x:c r="F61" s="32" t="str">
        <x:v>ADD any one table object; finish with 3 objects in the bowl</x:v>
      </x:c>
      <x:c r="G61" s="32" t="str"/>
      <x:c r="H61" s="38" t="str">
        <x:v>Language robustness</x:v>
      </x:c>
      <x:c r="I61" s="32" t="str">
        <x:v>CT-CF05</x:v>
      </x:c>
      <x:c r="J61" s="32" t="str">
        <x:v>CT-CF05-ADD</x:v>
      </x:c>
      <x:c r="K61" s="34" t="n">
        <x:v>2</x:v>
      </x:c>
      <x:c r="L61" s="34" t="n">
        <x:v>3</x:v>
      </x:c>
      <x:c r="M61" s="34" t="str">
        <x:v>ADD</x:v>
      </x:c>
      <x:c r="N61" s="32" t="str">
        <x:v>Primary compositional paraphrase: three via 2→3 addition</x:v>
      </x:c>
      <x:c r="O61" s="34" t="n">
        <x:v>2</x:v>
      </x:c>
      <x:c r="P61" s="32" t="str">
        <x:v>Reset the exact count-2 scene; change only the prompt.</x:v>
      </x:c>
      <x:c r="Q61" s="32" t="str">
        <x:v>Exact-scene paraphrase of the canonical held-out composition.</x:v>
      </x:c>
      <x:c r="R61" s="32" t="str"/>
    </x:row>
    <x:row r="62" ht="46.5" customHeight="1">
      <x:c r="A62" s="31" t="str">
        <x:v>Not collected</x:v>
      </x:c>
      <x:c r="B62" s="33" t="n">
        <x:v>60</x:v>
      </x:c>
      <x:c r="C62" s="31" t="str">
        <x:v>Leave exactly three objects in the bowl.</x:v>
      </x:c>
      <x:c r="D62" s="31" t="str">
        <x:v>Bowl objects: [yellow block, blue pen] | Table objects: [green pencil sharpener, airplane toy without propellers]</x:v>
      </x:c>
      <x:c r="E62" s="33" t="str"/>
      <x:c r="F62" s="31" t="str">
        <x:v>ADD any one table object; finish with 3 objects in the bowl</x:v>
      </x:c>
      <x:c r="G62" s="31" t="str"/>
      <x:c r="H62" s="36" t="str">
        <x:v>Concept/compositional transfer</x:v>
      </x:c>
      <x:c r="I62" s="31" t="str">
        <x:v>CT-CF06</x:v>
      </x:c>
      <x:c r="J62" s="31" t="str">
        <x:v>CT-CF06-ADD</x:v>
      </x:c>
      <x:c r="K62" s="33" t="n">
        <x:v>2</x:v>
      </x:c>
      <x:c r="L62" s="33" t="n">
        <x:v>3</x:v>
      </x:c>
      <x:c r="M62" s="33" t="str">
        <x:v>ADD</x:v>
      </x:c>
      <x:c r="N62" s="31" t="str">
        <x:v>Primary: three via held-out 2→3 addition</x:v>
      </x:c>
      <x:c r="O62" s="33" t="n">
        <x:v>3</x:v>
      </x:c>
      <x:c r="P62" s="31" t="str">
        <x:v>Reset the exact count-2 scene; change only the prompt.</x:v>
      </x:c>
      <x:c r="Q62" s="31" t="str">
        <x:v>The goal word three is trained, and this 2→3 trajectory is trained under a direct instruction, but the combination is withheld.</x:v>
      </x:c>
      <x:c r="R62" s="31" t="str"/>
    </x:row>
    <x:row r="63" ht="46.5" customHeight="1">
      <x:c r="A63" s="32" t="str">
        <x:v>Not collected</x:v>
      </x:c>
      <x:c r="B63" s="34" t="n">
        <x:v>61</x:v>
      </x:c>
      <x:c r="C63" s="32" t="str">
        <x:v>Move the airplane toy without propellers into the bowl.</x:v>
      </x:c>
      <x:c r="D63" s="32" t="str">
        <x:v>Bowl objects: [yellow block, blue pen] | Table objects: [green pencil sharpener, airplane toy without propellers]</x:v>
      </x:c>
      <x:c r="E63" s="34" t="n">
        <x:v>60</x:v>
      </x:c>
      <x:c r="F63" s="32" t="str">
        <x:v>ADD airplane toy without propellers</x:v>
      </x:c>
      <x:c r="G63" s="32" t="str"/>
      <x:c r="H63" s="37" t="str">
        <x:v>Matched manipulation control</x:v>
      </x:c>
      <x:c r="I63" s="32" t="str">
        <x:v>CT-CF06</x:v>
      </x:c>
      <x:c r="J63" s="32" t="str">
        <x:v>CT-CF06-ADD</x:v>
      </x:c>
      <x:c r="K63" s="34" t="n">
        <x:v>2</x:v>
      </x:c>
      <x:c r="L63" s="34" t="n">
        <x:v>3</x:v>
      </x:c>
      <x:c r="M63" s="34" t="str">
        <x:v>ADD</x:v>
      </x:c>
      <x:c r="N63" s="32" t="str">
        <x:v>Matched direct ADD control</x:v>
      </x:c>
      <x:c r="O63" s="34" t="n">
        <x:v>3</x:v>
      </x:c>
      <x:c r="P63" s="32" t="str">
        <x:v>Reset the exact count-2 scene; change only the prompt.</x:v>
      </x:c>
      <x:c r="Q63" s="32" t="str">
        <x:v>The direct prompt is present in Counting training for this same-task object and action direction.</x:v>
      </x:c>
      <x:c r="R63" s="32" t="str"/>
    </x:row>
    <x:row r="64" ht="46.5" customHeight="1">
      <x:c r="A64" s="31" t="str">
        <x:v>Not collected</x:v>
      </x:c>
      <x:c r="B64" s="33" t="n">
        <x:v>62</x:v>
      </x:c>
      <x:c r="C64" s="31" t="str">
        <x:v>Move the yellow block from the bowl to the table.</x:v>
      </x:c>
      <x:c r="D64" s="31" t="str">
        <x:v>Bowl objects: [yellow block, blue pen] | Table objects: [green pencil sharpener, airplane toy without propellers]</x:v>
      </x:c>
      <x:c r="E64" s="33" t="str"/>
      <x:c r="F64" s="31" t="str">
        <x:v>REMOVE yellow block</x:v>
      </x:c>
      <x:c r="G64" s="31" t="str"/>
      <x:c r="H64" s="37" t="str">
        <x:v>Matched manipulation control</x:v>
      </x:c>
      <x:c r="I64" s="31" t="str">
        <x:v>CT-CF06</x:v>
      </x:c>
      <x:c r="J64" s="31" t="str">
        <x:v>CT-CF06-REMOVE</x:v>
      </x:c>
      <x:c r="K64" s="33" t="n">
        <x:v>2</x:v>
      </x:c>
      <x:c r="L64" s="33" t="n">
        <x:v>1</x:v>
      </x:c>
      <x:c r="M64" s="33" t="str">
        <x:v>REMOVE</x:v>
      </x:c>
      <x:c r="N64" s="31" t="str">
        <x:v>Matched direct REMOVE control</x:v>
      </x:c>
      <x:c r="O64" s="33" t="n">
        <x:v>3</x:v>
      </x:c>
      <x:c r="P64" s="31" t="str">
        <x:v>Reset the exact count-2 scene; change only the prompt.</x:v>
      </x:c>
      <x:c r="Q64" s="31" t="str">
        <x:v>The direct prompt is present in Counting training for this same-task object and action direction.</x:v>
      </x:c>
      <x:c r="R64" s="31" t="str"/>
    </x:row>
    <x:row r="65" ht="46.5" customHeight="1">
      <x:c r="A65" s="32" t="str">
        <x:v>Not collected</x:v>
      </x:c>
      <x:c r="B65" s="34" t="n">
        <x:v>63</x:v>
      </x:c>
      <x:c r="C65" s="32" t="str">
        <x:v>Leave exactly one object in the bowl.</x:v>
      </x:c>
      <x:c r="D65" s="32" t="str">
        <x:v>Bowl objects: [yellow block, blue pen] | Table objects: [green pencil sharpener, airplane toy without propellers]</x:v>
      </x:c>
      <x:c r="E65" s="34" t="n">
        <x:v>62</x:v>
      </x:c>
      <x:c r="F65" s="32" t="str">
        <x:v>REMOVE any one bowl object; finish with 1 object in the bowl</x:v>
      </x:c>
      <x:c r="G65" s="32" t="str"/>
      <x:c r="H65" s="36" t="str">
        <x:v>Concept/compositional transfer</x:v>
      </x:c>
      <x:c r="I65" s="32" t="str">
        <x:v>CT-CF06</x:v>
      </x:c>
      <x:c r="J65" s="32" t="str">
        <x:v>CT-CF06-REMOVE</x:v>
      </x:c>
      <x:c r="K65" s="34" t="n">
        <x:v>2</x:v>
      </x:c>
      <x:c r="L65" s="34" t="n">
        <x:v>1</x:v>
      </x:c>
      <x:c r="M65" s="34" t="str">
        <x:v>REMOVE</x:v>
      </x:c>
      <x:c r="N65" s="32" t="str">
        <x:v>Primary: one via held-out 2→1 removal</x:v>
      </x:c>
      <x:c r="O65" s="34" t="n">
        <x:v>3</x:v>
      </x:c>
      <x:c r="P65" s="32" t="str">
        <x:v>Build the listed count-2 scene.</x:v>
      </x:c>
      <x:c r="Q65" s="32" t="str">
        <x:v>The goal word one is trained, and this 2→1 trajectory is trained under a direct instruction, but the combination is withheld.</x:v>
      </x:c>
      <x:c r="R65" s="32" t="str"/>
    </x:row>
    <x:row r="66" ht="46.5" customHeight="1">
      <x:c r="A66" s="31" t="str">
        <x:v>Not collected</x:v>
      </x:c>
      <x:c r="B66" s="33" t="n">
        <x:v>64</x:v>
      </x:c>
      <x:c r="C66" s="31" t="str">
        <x:v>Leave exactly one object in the bowl.</x:v>
      </x:c>
      <x:c r="D66" s="31" t="str">
        <x:v>Bowl objects: [green pencil sharpener, airplane toy without propellers] | Table objects: [blue pen, yellow block]</x:v>
      </x:c>
      <x:c r="E66" s="33" t="str"/>
      <x:c r="F66" s="31" t="str">
        <x:v>REMOVE any one bowl object; finish with 1 object in the bowl</x:v>
      </x:c>
      <x:c r="G66" s="31" t="str"/>
      <x:c r="H66" s="36" t="str">
        <x:v>Concept/compositional transfer</x:v>
      </x:c>
      <x:c r="I66" s="31" t="str">
        <x:v>CT-CF07</x:v>
      </x:c>
      <x:c r="J66" s="31" t="str">
        <x:v>CT-CF07-REMOVE</x:v>
      </x:c>
      <x:c r="K66" s="33" t="n">
        <x:v>2</x:v>
      </x:c>
      <x:c r="L66" s="33" t="n">
        <x:v>1</x:v>
      </x:c>
      <x:c r="M66" s="33" t="str">
        <x:v>REMOVE</x:v>
      </x:c>
      <x:c r="N66" s="31" t="str">
        <x:v>Primary: one via held-out 2→1 removal</x:v>
      </x:c>
      <x:c r="O66" s="33" t="n">
        <x:v>3</x:v>
      </x:c>
      <x:c r="P66" s="31" t="str">
        <x:v>Build the listed count-2 scene.</x:v>
      </x:c>
      <x:c r="Q66" s="31" t="str">
        <x:v>The goal word one is trained, and this 2→1 trajectory is trained under a direct instruction, but the combination is withheld.</x:v>
      </x:c>
      <x:c r="R66" s="31" t="str"/>
    </x:row>
    <x:row r="67" ht="46.5" customHeight="1">
      <x:c r="A67" s="32" t="str">
        <x:v>Not collected</x:v>
      </x:c>
      <x:c r="B67" s="34" t="n">
        <x:v>65</x:v>
      </x:c>
      <x:c r="C67" s="32" t="str">
        <x:v>Move the green pencil sharpener from the bowl to the table.</x:v>
      </x:c>
      <x:c r="D67" s="32" t="str">
        <x:v>Bowl objects: [green pencil sharpener, airplane toy without propellers] | Table objects: [blue pen, yellow block]</x:v>
      </x:c>
      <x:c r="E67" s="34" t="n">
        <x:v>64</x:v>
      </x:c>
      <x:c r="F67" s="32" t="str">
        <x:v>REMOVE green pencil sharpener</x:v>
      </x:c>
      <x:c r="G67" s="32" t="str"/>
      <x:c r="H67" s="37" t="str">
        <x:v>Matched manipulation control</x:v>
      </x:c>
      <x:c r="I67" s="32" t="str">
        <x:v>CT-CF07</x:v>
      </x:c>
      <x:c r="J67" s="32" t="str">
        <x:v>CT-CF07-REMOVE</x:v>
      </x:c>
      <x:c r="K67" s="34" t="n">
        <x:v>2</x:v>
      </x:c>
      <x:c r="L67" s="34" t="n">
        <x:v>1</x:v>
      </x:c>
      <x:c r="M67" s="34" t="str">
        <x:v>REMOVE</x:v>
      </x:c>
      <x:c r="N67" s="32" t="str">
        <x:v>Matched direct REMOVE control</x:v>
      </x:c>
      <x:c r="O67" s="34" t="n">
        <x:v>3</x:v>
      </x:c>
      <x:c r="P67" s="32" t="str">
        <x:v>Reset the exact count-2 scene; change only the prompt.</x:v>
      </x:c>
      <x:c r="Q67" s="32" t="str">
        <x:v>The direct prompt is present in Counting training for this same-task object and action direction.</x:v>
      </x:c>
      <x:c r="R67" s="32" t="str"/>
    </x:row>
    <x:row r="68" ht="46.5" customHeight="1">
      <x:c r="A68" s="31" t="str">
        <x:v>Not collected</x:v>
      </x:c>
      <x:c r="B68" s="33" t="n">
        <x:v>66</x:v>
      </x:c>
      <x:c r="C68" s="31" t="str">
        <x:v>Move the blue pen into the bowl.</x:v>
      </x:c>
      <x:c r="D68" s="31" t="str">
        <x:v>Bowl objects: [green pencil sharpener, airplane toy without propellers] | Table objects: [blue pen, yellow block]</x:v>
      </x:c>
      <x:c r="E68" s="33" t="str"/>
      <x:c r="F68" s="31" t="str">
        <x:v>ADD blue pen</x:v>
      </x:c>
      <x:c r="G68" s="31" t="str"/>
      <x:c r="H68" s="37" t="str">
        <x:v>Matched manipulation control</x:v>
      </x:c>
      <x:c r="I68" s="31" t="str">
        <x:v>CT-CF07</x:v>
      </x:c>
      <x:c r="J68" s="31" t="str">
        <x:v>CT-CF07-ADD</x:v>
      </x:c>
      <x:c r="K68" s="33" t="n">
        <x:v>2</x:v>
      </x:c>
      <x:c r="L68" s="33" t="n">
        <x:v>3</x:v>
      </x:c>
      <x:c r="M68" s="33" t="str">
        <x:v>ADD</x:v>
      </x:c>
      <x:c r="N68" s="31" t="str">
        <x:v>Matched direct ADD control</x:v>
      </x:c>
      <x:c r="O68" s="33" t="n">
        <x:v>3</x:v>
      </x:c>
      <x:c r="P68" s="31" t="str">
        <x:v>Reset the exact count-2 scene; change only the prompt.</x:v>
      </x:c>
      <x:c r="Q68" s="31" t="str">
        <x:v>The direct prompt is present in Counting training for this same-task object and action direction.</x:v>
      </x:c>
      <x:c r="R68" s="31" t="str"/>
    </x:row>
    <x:row r="69" ht="46.5" customHeight="1">
      <x:c r="A69" s="32" t="str">
        <x:v>Not collected</x:v>
      </x:c>
      <x:c r="B69" s="34" t="n">
        <x:v>67</x:v>
      </x:c>
      <x:c r="C69" s="32" t="str">
        <x:v>Leave exactly three objects in the bowl.</x:v>
      </x:c>
      <x:c r="D69" s="32" t="str">
        <x:v>Bowl objects: [green pencil sharpener, airplane toy without propellers] | Table objects: [blue pen, yellow block]</x:v>
      </x:c>
      <x:c r="E69" s="34" t="n">
        <x:v>66</x:v>
      </x:c>
      <x:c r="F69" s="32" t="str">
        <x:v>ADD any one table object; finish with 3 objects in the bowl</x:v>
      </x:c>
      <x:c r="G69" s="32" t="str"/>
      <x:c r="H69" s="36" t="str">
        <x:v>Concept/compositional transfer</x:v>
      </x:c>
      <x:c r="I69" s="32" t="str">
        <x:v>CT-CF07</x:v>
      </x:c>
      <x:c r="J69" s="32" t="str">
        <x:v>CT-CF07-ADD</x:v>
      </x:c>
      <x:c r="K69" s="34" t="n">
        <x:v>2</x:v>
      </x:c>
      <x:c r="L69" s="34" t="n">
        <x:v>3</x:v>
      </x:c>
      <x:c r="M69" s="34" t="str">
        <x:v>ADD</x:v>
      </x:c>
      <x:c r="N69" s="32" t="str">
        <x:v>Primary: three via held-out 2→3 addition</x:v>
      </x:c>
      <x:c r="O69" s="34" t="n">
        <x:v>3</x:v>
      </x:c>
      <x:c r="P69" s="32" t="str">
        <x:v>Reset the exact count-2 scene; change only the prompt.</x:v>
      </x:c>
      <x:c r="Q69" s="32" t="str">
        <x:v>The goal word three is trained, and this 2→3 trajectory is trained under a direct instruction, but the combination is withheld.</x:v>
      </x:c>
      <x:c r="R69" s="32" t="str"/>
    </x:row>
    <x:row r="70" ht="46.5" customHeight="1">
      <x:c r="A70" s="31" t="str">
        <x:v>Not collected</x:v>
      </x:c>
      <x:c r="B70" s="33" t="n">
        <x:v>68</x:v>
      </x:c>
      <x:c r="C70" s="31" t="str">
        <x:v>Leave exactly three objects in the bowl.</x:v>
      </x:c>
      <x:c r="D70" s="31" t="str">
        <x:v>Bowl objects: [airplane toy without propellers, blue pen] | Table objects: [yellow block, green pencil sharpener]</x:v>
      </x:c>
      <x:c r="E70" s="33" t="str"/>
      <x:c r="F70" s="31" t="str">
        <x:v>ADD any one table object; finish with 3 objects in the bowl</x:v>
      </x:c>
      <x:c r="G70" s="31" t="str"/>
      <x:c r="H70" s="36" t="str">
        <x:v>Concept/compositional transfer</x:v>
      </x:c>
      <x:c r="I70" s="31" t="str">
        <x:v>CT-CF08</x:v>
      </x:c>
      <x:c r="J70" s="31" t="str">
        <x:v>CT-CF08-ADD</x:v>
      </x:c>
      <x:c r="K70" s="33" t="n">
        <x:v>2</x:v>
      </x:c>
      <x:c r="L70" s="33" t="n">
        <x:v>3</x:v>
      </x:c>
      <x:c r="M70" s="33" t="str">
        <x:v>ADD</x:v>
      </x:c>
      <x:c r="N70" s="31" t="str">
        <x:v>Primary: three via held-out 2→3 addition</x:v>
      </x:c>
      <x:c r="O70" s="33" t="n">
        <x:v>3</x:v>
      </x:c>
      <x:c r="P70" s="31" t="str">
        <x:v>Reset the exact count-2 scene; change only the prompt.</x:v>
      </x:c>
      <x:c r="Q70" s="31" t="str">
        <x:v>The goal word three is trained, and this 2→3 trajectory is trained under a direct instruction, but the combination is withheld.</x:v>
      </x:c>
      <x:c r="R70" s="31" t="str"/>
    </x:row>
    <x:row r="71" ht="46.5" customHeight="1">
      <x:c r="A71" s="32" t="str">
        <x:v>Not collected</x:v>
      </x:c>
      <x:c r="B71" s="34" t="n">
        <x:v>69</x:v>
      </x:c>
      <x:c r="C71" s="32" t="str">
        <x:v>Move the yellow block into the bowl.</x:v>
      </x:c>
      <x:c r="D71" s="32" t="str">
        <x:v>Bowl objects: [airplane toy without propellers, blue pen] | Table objects: [yellow block, green pencil sharpener]</x:v>
      </x:c>
      <x:c r="E71" s="34" t="n">
        <x:v>68</x:v>
      </x:c>
      <x:c r="F71" s="32" t="str">
        <x:v>ADD yellow block</x:v>
      </x:c>
      <x:c r="G71" s="32" t="str"/>
      <x:c r="H71" s="37" t="str">
        <x:v>Matched manipulation control</x:v>
      </x:c>
      <x:c r="I71" s="32" t="str">
        <x:v>CT-CF08</x:v>
      </x:c>
      <x:c r="J71" s="32" t="str">
        <x:v>CT-CF08-ADD</x:v>
      </x:c>
      <x:c r="K71" s="34" t="n">
        <x:v>2</x:v>
      </x:c>
      <x:c r="L71" s="34" t="n">
        <x:v>3</x:v>
      </x:c>
      <x:c r="M71" s="34" t="str">
        <x:v>ADD</x:v>
      </x:c>
      <x:c r="N71" s="32" t="str">
        <x:v>Matched direct ADD control</x:v>
      </x:c>
      <x:c r="O71" s="34" t="n">
        <x:v>3</x:v>
      </x:c>
      <x:c r="P71" s="32" t="str">
        <x:v>Reset the exact count-2 scene; change only the prompt.</x:v>
      </x:c>
      <x:c r="Q71" s="32" t="str">
        <x:v>The direct prompt is present in Counting training for this same-task object and action direction.</x:v>
      </x:c>
      <x:c r="R71" s="32" t="str"/>
    </x:row>
    <x:row r="72" ht="46.5" customHeight="1">
      <x:c r="A72" s="31" t="str">
        <x:v>Not collected</x:v>
      </x:c>
      <x:c r="B72" s="33" t="n">
        <x:v>70</x:v>
      </x:c>
      <x:c r="C72" s="31" t="str">
        <x:v>Move the airplane toy without propellers from the bowl to the table.</x:v>
      </x:c>
      <x:c r="D72" s="31" t="str">
        <x:v>Bowl objects: [airplane toy without propellers, blue pen] | Table objects: [yellow block, green pencil sharpener]</x:v>
      </x:c>
      <x:c r="E72" s="33" t="str"/>
      <x:c r="F72" s="31" t="str">
        <x:v>REMOVE airplane toy without propellers</x:v>
      </x:c>
      <x:c r="G72" s="31" t="str"/>
      <x:c r="H72" s="37" t="str">
        <x:v>Matched manipulation control</x:v>
      </x:c>
      <x:c r="I72" s="31" t="str">
        <x:v>CT-CF08</x:v>
      </x:c>
      <x:c r="J72" s="31" t="str">
        <x:v>CT-CF08-REMOVE</x:v>
      </x:c>
      <x:c r="K72" s="33" t="n">
        <x:v>2</x:v>
      </x:c>
      <x:c r="L72" s="33" t="n">
        <x:v>1</x:v>
      </x:c>
      <x:c r="M72" s="33" t="str">
        <x:v>REMOVE</x:v>
      </x:c>
      <x:c r="N72" s="31" t="str">
        <x:v>Matched direct REMOVE control</x:v>
      </x:c>
      <x:c r="O72" s="33" t="n">
        <x:v>3</x:v>
      </x:c>
      <x:c r="P72" s="31" t="str">
        <x:v>Reset the exact count-2 scene; change only the prompt.</x:v>
      </x:c>
      <x:c r="Q72" s="31" t="str">
        <x:v>The direct prompt is present in Counting training for this same-task object and action direction.</x:v>
      </x:c>
      <x:c r="R72" s="31" t="str"/>
    </x:row>
    <x:row r="73" ht="46.5" customHeight="1">
      <x:c r="A73" s="32" t="str">
        <x:v>Not collected</x:v>
      </x:c>
      <x:c r="B73" s="34" t="n">
        <x:v>71</x:v>
      </x:c>
      <x:c r="C73" s="32" t="str">
        <x:v>Leave exactly one object in the bowl.</x:v>
      </x:c>
      <x:c r="D73" s="32" t="str">
        <x:v>Bowl objects: [airplane toy without propellers, blue pen] | Table objects: [yellow block, green pencil sharpener]</x:v>
      </x:c>
      <x:c r="E73" s="34" t="n">
        <x:v>70</x:v>
      </x:c>
      <x:c r="F73" s="32" t="str">
        <x:v>REMOVE any one bowl object; finish with 1 object in the bowl</x:v>
      </x:c>
      <x:c r="G73" s="32" t="str"/>
      <x:c r="H73" s="36" t="str">
        <x:v>Concept/compositional transfer</x:v>
      </x:c>
      <x:c r="I73" s="32" t="str">
        <x:v>CT-CF08</x:v>
      </x:c>
      <x:c r="J73" s="32" t="str">
        <x:v>CT-CF08-REMOVE</x:v>
      </x:c>
      <x:c r="K73" s="34" t="n">
        <x:v>2</x:v>
      </x:c>
      <x:c r="L73" s="34" t="n">
        <x:v>1</x:v>
      </x:c>
      <x:c r="M73" s="34" t="str">
        <x:v>REMOVE</x:v>
      </x:c>
      <x:c r="N73" s="32" t="str">
        <x:v>Primary: one via held-out 2→1 removal</x:v>
      </x:c>
      <x:c r="O73" s="34" t="n">
        <x:v>3</x:v>
      </x:c>
      <x:c r="P73" s="32" t="str">
        <x:v>Build the listed count-2 scene.</x:v>
      </x:c>
      <x:c r="Q73" s="32" t="str">
        <x:v>The goal word one is trained, and this 2→1 trajectory is trained under a direct instruction, but the combination is withheld.</x:v>
      </x:c>
      <x:c r="R73" s="32" t="str"/>
    </x:row>
    <x:row r="74" ht="46.5" customHeight="1">
      <x:c r="A74" s="31" t="str">
        <x:v>Not collected</x:v>
      </x:c>
      <x:c r="B74" s="33" t="n">
        <x:v>72</x:v>
      </x:c>
      <x:c r="C74" s="31" t="str">
        <x:v>Leave exactly one object in the bowl.</x:v>
      </x:c>
      <x:c r="D74" s="31" t="str">
        <x:v>Bowl objects: [blue pen, yellow block] | Table objects: [green pencil sharpener, airplane toy without propellers]</x:v>
      </x:c>
      <x:c r="E74" s="33" t="str"/>
      <x:c r="F74" s="31" t="str">
        <x:v>REMOVE any one bowl object; finish with 1 object in the bowl</x:v>
      </x:c>
      <x:c r="G74" s="31" t="str"/>
      <x:c r="H74" s="36" t="str">
        <x:v>Concept/compositional transfer</x:v>
      </x:c>
      <x:c r="I74" s="31" t="str">
        <x:v>CT-CF09</x:v>
      </x:c>
      <x:c r="J74" s="31" t="str">
        <x:v>CT-CF09-REMOVE</x:v>
      </x:c>
      <x:c r="K74" s="33" t="n">
        <x:v>2</x:v>
      </x:c>
      <x:c r="L74" s="33" t="n">
        <x:v>1</x:v>
      </x:c>
      <x:c r="M74" s="33" t="str">
        <x:v>REMOVE</x:v>
      </x:c>
      <x:c r="N74" s="31" t="str">
        <x:v>Primary: one via held-out 2→1 removal</x:v>
      </x:c>
      <x:c r="O74" s="33" t="n">
        <x:v>3</x:v>
      </x:c>
      <x:c r="P74" s="31" t="str">
        <x:v>Build the listed count-2 scene.</x:v>
      </x:c>
      <x:c r="Q74" s="31" t="str">
        <x:v>The goal word one is trained, and this 2→1 trajectory is trained under a direct instruction, but the combination is withheld.</x:v>
      </x:c>
      <x:c r="R74" s="31" t="str"/>
    </x:row>
    <x:row r="75" ht="46.5" customHeight="1">
      <x:c r="A75" s="32" t="str">
        <x:v>Not collected</x:v>
      </x:c>
      <x:c r="B75" s="34" t="n">
        <x:v>73</x:v>
      </x:c>
      <x:c r="C75" s="32" t="str">
        <x:v>Move the blue pen from the bowl to the table.</x:v>
      </x:c>
      <x:c r="D75" s="32" t="str">
        <x:v>Bowl objects: [blue pen, yellow block] | Table objects: [green pencil sharpener, airplane toy without propellers]</x:v>
      </x:c>
      <x:c r="E75" s="34" t="n">
        <x:v>72</x:v>
      </x:c>
      <x:c r="F75" s="32" t="str">
        <x:v>REMOVE blue pen</x:v>
      </x:c>
      <x:c r="G75" s="32" t="str"/>
      <x:c r="H75" s="37" t="str">
        <x:v>Matched manipulation control</x:v>
      </x:c>
      <x:c r="I75" s="32" t="str">
        <x:v>CT-CF09</x:v>
      </x:c>
      <x:c r="J75" s="32" t="str">
        <x:v>CT-CF09-REMOVE</x:v>
      </x:c>
      <x:c r="K75" s="34" t="n">
        <x:v>2</x:v>
      </x:c>
      <x:c r="L75" s="34" t="n">
        <x:v>1</x:v>
      </x:c>
      <x:c r="M75" s="34" t="str">
        <x:v>REMOVE</x:v>
      </x:c>
      <x:c r="N75" s="32" t="str">
        <x:v>Matched direct REMOVE control</x:v>
      </x:c>
      <x:c r="O75" s="34" t="n">
        <x:v>3</x:v>
      </x:c>
      <x:c r="P75" s="32" t="str">
        <x:v>Reset the exact count-2 scene; change only the prompt.</x:v>
      </x:c>
      <x:c r="Q75" s="32" t="str">
        <x:v>The direct prompt is present in Counting training for this same-task object and action direction.</x:v>
      </x:c>
      <x:c r="R75" s="32" t="str"/>
    </x:row>
    <x:row r="76" ht="46.5" customHeight="1">
      <x:c r="A76" s="31" t="str">
        <x:v>Not collected</x:v>
      </x:c>
      <x:c r="B76" s="33" t="n">
        <x:v>74</x:v>
      </x:c>
      <x:c r="C76" s="31" t="str">
        <x:v>Move the green pencil sharpener into the bowl.</x:v>
      </x:c>
      <x:c r="D76" s="31" t="str">
        <x:v>Bowl objects: [blue pen, yellow block] | Table objects: [green pencil sharpener, airplane toy without propellers]</x:v>
      </x:c>
      <x:c r="E76" s="33" t="str"/>
      <x:c r="F76" s="31" t="str">
        <x:v>ADD green pencil sharpener</x:v>
      </x:c>
      <x:c r="G76" s="31" t="str"/>
      <x:c r="H76" s="37" t="str">
        <x:v>Matched manipulation control</x:v>
      </x:c>
      <x:c r="I76" s="31" t="str">
        <x:v>CT-CF09</x:v>
      </x:c>
      <x:c r="J76" s="31" t="str">
        <x:v>CT-CF09-ADD</x:v>
      </x:c>
      <x:c r="K76" s="33" t="n">
        <x:v>2</x:v>
      </x:c>
      <x:c r="L76" s="33" t="n">
        <x:v>3</x:v>
      </x:c>
      <x:c r="M76" s="33" t="str">
        <x:v>ADD</x:v>
      </x:c>
      <x:c r="N76" s="31" t="str">
        <x:v>Matched direct ADD control</x:v>
      </x:c>
      <x:c r="O76" s="33" t="n">
        <x:v>3</x:v>
      </x:c>
      <x:c r="P76" s="31" t="str">
        <x:v>Reset the exact count-2 scene; change only the prompt.</x:v>
      </x:c>
      <x:c r="Q76" s="31" t="str">
        <x:v>The direct prompt is present in Counting training for this same-task object and action direction.</x:v>
      </x:c>
      <x:c r="R76" s="31" t="str"/>
    </x:row>
    <x:row r="77" ht="46.5" customHeight="1">
      <x:c r="A77" s="32" t="str">
        <x:v>Not collected</x:v>
      </x:c>
      <x:c r="B77" s="34" t="n">
        <x:v>75</x:v>
      </x:c>
      <x:c r="C77" s="32" t="str">
        <x:v>Leave exactly three objects in the bowl.</x:v>
      </x:c>
      <x:c r="D77" s="32" t="str">
        <x:v>Bowl objects: [blue pen, yellow block] | Table objects: [green pencil sharpener, airplane toy without propellers]</x:v>
      </x:c>
      <x:c r="E77" s="34" t="n">
        <x:v>74</x:v>
      </x:c>
      <x:c r="F77" s="32" t="str">
        <x:v>ADD any one table object; finish with 3 objects in the bowl</x:v>
      </x:c>
      <x:c r="G77" s="32" t="str"/>
      <x:c r="H77" s="36" t="str">
        <x:v>Concept/compositional transfer</x:v>
      </x:c>
      <x:c r="I77" s="32" t="str">
        <x:v>CT-CF09</x:v>
      </x:c>
      <x:c r="J77" s="32" t="str">
        <x:v>CT-CF09-ADD</x:v>
      </x:c>
      <x:c r="K77" s="34" t="n">
        <x:v>2</x:v>
      </x:c>
      <x:c r="L77" s="34" t="n">
        <x:v>3</x:v>
      </x:c>
      <x:c r="M77" s="34" t="str">
        <x:v>ADD</x:v>
      </x:c>
      <x:c r="N77" s="32" t="str">
        <x:v>Primary: three via held-out 2→3 addition</x:v>
      </x:c>
      <x:c r="O77" s="34" t="n">
        <x:v>3</x:v>
      </x:c>
      <x:c r="P77" s="32" t="str">
        <x:v>Reset the exact count-2 scene; change only the prompt.</x:v>
      </x:c>
      <x:c r="Q77" s="32" t="str">
        <x:v>The goal word three is trained, and this 2→3 trajectory is trained under a direct instruction, but the combination is withheld.</x:v>
      </x:c>
      <x:c r="R77" s="32" t="str"/>
    </x:row>
    <x:row r="78" ht="46.5" customHeight="1">
      <x:c r="A78" s="31" t="str">
        <x:v>Not collected</x:v>
      </x:c>
      <x:c r="B78" s="33" t="n">
        <x:v>76</x:v>
      </x:c>
      <x:c r="C78" s="31" t="str">
        <x:v>Leave exactly three objects in the bowl.</x:v>
      </x:c>
      <x:c r="D78" s="31" t="str">
        <x:v>Bowl objects: [yellow block, blue pen] | Table objects: [green pencil sharpener, airplane toy without propellers]</x:v>
      </x:c>
      <x:c r="E78" s="33" t="str"/>
      <x:c r="F78" s="31" t="str">
        <x:v>ADD any one table object; finish with 3 objects in the bowl</x:v>
      </x:c>
      <x:c r="G78" s="31" t="str"/>
      <x:c r="H78" s="36" t="str">
        <x:v>Concept/compositional transfer</x:v>
      </x:c>
      <x:c r="I78" s="31" t="str">
        <x:v>CT-CF10</x:v>
      </x:c>
      <x:c r="J78" s="31" t="str">
        <x:v>CT-CF10-ADD</x:v>
      </x:c>
      <x:c r="K78" s="33" t="n">
        <x:v>2</x:v>
      </x:c>
      <x:c r="L78" s="33" t="n">
        <x:v>3</x:v>
      </x:c>
      <x:c r="M78" s="33" t="str">
        <x:v>ADD</x:v>
      </x:c>
      <x:c r="N78" s="31" t="str">
        <x:v>Primary: three via held-out 2→3 addition</x:v>
      </x:c>
      <x:c r="O78" s="33" t="n">
        <x:v>3</x:v>
      </x:c>
      <x:c r="P78" s="31" t="str">
        <x:v>Reset the exact count-2 scene; change only the prompt.</x:v>
      </x:c>
      <x:c r="Q78" s="31" t="str">
        <x:v>The goal word three is trained, and this 2→3 trajectory is trained under a direct instruction, but the combination is withheld.</x:v>
      </x:c>
      <x:c r="R78" s="31" t="str"/>
    </x:row>
    <x:row r="79" ht="46.5" customHeight="1">
      <x:c r="A79" s="32" t="str">
        <x:v>Not collected</x:v>
      </x:c>
      <x:c r="B79" s="34" t="n">
        <x:v>77</x:v>
      </x:c>
      <x:c r="C79" s="32" t="str">
        <x:v>Move the airplane toy without propellers into the bowl.</x:v>
      </x:c>
      <x:c r="D79" s="32" t="str">
        <x:v>Bowl objects: [yellow block, blue pen] | Table objects: [green pencil sharpener, airplane toy without propellers]</x:v>
      </x:c>
      <x:c r="E79" s="34" t="n">
        <x:v>76</x:v>
      </x:c>
      <x:c r="F79" s="32" t="str">
        <x:v>ADD airplane toy without propellers</x:v>
      </x:c>
      <x:c r="G79" s="32" t="str"/>
      <x:c r="H79" s="37" t="str">
        <x:v>Matched manipulation control</x:v>
      </x:c>
      <x:c r="I79" s="32" t="str">
        <x:v>CT-CF10</x:v>
      </x:c>
      <x:c r="J79" s="32" t="str">
        <x:v>CT-CF10-ADD</x:v>
      </x:c>
      <x:c r="K79" s="34" t="n">
        <x:v>2</x:v>
      </x:c>
      <x:c r="L79" s="34" t="n">
        <x:v>3</x:v>
      </x:c>
      <x:c r="M79" s="34" t="str">
        <x:v>ADD</x:v>
      </x:c>
      <x:c r="N79" s="32" t="str">
        <x:v>Matched direct ADD control</x:v>
      </x:c>
      <x:c r="O79" s="34" t="n">
        <x:v>3</x:v>
      </x:c>
      <x:c r="P79" s="32" t="str">
        <x:v>Reset the exact count-2 scene; change only the prompt.</x:v>
      </x:c>
      <x:c r="Q79" s="32" t="str">
        <x:v>The direct prompt is present in Counting training for this same-task object and action direction.</x:v>
      </x:c>
      <x:c r="R79" s="32" t="str"/>
    </x:row>
    <x:row r="80" ht="46.5" customHeight="1">
      <x:c r="A80" s="31" t="str">
        <x:v>Not collected</x:v>
      </x:c>
      <x:c r="B80" s="33" t="n">
        <x:v>78</x:v>
      </x:c>
      <x:c r="C80" s="31" t="str">
        <x:v>Move the yellow block from the bowl to the table.</x:v>
      </x:c>
      <x:c r="D80" s="31" t="str">
        <x:v>Bowl objects: [yellow block, blue pen] | Table objects: [green pencil sharpener, airplane toy without propellers]</x:v>
      </x:c>
      <x:c r="E80" s="33" t="str"/>
      <x:c r="F80" s="31" t="str">
        <x:v>REMOVE yellow block</x:v>
      </x:c>
      <x:c r="G80" s="31" t="str"/>
      <x:c r="H80" s="37" t="str">
        <x:v>Matched manipulation control</x:v>
      </x:c>
      <x:c r="I80" s="31" t="str">
        <x:v>CT-CF10</x:v>
      </x:c>
      <x:c r="J80" s="31" t="str">
        <x:v>CT-CF10-REMOVE</x:v>
      </x:c>
      <x:c r="K80" s="33" t="n">
        <x:v>2</x:v>
      </x:c>
      <x:c r="L80" s="33" t="n">
        <x:v>1</x:v>
      </x:c>
      <x:c r="M80" s="33" t="str">
        <x:v>REMOVE</x:v>
      </x:c>
      <x:c r="N80" s="31" t="str">
        <x:v>Matched direct REMOVE control</x:v>
      </x:c>
      <x:c r="O80" s="33" t="n">
        <x:v>3</x:v>
      </x:c>
      <x:c r="P80" s="31" t="str">
        <x:v>Reset the exact count-2 scene; change only the prompt.</x:v>
      </x:c>
      <x:c r="Q80" s="31" t="str">
        <x:v>The direct prompt is present in Counting training for this same-task object and action direction.</x:v>
      </x:c>
      <x:c r="R80" s="31" t="str"/>
    </x:row>
    <x:row r="81" ht="46.5" customHeight="1">
      <x:c r="A81" s="32" t="str">
        <x:v>Not collected</x:v>
      </x:c>
      <x:c r="B81" s="34" t="n">
        <x:v>79</x:v>
      </x:c>
      <x:c r="C81" s="32" t="str">
        <x:v>Leave exactly one object in the bowl.</x:v>
      </x:c>
      <x:c r="D81" s="32" t="str">
        <x:v>Bowl objects: [yellow block, blue pen] | Table objects: [green pencil sharpener, airplane toy without propellers]</x:v>
      </x:c>
      <x:c r="E81" s="34" t="n">
        <x:v>78</x:v>
      </x:c>
      <x:c r="F81" s="32" t="str">
        <x:v>REMOVE any one bowl object; finish with 1 object in the bowl</x:v>
      </x:c>
      <x:c r="G81" s="32" t="str"/>
      <x:c r="H81" s="36" t="str">
        <x:v>Concept/compositional transfer</x:v>
      </x:c>
      <x:c r="I81" s="32" t="str">
        <x:v>CT-CF10</x:v>
      </x:c>
      <x:c r="J81" s="32" t="str">
        <x:v>CT-CF10-REMOVE</x:v>
      </x:c>
      <x:c r="K81" s="34" t="n">
        <x:v>2</x:v>
      </x:c>
      <x:c r="L81" s="34" t="n">
        <x:v>1</x:v>
      </x:c>
      <x:c r="M81" s="34" t="str">
        <x:v>REMOVE</x:v>
      </x:c>
      <x:c r="N81" s="32" t="str">
        <x:v>Primary: one via held-out 2→1 removal</x:v>
      </x:c>
      <x:c r="O81" s="34" t="n">
        <x:v>3</x:v>
      </x:c>
      <x:c r="P81" s="32" t="str">
        <x:v>Build the listed count-2 scene.</x:v>
      </x:c>
      <x:c r="Q81" s="32" t="str">
        <x:v>The goal word one is trained, and this 2→1 trajectory is trained under a direct instruction, but the combination is withheld.</x:v>
      </x:c>
      <x:c r="R81" s="32" t="str"/>
    </x:row>
    <x:row r="82" ht="46.5" customHeight="1">
      <x:c r="A82" s="31" t="str">
        <x:v>Not collected</x:v>
      </x:c>
      <x:c r="B82" s="33" t="n">
        <x:v>80</x:v>
      </x:c>
      <x:c r="C82" s="31" t="str">
        <x:v>Leave exactly one object in the bowl.</x:v>
      </x:c>
      <x:c r="D82" s="31" t="str">
        <x:v>Bowl objects: [green pencil sharpener, airplane toy without propellers] | Table objects: [blue pen, yellow block]</x:v>
      </x:c>
      <x:c r="E82" s="33" t="str"/>
      <x:c r="F82" s="31" t="str">
        <x:v>REMOVE any one bowl object; finish with 1 object in the bowl</x:v>
      </x:c>
      <x:c r="G82" s="31" t="str"/>
      <x:c r="H82" s="36" t="str">
        <x:v>Concept/compositional transfer</x:v>
      </x:c>
      <x:c r="I82" s="31" t="str">
        <x:v>CT-CF11</x:v>
      </x:c>
      <x:c r="J82" s="31" t="str">
        <x:v>CT-CF11-REMOVE</x:v>
      </x:c>
      <x:c r="K82" s="33" t="n">
        <x:v>2</x:v>
      </x:c>
      <x:c r="L82" s="33" t="n">
        <x:v>1</x:v>
      </x:c>
      <x:c r="M82" s="33" t="str">
        <x:v>REMOVE</x:v>
      </x:c>
      <x:c r="N82" s="31" t="str">
        <x:v>Primary: one via held-out 2→1 removal</x:v>
      </x:c>
      <x:c r="O82" s="33" t="n">
        <x:v>4</x:v>
      </x:c>
      <x:c r="P82" s="31" t="str">
        <x:v>Build the listed count-2 scene.</x:v>
      </x:c>
      <x:c r="Q82" s="31" t="str">
        <x:v>The goal word one is trained, and this 2→1 trajectory is trained under a direct instruction, but the combination is withheld.</x:v>
      </x:c>
      <x:c r="R82" s="31" t="str"/>
    </x:row>
    <x:row r="83" ht="46.5" customHeight="1">
      <x:c r="A83" s="32" t="str">
        <x:v>Not collected</x:v>
      </x:c>
      <x:c r="B83" s="34" t="n">
        <x:v>81</x:v>
      </x:c>
      <x:c r="C83" s="32" t="str">
        <x:v>Leave exactly three objects in the bowl.</x:v>
      </x:c>
      <x:c r="D83" s="32" t="str">
        <x:v>Bowl objects: [green pencil sharpener, airplane toy without propellers] | Table objects: [blue pen, yellow block]</x:v>
      </x:c>
      <x:c r="E83" s="34" t="n">
        <x:v>80</x:v>
      </x:c>
      <x:c r="F83" s="32" t="str">
        <x:v>ADD any one table object; finish with 3 objects in the bowl</x:v>
      </x:c>
      <x:c r="G83" s="32" t="str"/>
      <x:c r="H83" s="36" t="str">
        <x:v>Concept/compositional transfer</x:v>
      </x:c>
      <x:c r="I83" s="32" t="str">
        <x:v>CT-CF11</x:v>
      </x:c>
      <x:c r="J83" s="32" t="str">
        <x:v>CT-CF11-ADD</x:v>
      </x:c>
      <x:c r="K83" s="34" t="n">
        <x:v>2</x:v>
      </x:c>
      <x:c r="L83" s="34" t="n">
        <x:v>3</x:v>
      </x:c>
      <x:c r="M83" s="34" t="str">
        <x:v>ADD</x:v>
      </x:c>
      <x:c r="N83" s="32" t="str">
        <x:v>Primary: three via held-out 2→3 addition</x:v>
      </x:c>
      <x:c r="O83" s="34" t="n">
        <x:v>4</x:v>
      </x:c>
      <x:c r="P83" s="32" t="str">
        <x:v>Reset the exact count-2 scene; change only the prompt.</x:v>
      </x:c>
      <x:c r="Q83" s="32" t="str">
        <x:v>The goal word three is trained, and this 2→3 trajectory is trained under a direct instruction, but the combination is withheld.</x:v>
      </x:c>
      <x:c r="R83" s="32" t="str"/>
    </x:row>
    <x:row r="84" ht="46.5" customHeight="1">
      <x:c r="A84" s="31" t="str">
        <x:v>Not collected</x:v>
      </x:c>
      <x:c r="B84" s="33" t="n">
        <x:v>82</x:v>
      </x:c>
      <x:c r="C84" s="31" t="str">
        <x:v>Leave exactly three objects in the bowl.</x:v>
      </x:c>
      <x:c r="D84" s="31" t="str">
        <x:v>Bowl objects: [yellow block, green pencil sharpener] | Table objects: [blue pen, airplane toy without propellers]</x:v>
      </x:c>
      <x:c r="E84" s="33" t="str"/>
      <x:c r="F84" s="31" t="str">
        <x:v>ADD any one table object; finish with 3 objects in the bowl</x:v>
      </x:c>
      <x:c r="G84" s="31" t="str"/>
      <x:c r="H84" s="36" t="str">
        <x:v>Concept/compositional transfer</x:v>
      </x:c>
      <x:c r="I84" s="31" t="str">
        <x:v>CT-CF12</x:v>
      </x:c>
      <x:c r="J84" s="31" t="str">
        <x:v>CT-CF12-ADD</x:v>
      </x:c>
      <x:c r="K84" s="33" t="n">
        <x:v>2</x:v>
      </x:c>
      <x:c r="L84" s="33" t="n">
        <x:v>3</x:v>
      </x:c>
      <x:c r="M84" s="33" t="str">
        <x:v>ADD</x:v>
      </x:c>
      <x:c r="N84" s="31" t="str">
        <x:v>Primary: three via held-out 2→3 addition</x:v>
      </x:c>
      <x:c r="O84" s="33" t="n">
        <x:v>4</x:v>
      </x:c>
      <x:c r="P84" s="31" t="str">
        <x:v>Reset the exact count-2 scene; change only the prompt.</x:v>
      </x:c>
      <x:c r="Q84" s="31" t="str">
        <x:v>The goal word three is trained, and this 2→3 trajectory is trained under a direct instruction, but the combination is withheld.</x:v>
      </x:c>
      <x:c r="R84" s="31" t="str"/>
    </x:row>
    <x:row r="85" ht="46.5" customHeight="1">
      <x:c r="A85" s="32" t="str">
        <x:v>Not collected</x:v>
      </x:c>
      <x:c r="B85" s="34" t="n">
        <x:v>83</x:v>
      </x:c>
      <x:c r="C85" s="32" t="str">
        <x:v>Leave exactly one object in the bowl.</x:v>
      </x:c>
      <x:c r="D85" s="32" t="str">
        <x:v>Bowl objects: [yellow block, green pencil sharpener] | Table objects: [blue pen, airplane toy without propellers]</x:v>
      </x:c>
      <x:c r="E85" s="34" t="n">
        <x:v>82</x:v>
      </x:c>
      <x:c r="F85" s="32" t="str">
        <x:v>REMOVE any one bowl object; finish with 1 object in the bowl</x:v>
      </x:c>
      <x:c r="G85" s="32" t="str"/>
      <x:c r="H85" s="36" t="str">
        <x:v>Concept/compositional transfer</x:v>
      </x:c>
      <x:c r="I85" s="32" t="str">
        <x:v>CT-CF12</x:v>
      </x:c>
      <x:c r="J85" s="32" t="str">
        <x:v>CT-CF12-REMOVE</x:v>
      </x:c>
      <x:c r="K85" s="34" t="n">
        <x:v>2</x:v>
      </x:c>
      <x:c r="L85" s="34" t="n">
        <x:v>1</x:v>
      </x:c>
      <x:c r="M85" s="34" t="str">
        <x:v>REMOVE</x:v>
      </x:c>
      <x:c r="N85" s="32" t="str">
        <x:v>Primary: one via held-out 2→1 removal</x:v>
      </x:c>
      <x:c r="O85" s="34" t="n">
        <x:v>4</x:v>
      </x:c>
      <x:c r="P85" s="32" t="str">
        <x:v>Build the listed count-2 scene.</x:v>
      </x:c>
      <x:c r="Q85" s="32" t="str">
        <x:v>The goal word one is trained, and this 2→1 trajectory is trained under a direct instruction, but the combination is withheld.</x:v>
      </x:c>
      <x:c r="R85" s="32" t="str"/>
    </x:row>
    <x:row r="86" ht="46.5" customHeight="1">
      <x:c r="A86" s="31" t="str">
        <x:v>Not collected</x:v>
      </x:c>
      <x:c r="B86" s="33" t="n">
        <x:v>84</x:v>
      </x:c>
      <x:c r="C86" s="31" t="str">
        <x:v>Leave exactly one object in the bowl.</x:v>
      </x:c>
      <x:c r="D86" s="31" t="str">
        <x:v>Bowl objects: [green pencil sharpener, airplane toy without propellers] | Table objects: [blue pen, yellow block]</x:v>
      </x:c>
      <x:c r="E86" s="33" t="str"/>
      <x:c r="F86" s="31" t="str">
        <x:v>REMOVE any one bowl object; finish with 1 object in the bowl</x:v>
      </x:c>
      <x:c r="G86" s="31" t="str"/>
      <x:c r="H86" s="36" t="str">
        <x:v>Concept/compositional transfer</x:v>
      </x:c>
      <x:c r="I86" s="31" t="str">
        <x:v>CT-CF13</x:v>
      </x:c>
      <x:c r="J86" s="31" t="str">
        <x:v>CT-CF13-REMOVE</x:v>
      </x:c>
      <x:c r="K86" s="33" t="n">
        <x:v>2</x:v>
      </x:c>
      <x:c r="L86" s="33" t="n">
        <x:v>1</x:v>
      </x:c>
      <x:c r="M86" s="33" t="str">
        <x:v>REMOVE</x:v>
      </x:c>
      <x:c r="N86" s="31" t="str">
        <x:v>Primary: one via held-out 2→1 removal</x:v>
      </x:c>
      <x:c r="O86" s="33" t="n">
        <x:v>4</x:v>
      </x:c>
      <x:c r="P86" s="31" t="str">
        <x:v>Build the listed count-2 scene.</x:v>
      </x:c>
      <x:c r="Q86" s="31" t="str">
        <x:v>The goal word one is trained, and this 2→1 trajectory is trained under a direct instruction, but the combination is withheld.</x:v>
      </x:c>
      <x:c r="R86" s="31" t="str"/>
    </x:row>
    <x:row r="87" ht="46.5" customHeight="1">
      <x:c r="A87" s="32" t="str">
        <x:v>Not collected</x:v>
      </x:c>
      <x:c r="B87" s="34" t="n">
        <x:v>85</x:v>
      </x:c>
      <x:c r="C87" s="32" t="str">
        <x:v>Leave exactly three objects in the bowl.</x:v>
      </x:c>
      <x:c r="D87" s="32" t="str">
        <x:v>Bowl objects: [green pencil sharpener, airplane toy without propellers] | Table objects: [blue pen, yellow block]</x:v>
      </x:c>
      <x:c r="E87" s="34" t="n">
        <x:v>84</x:v>
      </x:c>
      <x:c r="F87" s="32" t="str">
        <x:v>ADD any one table object; finish with 3 objects in the bowl</x:v>
      </x:c>
      <x:c r="G87" s="32" t="str"/>
      <x:c r="H87" s="36" t="str">
        <x:v>Concept/compositional transfer</x:v>
      </x:c>
      <x:c r="I87" s="32" t="str">
        <x:v>CT-CF13</x:v>
      </x:c>
      <x:c r="J87" s="32" t="str">
        <x:v>CT-CF13-ADD</x:v>
      </x:c>
      <x:c r="K87" s="34" t="n">
        <x:v>2</x:v>
      </x:c>
      <x:c r="L87" s="34" t="n">
        <x:v>3</x:v>
      </x:c>
      <x:c r="M87" s="34" t="str">
        <x:v>ADD</x:v>
      </x:c>
      <x:c r="N87" s="32" t="str">
        <x:v>Primary: three via held-out 2→3 addition</x:v>
      </x:c>
      <x:c r="O87" s="34" t="n">
        <x:v>4</x:v>
      </x:c>
      <x:c r="P87" s="32" t="str">
        <x:v>Reset the exact count-2 scene; change only the prompt.</x:v>
      </x:c>
      <x:c r="Q87" s="32" t="str">
        <x:v>The goal word three is trained, and this 2→3 trajectory is trained under a direct instruction, but the combination is withheld.</x:v>
      </x:c>
      <x:c r="R87" s="32" t="str"/>
    </x:row>
    <x:row r="88" ht="46.5" customHeight="1">
      <x:c r="A88" s="31" t="str">
        <x:v>Not collected</x:v>
      </x:c>
      <x:c r="B88" s="33" t="n">
        <x:v>86</x:v>
      </x:c>
      <x:c r="C88" s="31" t="str">
        <x:v>Leave exactly three objects in the bowl.</x:v>
      </x:c>
      <x:c r="D88" s="31" t="str">
        <x:v>Bowl objects: [yellow block, green pencil sharpener] | Table objects: [blue pen, airplane toy without propellers]</x:v>
      </x:c>
      <x:c r="E88" s="33" t="str"/>
      <x:c r="F88" s="31" t="str">
        <x:v>ADD any one table object; finish with 3 objects in the bowl</x:v>
      </x:c>
      <x:c r="G88" s="31" t="str"/>
      <x:c r="H88" s="36" t="str">
        <x:v>Concept/compositional transfer</x:v>
      </x:c>
      <x:c r="I88" s="31" t="str">
        <x:v>CT-CF14</x:v>
      </x:c>
      <x:c r="J88" s="31" t="str">
        <x:v>CT-CF14-ADD</x:v>
      </x:c>
      <x:c r="K88" s="33" t="n">
        <x:v>2</x:v>
      </x:c>
      <x:c r="L88" s="33" t="n">
        <x:v>3</x:v>
      </x:c>
      <x:c r="M88" s="33" t="str">
        <x:v>ADD</x:v>
      </x:c>
      <x:c r="N88" s="31" t="str">
        <x:v>Primary: three via held-out 2→3 addition</x:v>
      </x:c>
      <x:c r="O88" s="33" t="n">
        <x:v>4</x:v>
      </x:c>
      <x:c r="P88" s="31" t="str">
        <x:v>Reset the exact count-2 scene; change only the prompt.</x:v>
      </x:c>
      <x:c r="Q88" s="31" t="str">
        <x:v>The goal word three is trained, and this 2→3 trajectory is trained under a direct instruction, but the combination is withheld.</x:v>
      </x:c>
      <x:c r="R88" s="31" t="str"/>
    </x:row>
    <x:row r="89" ht="46.5" customHeight="1">
      <x:c r="A89" s="32" t="str">
        <x:v>Not collected</x:v>
      </x:c>
      <x:c r="B89" s="34" t="n">
        <x:v>87</x:v>
      </x:c>
      <x:c r="C89" s="32" t="str">
        <x:v>Leave exactly one object in the bowl.</x:v>
      </x:c>
      <x:c r="D89" s="32" t="str">
        <x:v>Bowl objects: [yellow block, green pencil sharpener] | Table objects: [blue pen, airplane toy without propellers]</x:v>
      </x:c>
      <x:c r="E89" s="34" t="n">
        <x:v>86</x:v>
      </x:c>
      <x:c r="F89" s="32" t="str">
        <x:v>REMOVE any one bowl object; finish with 1 object in the bowl</x:v>
      </x:c>
      <x:c r="G89" s="32" t="str"/>
      <x:c r="H89" s="36" t="str">
        <x:v>Concept/compositional transfer</x:v>
      </x:c>
      <x:c r="I89" s="32" t="str">
        <x:v>CT-CF14</x:v>
      </x:c>
      <x:c r="J89" s="32" t="str">
        <x:v>CT-CF14-REMOVE</x:v>
      </x:c>
      <x:c r="K89" s="34" t="n">
        <x:v>2</x:v>
      </x:c>
      <x:c r="L89" s="34" t="n">
        <x:v>1</x:v>
      </x:c>
      <x:c r="M89" s="34" t="str">
        <x:v>REMOVE</x:v>
      </x:c>
      <x:c r="N89" s="32" t="str">
        <x:v>Primary: one via held-out 2→1 removal</x:v>
      </x:c>
      <x:c r="O89" s="34" t="n">
        <x:v>4</x:v>
      </x:c>
      <x:c r="P89" s="32" t="str">
        <x:v>Build the listed count-2 scene.</x:v>
      </x:c>
      <x:c r="Q89" s="32" t="str">
        <x:v>The goal word one is trained, and this 2→1 trajectory is trained under a direct instruction, but the combination is withheld.</x:v>
      </x:c>
      <x:c r="R89" s="32" t="str"/>
    </x:row>
    <x:row r="90" ht="46.5" customHeight="1">
      <x:c r="A90" s="31" t="str">
        <x:v>Not collected</x:v>
      </x:c>
      <x:c r="B90" s="33" t="n">
        <x:v>88</x:v>
      </x:c>
      <x:c r="C90" s="31" t="str">
        <x:v>Leave exactly one object in the bowl.</x:v>
      </x:c>
      <x:c r="D90" s="31" t="str">
        <x:v>Bowl objects: [green pencil sharpener, airplane toy without propellers] | Table objects: [blue pen, yellow block]</x:v>
      </x:c>
      <x:c r="E90" s="33" t="str"/>
      <x:c r="F90" s="31" t="str">
        <x:v>REMOVE any one bowl object; finish with 1 object in the bowl</x:v>
      </x:c>
      <x:c r="G90" s="31" t="str"/>
      <x:c r="H90" s="36" t="str">
        <x:v>Concept/compositional transfer</x:v>
      </x:c>
      <x:c r="I90" s="31" t="str">
        <x:v>CT-CF15</x:v>
      </x:c>
      <x:c r="J90" s="31" t="str">
        <x:v>CT-CF15-REMOVE</x:v>
      </x:c>
      <x:c r="K90" s="33" t="n">
        <x:v>2</x:v>
      </x:c>
      <x:c r="L90" s="33" t="n">
        <x:v>1</x:v>
      </x:c>
      <x:c r="M90" s="33" t="str">
        <x:v>REMOVE</x:v>
      </x:c>
      <x:c r="N90" s="31" t="str">
        <x:v>Primary: one via held-out 2→1 removal</x:v>
      </x:c>
      <x:c r="O90" s="33" t="n">
        <x:v>4</x:v>
      </x:c>
      <x:c r="P90" s="31" t="str">
        <x:v>Build the listed count-2 scene.</x:v>
      </x:c>
      <x:c r="Q90" s="31" t="str">
        <x:v>The goal word one is trained, and this 2→1 trajectory is trained under a direct instruction, but the combination is withheld.</x:v>
      </x:c>
      <x:c r="R90" s="31" t="str"/>
    </x:row>
    <x:row r="91" ht="46.5" customHeight="1">
      <x:c r="A91" s="32" t="str">
        <x:v>Not collected</x:v>
      </x:c>
      <x:c r="B91" s="34" t="n">
        <x:v>89</x:v>
      </x:c>
      <x:c r="C91" s="32" t="str">
        <x:v>Leave exactly three objects in the bowl.</x:v>
      </x:c>
      <x:c r="D91" s="32" t="str">
        <x:v>Bowl objects: [green pencil sharpener, airplane toy without propellers] | Table objects: [blue pen, yellow block]</x:v>
      </x:c>
      <x:c r="E91" s="34" t="n">
        <x:v>88</x:v>
      </x:c>
      <x:c r="F91" s="32" t="str">
        <x:v>ADD any one table object; finish with 3 objects in the bowl</x:v>
      </x:c>
      <x:c r="G91" s="32" t="str"/>
      <x:c r="H91" s="36" t="str">
        <x:v>Concept/compositional transfer</x:v>
      </x:c>
      <x:c r="I91" s="32" t="str">
        <x:v>CT-CF15</x:v>
      </x:c>
      <x:c r="J91" s="32" t="str">
        <x:v>CT-CF15-ADD</x:v>
      </x:c>
      <x:c r="K91" s="34" t="n">
        <x:v>2</x:v>
      </x:c>
      <x:c r="L91" s="34" t="n">
        <x:v>3</x:v>
      </x:c>
      <x:c r="M91" s="34" t="str">
        <x:v>ADD</x:v>
      </x:c>
      <x:c r="N91" s="32" t="str">
        <x:v>Primary: three via held-out 2→3 addition</x:v>
      </x:c>
      <x:c r="O91" s="34" t="n">
        <x:v>4</x:v>
      </x:c>
      <x:c r="P91" s="32" t="str">
        <x:v>Reset the exact count-2 scene; change only the prompt.</x:v>
      </x:c>
      <x:c r="Q91" s="32" t="str">
        <x:v>The goal word three is trained, and this 2→3 trajectory is trained under a direct instruction, but the combination is withheld.</x:v>
      </x:c>
      <x:c r="R91" s="32" t="str"/>
    </x:row>
    <x:row r="92" ht="46.5" customHeight="1">
      <x:c r="A92" s="31" t="str">
        <x:v>Not collected</x:v>
      </x:c>
      <x:c r="B92" s="33" t="n">
        <x:v>90</x:v>
      </x:c>
      <x:c r="C92" s="31" t="str">
        <x:v>Leave exactly three objects in the bowl.</x:v>
      </x:c>
      <x:c r="D92" s="31" t="str">
        <x:v>Bowl objects: [yellow block, green pencil sharpener] | Table objects: [blue pen, airplane toy without propellers]</x:v>
      </x:c>
      <x:c r="E92" s="33" t="str"/>
      <x:c r="F92" s="31" t="str">
        <x:v>ADD any one table object; finish with 3 objects in the bowl</x:v>
      </x:c>
      <x:c r="G92" s="31" t="str"/>
      <x:c r="H92" s="36" t="str">
        <x:v>Concept/compositional transfer</x:v>
      </x:c>
      <x:c r="I92" s="31" t="str">
        <x:v>CT-CF16</x:v>
      </x:c>
      <x:c r="J92" s="31" t="str">
        <x:v>CT-CF16-ADD</x:v>
      </x:c>
      <x:c r="K92" s="33" t="n">
        <x:v>2</x:v>
      </x:c>
      <x:c r="L92" s="33" t="n">
        <x:v>3</x:v>
      </x:c>
      <x:c r="M92" s="33" t="str">
        <x:v>ADD</x:v>
      </x:c>
      <x:c r="N92" s="31" t="str">
        <x:v>Primary: three via held-out 2→3 addition</x:v>
      </x:c>
      <x:c r="O92" s="33" t="n">
        <x:v>4</x:v>
      </x:c>
      <x:c r="P92" s="31" t="str">
        <x:v>Reset the exact count-2 scene; change only the prompt.</x:v>
      </x:c>
      <x:c r="Q92" s="31" t="str">
        <x:v>The goal word three is trained, and this 2→3 trajectory is trained under a direct instruction, but the combination is withheld.</x:v>
      </x:c>
      <x:c r="R92" s="31" t="str"/>
    </x:row>
    <x:row r="93" ht="46.5" customHeight="1">
      <x:c r="A93" s="32" t="str">
        <x:v>Not collected</x:v>
      </x:c>
      <x:c r="B93" s="34" t="n">
        <x:v>91</x:v>
      </x:c>
      <x:c r="C93" s="32" t="str">
        <x:v>Leave exactly one object in the bowl.</x:v>
      </x:c>
      <x:c r="D93" s="32" t="str">
        <x:v>Bowl objects: [yellow block, green pencil sharpener] | Table objects: [blue pen, airplane toy without propellers]</x:v>
      </x:c>
      <x:c r="E93" s="34" t="n">
        <x:v>90</x:v>
      </x:c>
      <x:c r="F93" s="32" t="str">
        <x:v>REMOVE any one bowl object; finish with 1 object in the bowl</x:v>
      </x:c>
      <x:c r="G93" s="32" t="str"/>
      <x:c r="H93" s="36" t="str">
        <x:v>Concept/compositional transfer</x:v>
      </x:c>
      <x:c r="I93" s="32" t="str">
        <x:v>CT-CF16</x:v>
      </x:c>
      <x:c r="J93" s="32" t="str">
        <x:v>CT-CF16-REMOVE</x:v>
      </x:c>
      <x:c r="K93" s="34" t="n">
        <x:v>2</x:v>
      </x:c>
      <x:c r="L93" s="34" t="n">
        <x:v>1</x:v>
      </x:c>
      <x:c r="M93" s="34" t="str">
        <x:v>REMOVE</x:v>
      </x:c>
      <x:c r="N93" s="32" t="str">
        <x:v>Primary: one via held-out 2→1 removal</x:v>
      </x:c>
      <x:c r="O93" s="34" t="n">
        <x:v>4</x:v>
      </x:c>
      <x:c r="P93" s="32" t="str">
        <x:v>Build the listed count-2 scene.</x:v>
      </x:c>
      <x:c r="Q93" s="32" t="str">
        <x:v>The goal word one is trained, and this 2→1 trajectory is trained under a direct instruction, but the combination is withheld.</x:v>
      </x:c>
      <x:c r="R93" s="32" t="str"/>
    </x:row>
    <x:row r="94" ht="46.5" customHeight="1">
      <x:c r="A94" s="31" t="str">
        <x:v>Not collected</x:v>
      </x:c>
      <x:c r="B94" s="33" t="n">
        <x:v>92</x:v>
      </x:c>
      <x:c r="C94" s="31" t="str">
        <x:v>Leave exactly one object in the bowl.</x:v>
      </x:c>
      <x:c r="D94" s="31" t="str">
        <x:v>Bowl objects: [blue pen, airplane toy without propellers] | Table objects: [yellow block, green pencil sharpener]</x:v>
      </x:c>
      <x:c r="E94" s="33" t="str"/>
      <x:c r="F94" s="31" t="str">
        <x:v>REMOVE any one bowl object; finish with 1 object in the bowl</x:v>
      </x:c>
      <x:c r="G94" s="31" t="str"/>
      <x:c r="H94" s="36" t="str">
        <x:v>Concept/compositional transfer</x:v>
      </x:c>
      <x:c r="I94" s="31" t="str">
        <x:v>CT-CF17</x:v>
      </x:c>
      <x:c r="J94" s="31" t="str">
        <x:v>CT-CF17-REMOVE</x:v>
      </x:c>
      <x:c r="K94" s="33" t="n">
        <x:v>2</x:v>
      </x:c>
      <x:c r="L94" s="33" t="n">
        <x:v>1</x:v>
      </x:c>
      <x:c r="M94" s="33" t="str">
        <x:v>REMOVE</x:v>
      </x:c>
      <x:c r="N94" s="31" t="str">
        <x:v>Primary: one via held-out 2→1 removal</x:v>
      </x:c>
      <x:c r="O94" s="33" t="n">
        <x:v>4</x:v>
      </x:c>
      <x:c r="P94" s="31" t="str">
        <x:v>Build the listed count-2 scene.</x:v>
      </x:c>
      <x:c r="Q94" s="31" t="str">
        <x:v>The goal word one is trained, and this 2→1 trajectory is trained under a direct instruction, but the combination is withheld.</x:v>
      </x:c>
      <x:c r="R94" s="31" t="str"/>
    </x:row>
    <x:row r="95" ht="46.5" customHeight="1">
      <x:c r="A95" s="32" t="str">
        <x:v>Not collected</x:v>
      </x:c>
      <x:c r="B95" s="34" t="n">
        <x:v>93</x:v>
      </x:c>
      <x:c r="C95" s="32" t="str">
        <x:v>Leave exactly three objects in the bowl.</x:v>
      </x:c>
      <x:c r="D95" s="32" t="str">
        <x:v>Bowl objects: [blue pen, airplane toy without propellers] | Table objects: [yellow block, green pencil sharpener]</x:v>
      </x:c>
      <x:c r="E95" s="34" t="n">
        <x:v>92</x:v>
      </x:c>
      <x:c r="F95" s="32" t="str">
        <x:v>ADD any one table object; finish with 3 objects in the bowl</x:v>
      </x:c>
      <x:c r="G95" s="32" t="str"/>
      <x:c r="H95" s="36" t="str">
        <x:v>Concept/compositional transfer</x:v>
      </x:c>
      <x:c r="I95" s="32" t="str">
        <x:v>CT-CF17</x:v>
      </x:c>
      <x:c r="J95" s="32" t="str">
        <x:v>CT-CF17-ADD</x:v>
      </x:c>
      <x:c r="K95" s="34" t="n">
        <x:v>2</x:v>
      </x:c>
      <x:c r="L95" s="34" t="n">
        <x:v>3</x:v>
      </x:c>
      <x:c r="M95" s="34" t="str">
        <x:v>ADD</x:v>
      </x:c>
      <x:c r="N95" s="32" t="str">
        <x:v>Primary: three via held-out 2→3 addition</x:v>
      </x:c>
      <x:c r="O95" s="34" t="n">
        <x:v>4</x:v>
      </x:c>
      <x:c r="P95" s="32" t="str">
        <x:v>Reset the exact count-2 scene; change only the prompt.</x:v>
      </x:c>
      <x:c r="Q95" s="32" t="str">
        <x:v>The goal word three is trained, and this 2→3 trajectory is trained under a direct instruction, but the combination is withheld.</x:v>
      </x:c>
      <x:c r="R95" s="32" t="str"/>
    </x:row>
    <x:row r="96" ht="46.5" customHeight="1">
      <x:c r="A96" s="31" t="str">
        <x:v>Not collected</x:v>
      </x:c>
      <x:c r="B96" s="33" t="n">
        <x:v>94</x:v>
      </x:c>
      <x:c r="C96" s="31" t="str">
        <x:v>Leave exactly three objects in the bowl.</x:v>
      </x:c>
      <x:c r="D96" s="31" t="str">
        <x:v>Bowl objects: [yellow block, green pencil sharpener] | Table objects: [blue pen, airplane toy without propellers]</x:v>
      </x:c>
      <x:c r="E96" s="33" t="str"/>
      <x:c r="F96" s="31" t="str">
        <x:v>ADD any one table object; finish with 3 objects in the bowl</x:v>
      </x:c>
      <x:c r="G96" s="31" t="str"/>
      <x:c r="H96" s="36" t="str">
        <x:v>Concept/compositional transfer</x:v>
      </x:c>
      <x:c r="I96" s="31" t="str">
        <x:v>CT-CF18</x:v>
      </x:c>
      <x:c r="J96" s="31" t="str">
        <x:v>CT-CF18-ADD</x:v>
      </x:c>
      <x:c r="K96" s="33" t="n">
        <x:v>2</x:v>
      </x:c>
      <x:c r="L96" s="33" t="n">
        <x:v>3</x:v>
      </x:c>
      <x:c r="M96" s="33" t="str">
        <x:v>ADD</x:v>
      </x:c>
      <x:c r="N96" s="31" t="str">
        <x:v>Primary: three via held-out 2→3 addition</x:v>
      </x:c>
      <x:c r="O96" s="33" t="n">
        <x:v>4</x:v>
      </x:c>
      <x:c r="P96" s="31" t="str">
        <x:v>Reset the exact count-2 scene; change only the prompt.</x:v>
      </x:c>
      <x:c r="Q96" s="31" t="str">
        <x:v>The goal word three is trained, and this 2→3 trajectory is trained under a direct instruction, but the combination is withheld.</x:v>
      </x:c>
      <x:c r="R96" s="31" t="str"/>
    </x:row>
    <x:row r="97" ht="46.5" customHeight="1">
      <x:c r="A97" s="32" t="str">
        <x:v>Not collected</x:v>
      </x:c>
      <x:c r="B97" s="34" t="n">
        <x:v>95</x:v>
      </x:c>
      <x:c r="C97" s="32" t="str">
        <x:v>Leave exactly one object in the bowl.</x:v>
      </x:c>
      <x:c r="D97" s="32" t="str">
        <x:v>Bowl objects: [yellow block, green pencil sharpener] | Table objects: [blue pen, airplane toy without propellers]</x:v>
      </x:c>
      <x:c r="E97" s="34" t="n">
        <x:v>94</x:v>
      </x:c>
      <x:c r="F97" s="32" t="str">
        <x:v>REMOVE any one bowl object; finish with 1 object in the bowl</x:v>
      </x:c>
      <x:c r="G97" s="32" t="str"/>
      <x:c r="H97" s="36" t="str">
        <x:v>Concept/compositional transfer</x:v>
      </x:c>
      <x:c r="I97" s="32" t="str">
        <x:v>CT-CF18</x:v>
      </x:c>
      <x:c r="J97" s="32" t="str">
        <x:v>CT-CF18-REMOVE</x:v>
      </x:c>
      <x:c r="K97" s="34" t="n">
        <x:v>2</x:v>
      </x:c>
      <x:c r="L97" s="34" t="n">
        <x:v>1</x:v>
      </x:c>
      <x:c r="M97" s="34" t="str">
        <x:v>REMOVE</x:v>
      </x:c>
      <x:c r="N97" s="32" t="str">
        <x:v>Primary: one via held-out 2→1 removal</x:v>
      </x:c>
      <x:c r="O97" s="34" t="n">
        <x:v>4</x:v>
      </x:c>
      <x:c r="P97" s="32" t="str">
        <x:v>Build the listed count-2 scene.</x:v>
      </x:c>
      <x:c r="Q97" s="32" t="str">
        <x:v>The goal word one is trained, and this 2→1 trajectory is trained under a direct instruction, but the combination is withheld.</x:v>
      </x:c>
      <x:c r="R97" s="32" t="str"/>
    </x:row>
    <x:row r="98" ht="46.5" customHeight="1">
      <x:c r="A98" s="31" t="str">
        <x:v>Not collected</x:v>
      </x:c>
      <x:c r="B98" s="33" t="n">
        <x:v>96</x:v>
      </x:c>
      <x:c r="C98" s="31" t="str">
        <x:v>Leave exactly one object in the bowl.</x:v>
      </x:c>
      <x:c r="D98" s="31" t="str">
        <x:v>Bowl objects: [blue pen, green pencil sharpener] | Table objects: [yellow block, airplane toy without propellers]</x:v>
      </x:c>
      <x:c r="E98" s="33" t="str"/>
      <x:c r="F98" s="31" t="str">
        <x:v>REMOVE any one bowl object; finish with 1 object in the bowl</x:v>
      </x:c>
      <x:c r="G98" s="31" t="str"/>
      <x:c r="H98" s="36" t="str">
        <x:v>Concept/compositional transfer</x:v>
      </x:c>
      <x:c r="I98" s="31" t="str">
        <x:v>CT-CF19</x:v>
      </x:c>
      <x:c r="J98" s="31" t="str">
        <x:v>CT-CF19-REMOVE</x:v>
      </x:c>
      <x:c r="K98" s="33" t="n">
        <x:v>2</x:v>
      </x:c>
      <x:c r="L98" s="33" t="n">
        <x:v>1</x:v>
      </x:c>
      <x:c r="M98" s="33" t="str">
        <x:v>REMOVE</x:v>
      </x:c>
      <x:c r="N98" s="31" t="str">
        <x:v>Primary: one via held-out 2→1 removal</x:v>
      </x:c>
      <x:c r="O98" s="33" t="n">
        <x:v>4</x:v>
      </x:c>
      <x:c r="P98" s="31" t="str">
        <x:v>Build the listed count-2 scene.</x:v>
      </x:c>
      <x:c r="Q98" s="31" t="str">
        <x:v>The goal word one is trained, and this 2→1 trajectory is trained under a direct instruction, but the combination is withheld.</x:v>
      </x:c>
      <x:c r="R98" s="31" t="str"/>
    </x:row>
    <x:row r="99" ht="46.5" customHeight="1">
      <x:c r="A99" s="32" t="str">
        <x:v>Not collected</x:v>
      </x:c>
      <x:c r="B99" s="34" t="n">
        <x:v>97</x:v>
      </x:c>
      <x:c r="C99" s="32" t="str">
        <x:v>Leave exactly three objects in the bowl.</x:v>
      </x:c>
      <x:c r="D99" s="32" t="str">
        <x:v>Bowl objects: [blue pen, green pencil sharpener] | Table objects: [yellow block, airplane toy without propellers]</x:v>
      </x:c>
      <x:c r="E99" s="34" t="n">
        <x:v>96</x:v>
      </x:c>
      <x:c r="F99" s="32" t="str">
        <x:v>ADD any one table object; finish with 3 objects in the bowl</x:v>
      </x:c>
      <x:c r="G99" s="32" t="str"/>
      <x:c r="H99" s="36" t="str">
        <x:v>Concept/compositional transfer</x:v>
      </x:c>
      <x:c r="I99" s="32" t="str">
        <x:v>CT-CF19</x:v>
      </x:c>
      <x:c r="J99" s="32" t="str">
        <x:v>CT-CF19-ADD</x:v>
      </x:c>
      <x:c r="K99" s="34" t="n">
        <x:v>2</x:v>
      </x:c>
      <x:c r="L99" s="34" t="n">
        <x:v>3</x:v>
      </x:c>
      <x:c r="M99" s="34" t="str">
        <x:v>ADD</x:v>
      </x:c>
      <x:c r="N99" s="32" t="str">
        <x:v>Primary: three via held-out 2→3 addition</x:v>
      </x:c>
      <x:c r="O99" s="34" t="n">
        <x:v>4</x:v>
      </x:c>
      <x:c r="P99" s="32" t="str">
        <x:v>Reset the exact count-2 scene; change only the prompt.</x:v>
      </x:c>
      <x:c r="Q99" s="32" t="str">
        <x:v>The goal word three is trained, and this 2→3 trajectory is trained under a direct instruction, but the combination is withheld.</x:v>
      </x:c>
      <x:c r="R99" s="32" t="str"/>
    </x:row>
    <x:row r="100" ht="46.5" customHeight="1">
      <x:c r="A100" s="31" t="str">
        <x:v>Not collected</x:v>
      </x:c>
      <x:c r="B100" s="33" t="n">
        <x:v>98</x:v>
      </x:c>
      <x:c r="C100" s="31" t="str">
        <x:v>Leave exactly three objects in the bowl.</x:v>
      </x:c>
      <x:c r="D100" s="31" t="str">
        <x:v>Bowl objects: [yellow block, airplane toy without propellers] | Table objects: [blue pen, green pencil sharpener]</x:v>
      </x:c>
      <x:c r="E100" s="33" t="str"/>
      <x:c r="F100" s="31" t="str">
        <x:v>ADD any one table object; finish with 3 objects in the bowl</x:v>
      </x:c>
      <x:c r="G100" s="31" t="str"/>
      <x:c r="H100" s="36" t="str">
        <x:v>Concept/compositional transfer</x:v>
      </x:c>
      <x:c r="I100" s="31" t="str">
        <x:v>CT-CF20</x:v>
      </x:c>
      <x:c r="J100" s="31" t="str">
        <x:v>CT-CF20-ADD</x:v>
      </x:c>
      <x:c r="K100" s="33" t="n">
        <x:v>2</x:v>
      </x:c>
      <x:c r="L100" s="33" t="n">
        <x:v>3</x:v>
      </x:c>
      <x:c r="M100" s="33" t="str">
        <x:v>ADD</x:v>
      </x:c>
      <x:c r="N100" s="31" t="str">
        <x:v>Primary: three via held-out 2→3 addition</x:v>
      </x:c>
      <x:c r="O100" s="33" t="n">
        <x:v>4</x:v>
      </x:c>
      <x:c r="P100" s="31" t="str">
        <x:v>Reset the exact count-2 scene; change only the prompt.</x:v>
      </x:c>
      <x:c r="Q100" s="31" t="str">
        <x:v>The goal word three is trained, and this 2→3 trajectory is trained under a direct instruction, but the combination is withheld.</x:v>
      </x:c>
      <x:c r="R100" s="31" t="str"/>
    </x:row>
    <x:row r="101" ht="46.5" customHeight="1">
      <x:c r="A101" s="32" t="str">
        <x:v>Not collected</x:v>
      </x:c>
      <x:c r="B101" s="34" t="n">
        <x:v>99</x:v>
      </x:c>
      <x:c r="C101" s="32" t="str">
        <x:v>Leave exactly one object in the bowl.</x:v>
      </x:c>
      <x:c r="D101" s="32" t="str">
        <x:v>Bowl objects: [yellow block, airplane toy without propellers] | Table objects: [blue pen, green pencil sharpener]</x:v>
      </x:c>
      <x:c r="E101" s="34" t="n">
        <x:v>98</x:v>
      </x:c>
      <x:c r="F101" s="32" t="str">
        <x:v>REMOVE any one bowl object; finish with 1 object in the bowl</x:v>
      </x:c>
      <x:c r="G101" s="32" t="str"/>
      <x:c r="H101" s="36" t="str">
        <x:v>Concept/compositional transfer</x:v>
      </x:c>
      <x:c r="I101" s="32" t="str">
        <x:v>CT-CF20</x:v>
      </x:c>
      <x:c r="J101" s="32" t="str">
        <x:v>CT-CF20-REMOVE</x:v>
      </x:c>
      <x:c r="K101" s="34" t="n">
        <x:v>2</x:v>
      </x:c>
      <x:c r="L101" s="34" t="n">
        <x:v>1</x:v>
      </x:c>
      <x:c r="M101" s="34" t="str">
        <x:v>REMOVE</x:v>
      </x:c>
      <x:c r="N101" s="32" t="str">
        <x:v>Primary: one via held-out 2→1 removal</x:v>
      </x:c>
      <x:c r="O101" s="34" t="n">
        <x:v>4</x:v>
      </x:c>
      <x:c r="P101" s="32" t="str">
        <x:v>Build the listed count-2 scene.</x:v>
      </x:c>
      <x:c r="Q101" s="32" t="str">
        <x:v>The goal word one is trained, and this 2→1 trajectory is trained under a direct instruction, but the combination is withheld.</x:v>
      </x:c>
      <x:c r="R101" s="32" t="str"/>
    </x:row>
    <x:row r="102" ht="46.5" customHeight="1">
      <x:c r="A102" s="31" t="str">
        <x:v>Not collected</x:v>
      </x:c>
      <x:c r="B102" s="33" t="n">
        <x:v>100</x:v>
      </x:c>
      <x:c r="C102" s="31" t="str">
        <x:v>Leave exactly one object in the bowl.</x:v>
      </x:c>
      <x:c r="D102" s="31" t="str">
        <x:v>Bowl objects: [blue pen, yellow block] | Table objects: [green pencil sharpener, airplane toy without propellers]</x:v>
      </x:c>
      <x:c r="E102" s="33" t="str"/>
      <x:c r="F102" s="31" t="str">
        <x:v>REMOVE any one bowl object; finish with 1 object in the bowl</x:v>
      </x:c>
      <x:c r="G102" s="31" t="str"/>
      <x:c r="H102" s="36" t="str">
        <x:v>Concept/compositional transfer</x:v>
      </x:c>
      <x:c r="I102" s="31" t="str">
        <x:v>CT-CF21</x:v>
      </x:c>
      <x:c r="J102" s="31" t="str">
        <x:v>CT-CF21-REMOVE</x:v>
      </x:c>
      <x:c r="K102" s="33" t="n">
        <x:v>2</x:v>
      </x:c>
      <x:c r="L102" s="33" t="n">
        <x:v>1</x:v>
      </x:c>
      <x:c r="M102" s="33" t="str">
        <x:v>REMOVE</x:v>
      </x:c>
      <x:c r="N102" s="31" t="str">
        <x:v>Primary: one via held-out 2→1 removal</x:v>
      </x:c>
      <x:c r="O102" s="33" t="n">
        <x:v>4</x:v>
      </x:c>
      <x:c r="P102" s="31" t="str">
        <x:v>Build the listed count-2 scene.</x:v>
      </x:c>
      <x:c r="Q102" s="31" t="str">
        <x:v>The goal word one is trained, and this 2→1 trajectory is trained under a direct instruction, but the combination is withheld.</x:v>
      </x:c>
      <x:c r="R102" s="31" t="str"/>
    </x:row>
    <x:row r="103" ht="46.5" customHeight="1">
      <x:c r="A103" s="32" t="str">
        <x:v>Not collected</x:v>
      </x:c>
      <x:c r="B103" s="34" t="n">
        <x:v>101</x:v>
      </x:c>
      <x:c r="C103" s="32" t="str">
        <x:v>Leave exactly three objects in the bowl.</x:v>
      </x:c>
      <x:c r="D103" s="32" t="str">
        <x:v>Bowl objects: [blue pen, yellow block] | Table objects: [green pencil sharpener, airplane toy without propellers]</x:v>
      </x:c>
      <x:c r="E103" s="34" t="n">
        <x:v>100</x:v>
      </x:c>
      <x:c r="F103" s="32" t="str">
        <x:v>ADD any one table object; finish with 3 objects in the bowl</x:v>
      </x:c>
      <x:c r="G103" s="32" t="str"/>
      <x:c r="H103" s="36" t="str">
        <x:v>Concept/compositional transfer</x:v>
      </x:c>
      <x:c r="I103" s="32" t="str">
        <x:v>CT-CF21</x:v>
      </x:c>
      <x:c r="J103" s="32" t="str">
        <x:v>CT-CF21-ADD</x:v>
      </x:c>
      <x:c r="K103" s="34" t="n">
        <x:v>2</x:v>
      </x:c>
      <x:c r="L103" s="34" t="n">
        <x:v>3</x:v>
      </x:c>
      <x:c r="M103" s="34" t="str">
        <x:v>ADD</x:v>
      </x:c>
      <x:c r="N103" s="32" t="str">
        <x:v>Primary: three via held-out 2→3 addition</x:v>
      </x:c>
      <x:c r="O103" s="34" t="n">
        <x:v>4</x:v>
      </x:c>
      <x:c r="P103" s="32" t="str">
        <x:v>Reset the exact count-2 scene; change only the prompt.</x:v>
      </x:c>
      <x:c r="Q103" s="32" t="str">
        <x:v>The goal word three is trained, and this 2→3 trajectory is trained under a direct instruction, but the combination is withheld.</x:v>
      </x:c>
      <x:c r="R103" s="32" t="str"/>
    </x:row>
    <x:row r="104" ht="46.5" customHeight="1">
      <x:c r="A104" s="31" t="str">
        <x:v>Not collected</x:v>
      </x:c>
      <x:c r="B104" s="33" t="n">
        <x:v>102</x:v>
      </x:c>
      <x:c r="C104" s="31" t="str">
        <x:v>Leave exactly three objects in the bowl.</x:v>
      </x:c>
      <x:c r="D104" s="31" t="str">
        <x:v>Bowl objects: [green pencil sharpener, airplane toy without propellers] | Table objects: [blue pen, yellow block]</x:v>
      </x:c>
      <x:c r="E104" s="33" t="str"/>
      <x:c r="F104" s="31" t="str">
        <x:v>ADD any one table object; finish with 3 objects in the bowl</x:v>
      </x:c>
      <x:c r="G104" s="31" t="str"/>
      <x:c r="H104" s="36" t="str">
        <x:v>Concept/compositional transfer</x:v>
      </x:c>
      <x:c r="I104" s="31" t="str">
        <x:v>CT-CF22</x:v>
      </x:c>
      <x:c r="J104" s="31" t="str">
        <x:v>CT-CF22-ADD</x:v>
      </x:c>
      <x:c r="K104" s="33" t="n">
        <x:v>2</x:v>
      </x:c>
      <x:c r="L104" s="33" t="n">
        <x:v>3</x:v>
      </x:c>
      <x:c r="M104" s="33" t="str">
        <x:v>ADD</x:v>
      </x:c>
      <x:c r="N104" s="31" t="str">
        <x:v>Primary: three via held-out 2→3 addition</x:v>
      </x:c>
      <x:c r="O104" s="33" t="n">
        <x:v>4</x:v>
      </x:c>
      <x:c r="P104" s="31" t="str">
        <x:v>Reset the exact count-2 scene; change only the prompt.</x:v>
      </x:c>
      <x:c r="Q104" s="31" t="str">
        <x:v>The goal word three is trained, and this 2→3 trajectory is trained under a direct instruction, but the combination is withheld.</x:v>
      </x:c>
      <x:c r="R104" s="31" t="str"/>
    </x:row>
    <x:row r="105" ht="46.5" customHeight="1">
      <x:c r="A105" s="32" t="str">
        <x:v>Not collected</x:v>
      </x:c>
      <x:c r="B105" s="34" t="n">
        <x:v>103</x:v>
      </x:c>
      <x:c r="C105" s="32" t="str">
        <x:v>Leave exactly one object in the bowl.</x:v>
      </x:c>
      <x:c r="D105" s="32" t="str">
        <x:v>Bowl objects: [green pencil sharpener, airplane toy without propellers] | Table objects: [blue pen, yellow block]</x:v>
      </x:c>
      <x:c r="E105" s="34" t="n">
        <x:v>102</x:v>
      </x:c>
      <x:c r="F105" s="32" t="str">
        <x:v>REMOVE any one bowl object; finish with 1 object in the bowl</x:v>
      </x:c>
      <x:c r="G105" s="32" t="str"/>
      <x:c r="H105" s="36" t="str">
        <x:v>Concept/compositional transfer</x:v>
      </x:c>
      <x:c r="I105" s="32" t="str">
        <x:v>CT-CF22</x:v>
      </x:c>
      <x:c r="J105" s="32" t="str">
        <x:v>CT-CF22-REMOVE</x:v>
      </x:c>
      <x:c r="K105" s="34" t="n">
        <x:v>2</x:v>
      </x:c>
      <x:c r="L105" s="34" t="n">
        <x:v>1</x:v>
      </x:c>
      <x:c r="M105" s="34" t="str">
        <x:v>REMOVE</x:v>
      </x:c>
      <x:c r="N105" s="32" t="str">
        <x:v>Primary: one via held-out 2→1 removal</x:v>
      </x:c>
      <x:c r="O105" s="34" t="n">
        <x:v>4</x:v>
      </x:c>
      <x:c r="P105" s="32" t="str">
        <x:v>Build the listed count-2 scene.</x:v>
      </x:c>
      <x:c r="Q105" s="32" t="str">
        <x:v>The goal word one is trained, and this 2→1 trajectory is trained under a direct instruction, but the combination is withheld.</x:v>
      </x:c>
      <x:c r="R105" s="32" t="str"/>
    </x:row>
    <x:row r="106" ht="46.5" customHeight="1">
      <x:c r="A106" s="31" t="str">
        <x:v>Not collected</x:v>
      </x:c>
      <x:c r="B106" s="33" t="n">
        <x:v>104</x:v>
      </x:c>
      <x:c r="C106" s="31" t="str">
        <x:v>Leave exactly one object in the bowl.</x:v>
      </x:c>
      <x:c r="D106" s="31" t="str">
        <x:v>Bowl objects: [blue pen, airplane toy without propellers] | Table objects: [yellow block, green pencil sharpener]</x:v>
      </x:c>
      <x:c r="E106" s="33" t="str"/>
      <x:c r="F106" s="31" t="str">
        <x:v>REMOVE any one bowl object; finish with 1 object in the bowl</x:v>
      </x:c>
      <x:c r="G106" s="31" t="str"/>
      <x:c r="H106" s="36" t="str">
        <x:v>Concept/compositional transfer</x:v>
      </x:c>
      <x:c r="I106" s="31" t="str">
        <x:v>CT-CF23</x:v>
      </x:c>
      <x:c r="J106" s="31" t="str">
        <x:v>CT-CF23-REMOVE</x:v>
      </x:c>
      <x:c r="K106" s="33" t="n">
        <x:v>2</x:v>
      </x:c>
      <x:c r="L106" s="33" t="n">
        <x:v>1</x:v>
      </x:c>
      <x:c r="M106" s="33" t="str">
        <x:v>REMOVE</x:v>
      </x:c>
      <x:c r="N106" s="31" t="str">
        <x:v>Primary: one via held-out 2→1 removal</x:v>
      </x:c>
      <x:c r="O106" s="33" t="n">
        <x:v>4</x:v>
      </x:c>
      <x:c r="P106" s="31" t="str">
        <x:v>Build the listed count-2 scene.</x:v>
      </x:c>
      <x:c r="Q106" s="31" t="str">
        <x:v>The goal word one is trained, and this 2→1 trajectory is trained under a direct instruction, but the combination is withheld.</x:v>
      </x:c>
      <x:c r="R106" s="31" t="str"/>
    </x:row>
    <x:row r="107" ht="46.5" customHeight="1">
      <x:c r="A107" s="32" t="str">
        <x:v>Not collected</x:v>
      </x:c>
      <x:c r="B107" s="34" t="n">
        <x:v>105</x:v>
      </x:c>
      <x:c r="C107" s="32" t="str">
        <x:v>Leave exactly three objects in the bowl.</x:v>
      </x:c>
      <x:c r="D107" s="32" t="str">
        <x:v>Bowl objects: [blue pen, airplane toy without propellers] | Table objects: [yellow block, green pencil sharpener]</x:v>
      </x:c>
      <x:c r="E107" s="34" t="n">
        <x:v>104</x:v>
      </x:c>
      <x:c r="F107" s="32" t="str">
        <x:v>ADD any one table object; finish with 3 objects in the bowl</x:v>
      </x:c>
      <x:c r="G107" s="32" t="str"/>
      <x:c r="H107" s="36" t="str">
        <x:v>Concept/compositional transfer</x:v>
      </x:c>
      <x:c r="I107" s="32" t="str">
        <x:v>CT-CF23</x:v>
      </x:c>
      <x:c r="J107" s="32" t="str">
        <x:v>CT-CF23-ADD</x:v>
      </x:c>
      <x:c r="K107" s="34" t="n">
        <x:v>2</x:v>
      </x:c>
      <x:c r="L107" s="34" t="n">
        <x:v>3</x:v>
      </x:c>
      <x:c r="M107" s="34" t="str">
        <x:v>ADD</x:v>
      </x:c>
      <x:c r="N107" s="32" t="str">
        <x:v>Primary: three via held-out 2→3 addition</x:v>
      </x:c>
      <x:c r="O107" s="34" t="n">
        <x:v>4</x:v>
      </x:c>
      <x:c r="P107" s="32" t="str">
        <x:v>Reset the exact count-2 scene; change only the prompt.</x:v>
      </x:c>
      <x:c r="Q107" s="32" t="str">
        <x:v>The goal word three is trained, and this 2→3 trajectory is trained under a direct instruction, but the combination is withheld.</x:v>
      </x:c>
      <x:c r="R107" s="32" t="str"/>
    </x:row>
    <x:row r="108" ht="46.5" customHeight="1">
      <x:c r="A108" s="31" t="str">
        <x:v>Not collected</x:v>
      </x:c>
      <x:c r="B108" s="33" t="n">
        <x:v>106</x:v>
      </x:c>
      <x:c r="C108" s="31" t="str">
        <x:v>Leave exactly three objects in the bowl.</x:v>
      </x:c>
      <x:c r="D108" s="31" t="str">
        <x:v>Bowl objects: [yellow block, green pencil sharpener] | Table objects: [blue pen, airplane toy without propellers]</x:v>
      </x:c>
      <x:c r="E108" s="33" t="str"/>
      <x:c r="F108" s="31" t="str">
        <x:v>ADD any one table object; finish with 3 objects in the bowl</x:v>
      </x:c>
      <x:c r="G108" s="31" t="str"/>
      <x:c r="H108" s="36" t="str">
        <x:v>Concept/compositional transfer</x:v>
      </x:c>
      <x:c r="I108" s="31" t="str">
        <x:v>CT-CF24</x:v>
      </x:c>
      <x:c r="J108" s="31" t="str">
        <x:v>CT-CF24-ADD</x:v>
      </x:c>
      <x:c r="K108" s="33" t="n">
        <x:v>2</x:v>
      </x:c>
      <x:c r="L108" s="33" t="n">
        <x:v>3</x:v>
      </x:c>
      <x:c r="M108" s="33" t="str">
        <x:v>ADD</x:v>
      </x:c>
      <x:c r="N108" s="31" t="str">
        <x:v>Primary: three via held-out 2→3 addition</x:v>
      </x:c>
      <x:c r="O108" s="33" t="n">
        <x:v>4</x:v>
      </x:c>
      <x:c r="P108" s="31" t="str">
        <x:v>Reset the exact count-2 scene; change only the prompt.</x:v>
      </x:c>
      <x:c r="Q108" s="31" t="str">
        <x:v>The goal word three is trained, and this 2→3 trajectory is trained under a direct instruction, but the combination is withheld.</x:v>
      </x:c>
      <x:c r="R108" s="31" t="str"/>
    </x:row>
    <x:row r="109" ht="46.5" customHeight="1">
      <x:c r="A109" s="32" t="str">
        <x:v>Not collected</x:v>
      </x:c>
      <x:c r="B109" s="34" t="n">
        <x:v>107</x:v>
      </x:c>
      <x:c r="C109" s="32" t="str">
        <x:v>Leave exactly one object in the bowl.</x:v>
      </x:c>
      <x:c r="D109" s="32" t="str">
        <x:v>Bowl objects: [yellow block, green pencil sharpener] | Table objects: [blue pen, airplane toy without propellers]</x:v>
      </x:c>
      <x:c r="E109" s="34" t="n">
        <x:v>106</x:v>
      </x:c>
      <x:c r="F109" s="32" t="str">
        <x:v>REMOVE any one bowl object; finish with 1 object in the bowl</x:v>
      </x:c>
      <x:c r="G109" s="32" t="str"/>
      <x:c r="H109" s="36" t="str">
        <x:v>Concept/compositional transfer</x:v>
      </x:c>
      <x:c r="I109" s="32" t="str">
        <x:v>CT-CF24</x:v>
      </x:c>
      <x:c r="J109" s="32" t="str">
        <x:v>CT-CF24-REMOVE</x:v>
      </x:c>
      <x:c r="K109" s="34" t="n">
        <x:v>2</x:v>
      </x:c>
      <x:c r="L109" s="34" t="n">
        <x:v>1</x:v>
      </x:c>
      <x:c r="M109" s="34" t="str">
        <x:v>REMOVE</x:v>
      </x:c>
      <x:c r="N109" s="32" t="str">
        <x:v>Primary: one via held-out 2→1 removal</x:v>
      </x:c>
      <x:c r="O109" s="34" t="n">
        <x:v>4</x:v>
      </x:c>
      <x:c r="P109" s="32" t="str">
        <x:v>Build the listed count-2 scene.</x:v>
      </x:c>
      <x:c r="Q109" s="32" t="str">
        <x:v>The goal word one is trained, and this 2→1 trajectory is trained under a direct instruction, but the combination is withheld.</x:v>
      </x:c>
      <x:c r="R109" s="32" t="str"/>
    </x:row>
    <x:row r="110" ht="46.5" customHeight="1">
      <x:c r="A110" s="31" t="str">
        <x:v>Not collected</x:v>
      </x:c>
      <x:c r="B110" s="33" t="n">
        <x:v>108</x:v>
      </x:c>
      <x:c r="C110" s="31" t="str">
        <x:v>Leave exactly one object in the bowl.</x:v>
      </x:c>
      <x:c r="D110" s="31" t="str">
        <x:v>Bowl objects: [blue pen, green pencil sharpener] | Table objects: [yellow block, airplane toy without propellers]</x:v>
      </x:c>
      <x:c r="E110" s="33" t="str"/>
      <x:c r="F110" s="31" t="str">
        <x:v>REMOVE any one bowl object; finish with 1 object in the bowl</x:v>
      </x:c>
      <x:c r="G110" s="31" t="str"/>
      <x:c r="H110" s="36" t="str">
        <x:v>Concept/compositional transfer</x:v>
      </x:c>
      <x:c r="I110" s="31" t="str">
        <x:v>CT-CF25</x:v>
      </x:c>
      <x:c r="J110" s="31" t="str">
        <x:v>CT-CF25-REMOVE</x:v>
      </x:c>
      <x:c r="K110" s="33" t="n">
        <x:v>2</x:v>
      </x:c>
      <x:c r="L110" s="33" t="n">
        <x:v>1</x:v>
      </x:c>
      <x:c r="M110" s="33" t="str">
        <x:v>REMOVE</x:v>
      </x:c>
      <x:c r="N110" s="31" t="str">
        <x:v>Primary: one via held-out 2→1 removal</x:v>
      </x:c>
      <x:c r="O110" s="33" t="n">
        <x:v>4</x:v>
      </x:c>
      <x:c r="P110" s="31" t="str">
        <x:v>Build the listed count-2 scene.</x:v>
      </x:c>
      <x:c r="Q110" s="31" t="str">
        <x:v>The goal word one is trained, and this 2→1 trajectory is trained under a direct instruction, but the combination is withheld.</x:v>
      </x:c>
      <x:c r="R110" s="31" t="str"/>
    </x:row>
    <x:row r="111" ht="46.5" customHeight="1">
      <x:c r="A111" s="32" t="str">
        <x:v>Not collected</x:v>
      </x:c>
      <x:c r="B111" s="34" t="n">
        <x:v>109</x:v>
      </x:c>
      <x:c r="C111" s="32" t="str">
        <x:v>Leave exactly three objects in the bowl.</x:v>
      </x:c>
      <x:c r="D111" s="32" t="str">
        <x:v>Bowl objects: [blue pen, green pencil sharpener] | Table objects: [yellow block, airplane toy without propellers]</x:v>
      </x:c>
      <x:c r="E111" s="34" t="n">
        <x:v>108</x:v>
      </x:c>
      <x:c r="F111" s="32" t="str">
        <x:v>ADD any one table object; finish with 3 objects in the bowl</x:v>
      </x:c>
      <x:c r="G111" s="32" t="str"/>
      <x:c r="H111" s="36" t="str">
        <x:v>Concept/compositional transfer</x:v>
      </x:c>
      <x:c r="I111" s="32" t="str">
        <x:v>CT-CF25</x:v>
      </x:c>
      <x:c r="J111" s="32" t="str">
        <x:v>CT-CF25-ADD</x:v>
      </x:c>
      <x:c r="K111" s="34" t="n">
        <x:v>2</x:v>
      </x:c>
      <x:c r="L111" s="34" t="n">
        <x:v>3</x:v>
      </x:c>
      <x:c r="M111" s="34" t="str">
        <x:v>ADD</x:v>
      </x:c>
      <x:c r="N111" s="32" t="str">
        <x:v>Primary: three via held-out 2→3 addition</x:v>
      </x:c>
      <x:c r="O111" s="34" t="n">
        <x:v>4</x:v>
      </x:c>
      <x:c r="P111" s="32" t="str">
        <x:v>Reset the exact count-2 scene; change only the prompt.</x:v>
      </x:c>
      <x:c r="Q111" s="32" t="str">
        <x:v>The goal word three is trained, and this 2→3 trajectory is trained under a direct instruction, but the combination is withheld.</x:v>
      </x:c>
      <x:c r="R111" s="32" t="str"/>
    </x:row>
    <x:row r="112" ht="46.5" customHeight="1">
      <x:c r="A112" s="31" t="str">
        <x:v>Not collected</x:v>
      </x:c>
      <x:c r="B112" s="33" t="n">
        <x:v>110</x:v>
      </x:c>
      <x:c r="C112" s="31" t="str">
        <x:v>Make the bowl contain exactly zero objects.</x:v>
      </x:c>
      <x:c r="D112" s="31" t="str">
        <x:v>Bowl objects: [green highlighter] | Table objects: [yellow block, green pencil sharpener, airplane toy without propellers]</x:v>
      </x:c>
      <x:c r="E112" s="33" t="str"/>
      <x:c r="F112" s="31" t="str">
        <x:v>REMOVE green highlighter; finish with 0 objects in the bowl</x:v>
      </x:c>
      <x:c r="G112" s="31" t="str"/>
      <x:c r="H112" s="39" t="str">
        <x:v>Cross-task object transfer</x:v>
      </x:c>
      <x:c r="I112" s="31" t="str">
        <x:v>XT-GH01</x:v>
      </x:c>
      <x:c r="J112" s="31" t="str">
        <x:v>XT-GH01</x:v>
      </x:c>
      <x:c r="K112" s="33" t="n">
        <x:v>1</x:v>
      </x:c>
      <x:c r="L112" s="33" t="n">
        <x:v>0</x:v>
      </x:c>
      <x:c r="M112" s="33" t="str">
        <x:v>REMOVE</x:v>
      </x:c>
      <x:c r="N112" s="31" t="str">
        <x:v>Green-highlighter familiar-count transfer: 1→0 removal</x:v>
      </x:c>
      <x:c r="O112" s="33" t="n">
        <x:v>5</x:v>
      </x:c>
      <x:c r="P112" s="31" t="str">
        <x:v>Build the listed green-highlighter scene.</x:v>
      </x:c>
      <x:c r="Q112" s="31" t="str">
        <x:v>The green highlighter appears elsewhere in training but not in Counting. The prompt uses a familiar count/transition and the highlighter is the only eligible object.</x:v>
      </x:c>
      <x:c r="R112" s="31" t="str"/>
    </x:row>
    <x:row r="113" ht="46.5" customHeight="1">
      <x:c r="A113" s="32" t="str">
        <x:v>Not collected</x:v>
      </x:c>
      <x:c r="B113" s="34" t="n">
        <x:v>111</x:v>
      </x:c>
      <x:c r="C113" s="32" t="str">
        <x:v>Move the green highlighter from the bowl to the table.</x:v>
      </x:c>
      <x:c r="D113" s="32" t="str">
        <x:v>Bowl objects: [green highlighter] | Table objects: [yellow block, green pencil sharpener, airplane toy without propellers]</x:v>
      </x:c>
      <x:c r="E113" s="34" t="n">
        <x:v>110</x:v>
      </x:c>
      <x:c r="F113" s="32" t="str">
        <x:v>REMOVE green highlighter</x:v>
      </x:c>
      <x:c r="G113" s="32" t="str"/>
      <x:c r="H113" s="40" t="str">
        <x:v>Cross-task matched control</x:v>
      </x:c>
      <x:c r="I113" s="32" t="str">
        <x:v>XT-GH01</x:v>
      </x:c>
      <x:c r="J113" s="32" t="str">
        <x:v>XT-GH01</x:v>
      </x:c>
      <x:c r="K113" s="34" t="n">
        <x:v>1</x:v>
      </x:c>
      <x:c r="L113" s="34" t="n">
        <x:v>0</x:v>
      </x:c>
      <x:c r="M113" s="34" t="str">
        <x:v>REMOVE</x:v>
      </x:c>
      <x:c r="N113" s="32" t="str">
        <x:v>Green-highlighter direct REMOVE control</x:v>
      </x:c>
      <x:c r="O113" s="34" t="n">
        <x:v>5</x:v>
      </x:c>
      <x:c r="P113" s="32" t="str">
        <x:v>Reset the exact scene; change only the prompt.</x:v>
      </x:c>
      <x:c r="Q113" s="32" t="str">
        <x:v>Directly identifies the same unique target in the same scene.</x:v>
      </x:c>
      <x:c r="R113" s="32" t="str"/>
    </x:row>
    <x:row r="114" ht="46.5" customHeight="1">
      <x:c r="A114" s="31" t="str">
        <x:v>Not collected</x:v>
      </x:c>
      <x:c r="B114" s="33" t="n">
        <x:v>112</x:v>
      </x:c>
      <x:c r="C114" s="31" t="str">
        <x:v>Move the green highlighter into the bowl.</x:v>
      </x:c>
      <x:c r="D114" s="31" t="str">
        <x:v>Bowl objects: [blue pen] | Table objects: [green highlighter]</x:v>
      </x:c>
      <x:c r="E114" s="33" t="str"/>
      <x:c r="F114" s="31" t="str">
        <x:v>ADD green highlighter</x:v>
      </x:c>
      <x:c r="G114" s="31" t="str"/>
      <x:c r="H114" s="40" t="str">
        <x:v>Cross-task matched control</x:v>
      </x:c>
      <x:c r="I114" s="31" t="str">
        <x:v>XT-GH02</x:v>
      </x:c>
      <x:c r="J114" s="31" t="str">
        <x:v>XT-GH02</x:v>
      </x:c>
      <x:c r="K114" s="33" t="n">
        <x:v>1</x:v>
      </x:c>
      <x:c r="L114" s="33" t="n">
        <x:v>2</x:v>
      </x:c>
      <x:c r="M114" s="33" t="str">
        <x:v>ADD</x:v>
      </x:c>
      <x:c r="N114" s="31" t="str">
        <x:v>Green-highlighter direct ADD control</x:v>
      </x:c>
      <x:c r="O114" s="33" t="n">
        <x:v>5</x:v>
      </x:c>
      <x:c r="P114" s="31" t="str">
        <x:v>Reset the exact scene; change only the prompt.</x:v>
      </x:c>
      <x:c r="Q114" s="31" t="str">
        <x:v>Directly identifies the same unique target in the same scene.</x:v>
      </x:c>
      <x:c r="R114" s="31" t="str"/>
    </x:row>
    <x:row r="115" ht="46.5" customHeight="1">
      <x:c r="A115" s="32" t="str">
        <x:v>Not collected</x:v>
      </x:c>
      <x:c r="B115" s="34" t="n">
        <x:v>113</x:v>
      </x:c>
      <x:c r="C115" s="32" t="str">
        <x:v>Make the bowl contain exactly two objects.</x:v>
      </x:c>
      <x:c r="D115" s="32" t="str">
        <x:v>Bowl objects: [blue pen] | Table objects: [green highlighter]</x:v>
      </x:c>
      <x:c r="E115" s="34" t="n">
        <x:v>112</x:v>
      </x:c>
      <x:c r="F115" s="32" t="str">
        <x:v>ADD green highlighter; finish with 2 objects in the bowl</x:v>
      </x:c>
      <x:c r="G115" s="32" t="str"/>
      <x:c r="H115" s="39" t="str">
        <x:v>Cross-task object transfer</x:v>
      </x:c>
      <x:c r="I115" s="32" t="str">
        <x:v>XT-GH02</x:v>
      </x:c>
      <x:c r="J115" s="32" t="str">
        <x:v>XT-GH02</x:v>
      </x:c>
      <x:c r="K115" s="34" t="n">
        <x:v>1</x:v>
      </x:c>
      <x:c r="L115" s="34" t="n">
        <x:v>2</x:v>
      </x:c>
      <x:c r="M115" s="34" t="str">
        <x:v>ADD</x:v>
      </x:c>
      <x:c r="N115" s="32" t="str">
        <x:v>Green-highlighter familiar-count transfer: 1→2 addition</x:v>
      </x:c>
      <x:c r="O115" s="34" t="n">
        <x:v>5</x:v>
      </x:c>
      <x:c r="P115" s="32" t="str">
        <x:v>Build the listed green-highlighter scene.</x:v>
      </x:c>
      <x:c r="Q115" s="32" t="str">
        <x:v>The green highlighter appears elsewhere in training but not in Counting. The prompt uses a familiar count/transition and the highlighter is the only eligible object.</x:v>
      </x:c>
      <x:c r="R115" s="32" t="str"/>
    </x:row>
    <x:row r="116" ht="46.5" customHeight="1">
      <x:c r="A116" s="31" t="str">
        <x:v>Not collected</x:v>
      </x:c>
      <x:c r="B116" s="33" t="n">
        <x:v>114</x:v>
      </x:c>
      <x:c r="C116" s="31" t="str">
        <x:v>Make the bowl contain exactly zero objects.</x:v>
      </x:c>
      <x:c r="D116" s="31" t="str">
        <x:v>Bowl objects: [green highlighter] | Table objects: [blue pen, green pencil sharpener, airplane toy without propellers]</x:v>
      </x:c>
      <x:c r="E116" s="33" t="str"/>
      <x:c r="F116" s="31" t="str">
        <x:v>REMOVE green highlighter; finish with 0 objects in the bowl</x:v>
      </x:c>
      <x:c r="G116" s="31" t="str"/>
      <x:c r="H116" s="39" t="str">
        <x:v>Cross-task object transfer</x:v>
      </x:c>
      <x:c r="I116" s="31" t="str">
        <x:v>XT-GH03</x:v>
      </x:c>
      <x:c r="J116" s="31" t="str">
        <x:v>XT-GH03</x:v>
      </x:c>
      <x:c r="K116" s="33" t="n">
        <x:v>1</x:v>
      </x:c>
      <x:c r="L116" s="33" t="n">
        <x:v>0</x:v>
      </x:c>
      <x:c r="M116" s="33" t="str">
        <x:v>REMOVE</x:v>
      </x:c>
      <x:c r="N116" s="31" t="str">
        <x:v>Green-highlighter familiar-count transfer: 1→0 removal</x:v>
      </x:c>
      <x:c r="O116" s="33" t="n">
        <x:v>5</x:v>
      </x:c>
      <x:c r="P116" s="31" t="str">
        <x:v>Build the listed green-highlighter scene.</x:v>
      </x:c>
      <x:c r="Q116" s="31" t="str">
        <x:v>The green highlighter appears elsewhere in training but not in Counting. The prompt uses a familiar count/transition and the highlighter is the only eligible object.</x:v>
      </x:c>
      <x:c r="R116" s="31" t="str"/>
    </x:row>
    <x:row r="117" ht="46.5" customHeight="1">
      <x:c r="A117" s="32" t="str">
        <x:v>Not collected</x:v>
      </x:c>
      <x:c r="B117" s="34" t="n">
        <x:v>115</x:v>
      </x:c>
      <x:c r="C117" s="32" t="str">
        <x:v>Move the green highlighter from the bowl to the table.</x:v>
      </x:c>
      <x:c r="D117" s="32" t="str">
        <x:v>Bowl objects: [green highlighter] | Table objects: [blue pen, green pencil sharpener, airplane toy without propellers]</x:v>
      </x:c>
      <x:c r="E117" s="34" t="n">
        <x:v>114</x:v>
      </x:c>
      <x:c r="F117" s="32" t="str">
        <x:v>REMOVE green highlighter</x:v>
      </x:c>
      <x:c r="G117" s="32" t="str"/>
      <x:c r="H117" s="40" t="str">
        <x:v>Cross-task matched control</x:v>
      </x:c>
      <x:c r="I117" s="32" t="str">
        <x:v>XT-GH03</x:v>
      </x:c>
      <x:c r="J117" s="32" t="str">
        <x:v>XT-GH03</x:v>
      </x:c>
      <x:c r="K117" s="34" t="n">
        <x:v>1</x:v>
      </x:c>
      <x:c r="L117" s="34" t="n">
        <x:v>0</x:v>
      </x:c>
      <x:c r="M117" s="34" t="str">
        <x:v>REMOVE</x:v>
      </x:c>
      <x:c r="N117" s="32" t="str">
        <x:v>Green-highlighter direct REMOVE control</x:v>
      </x:c>
      <x:c r="O117" s="34" t="n">
        <x:v>5</x:v>
      </x:c>
      <x:c r="P117" s="32" t="str">
        <x:v>Reset the exact scene; change only the prompt.</x:v>
      </x:c>
      <x:c r="Q117" s="32" t="str">
        <x:v>Directly identifies the same unique target in the same scene.</x:v>
      </x:c>
      <x:c r="R117" s="32" t="str"/>
    </x:row>
    <x:row r="118" ht="46.5" customHeight="1">
      <x:c r="A118" s="31" t="str">
        <x:v>Not collected</x:v>
      </x:c>
      <x:c r="B118" s="33" t="n">
        <x:v>116</x:v>
      </x:c>
      <x:c r="C118" s="31" t="str">
        <x:v>Move the green highlighter into the bowl.</x:v>
      </x:c>
      <x:c r="D118" s="31" t="str">
        <x:v>Bowl objects: [yellow block] | Table objects: [green highlighter]</x:v>
      </x:c>
      <x:c r="E118" s="33" t="str"/>
      <x:c r="F118" s="31" t="str">
        <x:v>ADD green highlighter</x:v>
      </x:c>
      <x:c r="G118" s="31" t="str"/>
      <x:c r="H118" s="40" t="str">
        <x:v>Cross-task matched control</x:v>
      </x:c>
      <x:c r="I118" s="31" t="str">
        <x:v>XT-GH04</x:v>
      </x:c>
      <x:c r="J118" s="31" t="str">
        <x:v>XT-GH04</x:v>
      </x:c>
      <x:c r="K118" s="33" t="n">
        <x:v>1</x:v>
      </x:c>
      <x:c r="L118" s="33" t="n">
        <x:v>2</x:v>
      </x:c>
      <x:c r="M118" s="33" t="str">
        <x:v>ADD</x:v>
      </x:c>
      <x:c r="N118" s="31" t="str">
        <x:v>Green-highlighter direct ADD control</x:v>
      </x:c>
      <x:c r="O118" s="33" t="n">
        <x:v>5</x:v>
      </x:c>
      <x:c r="P118" s="31" t="str">
        <x:v>Reset the exact scene; change only the prompt.</x:v>
      </x:c>
      <x:c r="Q118" s="31" t="str">
        <x:v>Directly identifies the same unique target in the same scene.</x:v>
      </x:c>
      <x:c r="R118" s="31" t="str"/>
    </x:row>
    <x:row r="119" ht="46.5" customHeight="1">
      <x:c r="A119" s="32" t="str">
        <x:v>Not collected</x:v>
      </x:c>
      <x:c r="B119" s="34" t="n">
        <x:v>117</x:v>
      </x:c>
      <x:c r="C119" s="32" t="str">
        <x:v>Make the bowl contain exactly two objects.</x:v>
      </x:c>
      <x:c r="D119" s="32" t="str">
        <x:v>Bowl objects: [yellow block] | Table objects: [green highlighter]</x:v>
      </x:c>
      <x:c r="E119" s="34" t="n">
        <x:v>116</x:v>
      </x:c>
      <x:c r="F119" s="32" t="str">
        <x:v>ADD green highlighter; finish with 2 objects in the bowl</x:v>
      </x:c>
      <x:c r="G119" s="32" t="str"/>
      <x:c r="H119" s="39" t="str">
        <x:v>Cross-task object transfer</x:v>
      </x:c>
      <x:c r="I119" s="32" t="str">
        <x:v>XT-GH04</x:v>
      </x:c>
      <x:c r="J119" s="32" t="str">
        <x:v>XT-GH04</x:v>
      </x:c>
      <x:c r="K119" s="34" t="n">
        <x:v>1</x:v>
      </x:c>
      <x:c r="L119" s="34" t="n">
        <x:v>2</x:v>
      </x:c>
      <x:c r="M119" s="34" t="str">
        <x:v>ADD</x:v>
      </x:c>
      <x:c r="N119" s="32" t="str">
        <x:v>Green-highlighter familiar-count transfer: 1→2 addition</x:v>
      </x:c>
      <x:c r="O119" s="34" t="n">
        <x:v>5</x:v>
      </x:c>
      <x:c r="P119" s="32" t="str">
        <x:v>Build the listed green-highlighter scene.</x:v>
      </x:c>
      <x:c r="Q119" s="32" t="str">
        <x:v>The green highlighter appears elsewhere in training but not in Counting. The prompt uses a familiar count/transition and the highlighter is the only eligible object.</x:v>
      </x:c>
      <x:c r="R119" s="32" t="str"/>
    </x:row>
    <x:row r="120" ht="46.5" customHeight="1">
      <x:c r="A120" s="31" t="str">
        <x:v>Not collected</x:v>
      </x:c>
      <x:c r="B120" s="33" t="n">
        <x:v>118</x:v>
      </x:c>
      <x:c r="C120" s="31" t="str">
        <x:v>Make the bowl contain exactly zero objects.</x:v>
      </x:c>
      <x:c r="D120" s="31" t="str">
        <x:v>Bowl objects: [green highlighter] | Table objects: [blue pen, yellow block, airplane toy without propellers]</x:v>
      </x:c>
      <x:c r="E120" s="33" t="str"/>
      <x:c r="F120" s="31" t="str">
        <x:v>REMOVE green highlighter; finish with 0 objects in the bowl</x:v>
      </x:c>
      <x:c r="G120" s="31" t="str"/>
      <x:c r="H120" s="39" t="str">
        <x:v>Cross-task object transfer</x:v>
      </x:c>
      <x:c r="I120" s="31" t="str">
        <x:v>XT-GH05</x:v>
      </x:c>
      <x:c r="J120" s="31" t="str">
        <x:v>XT-GH05</x:v>
      </x:c>
      <x:c r="K120" s="33" t="n">
        <x:v>1</x:v>
      </x:c>
      <x:c r="L120" s="33" t="n">
        <x:v>0</x:v>
      </x:c>
      <x:c r="M120" s="33" t="str">
        <x:v>REMOVE</x:v>
      </x:c>
      <x:c r="N120" s="31" t="str">
        <x:v>Green-highlighter familiar-count transfer: 1→0 removal</x:v>
      </x:c>
      <x:c r="O120" s="33" t="n">
        <x:v>5</x:v>
      </x:c>
      <x:c r="P120" s="31" t="str">
        <x:v>Build the listed green-highlighter scene.</x:v>
      </x:c>
      <x:c r="Q120" s="31" t="str">
        <x:v>The green highlighter appears elsewhere in training but not in Counting. The prompt uses a familiar count/transition and the highlighter is the only eligible object.</x:v>
      </x:c>
      <x:c r="R120" s="31" t="str"/>
    </x:row>
    <x:row r="121" ht="46.5" customHeight="1">
      <x:c r="A121" s="32" t="str">
        <x:v>Not collected</x:v>
      </x:c>
      <x:c r="B121" s="34" t="n">
        <x:v>119</x:v>
      </x:c>
      <x:c r="C121" s="32" t="str">
        <x:v>Move the green highlighter from the bowl to the table.</x:v>
      </x:c>
      <x:c r="D121" s="32" t="str">
        <x:v>Bowl objects: [green highlighter] | Table objects: [blue pen, yellow block, airplane toy without propellers]</x:v>
      </x:c>
      <x:c r="E121" s="34" t="n">
        <x:v>118</x:v>
      </x:c>
      <x:c r="F121" s="32" t="str">
        <x:v>REMOVE green highlighter</x:v>
      </x:c>
      <x:c r="G121" s="32" t="str"/>
      <x:c r="H121" s="40" t="str">
        <x:v>Cross-task matched control</x:v>
      </x:c>
      <x:c r="I121" s="32" t="str">
        <x:v>XT-GH05</x:v>
      </x:c>
      <x:c r="J121" s="32" t="str">
        <x:v>XT-GH05</x:v>
      </x:c>
      <x:c r="K121" s="34" t="n">
        <x:v>1</x:v>
      </x:c>
      <x:c r="L121" s="34" t="n">
        <x:v>0</x:v>
      </x:c>
      <x:c r="M121" s="34" t="str">
        <x:v>REMOVE</x:v>
      </x:c>
      <x:c r="N121" s="32" t="str">
        <x:v>Green-highlighter direct REMOVE control</x:v>
      </x:c>
      <x:c r="O121" s="34" t="n">
        <x:v>5</x:v>
      </x:c>
      <x:c r="P121" s="32" t="str">
        <x:v>Reset the exact scene; change only the prompt.</x:v>
      </x:c>
      <x:c r="Q121" s="32" t="str">
        <x:v>Directly identifies the same unique target in the same scene.</x:v>
      </x:c>
      <x:c r="R121" s="32" t="str"/>
    </x:row>
    <x:row r="122" ht="46.5" customHeight="1">
      <x:c r="A122" s="31" t="str">
        <x:v>Not collected</x:v>
      </x:c>
      <x:c r="B122" s="33" t="n">
        <x:v>120</x:v>
      </x:c>
      <x:c r="C122" s="31" t="str">
        <x:v>Move the green highlighter into the bowl.</x:v>
      </x:c>
      <x:c r="D122" s="31" t="str">
        <x:v>Bowl objects: [green pencil sharpener] | Table objects: [green highlighter]</x:v>
      </x:c>
      <x:c r="E122" s="33" t="str"/>
      <x:c r="F122" s="31" t="str">
        <x:v>ADD green highlighter</x:v>
      </x:c>
      <x:c r="G122" s="31" t="str"/>
      <x:c r="H122" s="40" t="str">
        <x:v>Cross-task matched control</x:v>
      </x:c>
      <x:c r="I122" s="31" t="str">
        <x:v>XT-GH06</x:v>
      </x:c>
      <x:c r="J122" s="31" t="str">
        <x:v>XT-GH06</x:v>
      </x:c>
      <x:c r="K122" s="33" t="n">
        <x:v>1</x:v>
      </x:c>
      <x:c r="L122" s="33" t="n">
        <x:v>2</x:v>
      </x:c>
      <x:c r="M122" s="33" t="str">
        <x:v>ADD</x:v>
      </x:c>
      <x:c r="N122" s="31" t="str">
        <x:v>Green-highlighter direct ADD control</x:v>
      </x:c>
      <x:c r="O122" s="33" t="n">
        <x:v>5</x:v>
      </x:c>
      <x:c r="P122" s="31" t="str">
        <x:v>Reset the exact scene; change only the prompt.</x:v>
      </x:c>
      <x:c r="Q122" s="31" t="str">
        <x:v>Directly identifies the same unique target in the same scene.</x:v>
      </x:c>
      <x:c r="R122" s="31" t="str"/>
    </x:row>
    <x:row r="123" ht="46.5" customHeight="1">
      <x:c r="A123" s="32" t="str">
        <x:v>Not collected</x:v>
      </x:c>
      <x:c r="B123" s="34" t="n">
        <x:v>121</x:v>
      </x:c>
      <x:c r="C123" s="32" t="str">
        <x:v>Make the bowl contain exactly two objects.</x:v>
      </x:c>
      <x:c r="D123" s="32" t="str">
        <x:v>Bowl objects: [green pencil sharpener] | Table objects: [green highlighter]</x:v>
      </x:c>
      <x:c r="E123" s="34" t="n">
        <x:v>120</x:v>
      </x:c>
      <x:c r="F123" s="32" t="str">
        <x:v>ADD green highlighter; finish with 2 objects in the bowl</x:v>
      </x:c>
      <x:c r="G123" s="32" t="str"/>
      <x:c r="H123" s="39" t="str">
        <x:v>Cross-task object transfer</x:v>
      </x:c>
      <x:c r="I123" s="32" t="str">
        <x:v>XT-GH06</x:v>
      </x:c>
      <x:c r="J123" s="32" t="str">
        <x:v>XT-GH06</x:v>
      </x:c>
      <x:c r="K123" s="34" t="n">
        <x:v>1</x:v>
      </x:c>
      <x:c r="L123" s="34" t="n">
        <x:v>2</x:v>
      </x:c>
      <x:c r="M123" s="34" t="str">
        <x:v>ADD</x:v>
      </x:c>
      <x:c r="N123" s="32" t="str">
        <x:v>Green-highlighter familiar-count transfer: 1→2 addition</x:v>
      </x:c>
      <x:c r="O123" s="34" t="n">
        <x:v>5</x:v>
      </x:c>
      <x:c r="P123" s="32" t="str">
        <x:v>Build the listed green-highlighter scene.</x:v>
      </x:c>
      <x:c r="Q123" s="32" t="str">
        <x:v>The green highlighter appears elsewhere in training but not in Counting. The prompt uses a familiar count/transition and the highlighter is the only eligible object.</x:v>
      </x:c>
      <x:c r="R123" s="32" t="str"/>
    </x:row>
    <x:row r="124" ht="46.5" customHeight="1">
      <x:c r="A124" s="31" t="str">
        <x:v>Not collected</x:v>
      </x:c>
      <x:c r="B124" s="33" t="n">
        <x:v>122</x:v>
      </x:c>
      <x:c r="C124" s="31" t="str">
        <x:v>Make the bowl contain exactly zero objects.</x:v>
      </x:c>
      <x:c r="D124" s="31" t="str">
        <x:v>Bowl objects: [green highlighter] | Table objects: [blue pen, yellow block, green pencil sharpener]</x:v>
      </x:c>
      <x:c r="E124" s="33" t="str"/>
      <x:c r="F124" s="31" t="str">
        <x:v>REMOVE green highlighter; finish with 0 objects in the bowl</x:v>
      </x:c>
      <x:c r="G124" s="31" t="str"/>
      <x:c r="H124" s="39" t="str">
        <x:v>Cross-task object transfer</x:v>
      </x:c>
      <x:c r="I124" s="31" t="str">
        <x:v>XT-GH07</x:v>
      </x:c>
      <x:c r="J124" s="31" t="str">
        <x:v>XT-GH07</x:v>
      </x:c>
      <x:c r="K124" s="33" t="n">
        <x:v>1</x:v>
      </x:c>
      <x:c r="L124" s="33" t="n">
        <x:v>0</x:v>
      </x:c>
      <x:c r="M124" s="33" t="str">
        <x:v>REMOVE</x:v>
      </x:c>
      <x:c r="N124" s="31" t="str">
        <x:v>Green-highlighter familiar-count transfer: 1→0 removal</x:v>
      </x:c>
      <x:c r="O124" s="33" t="n">
        <x:v>5</x:v>
      </x:c>
      <x:c r="P124" s="31" t="str">
        <x:v>Build the listed green-highlighter scene.</x:v>
      </x:c>
      <x:c r="Q124" s="31" t="str">
        <x:v>The green highlighter appears elsewhere in training but not in Counting. The prompt uses a familiar count/transition and the highlighter is the only eligible object.</x:v>
      </x:c>
      <x:c r="R124" s="31" t="str"/>
    </x:row>
    <x:row r="125" ht="46.5" customHeight="1">
      <x:c r="A125" s="32" t="str">
        <x:v>Not collected</x:v>
      </x:c>
      <x:c r="B125" s="34" t="n">
        <x:v>123</x:v>
      </x:c>
      <x:c r="C125" s="32" t="str">
        <x:v>Move the green highlighter from the bowl to the table.</x:v>
      </x:c>
      <x:c r="D125" s="32" t="str">
        <x:v>Bowl objects: [green highlighter] | Table objects: [blue pen, yellow block, green pencil sharpener]</x:v>
      </x:c>
      <x:c r="E125" s="34" t="n">
        <x:v>122</x:v>
      </x:c>
      <x:c r="F125" s="32" t="str">
        <x:v>REMOVE green highlighter</x:v>
      </x:c>
      <x:c r="G125" s="32" t="str"/>
      <x:c r="H125" s="40" t="str">
        <x:v>Cross-task matched control</x:v>
      </x:c>
      <x:c r="I125" s="32" t="str">
        <x:v>XT-GH07</x:v>
      </x:c>
      <x:c r="J125" s="32" t="str">
        <x:v>XT-GH07</x:v>
      </x:c>
      <x:c r="K125" s="34" t="n">
        <x:v>1</x:v>
      </x:c>
      <x:c r="L125" s="34" t="n">
        <x:v>0</x:v>
      </x:c>
      <x:c r="M125" s="34" t="str">
        <x:v>REMOVE</x:v>
      </x:c>
      <x:c r="N125" s="32" t="str">
        <x:v>Green-highlighter direct REMOVE control</x:v>
      </x:c>
      <x:c r="O125" s="34" t="n">
        <x:v>5</x:v>
      </x:c>
      <x:c r="P125" s="32" t="str">
        <x:v>Reset the exact scene; change only the prompt.</x:v>
      </x:c>
      <x:c r="Q125" s="32" t="str">
        <x:v>Directly identifies the same unique target in the same scene.</x:v>
      </x:c>
      <x:c r="R125" s="32" t="str"/>
    </x:row>
    <x:row r="126" ht="46.5" customHeight="1">
      <x:c r="A126" s="31" t="str">
        <x:v>Not collected</x:v>
      </x:c>
      <x:c r="B126" s="33" t="n">
        <x:v>124</x:v>
      </x:c>
      <x:c r="C126" s="31" t="str">
        <x:v>Move the green highlighter into the bowl.</x:v>
      </x:c>
      <x:c r="D126" s="31" t="str">
        <x:v>Bowl objects: [airplane toy without propellers] | Table objects: [green highlighter]</x:v>
      </x:c>
      <x:c r="E126" s="33" t="str"/>
      <x:c r="F126" s="31" t="str">
        <x:v>ADD green highlighter</x:v>
      </x:c>
      <x:c r="G126" s="31" t="str"/>
      <x:c r="H126" s="40" t="str">
        <x:v>Cross-task matched control</x:v>
      </x:c>
      <x:c r="I126" s="31" t="str">
        <x:v>XT-GH08</x:v>
      </x:c>
      <x:c r="J126" s="31" t="str">
        <x:v>XT-GH08</x:v>
      </x:c>
      <x:c r="K126" s="33" t="n">
        <x:v>1</x:v>
      </x:c>
      <x:c r="L126" s="33" t="n">
        <x:v>2</x:v>
      </x:c>
      <x:c r="M126" s="33" t="str">
        <x:v>ADD</x:v>
      </x:c>
      <x:c r="N126" s="31" t="str">
        <x:v>Green-highlighter direct ADD control</x:v>
      </x:c>
      <x:c r="O126" s="33" t="n">
        <x:v>5</x:v>
      </x:c>
      <x:c r="P126" s="31" t="str">
        <x:v>Reset the exact scene; change only the prompt.</x:v>
      </x:c>
      <x:c r="Q126" s="31" t="str">
        <x:v>Directly identifies the same unique target in the same scene.</x:v>
      </x:c>
      <x:c r="R126" s="31" t="str"/>
    </x:row>
    <x:row r="127" ht="46.5" customHeight="1">
      <x:c r="A127" s="32" t="str">
        <x:v>Not collected</x:v>
      </x:c>
      <x:c r="B127" s="34" t="n">
        <x:v>125</x:v>
      </x:c>
      <x:c r="C127" s="32" t="str">
        <x:v>Make the bowl contain exactly two objects.</x:v>
      </x:c>
      <x:c r="D127" s="32" t="str">
        <x:v>Bowl objects: [airplane toy without propellers] | Table objects: [green highlighter]</x:v>
      </x:c>
      <x:c r="E127" s="34" t="n">
        <x:v>124</x:v>
      </x:c>
      <x:c r="F127" s="32" t="str">
        <x:v>ADD green highlighter; finish with 2 objects in the bowl</x:v>
      </x:c>
      <x:c r="G127" s="32" t="str"/>
      <x:c r="H127" s="39" t="str">
        <x:v>Cross-task object transfer</x:v>
      </x:c>
      <x:c r="I127" s="32" t="str">
        <x:v>XT-GH08</x:v>
      </x:c>
      <x:c r="J127" s="32" t="str">
        <x:v>XT-GH08</x:v>
      </x:c>
      <x:c r="K127" s="34" t="n">
        <x:v>1</x:v>
      </x:c>
      <x:c r="L127" s="34" t="n">
        <x:v>2</x:v>
      </x:c>
      <x:c r="M127" s="34" t="str">
        <x:v>ADD</x:v>
      </x:c>
      <x:c r="N127" s="32" t="str">
        <x:v>Green-highlighter familiar-count transfer: 1→2 addition</x:v>
      </x:c>
      <x:c r="O127" s="34" t="n">
        <x:v>5</x:v>
      </x:c>
      <x:c r="P127" s="32" t="str">
        <x:v>Build the listed green-highlighter scene.</x:v>
      </x:c>
      <x:c r="Q127" s="32" t="str">
        <x:v>The green highlighter appears elsewhere in training but not in Counting. The prompt uses a familiar count/transition and the highlighter is the only eligible object.</x:v>
      </x:c>
      <x:c r="R127" s="32" t="str"/>
    </x:row>
    <x:row r="128" ht="46.5" customHeight="1">
      <x:c r="A128" s="31" t="str">
        <x:v>Not collected</x:v>
      </x:c>
      <x:c r="B128" s="33" t="n">
        <x:v>126</x:v>
      </x:c>
      <x:c r="C128" s="31" t="str">
        <x:v>Make the bowl contain exactly zero objects.</x:v>
      </x:c>
      <x:c r="D128" s="31" t="str">
        <x:v>Bowl objects: [green highlighter] | Table objects: [yellow block, green pencil sharpener, airplane toy without propellers]</x:v>
      </x:c>
      <x:c r="E128" s="33" t="str"/>
      <x:c r="F128" s="31" t="str">
        <x:v>REMOVE green highlighter; finish with 0 objects in the bowl</x:v>
      </x:c>
      <x:c r="G128" s="31" t="str"/>
      <x:c r="H128" s="39" t="str">
        <x:v>Cross-task object transfer</x:v>
      </x:c>
      <x:c r="I128" s="31" t="str">
        <x:v>XT-GH09</x:v>
      </x:c>
      <x:c r="J128" s="31" t="str">
        <x:v>XT-GH09</x:v>
      </x:c>
      <x:c r="K128" s="33" t="n">
        <x:v>1</x:v>
      </x:c>
      <x:c r="L128" s="33" t="n">
        <x:v>0</x:v>
      </x:c>
      <x:c r="M128" s="33" t="str">
        <x:v>REMOVE</x:v>
      </x:c>
      <x:c r="N128" s="31" t="str">
        <x:v>Green-highlighter familiar-count transfer: 1→0 removal</x:v>
      </x:c>
      <x:c r="O128" s="33" t="n">
        <x:v>5</x:v>
      </x:c>
      <x:c r="P128" s="31" t="str">
        <x:v>Build the listed green-highlighter scene.</x:v>
      </x:c>
      <x:c r="Q128" s="31" t="str">
        <x:v>The green highlighter appears elsewhere in training but not in Counting. The prompt uses a familiar count/transition and the highlighter is the only eligible object.</x:v>
      </x:c>
      <x:c r="R128" s="31" t="str"/>
    </x:row>
    <x:row r="129" ht="46.5" customHeight="1">
      <x:c r="A129" s="32" t="str">
        <x:v>Not collected</x:v>
      </x:c>
      <x:c r="B129" s="34" t="n">
        <x:v>127</x:v>
      </x:c>
      <x:c r="C129" s="32" t="str">
        <x:v>Move the green highlighter from the bowl to the table.</x:v>
      </x:c>
      <x:c r="D129" s="32" t="str">
        <x:v>Bowl objects: [green highlighter] | Table objects: [yellow block, green pencil sharpener, airplane toy without propellers]</x:v>
      </x:c>
      <x:c r="E129" s="34" t="n">
        <x:v>126</x:v>
      </x:c>
      <x:c r="F129" s="32" t="str">
        <x:v>REMOVE green highlighter</x:v>
      </x:c>
      <x:c r="G129" s="32" t="str"/>
      <x:c r="H129" s="40" t="str">
        <x:v>Cross-task matched control</x:v>
      </x:c>
      <x:c r="I129" s="32" t="str">
        <x:v>XT-GH09</x:v>
      </x:c>
      <x:c r="J129" s="32" t="str">
        <x:v>XT-GH09</x:v>
      </x:c>
      <x:c r="K129" s="34" t="n">
        <x:v>1</x:v>
      </x:c>
      <x:c r="L129" s="34" t="n">
        <x:v>0</x:v>
      </x:c>
      <x:c r="M129" s="34" t="str">
        <x:v>REMOVE</x:v>
      </x:c>
      <x:c r="N129" s="32" t="str">
        <x:v>Green-highlighter direct REMOVE control</x:v>
      </x:c>
      <x:c r="O129" s="34" t="n">
        <x:v>5</x:v>
      </x:c>
      <x:c r="P129" s="32" t="str">
        <x:v>Reset the exact scene; change only the prompt.</x:v>
      </x:c>
      <x:c r="Q129" s="32" t="str">
        <x:v>Directly identifies the same unique target in the same scene.</x:v>
      </x:c>
      <x:c r="R129" s="32" t="str"/>
    </x:row>
    <x:row r="130" ht="46.5" customHeight="1">
      <x:c r="A130" s="31" t="str">
        <x:v>Not collected</x:v>
      </x:c>
      <x:c r="B130" s="33" t="n">
        <x:v>128</x:v>
      </x:c>
      <x:c r="C130" s="31" t="str">
        <x:v>Move the green highlighter into the bowl.</x:v>
      </x:c>
      <x:c r="D130" s="31" t="str">
        <x:v>Bowl objects: [blue pen] | Table objects: [green highlighter]</x:v>
      </x:c>
      <x:c r="E130" s="33" t="str"/>
      <x:c r="F130" s="31" t="str">
        <x:v>ADD green highlighter</x:v>
      </x:c>
      <x:c r="G130" s="31" t="str"/>
      <x:c r="H130" s="40" t="str">
        <x:v>Cross-task matched control</x:v>
      </x:c>
      <x:c r="I130" s="31" t="str">
        <x:v>XT-GH10</x:v>
      </x:c>
      <x:c r="J130" s="31" t="str">
        <x:v>XT-GH10</x:v>
      </x:c>
      <x:c r="K130" s="33" t="n">
        <x:v>1</x:v>
      </x:c>
      <x:c r="L130" s="33" t="n">
        <x:v>2</x:v>
      </x:c>
      <x:c r="M130" s="33" t="str">
        <x:v>ADD</x:v>
      </x:c>
      <x:c r="N130" s="31" t="str">
        <x:v>Green-highlighter direct ADD control</x:v>
      </x:c>
      <x:c r="O130" s="33" t="n">
        <x:v>5</x:v>
      </x:c>
      <x:c r="P130" s="31" t="str">
        <x:v>Reset the exact scene; change only the prompt.</x:v>
      </x:c>
      <x:c r="Q130" s="31" t="str">
        <x:v>Directly identifies the same unique target in the same scene.</x:v>
      </x:c>
      <x:c r="R130" s="31" t="str"/>
    </x:row>
    <x:row r="131" ht="46.5" customHeight="1">
      <x:c r="A131" s="32" t="str">
        <x:v>Not collected</x:v>
      </x:c>
      <x:c r="B131" s="34" t="n">
        <x:v>129</x:v>
      </x:c>
      <x:c r="C131" s="32" t="str">
        <x:v>Make the bowl contain exactly two objects.</x:v>
      </x:c>
      <x:c r="D131" s="32" t="str">
        <x:v>Bowl objects: [blue pen] | Table objects: [green highlighter]</x:v>
      </x:c>
      <x:c r="E131" s="34" t="n">
        <x:v>128</x:v>
      </x:c>
      <x:c r="F131" s="32" t="str">
        <x:v>ADD green highlighter; finish with 2 objects in the bowl</x:v>
      </x:c>
      <x:c r="G131" s="32" t="str"/>
      <x:c r="H131" s="39" t="str">
        <x:v>Cross-task object transfer</x:v>
      </x:c>
      <x:c r="I131" s="32" t="str">
        <x:v>XT-GH10</x:v>
      </x:c>
      <x:c r="J131" s="32" t="str">
        <x:v>XT-GH10</x:v>
      </x:c>
      <x:c r="K131" s="34" t="n">
        <x:v>1</x:v>
      </x:c>
      <x:c r="L131" s="34" t="n">
        <x:v>2</x:v>
      </x:c>
      <x:c r="M131" s="34" t="str">
        <x:v>ADD</x:v>
      </x:c>
      <x:c r="N131" s="32" t="str">
        <x:v>Green-highlighter familiar-count transfer: 1→2 addition</x:v>
      </x:c>
      <x:c r="O131" s="34" t="n">
        <x:v>5</x:v>
      </x:c>
      <x:c r="P131" s="32" t="str">
        <x:v>Build the listed green-highlighter scene.</x:v>
      </x:c>
      <x:c r="Q131" s="32" t="str">
        <x:v>The green highlighter appears elsewhere in training but not in Counting. The prompt uses a familiar count/transition and the highlighter is the only eligible object.</x:v>
      </x:c>
      <x:c r="R131" s="32" t="str"/>
    </x:row>
    <x:row r="132" ht="46.5" customHeight="1">
      <x:c r="A132" s="31" t="str">
        <x:v>Not collected</x:v>
      </x:c>
      <x:c r="B132" s="33" t="n">
        <x:v>130</x:v>
      </x:c>
      <x:c r="C132" s="31" t="str">
        <x:v>Make the bowl contain exactly zero objects.</x:v>
      </x:c>
      <x:c r="D132" s="31" t="str">
        <x:v>Bowl objects: [none] | Table objects: [blue pen, yellow block, green pencil sharpener, airplane toy without propellers]</x:v>
      </x:c>
      <x:c r="E132" s="33" t="str"/>
      <x:c r="F132" s="31" t="str">
        <x:v>NO-OP; preserve 0 objects in the bowl and do not initiate a grasp</x:v>
      </x:c>
      <x:c r="G132" s="31" t="str"/>
      <x:c r="H132" s="35" t="str">
        <x:v>Goal already satisfied / no movement</x:v>
      </x:c>
      <x:c r="I132" s="31" t="str">
        <x:v>NOOP-01</x:v>
      </x:c>
      <x:c r="J132" s="31" t="str">
        <x:v>NOOP-01</x:v>
      </x:c>
      <x:c r="K132" s="33" t="n">
        <x:v>0</x:v>
      </x:c>
      <x:c r="L132" s="33" t="n">
        <x:v>0</x:v>
      </x:c>
      <x:c r="M132" s="33" t="str">
        <x:v>NO-OP</x:v>
      </x:c>
      <x:c r="N132" s="31" t="str">
        <x:v>Goal already satisfied: 0→0</x:v>
      </x:c>
      <x:c r="O132" s="33" t="n">
        <x:v>6</x:v>
      </x:c>
      <x:c r="P132" s="31" t="str">
        <x:v>Build the first no-movement scene in this family.</x:v>
      </x:c>
      <x:c r="Q132" s="31" t="str">
        <x:v>All four same-task objects remain visible; table objects are distractors. Success requires leaving the satisfied scene unchanged.</x:v>
      </x:c>
      <x:c r="R132" s="31" t="str"/>
    </x:row>
    <x:row r="133" ht="46.5" customHeight="1">
      <x:c r="A133" s="32" t="str">
        <x:v>Not collected</x:v>
      </x:c>
      <x:c r="B133" s="34" t="n">
        <x:v>131</x:v>
      </x:c>
      <x:c r="C133" s="32" t="str">
        <x:v>Leave exactly one object in the bowl.</x:v>
      </x:c>
      <x:c r="D133" s="32" t="str">
        <x:v>Bowl objects: [blue pen] | Table objects: [yellow block, green pencil sharpener, airplane toy without propellers]</x:v>
      </x:c>
      <x:c r="E133" s="34" t="str"/>
      <x:c r="F133" s="32" t="str">
        <x:v>NO-OP; preserve 1 object in the bowl and do not initiate a grasp</x:v>
      </x:c>
      <x:c r="G133" s="32" t="str"/>
      <x:c r="H133" s="35" t="str">
        <x:v>Goal already satisfied / no movement</x:v>
      </x:c>
      <x:c r="I133" s="32" t="str">
        <x:v>NOOP-01</x:v>
      </x:c>
      <x:c r="J133" s="32" t="str">
        <x:v>NOOP-01</x:v>
      </x:c>
      <x:c r="K133" s="34" t="n">
        <x:v>1</x:v>
      </x:c>
      <x:c r="L133" s="34" t="n">
        <x:v>1</x:v>
      </x:c>
      <x:c r="M133" s="34" t="str">
        <x:v>NO-OP</x:v>
      </x:c>
      <x:c r="N133" s="32" t="str">
        <x:v>Goal already satisfied: 1→1</x:v>
      </x:c>
      <x:c r="O133" s="34" t="n">
        <x:v>6</x:v>
      </x:c>
      <x:c r="P133" s="32" t="str">
        <x:v>Move only the minimum listed objects between bowl and table for the next count.</x:v>
      </x:c>
      <x:c r="Q133" s="32" t="str">
        <x:v>All four same-task objects remain visible; table objects are distractors. Success requires leaving the satisfied scene unchanged.</x:v>
      </x:c>
      <x:c r="R133" s="32" t="str"/>
    </x:row>
    <x:row r="134" ht="46.5" customHeight="1">
      <x:c r="A134" s="31" t="str">
        <x:v>Not collected</x:v>
      </x:c>
      <x:c r="B134" s="33" t="n">
        <x:v>132</x:v>
      </x:c>
      <x:c r="C134" s="31" t="str">
        <x:v>Make the bowl contain exactly two objects.</x:v>
      </x:c>
      <x:c r="D134" s="31" t="str">
        <x:v>Bowl objects: [blue pen, yellow block] | Table objects: [green pencil sharpener, airplane toy without propellers]</x:v>
      </x:c>
      <x:c r="E134" s="33" t="str"/>
      <x:c r="F134" s="31" t="str">
        <x:v>NO-OP; preserve 2 objects in the bowl and do not initiate a grasp</x:v>
      </x:c>
      <x:c r="G134" s="31" t="str"/>
      <x:c r="H134" s="35" t="str">
        <x:v>Goal already satisfied / no movement</x:v>
      </x:c>
      <x:c r="I134" s="31" t="str">
        <x:v>NOOP-01</x:v>
      </x:c>
      <x:c r="J134" s="31" t="str">
        <x:v>NOOP-01</x:v>
      </x:c>
      <x:c r="K134" s="33" t="n">
        <x:v>2</x:v>
      </x:c>
      <x:c r="L134" s="33" t="n">
        <x:v>2</x:v>
      </x:c>
      <x:c r="M134" s="33" t="str">
        <x:v>NO-OP</x:v>
      </x:c>
      <x:c r="N134" s="31" t="str">
        <x:v>Goal already satisfied: 2→2</x:v>
      </x:c>
      <x:c r="O134" s="33" t="n">
        <x:v>6</x:v>
      </x:c>
      <x:c r="P134" s="31" t="str">
        <x:v>Move only the minimum listed objects between bowl and table for the next count.</x:v>
      </x:c>
      <x:c r="Q134" s="31" t="str">
        <x:v>All four same-task objects remain visible; table objects are distractors. Success requires leaving the satisfied scene unchanged.</x:v>
      </x:c>
      <x:c r="R134" s="31" t="str"/>
    </x:row>
    <x:row r="135" ht="46.5" customHeight="1">
      <x:c r="A135" s="32" t="str">
        <x:v>Not collected</x:v>
      </x:c>
      <x:c r="B135" s="34" t="n">
        <x:v>133</x:v>
      </x:c>
      <x:c r="C135" s="32" t="str">
        <x:v>Leave exactly three objects in the bowl.</x:v>
      </x:c>
      <x:c r="D135" s="32" t="str">
        <x:v>Bowl objects: [blue pen, yellow block, green pencil sharpener] | Table objects: [airplane toy without propellers]</x:v>
      </x:c>
      <x:c r="E135" s="34" t="str"/>
      <x:c r="F135" s="32" t="str">
        <x:v>NO-OP; preserve 3 objects in the bowl and do not initiate a grasp</x:v>
      </x:c>
      <x:c r="G135" s="32" t="str"/>
      <x:c r="H135" s="35" t="str">
        <x:v>Goal already satisfied / no movement</x:v>
      </x:c>
      <x:c r="I135" s="32" t="str">
        <x:v>NOOP-01</x:v>
      </x:c>
      <x:c r="J135" s="32" t="str">
        <x:v>NOOP-01</x:v>
      </x:c>
      <x:c r="K135" s="34" t="n">
        <x:v>3</x:v>
      </x:c>
      <x:c r="L135" s="34" t="n">
        <x:v>3</x:v>
      </x:c>
      <x:c r="M135" s="34" t="str">
        <x:v>NO-OP</x:v>
      </x:c>
      <x:c r="N135" s="32" t="str">
        <x:v>Goal already satisfied: 3→3</x:v>
      </x:c>
      <x:c r="O135" s="34" t="n">
        <x:v>6</x:v>
      </x:c>
      <x:c r="P135" s="32" t="str">
        <x:v>Move only the minimum listed objects between bowl and table for the next count.</x:v>
      </x:c>
      <x:c r="Q135" s="32" t="str">
        <x:v>All four same-task objects remain visible; table objects are distractors. Success requires leaving the satisfied scene unchanged.</x:v>
      </x:c>
      <x:c r="R135" s="32" t="str"/>
    </x:row>
    <x:row r="136" ht="46.5" customHeight="1">
      <x:c r="A136" s="31" t="str">
        <x:v>Not collected</x:v>
      </x:c>
      <x:c r="B136" s="33" t="n">
        <x:v>134</x:v>
      </x:c>
      <x:c r="C136" s="31" t="str">
        <x:v>Leave exactly three objects in the bowl.</x:v>
      </x:c>
      <x:c r="D136" s="31" t="str">
        <x:v>Bowl objects: [blue pen, yellow block, green pencil sharpener] | Table objects: [airplane toy without propellers]</x:v>
      </x:c>
      <x:c r="E136" s="33" t="str"/>
      <x:c r="F136" s="31" t="str">
        <x:v>NO-OP; preserve 3 objects in the bowl and do not initiate a grasp</x:v>
      </x:c>
      <x:c r="G136" s="31" t="str"/>
      <x:c r="H136" s="35" t="str">
        <x:v>Goal already satisfied / no movement</x:v>
      </x:c>
      <x:c r="I136" s="31" t="str">
        <x:v>NOOP-02</x:v>
      </x:c>
      <x:c r="J136" s="31" t="str">
        <x:v>NOOP-02</x:v>
      </x:c>
      <x:c r="K136" s="33" t="n">
        <x:v>3</x:v>
      </x:c>
      <x:c r="L136" s="33" t="n">
        <x:v>3</x:v>
      </x:c>
      <x:c r="M136" s="33" t="str">
        <x:v>NO-OP</x:v>
      </x:c>
      <x:c r="N136" s="31" t="str">
        <x:v>Goal already satisfied: 3→3</x:v>
      </x:c>
      <x:c r="O136" s="33" t="n">
        <x:v>6</x:v>
      </x:c>
      <x:c r="P136" s="31" t="str">
        <x:v>Build the first no-movement scene in this family.</x:v>
      </x:c>
      <x:c r="Q136" s="31" t="str">
        <x:v>All four same-task objects remain visible; table objects are distractors. Success requires leaving the satisfied scene unchanged.</x:v>
      </x:c>
      <x:c r="R136" s="31" t="str"/>
    </x:row>
    <x:row r="137" ht="46.5" customHeight="1">
      <x:c r="A137" s="32" t="str">
        <x:v>Not collected</x:v>
      </x:c>
      <x:c r="B137" s="34" t="n">
        <x:v>135</x:v>
      </x:c>
      <x:c r="C137" s="32" t="str">
        <x:v>Make the bowl contain exactly two objects.</x:v>
      </x:c>
      <x:c r="D137" s="32" t="str">
        <x:v>Bowl objects: [blue pen, yellow block] | Table objects: [green pencil sharpener, airplane toy without propellers]</x:v>
      </x:c>
      <x:c r="E137" s="34" t="str"/>
      <x:c r="F137" s="32" t="str">
        <x:v>NO-OP; preserve 2 objects in the bowl and do not initiate a grasp</x:v>
      </x:c>
      <x:c r="G137" s="32" t="str"/>
      <x:c r="H137" s="35" t="str">
        <x:v>Goal already satisfied / no movement</x:v>
      </x:c>
      <x:c r="I137" s="32" t="str">
        <x:v>NOOP-02</x:v>
      </x:c>
      <x:c r="J137" s="32" t="str">
        <x:v>NOOP-02</x:v>
      </x:c>
      <x:c r="K137" s="34" t="n">
        <x:v>2</x:v>
      </x:c>
      <x:c r="L137" s="34" t="n">
        <x:v>2</x:v>
      </x:c>
      <x:c r="M137" s="34" t="str">
        <x:v>NO-OP</x:v>
      </x:c>
      <x:c r="N137" s="32" t="str">
        <x:v>Goal already satisfied: 2→2</x:v>
      </x:c>
      <x:c r="O137" s="34" t="n">
        <x:v>6</x:v>
      </x:c>
      <x:c r="P137" s="32" t="str">
        <x:v>Move only the minimum listed objects between bowl and table for the next count.</x:v>
      </x:c>
      <x:c r="Q137" s="32" t="str">
        <x:v>All four same-task objects remain visible; table objects are distractors. Success requires leaving the satisfied scene unchanged.</x:v>
      </x:c>
      <x:c r="R137" s="32" t="str"/>
    </x:row>
    <x:row r="138" ht="46.5" customHeight="1">
      <x:c r="A138" s="31" t="str">
        <x:v>Not collected</x:v>
      </x:c>
      <x:c r="B138" s="33" t="n">
        <x:v>136</x:v>
      </x:c>
      <x:c r="C138" s="31" t="str">
        <x:v>Leave exactly one object in the bowl.</x:v>
      </x:c>
      <x:c r="D138" s="31" t="str">
        <x:v>Bowl objects: [blue pen] | Table objects: [yellow block, green pencil sharpener, airplane toy without propellers]</x:v>
      </x:c>
      <x:c r="E138" s="33" t="str"/>
      <x:c r="F138" s="31" t="str">
        <x:v>NO-OP; preserve 1 object in the bowl and do not initiate a grasp</x:v>
      </x:c>
      <x:c r="G138" s="31" t="str"/>
      <x:c r="H138" s="35" t="str">
        <x:v>Goal already satisfied / no movement</x:v>
      </x:c>
      <x:c r="I138" s="31" t="str">
        <x:v>NOOP-02</x:v>
      </x:c>
      <x:c r="J138" s="31" t="str">
        <x:v>NOOP-02</x:v>
      </x:c>
      <x:c r="K138" s="33" t="n">
        <x:v>1</x:v>
      </x:c>
      <x:c r="L138" s="33" t="n">
        <x:v>1</x:v>
      </x:c>
      <x:c r="M138" s="33" t="str">
        <x:v>NO-OP</x:v>
      </x:c>
      <x:c r="N138" s="31" t="str">
        <x:v>Goal already satisfied: 1→1</x:v>
      </x:c>
      <x:c r="O138" s="33" t="n">
        <x:v>6</x:v>
      </x:c>
      <x:c r="P138" s="31" t="str">
        <x:v>Move only the minimum listed objects between bowl and table for the next count.</x:v>
      </x:c>
      <x:c r="Q138" s="31" t="str">
        <x:v>All four same-task objects remain visible; table objects are distractors. Success requires leaving the satisfied scene unchanged.</x:v>
      </x:c>
      <x:c r="R138" s="31" t="str"/>
    </x:row>
    <x:row r="139" ht="46.5" customHeight="1">
      <x:c r="A139" s="32" t="str">
        <x:v>Not collected</x:v>
      </x:c>
      <x:c r="B139" s="34" t="n">
        <x:v>137</x:v>
      </x:c>
      <x:c r="C139" s="32" t="str">
        <x:v>Make the bowl contain exactly zero objects.</x:v>
      </x:c>
      <x:c r="D139" s="32" t="str">
        <x:v>Bowl objects: [none] | Table objects: [blue pen, yellow block, green pencil sharpener, airplane toy without propellers]</x:v>
      </x:c>
      <x:c r="E139" s="34" t="str"/>
      <x:c r="F139" s="32" t="str">
        <x:v>NO-OP; preserve 0 objects in the bowl and do not initiate a grasp</x:v>
      </x:c>
      <x:c r="G139" s="32" t="str"/>
      <x:c r="H139" s="35" t="str">
        <x:v>Goal already satisfied / no movement</x:v>
      </x:c>
      <x:c r="I139" s="32" t="str">
        <x:v>NOOP-02</x:v>
      </x:c>
      <x:c r="J139" s="32" t="str">
        <x:v>NOOP-02</x:v>
      </x:c>
      <x:c r="K139" s="34" t="n">
        <x:v>0</x:v>
      </x:c>
      <x:c r="L139" s="34" t="n">
        <x:v>0</x:v>
      </x:c>
      <x:c r="M139" s="34" t="str">
        <x:v>NO-OP</x:v>
      </x:c>
      <x:c r="N139" s="32" t="str">
        <x:v>Goal already satisfied: 0→0</x:v>
      </x:c>
      <x:c r="O139" s="34" t="n">
        <x:v>6</x:v>
      </x:c>
      <x:c r="P139" s="32" t="str">
        <x:v>Move only the minimum listed objects between bowl and table for the next count.</x:v>
      </x:c>
      <x:c r="Q139" s="32" t="str">
        <x:v>All four same-task objects remain visible; table objects are distractors. Success requires leaving the satisfied scene unchanged.</x:v>
      </x:c>
      <x:c r="R139" s="32" t="str"/>
    </x:row>
    <x:row r="140" ht="46.5" customHeight="1">
      <x:c r="A140" s="31" t="str">
        <x:v>Not collected</x:v>
      </x:c>
      <x:c r="B140" s="33" t="n">
        <x:v>138</x:v>
      </x:c>
      <x:c r="C140" s="31" t="str">
        <x:v>Make the bowl contain exactly zero objects.</x:v>
      </x:c>
      <x:c r="D140" s="31" t="str">
        <x:v>Bowl objects: [none] | Table objects: [yellow block, airplane toy without propellers, blue pen, green pencil sharpener]</x:v>
      </x:c>
      <x:c r="E140" s="33" t="str"/>
      <x:c r="F140" s="31" t="str">
        <x:v>NO-OP; preserve 0 objects in the bowl and do not initiate a grasp</x:v>
      </x:c>
      <x:c r="G140" s="31" t="str"/>
      <x:c r="H140" s="35" t="str">
        <x:v>Goal already satisfied / no movement</x:v>
      </x:c>
      <x:c r="I140" s="31" t="str">
        <x:v>NOOP-03</x:v>
      </x:c>
      <x:c r="J140" s="31" t="str">
        <x:v>NOOP-03</x:v>
      </x:c>
      <x:c r="K140" s="33" t="n">
        <x:v>0</x:v>
      </x:c>
      <x:c r="L140" s="33" t="n">
        <x:v>0</x:v>
      </x:c>
      <x:c r="M140" s="33" t="str">
        <x:v>NO-OP</x:v>
      </x:c>
      <x:c r="N140" s="31" t="str">
        <x:v>Goal already satisfied: 0→0</x:v>
      </x:c>
      <x:c r="O140" s="33" t="n">
        <x:v>6</x:v>
      </x:c>
      <x:c r="P140" s="31" t="str">
        <x:v>Build the first no-movement scene in this family.</x:v>
      </x:c>
      <x:c r="Q140" s="31" t="str">
        <x:v>All four same-task objects remain visible; table objects are distractors. Success requires leaving the satisfied scene unchanged.</x:v>
      </x:c>
      <x:c r="R140" s="31" t="str"/>
    </x:row>
    <x:row r="141" ht="46.5" customHeight="1">
      <x:c r="A141" s="32" t="str">
        <x:v>Not collected</x:v>
      </x:c>
      <x:c r="B141" s="34" t="n">
        <x:v>139</x:v>
      </x:c>
      <x:c r="C141" s="32" t="str">
        <x:v>Leave exactly one object in the bowl.</x:v>
      </x:c>
      <x:c r="D141" s="32" t="str">
        <x:v>Bowl objects: [yellow block] | Table objects: [airplane toy without propellers, blue pen, green pencil sharpener]</x:v>
      </x:c>
      <x:c r="E141" s="34" t="str"/>
      <x:c r="F141" s="32" t="str">
        <x:v>NO-OP; preserve 1 object in the bowl and do not initiate a grasp</x:v>
      </x:c>
      <x:c r="G141" s="32" t="str"/>
      <x:c r="H141" s="35" t="str">
        <x:v>Goal already satisfied / no movement</x:v>
      </x:c>
      <x:c r="I141" s="32" t="str">
        <x:v>NOOP-03</x:v>
      </x:c>
      <x:c r="J141" s="32" t="str">
        <x:v>NOOP-03</x:v>
      </x:c>
      <x:c r="K141" s="34" t="n">
        <x:v>1</x:v>
      </x:c>
      <x:c r="L141" s="34" t="n">
        <x:v>1</x:v>
      </x:c>
      <x:c r="M141" s="34" t="str">
        <x:v>NO-OP</x:v>
      </x:c>
      <x:c r="N141" s="32" t="str">
        <x:v>Goal already satisfied: 1→1</x:v>
      </x:c>
      <x:c r="O141" s="34" t="n">
        <x:v>6</x:v>
      </x:c>
      <x:c r="P141" s="32" t="str">
        <x:v>Move only the minimum listed objects between bowl and table for the next count.</x:v>
      </x:c>
      <x:c r="Q141" s="32" t="str">
        <x:v>All four same-task objects remain visible; table objects are distractors. Success requires leaving the satisfied scene unchanged.</x:v>
      </x:c>
      <x:c r="R141" s="32" t="str"/>
    </x:row>
    <x:row r="142" ht="46.5" customHeight="1">
      <x:c r="A142" s="31" t="str">
        <x:v>Not collected</x:v>
      </x:c>
      <x:c r="B142" s="33" t="n">
        <x:v>140</x:v>
      </x:c>
      <x:c r="C142" s="31" t="str">
        <x:v>Make the bowl contain exactly two objects.</x:v>
      </x:c>
      <x:c r="D142" s="31" t="str">
        <x:v>Bowl objects: [yellow block, airplane toy without propellers] | Table objects: [blue pen, green pencil sharpener]</x:v>
      </x:c>
      <x:c r="E142" s="33" t="str"/>
      <x:c r="F142" s="31" t="str">
        <x:v>NO-OP; preserve 2 objects in the bowl and do not initiate a grasp</x:v>
      </x:c>
      <x:c r="G142" s="31" t="str"/>
      <x:c r="H142" s="35" t="str">
        <x:v>Goal already satisfied / no movement</x:v>
      </x:c>
      <x:c r="I142" s="31" t="str">
        <x:v>NOOP-03</x:v>
      </x:c>
      <x:c r="J142" s="31" t="str">
        <x:v>NOOP-03</x:v>
      </x:c>
      <x:c r="K142" s="33" t="n">
        <x:v>2</x:v>
      </x:c>
      <x:c r="L142" s="33" t="n">
        <x:v>2</x:v>
      </x:c>
      <x:c r="M142" s="33" t="str">
        <x:v>NO-OP</x:v>
      </x:c>
      <x:c r="N142" s="31" t="str">
        <x:v>Goal already satisfied: 2→2</x:v>
      </x:c>
      <x:c r="O142" s="33" t="n">
        <x:v>6</x:v>
      </x:c>
      <x:c r="P142" s="31" t="str">
        <x:v>Move only the minimum listed objects between bowl and table for the next count.</x:v>
      </x:c>
      <x:c r="Q142" s="31" t="str">
        <x:v>All four same-task objects remain visible; table objects are distractors. Success requires leaving the satisfied scene unchanged.</x:v>
      </x:c>
      <x:c r="R142" s="31" t="str"/>
    </x:row>
    <x:row r="143" ht="46.5" customHeight="1">
      <x:c r="A143" s="32" t="str">
        <x:v>Not collected</x:v>
      </x:c>
      <x:c r="B143" s="34" t="n">
        <x:v>141</x:v>
      </x:c>
      <x:c r="C143" s="32" t="str">
        <x:v>Leave exactly three objects in the bowl.</x:v>
      </x:c>
      <x:c r="D143" s="32" t="str">
        <x:v>Bowl objects: [yellow block, airplane toy without propellers, blue pen] | Table objects: [green pencil sharpener]</x:v>
      </x:c>
      <x:c r="E143" s="34" t="str"/>
      <x:c r="F143" s="32" t="str">
        <x:v>NO-OP; preserve 3 objects in the bowl and do not initiate a grasp</x:v>
      </x:c>
      <x:c r="G143" s="32" t="str"/>
      <x:c r="H143" s="35" t="str">
        <x:v>Goal already satisfied / no movement</x:v>
      </x:c>
      <x:c r="I143" s="32" t="str">
        <x:v>NOOP-03</x:v>
      </x:c>
      <x:c r="J143" s="32" t="str">
        <x:v>NOOP-03</x:v>
      </x:c>
      <x:c r="K143" s="34" t="n">
        <x:v>3</x:v>
      </x:c>
      <x:c r="L143" s="34" t="n">
        <x:v>3</x:v>
      </x:c>
      <x:c r="M143" s="34" t="str">
        <x:v>NO-OP</x:v>
      </x:c>
      <x:c r="N143" s="32" t="str">
        <x:v>Goal already satisfied: 3→3</x:v>
      </x:c>
      <x:c r="O143" s="34" t="n">
        <x:v>6</x:v>
      </x:c>
      <x:c r="P143" s="32" t="str">
        <x:v>Move only the minimum listed objects between bowl and table for the next count.</x:v>
      </x:c>
      <x:c r="Q143" s="32" t="str">
        <x:v>All four same-task objects remain visible; table objects are distractors. Success requires leaving the satisfied scene unchanged.</x:v>
      </x:c>
      <x:c r="R143" s="32" t="str"/>
    </x:row>
    <x:row r="144" ht="46.5" customHeight="1">
      <x:c r="A144" s="31" t="str">
        <x:v>Not collected</x:v>
      </x:c>
      <x:c r="B144" s="33" t="n">
        <x:v>142</x:v>
      </x:c>
      <x:c r="C144" s="31" t="str">
        <x:v>Leave exactly three objects in the bowl.</x:v>
      </x:c>
      <x:c r="D144" s="31" t="str">
        <x:v>Bowl objects: [green pencil sharpener, airplane toy without propellers, blue pen] | Table objects: [yellow block]</x:v>
      </x:c>
      <x:c r="E144" s="33" t="str"/>
      <x:c r="F144" s="31" t="str">
        <x:v>NO-OP; preserve 3 objects in the bowl and do not initiate a grasp</x:v>
      </x:c>
      <x:c r="G144" s="31" t="str"/>
      <x:c r="H144" s="35" t="str">
        <x:v>Goal already satisfied / no movement</x:v>
      </x:c>
      <x:c r="I144" s="31" t="str">
        <x:v>NOOP-04</x:v>
      </x:c>
      <x:c r="J144" s="31" t="str">
        <x:v>NOOP-04</x:v>
      </x:c>
      <x:c r="K144" s="33" t="n">
        <x:v>3</x:v>
      </x:c>
      <x:c r="L144" s="33" t="n">
        <x:v>3</x:v>
      </x:c>
      <x:c r="M144" s="33" t="str">
        <x:v>NO-OP</x:v>
      </x:c>
      <x:c r="N144" s="31" t="str">
        <x:v>Goal already satisfied: 3→3</x:v>
      </x:c>
      <x:c r="O144" s="33" t="n">
        <x:v>6</x:v>
      </x:c>
      <x:c r="P144" s="31" t="str">
        <x:v>Build the first no-movement scene in this family.</x:v>
      </x:c>
      <x:c r="Q144" s="31" t="str">
        <x:v>All four same-task objects remain visible; table objects are distractors. Success requires leaving the satisfied scene unchanged.</x:v>
      </x:c>
      <x:c r="R144" s="31" t="str"/>
    </x:row>
    <x:row r="145" ht="46.5" customHeight="1">
      <x:c r="A145" s="32" t="str">
        <x:v>Not collected</x:v>
      </x:c>
      <x:c r="B145" s="34" t="n">
        <x:v>143</x:v>
      </x:c>
      <x:c r="C145" s="32" t="str">
        <x:v>Make the bowl contain exactly two objects.</x:v>
      </x:c>
      <x:c r="D145" s="32" t="str">
        <x:v>Bowl objects: [green pencil sharpener, airplane toy without propellers] | Table objects: [blue pen, yellow block]</x:v>
      </x:c>
      <x:c r="E145" s="34" t="str"/>
      <x:c r="F145" s="32" t="str">
        <x:v>NO-OP; preserve 2 objects in the bowl and do not initiate a grasp</x:v>
      </x:c>
      <x:c r="G145" s="32" t="str"/>
      <x:c r="H145" s="35" t="str">
        <x:v>Goal already satisfied / no movement</x:v>
      </x:c>
      <x:c r="I145" s="32" t="str">
        <x:v>NOOP-04</x:v>
      </x:c>
      <x:c r="J145" s="32" t="str">
        <x:v>NOOP-04</x:v>
      </x:c>
      <x:c r="K145" s="34" t="n">
        <x:v>2</x:v>
      </x:c>
      <x:c r="L145" s="34" t="n">
        <x:v>2</x:v>
      </x:c>
      <x:c r="M145" s="34" t="str">
        <x:v>NO-OP</x:v>
      </x:c>
      <x:c r="N145" s="32" t="str">
        <x:v>Goal already satisfied: 2→2</x:v>
      </x:c>
      <x:c r="O145" s="34" t="n">
        <x:v>6</x:v>
      </x:c>
      <x:c r="P145" s="32" t="str">
        <x:v>Move only the minimum listed objects between bowl and table for the next count.</x:v>
      </x:c>
      <x:c r="Q145" s="32" t="str">
        <x:v>All four same-task objects remain visible; table objects are distractors. Success requires leaving the satisfied scene unchanged.</x:v>
      </x:c>
      <x:c r="R145" s="32" t="str"/>
    </x:row>
    <x:row r="146" ht="46.5" customHeight="1">
      <x:c r="A146" s="31" t="str">
        <x:v>Not collected</x:v>
      </x:c>
      <x:c r="B146" s="33" t="n">
        <x:v>144</x:v>
      </x:c>
      <x:c r="C146" s="31" t="str">
        <x:v>Leave exactly one object in the bowl.</x:v>
      </x:c>
      <x:c r="D146" s="31" t="str">
        <x:v>Bowl objects: [green pencil sharpener] | Table objects: [airplane toy without propellers, blue pen, yellow block]</x:v>
      </x:c>
      <x:c r="E146" s="33" t="str"/>
      <x:c r="F146" s="31" t="str">
        <x:v>NO-OP; preserve 1 object in the bowl and do not initiate a grasp</x:v>
      </x:c>
      <x:c r="G146" s="31" t="str"/>
      <x:c r="H146" s="35" t="str">
        <x:v>Goal already satisfied / no movement</x:v>
      </x:c>
      <x:c r="I146" s="31" t="str">
        <x:v>NOOP-04</x:v>
      </x:c>
      <x:c r="J146" s="31" t="str">
        <x:v>NOOP-04</x:v>
      </x:c>
      <x:c r="K146" s="33" t="n">
        <x:v>1</x:v>
      </x:c>
      <x:c r="L146" s="33" t="n">
        <x:v>1</x:v>
      </x:c>
      <x:c r="M146" s="33" t="str">
        <x:v>NO-OP</x:v>
      </x:c>
      <x:c r="N146" s="31" t="str">
        <x:v>Goal already satisfied: 1→1</x:v>
      </x:c>
      <x:c r="O146" s="33" t="n">
        <x:v>6</x:v>
      </x:c>
      <x:c r="P146" s="31" t="str">
        <x:v>Move only the minimum listed objects between bowl and table for the next count.</x:v>
      </x:c>
      <x:c r="Q146" s="31" t="str">
        <x:v>All four same-task objects remain visible; table objects are distractors. Success requires leaving the satisfied scene unchanged.</x:v>
      </x:c>
      <x:c r="R146" s="31" t="str"/>
    </x:row>
    <x:row r="147" ht="46.5" customHeight="1">
      <x:c r="A147" s="32" t="str">
        <x:v>Not collected</x:v>
      </x:c>
      <x:c r="B147" s="34" t="n">
        <x:v>145</x:v>
      </x:c>
      <x:c r="C147" s="32" t="str">
        <x:v>Make the bowl contain exactly zero objects.</x:v>
      </x:c>
      <x:c r="D147" s="32" t="str">
        <x:v>Bowl objects: [none] | Table objects: [green pencil sharpener, airplane toy without propellers, blue pen, yellow block]</x:v>
      </x:c>
      <x:c r="E147" s="34" t="str"/>
      <x:c r="F147" s="32" t="str">
        <x:v>NO-OP; preserve 0 objects in the bowl and do not initiate a grasp</x:v>
      </x:c>
      <x:c r="G147" s="32" t="str"/>
      <x:c r="H147" s="35" t="str">
        <x:v>Goal already satisfied / no movement</x:v>
      </x:c>
      <x:c r="I147" s="32" t="str">
        <x:v>NOOP-04</x:v>
      </x:c>
      <x:c r="J147" s="32" t="str">
        <x:v>NOOP-04</x:v>
      </x:c>
      <x:c r="K147" s="34" t="n">
        <x:v>0</x:v>
      </x:c>
      <x:c r="L147" s="34" t="n">
        <x:v>0</x:v>
      </x:c>
      <x:c r="M147" s="34" t="str">
        <x:v>NO-OP</x:v>
      </x:c>
      <x:c r="N147" s="32" t="str">
        <x:v>Goal already satisfied: 0→0</x:v>
      </x:c>
      <x:c r="O147" s="34" t="n">
        <x:v>6</x:v>
      </x:c>
      <x:c r="P147" s="32" t="str">
        <x:v>Move only the minimum listed objects between bowl and table for the next count.</x:v>
      </x:c>
      <x:c r="Q147" s="32" t="str">
        <x:v>All four same-task objects remain visible; table objects are distractors. Success requires leaving the satisfied scene unchanged.</x:v>
      </x:c>
      <x:c r="R147" s="32" t="str"/>
    </x:row>
    <x:row r="148" ht="46.5" customHeight="1">
      <x:c r="A148" s="31" t="str">
        <x:v>Not collected</x:v>
      </x:c>
      <x:c r="B148" s="33" t="n">
        <x:v>146</x:v>
      </x:c>
      <x:c r="C148" s="31" t="str">
        <x:v>Make the bowl contain exactly zero objects.</x:v>
      </x:c>
      <x:c r="D148" s="31" t="str">
        <x:v>Bowl objects: [none] | Table objects: [airplane toy without propellers, green pencil sharpener, yellow block, blue pen]</x:v>
      </x:c>
      <x:c r="E148" s="33" t="str"/>
      <x:c r="F148" s="31" t="str">
        <x:v>NO-OP; preserve 0 objects in the bowl and do not initiate a grasp</x:v>
      </x:c>
      <x:c r="G148" s="31" t="str"/>
      <x:c r="H148" s="35" t="str">
        <x:v>Goal already satisfied / no movement</x:v>
      </x:c>
      <x:c r="I148" s="31" t="str">
        <x:v>NOOP-05</x:v>
      </x:c>
      <x:c r="J148" s="31" t="str">
        <x:v>NOOP-05</x:v>
      </x:c>
      <x:c r="K148" s="33" t="n">
        <x:v>0</x:v>
      </x:c>
      <x:c r="L148" s="33" t="n">
        <x:v>0</x:v>
      </x:c>
      <x:c r="M148" s="33" t="str">
        <x:v>NO-OP</x:v>
      </x:c>
      <x:c r="N148" s="31" t="str">
        <x:v>Goal already satisfied: 0→0</x:v>
      </x:c>
      <x:c r="O148" s="33" t="n">
        <x:v>6</x:v>
      </x:c>
      <x:c r="P148" s="31" t="str">
        <x:v>Build the first no-movement scene in this family.</x:v>
      </x:c>
      <x:c r="Q148" s="31" t="str">
        <x:v>All four same-task objects remain visible; table objects are distractors. Success requires leaving the satisfied scene unchanged.</x:v>
      </x:c>
      <x:c r="R148" s="31" t="str"/>
    </x:row>
    <x:row r="149" ht="46.5" customHeight="1">
      <x:c r="A149" s="32" t="str">
        <x:v>Not collected</x:v>
      </x:c>
      <x:c r="B149" s="34" t="n">
        <x:v>147</x:v>
      </x:c>
      <x:c r="C149" s="32" t="str">
        <x:v>Leave exactly one object in the bowl.</x:v>
      </x:c>
      <x:c r="D149" s="32" t="str">
        <x:v>Bowl objects: [airplane toy without propellers] | Table objects: [green pencil sharpener, yellow block, blue pen]</x:v>
      </x:c>
      <x:c r="E149" s="34" t="str"/>
      <x:c r="F149" s="32" t="str">
        <x:v>NO-OP; preserve 1 object in the bowl and do not initiate a grasp</x:v>
      </x:c>
      <x:c r="G149" s="32" t="str"/>
      <x:c r="H149" s="35" t="str">
        <x:v>Goal already satisfied / no movement</x:v>
      </x:c>
      <x:c r="I149" s="32" t="str">
        <x:v>NOOP-05</x:v>
      </x:c>
      <x:c r="J149" s="32" t="str">
        <x:v>NOOP-05</x:v>
      </x:c>
      <x:c r="K149" s="34" t="n">
        <x:v>1</x:v>
      </x:c>
      <x:c r="L149" s="34" t="n">
        <x:v>1</x:v>
      </x:c>
      <x:c r="M149" s="34" t="str">
        <x:v>NO-OP</x:v>
      </x:c>
      <x:c r="N149" s="32" t="str">
        <x:v>Goal already satisfied: 1→1</x:v>
      </x:c>
      <x:c r="O149" s="34" t="n">
        <x:v>6</x:v>
      </x:c>
      <x:c r="P149" s="32" t="str">
        <x:v>Move only the minimum listed objects between bowl and table for the next count.</x:v>
      </x:c>
      <x:c r="Q149" s="32" t="str">
        <x:v>All four same-task objects remain visible; table objects are distractors. Success requires leaving the satisfied scene unchanged.</x:v>
      </x:c>
      <x:c r="R149" s="32" t="str"/>
    </x:row>
    <x:row r="150" ht="46.5" customHeight="1">
      <x:c r="A150" s="31" t="str">
        <x:v>Not collected</x:v>
      </x:c>
      <x:c r="B150" s="33" t="n">
        <x:v>148</x:v>
      </x:c>
      <x:c r="C150" s="31" t="str">
        <x:v>Make the bowl contain exactly two objects.</x:v>
      </x:c>
      <x:c r="D150" s="31" t="str">
        <x:v>Bowl objects: [airplane toy without propellers, green pencil sharpener] | Table objects: [yellow block, blue pen]</x:v>
      </x:c>
      <x:c r="E150" s="33" t="str"/>
      <x:c r="F150" s="31" t="str">
        <x:v>NO-OP; preserve 2 objects in the bowl and do not initiate a grasp</x:v>
      </x:c>
      <x:c r="G150" s="31" t="str"/>
      <x:c r="H150" s="35" t="str">
        <x:v>Goal already satisfied / no movement</x:v>
      </x:c>
      <x:c r="I150" s="31" t="str">
        <x:v>NOOP-05</x:v>
      </x:c>
      <x:c r="J150" s="31" t="str">
        <x:v>NOOP-05</x:v>
      </x:c>
      <x:c r="K150" s="33" t="n">
        <x:v>2</x:v>
      </x:c>
      <x:c r="L150" s="33" t="n">
        <x:v>2</x:v>
      </x:c>
      <x:c r="M150" s="33" t="str">
        <x:v>NO-OP</x:v>
      </x:c>
      <x:c r="N150" s="31" t="str">
        <x:v>Goal already satisfied: 2→2</x:v>
      </x:c>
      <x:c r="O150" s="33" t="n">
        <x:v>6</x:v>
      </x:c>
      <x:c r="P150" s="31" t="str">
        <x:v>Move only the minimum listed objects between bowl and table for the next count.</x:v>
      </x:c>
      <x:c r="Q150" s="31" t="str">
        <x:v>All four same-task objects remain visible; table objects are distractors. Success requires leaving the satisfied scene unchanged.</x:v>
      </x:c>
      <x:c r="R150" s="31" t="str"/>
    </x:row>
    <x:row r="151" ht="46.5" customHeight="1">
      <x:c r="A151" s="32" t="str">
        <x:v>Not collected</x:v>
      </x:c>
      <x:c r="B151" s="34" t="n">
        <x:v>149</x:v>
      </x:c>
      <x:c r="C151" s="32" t="str">
        <x:v>Leave exactly three objects in the bowl.</x:v>
      </x:c>
      <x:c r="D151" s="32" t="str">
        <x:v>Bowl objects: [airplane toy without propellers, green pencil sharpener, yellow block] | Table objects: [blue pen]</x:v>
      </x:c>
      <x:c r="E151" s="34" t="str"/>
      <x:c r="F151" s="32" t="str">
        <x:v>NO-OP; preserve 3 objects in the bowl and do not initiate a grasp</x:v>
      </x:c>
      <x:c r="G151" s="32" t="str"/>
      <x:c r="H151" s="35" t="str">
        <x:v>Goal already satisfied / no movement</x:v>
      </x:c>
      <x:c r="I151" s="32" t="str">
        <x:v>NOOP-05</x:v>
      </x:c>
      <x:c r="J151" s="32" t="str">
        <x:v>NOOP-05</x:v>
      </x:c>
      <x:c r="K151" s="34" t="n">
        <x:v>3</x:v>
      </x:c>
      <x:c r="L151" s="34" t="n">
        <x:v>3</x:v>
      </x:c>
      <x:c r="M151" s="34" t="str">
        <x:v>NO-OP</x:v>
      </x:c>
      <x:c r="N151" s="32" t="str">
        <x:v>Goal already satisfied: 3→3</x:v>
      </x:c>
      <x:c r="O151" s="34" t="n">
        <x:v>6</x:v>
      </x:c>
      <x:c r="P151" s="32" t="str">
        <x:v>Move only the minimum listed objects between bowl and table for the next count.</x:v>
      </x:c>
      <x:c r="Q151" s="32" t="str">
        <x:v>All four same-task objects remain visible; table objects are distractors. Success requires leaving the satisfied scene unchanged.</x:v>
      </x:c>
      <x:c r="R151" s="32" t="str"/>
    </x:row>
  </x:sheetData>
  <x:conditionalFormatting sqref="A2:R13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31">
    <x:cfRule type="containsText" dxfId="2" priority="3" operator="containsText" text="Concept/compositional transfer"/>
    <x:cfRule type="containsText" dxfId="3" priority="4" operator="containsText" text="Matched action control"/>
    <x:cfRule type="containsText" dxfId="4" priority="5" operator="containsText" text="Language robustness"/>
    <x:cfRule type="containsText" dxfId="5" priority="6" operator="containsText" text="Seen-count baseline"/>
    <x:cfRule type="containsText" dxfId="6" priority="7" operator="containsText" text="Cross-task"/>
  </x:conditionalFormatting>
  <x:conditionalFormatting sqref="A2:R151">
    <x:cfRule type="expression" dxfId="30" priority="8">
      <x:formula>$A2="Success"</x:formula>
    </x:cfRule>
    <x:cfRule type="expression" dxfId="31" priority="9">
      <x:formula>$A2="Failure"</x:formula>
    </x:cfRule>
  </x:conditionalFormatting>
  <x:dataValidations count="2">
    <x:dataValidation type="list" sqref="A2:A131">
      <x:formula1>"Not collected,Success,Failure"</x:formula1>
    </x:dataValidation>
    <x:dataValidation type="list" sqref="A2:A151">
      <x:formula1>"Not collected,Success,Failure"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329999923706055" hidden="0" customWidth="1"/>
    <x:col min="3" max="3" width="14.4399995803833" hidden="0" customWidth="1"/>
    <x:col min="4" max="4" width="11.670000076293945" hidden="0" customWidth="1"/>
    <x:col min="5" max="5" width="11.670000076293945" hidden="0" customWidth="1"/>
    <x:col min="6" max="6" width="18.329999923706055" hidden="0" customWidth="1"/>
    <x:col min="7" max="7" width="36.66999816894531" hidden="0" customWidth="1"/>
  </x:cols>
  <x:sheetData>
    <x:row r="1" ht="28.5" customHeight="1">
      <x:c r="A1" s="30" t="str">
        <x:v>Object</x:v>
      </x:c>
      <x:c r="B1" s="30" t="str">
        <x:v>Seen in Counting training?</x:v>
      </x:c>
      <x:c r="C1" s="30" t="str">
        <x:v>Seen elsewhere in training?</x:v>
      </x:c>
      <x:c r="D1" s="30" t="str">
        <x:v>Counting scene exposure</x:v>
      </x:c>
      <x:c r="E1" s="30" t="str">
        <x:v>Counting direct targets</x:v>
      </x:c>
      <x:c r="F1" s="30" t="str">
        <x:v>Evaluation role</x:v>
      </x:c>
      <x:c r="G1" s="30" t="str">
        <x:v>Notes</x:v>
      </x:c>
    </x:row>
    <x:row r="2" ht="34.5" customHeight="1">
      <x:c r="A2" s="25" t="str">
        <x:v>blue pen</x:v>
      </x:c>
      <x:c r="B2" s="25" t="str">
        <x:v>Yes</x:v>
      </x:c>
      <x:c r="C2" s="25" t="str">
        <x:v>Yes</x:v>
      </x:c>
      <x:c r="D2" s="25" t="n">
        <x:v>162</x:v>
      </x:c>
      <x:c r="E2" s="25" t="n">
        <x:v>50</x:v>
      </x:c>
      <x:c r="F2" s="25" t="str">
        <x:v>Same-task object</x:v>
      </x:c>
      <x:c r="G2" s="25" t="str">
        <x:v>Used throughout all six conditions.</x:v>
      </x:c>
    </x:row>
    <x:row r="3" ht="34.5" customHeight="1">
      <x:c r="A3" s="25" t="str">
        <x:v>yellow block</x:v>
      </x:c>
      <x:c r="B3" s="25" t="str">
        <x:v>Yes</x:v>
      </x:c>
      <x:c r="C3" s="25" t="str">
        <x:v>Yes</x:v>
      </x:c>
      <x:c r="D3" s="25" t="n">
        <x:v>162</x:v>
      </x:c>
      <x:c r="E3" s="25" t="n">
        <x:v>50</x:v>
      </x:c>
      <x:c r="F3" s="25" t="str">
        <x:v>Same-task object</x:v>
      </x:c>
      <x:c r="G3" s="25" t="str">
        <x:v>Used throughout all six conditions.</x:v>
      </x:c>
    </x:row>
    <x:row r="4" ht="34.5" customHeight="1">
      <x:c r="A4" s="25" t="str">
        <x:v>green pencil sharpener</x:v>
      </x:c>
      <x:c r="B4" s="25" t="str">
        <x:v>Yes</x:v>
      </x:c>
      <x:c r="C4" s="25" t="str">
        <x:v>Yes</x:v>
      </x:c>
      <x:c r="D4" s="25" t="n">
        <x:v>162</x:v>
      </x:c>
      <x:c r="E4" s="25" t="n">
        <x:v>50</x:v>
      </x:c>
      <x:c r="F4" s="25" t="str">
        <x:v>Same-task object</x:v>
      </x:c>
      <x:c r="G4" s="25" t="str">
        <x:v>Used throughout all six conditions.</x:v>
      </x:c>
    </x:row>
    <x:row r="5" ht="34.5" customHeight="1">
      <x:c r="A5" s="25" t="str">
        <x:v>airplane toy without propellers</x:v>
      </x:c>
      <x:c r="B5" s="25" t="str">
        <x:v>Yes</x:v>
      </x:c>
      <x:c r="C5" s="25" t="str">
        <x:v>Yes</x:v>
      </x:c>
      <x:c r="D5" s="25" t="n">
        <x:v>162</x:v>
      </x:c>
      <x:c r="E5" s="25" t="n">
        <x:v>50</x:v>
      </x:c>
      <x:c r="F5" s="25" t="str">
        <x:v>Same-task object</x:v>
      </x:c>
      <x:c r="G5" s="25" t="str">
        <x:v>Used throughout all six conditions.</x:v>
      </x:c>
    </x:row>
    <x:row r="6" ht="34.5" customHeight="1">
      <x:c r="A6" s="25" t="str">
        <x:v>green highlighter</x:v>
      </x:c>
      <x:c r="B6" s="25" t="str">
        <x:v>No</x:v>
      </x:c>
      <x:c r="C6" s="25" t="str">
        <x:v>Yes</x:v>
      </x:c>
      <x:c r="D6" s="25" t="n">
        <x:v>0</x:v>
      </x:c>
      <x:c r="E6" s="25" t="n">
        <x:v>0</x:v>
      </x:c>
      <x:c r="F6" s="25" t="str">
        <x:v>Only cross-task object</x:v>
      </x:c>
      <x:c r="G6" s="25" t="str">
        <x:v>Five removal and five addition scene families, each repeated as a transfer/control pair.</x:v>
      </x:c>
    </x:row>
    <x:row r="7" ht="66" customHeight="1">
      <x:c r="A7"/>
      <x:c r="B7"/>
      <x:c r="C7"/>
      <x:c r="D7"/>
      <x:c r="E7"/>
      <x:c r="F7"/>
      <x:c r="G7"/>
    </x:row>
    <x:row r="8" ht="66" customHeight="1">
      <x:c r="A8"/>
      <x:c r="B8"/>
      <x:c r="C8"/>
      <x:c r="D8"/>
      <x:c r="E8"/>
      <x:c r="F8"/>
      <x:c r="G8"/>
    </x:row>
    <x:row r="9" ht="66" customHeight="1">
      <x:c r="A9"/>
      <x:c r="B9"/>
      <x:c r="C9"/>
      <x:c r="D9"/>
      <x:c r="E9"/>
      <x:c r="F9"/>
      <x:c r="G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8.890000343322754" hidden="0" customWidth="1"/>
    <x:col min="3" max="3" width="62.220001220703125" hidden="0" customWidth="1"/>
  </x:cols>
  <x:sheetData>
    <x:row r="1" ht="30" customHeight="1">
      <x:c r="A1" s="30" t="str">
        <x:v>Training / evaluation cell</x:v>
      </x:c>
      <x:c r="B1" s="30" t="str">
        <x:v>Count</x:v>
      </x:c>
      <x:c r="C1" s="30" t="str">
        <x:v>Interpretation</x:v>
      </x:c>
    </x:row>
    <x:row r="2" ht="30" customHeight="1">
      <x:c r="A2" s="25" t="str">
        <x:v>Training: goal 0 explicit anchor</x:v>
      </x:c>
      <x:c r="B2" s="25" t="n">
        <x:v>24</x:v>
      </x:c>
      <x:c r="C2" s="25" t="str">
        <x:v>Goal zero is explicitly grounded in Counting.</x:v>
      </x:c>
    </x:row>
    <x:row r="3" ht="30" customHeight="1">
      <x:c r="A3" s="25" t="str">
        <x:v>Training: goal 1 via 0→1 addition</x:v>
      </x:c>
      <x:c r="B3" s="25" t="n">
        <x:v>32</x:v>
      </x:c>
      <x:c r="C3" s="25" t="str">
        <x:v>Familiar goal-1 transition used by the in-distribution baseline.</x:v>
      </x:c>
    </x:row>
    <x:row r="4" ht="30" customHeight="1">
      <x:c r="A4" s="25" t="str">
        <x:v>Training: goal 1 via 2→1 removal</x:v>
      </x:c>
      <x:c r="B4" s="25" t="n">
        <x:v>24</x:v>
      </x:c>
      <x:c r="C4" s="25" t="str">
        <x:v>Trajectory is present under direct prompts; count-goal composition is masked.</x:v>
      </x:c>
    </x:row>
    <x:row r="5" ht="30" customHeight="1">
      <x:c r="A5" s="25" t="str">
        <x:v>Training: goal 2 explicit anchor</x:v>
      </x:c>
      <x:c r="B5" s="25" t="n">
        <x:v>56</x:v>
      </x:c>
      <x:c r="C5" s="25" t="str">
        <x:v>Goal two is explicitly grounded in Counting.</x:v>
      </x:c>
    </x:row>
    <x:row r="6" ht="30" customHeight="1">
      <x:c r="A6" s="25" t="str">
        <x:v>Training: goal 3 via 4→3 removal</x:v>
      </x:c>
      <x:c r="B6" s="25" t="n">
        <x:v>28</x:v>
      </x:c>
      <x:c r="C6" s="25" t="str">
        <x:v>Familiar goal-3 transition used by the in-distribution baseline.</x:v>
      </x:c>
    </x:row>
    <x:row r="7" ht="30" customHeight="1">
      <x:c r="A7" s="25" t="str">
        <x:v>Training: goal 3 via 2→3 addition</x:v>
      </x:c>
      <x:c r="B7" s="25" t="n">
        <x:v>36</x:v>
      </x:c>
      <x:c r="C7" s="25" t="str">
        <x:v>Trajectory is present under direct prompts; count-goal composition is masked.</x:v>
      </x:c>
    </x:row>
    <x:row r="8" ht="30" customHeight="1">
      <x:c r="A8" s="25" t="str">
        <x:v>Training total</x:v>
      </x:c>
      <x:c r="B8" s="25" t="n">
        <x:v>200</x:v>
      </x:c>
      <x:c r="C8" s="25" t="str">
        <x:v>All Counting demonstrations.</x:v>
      </x:c>
    </x:row>
    <x:row r="9" ht="30" customHeight="1">
      <x:c r="A9" s="25" t="str"/>
      <x:c r="B9" s="25" t="str"/>
      <x:c r="C9" s="25" t="str"/>
    </x:row>
    <x:row r="10" ht="30" customHeight="1">
      <x:c r="A10" s="35" t="str">
        <x:v>Evaluation: in-distribution baseline</x:v>
      </x:c>
      <x:c r="B10" s="35" t="n">
        <x:v>20</x:v>
      </x:c>
      <x:c r="C10" s="35" t="str">
        <x:v>10 familiar 0→1 goal-one additions and 10 familiar 4→3 goal-three removals.</x:v>
      </x:c>
    </x:row>
    <x:row r="11" ht="30" customHeight="1">
      <x:c r="A11" s="25" t="str">
        <x:v>Evaluation: primary compositional transfer</x:v>
      </x:c>
      <x:c r="B11" s="25" t="n">
        <x:v>50</x:v>
      </x:c>
      <x:c r="C11" s="25" t="str">
        <x:v>25 held-out 2→1 goal-one removals and 25 held-out 2→3 goal-three additions.</x:v>
      </x:c>
    </x:row>
    <x:row r="12" ht="30" customHeight="1">
      <x:c r="A12" s="25" t="str">
        <x:v>Evaluation: matched manipulation controls</x:v>
      </x:c>
      <x:c r="B12" s="25" t="n">
        <x:v>20</x:v>
      </x:c>
      <x:c r="C12" s="25" t="str">
        <x:v>10 direct removals and 10 direct additions on exact primary scenes.</x:v>
      </x:c>
    </x:row>
    <x:row r="13" ht="30" customHeight="1">
      <x:c r="A13" s="25" t="str">
        <x:v>Evaluation: language robustness</x:v>
      </x:c>
      <x:c r="B13" s="25" t="n">
        <x:v>20</x:v>
      </x:c>
      <x:c r="C13" s="25" t="str">
        <x:v>10 primary paraphrases and 10 matched-control paraphrases on exact scenes.</x:v>
      </x:c>
    </x:row>
    <x:row r="14" ht="30" customHeight="1">
      <x:c r="A14" s="25" t="str">
        <x:v>Evaluation: green-highlighter cross-task block</x:v>
      </x:c>
      <x:c r="B14" s="25" t="n">
        <x:v>20</x:v>
      </x:c>
      <x:c r="C14" s="25" t="str">
        <x:v>10 familiar-count transfers plus 10 exact-scene direct controls; no 2→1 or 2→3 held-out composition.</x:v>
      </x:c>
    </x:row>
    <x:row r="15" ht="30" customHeight="1">
      <x:c r="A15" s="25" t="str">
        <x:v>Evaluation: goal already satisfied</x:v>
      </x:c>
      <x:c r="B15" s="25" t="n">
        <x:v>20</x:v>
      </x:c>
      <x:c r="C15" s="25" t="str">
        <x:v>Five no-op trials each for goal counts 0, 1, 2, and 3.</x:v>
      </x:c>
    </x:row>
    <x:row r="16" ht="30" customHeight="1">
      <x:c r="A16" s="25" t="str">
        <x:v>Evaluation total</x:v>
      </x:c>
      <x:c r="B16" s="25" t="n">
        <x:v>150</x:v>
      </x:c>
      <x:c r="C16" s="25" t="str">
        <x:v>Thirty unique-condition counts are not pooled without reporting the condition.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84.44000244140625" hidden="0" customWidth="1"/>
  </x:cols>
  <x:sheetData>
    <x:row r="1" ht="34.5" customHeight="1">
      <x:c r="A1" s="30" t="str">
        <x:v>Protocol item</x:v>
      </x:c>
      <x:c r="B1" s="30" t="str">
        <x:v>Instruction</x:v>
      </x:c>
    </x:row>
    <x:row r="2" ht="34.5" customHeight="1">
      <x:c r="A2" s="25" t="str">
        <x:v>Evaluation size</x:v>
      </x:c>
      <x:c r="B2" s="25" t="str">
        <x:v>150 rollouts per model: 20 in-distribution, 50 primary transfer, 20 matched controls, 20 language, 20 green-highlighter cross-task, and 20 goal-already-satisfied trials.</x:v>
      </x:c>
    </x:row>
    <x:row r="3" ht="34.5" customHeight="1">
      <x:c r="A3" s="25" t="str">
        <x:v>Collection order</x:v>
      </x:c>
      <x:c r="B3" s="25" t="str">
        <x:v>Episodes 0–19 are the in-distribution baseline. Exact-scene prompt comparisons are adjacent wherever possible.</x:v>
      </x:c>
    </x:row>
    <x:row r="4" ht="34.5" customHeight="1">
      <x:c r="A4" s="25" t="str">
        <x:v>Scene setup column</x:v>
      </x:c>
      <x:c r="B4" s="25" t="str">
        <x:v>Use only the listed Bowl objects and Table objects. Keep all listed objects visible, separated, and reachable; do not add unlisted objects.</x:v>
      </x:c>
    </x:row>
    <x:row r="5" ht="34.5" customHeight="1">
      <x:c r="A5" s="25" t="str">
        <x:v>Viewpoint and reset</x:v>
      </x:c>
      <x:c r="B5" s="25" t="str">
        <x:v>Keep the same camera and robot-home convention across models. Recreate episode N as closely as possible for every model.</x:v>
      </x:c>
    </x:row>
    <x:row r="6" ht="34.5" customHeight="1">
      <x:c r="A6" s="25" t="str">
        <x:v>Primary endpoint</x:v>
      </x:c>
      <x:c r="B6" s="25" t="str">
        <x:v>The only primary compositional cells are one via 2→1 removal and three via 2→3 addition. Score the 50 primary rows separately from every diagnostic condition.</x:v>
      </x:c>
    </x:row>
    <x:row r="7" ht="34.5" customHeight="1">
      <x:c r="A7" s="25" t="str">
        <x:v>In-distribution baseline</x:v>
      </x:c>
      <x:c r="B7" s="25" t="str">
        <x:v>Uses the same words one and three in their training-supported transitions: 0→1 addition and 4→3 removal.</x:v>
      </x:c>
    </x:row>
    <x:row r="8" ht="34.5" customHeight="1">
      <x:c r="A8" s="25" t="str">
        <x:v>Matched controls</x:v>
      </x:c>
      <x:c r="B8" s="25" t="str">
        <x:v>A direct prompt names one valid object on the exact primary scene. These test recognition and manipulation in the same action direction.</x:v>
      </x:c>
    </x:row>
    <x:row r="9" ht="34.5" customHeight="1">
      <x:c r="A9" s="25" t="str">
        <x:v>Language robustness</x:v>
      </x:c>
      <x:c r="B9" s="25" t="str">
        <x:v>Ten rows paraphrase a primary goal-count prompt and ten paraphrase a matched direct control. Do not mix these rows into the canonical primary estimate.</x:v>
      </x:c>
    </x:row>
    <x:row r="10" ht="34.5" customHeight="1">
      <x:c r="A10" s="25" t="str">
        <x:v>Green-highlighter block</x:v>
      </x:c>
      <x:c r="B10" s="25" t="str">
        <x:v>There are five removal and five addition scene families. Each family is recorded twice: once with a familiar count goal (0 or 2) and once with a direct highlighter prompt. This creates 20 rollouts from 10 unique setups.</x:v>
      </x:c>
    </x:row>
    <x:row r="11" ht="34.5" customHeight="1">
      <x:c r="A11" s="25" t="str">
        <x:v>Green-highlighter uniqueness</x:v>
      </x:c>
      <x:c r="B11" s="25" t="str">
        <x:v>For removal, the green highlighter is the only object in the bowl. For addition, it is the only object on the table. The green-highlighter block never uses the held-out 2→1 or 2→3 compositions.</x:v>
      </x:c>
    </x:row>
    <x:row r="12" ht="34.5" customHeight="1">
      <x:c r="A12" s="25" t="str">
        <x:v>No-movement block</x:v>
      </x:c>
      <x:c r="B12" s="25" t="str">
        <x:v>There are five already-satisfied scenes each for 0, 1, 2, and 3 objects in the bowl. Table objects are distractors and must remain untouched.</x:v>
      </x:c>
    </x:row>
    <x:row r="13" ht="34.5" customHeight="1">
      <x:c r="A13" s="25" t="str">
        <x:v>Counting success</x:v>
      </x:c>
      <x:c r="B13" s="25" t="str">
        <x:v>At the end of the episode, the bowl contains exactly the requested number of objects. Any eligible identity is acceptable unless the row names or uniquely determines the green highlighter.</x:v>
      </x:c>
    </x:row>
    <x:row r="14" ht="34.5" customHeight="1">
      <x:c r="A14" s="25" t="str">
        <x:v>Counting failure</x:v>
      </x:c>
      <x:c r="B14" s="25" t="str">
        <x:v>Wrong final count; moving an object in the wrong direction; acting on an unlisted object; or failing to complete the move within the episode.</x:v>
      </x:c>
    </x:row>
    <x:row r="15" ht="34.5" customHeight="1">
      <x:c r="A15" s="25" t="str">
        <x:v>No-movement success</x:v>
      </x:c>
      <x:c r="B15" s="25" t="str">
        <x:v>No grasp is initiated and no object changes bowl/table membership. Small arm settling without object interaction may be noted but is not a failure.</x:v>
      </x:c>
    </x:row>
    <x:row r="16" ht="34.5" customHeight="1">
      <x:c r="A16" s="25" t="str">
        <x:v>Status values</x:v>
      </x:c>
      <x:c r="B16" s="25" t="str">
        <x:v>Use Not collected, Success, or Failure. Add brief observations for near misses, collisions, ambiguity, camera faults, or invalid resets.</x:v>
      </x:c>
    </x:row>
    <x:row r="17" ht="34.5" customHeight="1">
      <x:c r="A17" s="25" t="str">
        <x:v>Invalid hardware episode</x:v>
      </x:c>
      <x:c r="B17" s="25" t="str">
        <x:v>Do not score a rollout affected by a camera, motor, or logging failure. Recollect it under the same episode/setup and document the issue.</x:v>
      </x:c>
    </x:row>
    <x:row r="18" ht="62" customHeight="1">
      <x:c r="A18"/>
      <x:c r="B18"/>
    </x:row>
    <x:row r="19" ht="62" customHeight="1">
      <x:c r="A19"/>
      <x:c r="B19"/>
    </x:row>
    <x:row r="20" ht="62" customHeight="1">
      <x:c r="A20"/>
      <x:c r="B20"/>
    </x:row>
    <x:row r="21" ht="62" customHeight="1">
      <x:c r="A21"/>
      <x:c r="B21"/>
    </x:row>
    <x:row r="22" ht="62" customHeight="1">
      <x:c r="A22"/>
      <x:c r="B22"/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439998626708984" hidden="0" customWidth="1"/>
    <x:col min="2" max="2" width="12.220000267028809" hidden="0" customWidth="1"/>
    <x:col min="3" max="3" width="10" hidden="0" customWidth="1"/>
    <x:col min="4" max="4" width="10" hidden="0" customWidth="1"/>
    <x:col min="5" max="5" width="47.779998779296875" hidden="0" customWidth="1"/>
  </x:cols>
  <x:sheetData>
    <x:row r="1" ht="28.5" customHeight="1">
      <x:c r="A1" s="30" t="str">
        <x:v>Check</x:v>
      </x:c>
      <x:c r="B1" s="30" t="str">
        <x:v>Actual</x:v>
      </x:c>
      <x:c r="C1" s="30" t="str">
        <x:v>Expected</x:v>
      </x:c>
      <x:c r="D1" s="30" t="str">
        <x:v>Status</x:v>
      </x:c>
      <x:c r="E1" s="30" t="str">
        <x:v>Notes</x:v>
      </x:c>
    </x:row>
    <x:row r="2" ht="28.5" customHeight="1">
      <x:c r="A2" s="25" t="str">
        <x:v>Total evaluation rows</x:v>
      </x:c>
      <x:c r="B2" s="25" t="n">
        <x:f>COUNTA('Evaluation Plan'!B2:B151)</x:f>
        <x:v>150</x:v>
      </x:c>
      <x:c r="C2" s="25" t="n">
        <x:v>150</x:v>
      </x:c>
      <x:c r="D2" s="25" t="str">
        <x:f>IF(B2=C2,"PASS","FAIL")</x:f>
        <x:v>PASS</x:v>
      </x:c>
      <x:c r="E2" s="25" t="str">
        <x:v>All episodes 0–149.</x:v>
      </x:c>
    </x:row>
    <x:row r="3" ht="28.5" customHeight="1">
      <x:c r="A3" s="25" t="str">
        <x:v>In-distribution baseline total</x:v>
      </x:c>
      <x:c r="B3" s="25" t="n">
        <x:f>COUNTIF('Evaluation Plan'!H2:H151,"In-distribution concept baseline")</x:f>
        <x:v>20</x:v>
      </x:c>
      <x:c r="C3" s="25" t="n">
        <x:v>20</x:v>
      </x:c>
      <x:c r="D3" s="25" t="str">
        <x:f>IF(B3=C3,"PASS","FAIL")</x:f>
        <x:v>PASS</x:v>
      </x:c>
      <x:c r="E3" s="25" t="str">
        <x:v>Episodes 0–19.</x:v>
      </x:c>
    </x:row>
    <x:row r="4" ht="28.5" customHeight="1">
      <x:c r="A4" s="25" t="str">
        <x:v>Baseline: one via 0→1 ADD</x:v>
      </x:c>
      <x:c r="B4" s="25" t="n">
        <x:f>COUNTIFS('Evaluation Plan'!H2:H151,"In-distribution concept baseline",'Evaluation Plan'!K2:K151,0,'Evaluation Plan'!L2:L151,1,'Evaluation Plan'!M2:M151,"ADD")</x:f>
        <x:v>10</x:v>
      </x:c>
      <x:c r="C4" s="25" t="n">
        <x:v>10</x:v>
      </x:c>
      <x:c r="D4" s="25" t="str">
        <x:f>IF(B4=C4,"PASS","FAIL")</x:f>
        <x:v>PASS</x:v>
      </x:c>
      <x:c r="E4" s="25" t="str">
        <x:v>Training-supported cell.</x:v>
      </x:c>
    </x:row>
    <x:row r="5" ht="28.5" customHeight="1">
      <x:c r="A5" s="25" t="str">
        <x:v>Baseline: three via 4→3 REMOVE</x:v>
      </x:c>
      <x:c r="B5" s="25" t="n">
        <x:f>COUNTIFS('Evaluation Plan'!H2:H151,"In-distribution concept baseline",'Evaluation Plan'!K2:K151,4,'Evaluation Plan'!L2:L151,3,'Evaluation Plan'!M2:M151,"REMOVE")</x:f>
        <x:v>10</x:v>
      </x:c>
      <x:c r="C5" s="25" t="n">
        <x:v>10</x:v>
      </x:c>
      <x:c r="D5" s="25" t="str">
        <x:f>IF(B5=C5,"PASS","FAIL")</x:f>
        <x:v>PASS</x:v>
      </x:c>
      <x:c r="E5" s="25" t="str">
        <x:v>Training-supported cell.</x:v>
      </x:c>
    </x:row>
    <x:row r="6" ht="28.5" customHeight="1">
      <x:c r="A6" s="25" t="str">
        <x:v>Primary transfer total</x:v>
      </x:c>
      <x:c r="B6" s="25" t="n">
        <x:f>COUNTIF('Evaluation Plan'!H2:H151,"Concept/compositional transfer")</x:f>
        <x:v>50</x:v>
      </x:c>
      <x:c r="C6" s="25" t="n">
        <x:v>50</x:v>
      </x:c>
      <x:c r="D6" s="25" t="str">
        <x:f>IF(B6=C6,"PASS","FAIL")</x:f>
        <x:v>PASS</x:v>
      </x:c>
      <x:c r="E6" s="25" t="str">
        <x:v>Only the two masked count×transition cells.</x:v>
      </x:c>
    </x:row>
    <x:row r="7" ht="28.5" customHeight="1">
      <x:c r="A7" s="25" t="str">
        <x:v>Primary: one via 2→1 REMOVE</x:v>
      </x:c>
      <x:c r="B7" s="25" t="n">
        <x:f>COUNTIFS('Evaluation Plan'!H2:H151,"Concept/compositional transfer",'Evaluation Plan'!K2:K151,2,'Evaluation Plan'!L2:L151,1,'Evaluation Plan'!M2:M151,"REMOVE")</x:f>
        <x:v>25</x:v>
      </x:c>
      <x:c r="C7" s="25" t="n">
        <x:v>25</x:v>
      </x:c>
      <x:c r="D7" s="25" t="str">
        <x:f>IF(B7=C7,"PASS","FAIL")</x:f>
        <x:v>PASS</x:v>
      </x:c>
      <x:c r="E7" s="25" t="str">
        <x:v>Held-out composition.</x:v>
      </x:c>
    </x:row>
    <x:row r="8" ht="28.5" customHeight="1">
      <x:c r="A8" s="25" t="str">
        <x:v>Primary: three via 2→3 ADD</x:v>
      </x:c>
      <x:c r="B8" s="25" t="n">
        <x:f>COUNTIFS('Evaluation Plan'!H2:H151,"Concept/compositional transfer",'Evaluation Plan'!K2:K151,2,'Evaluation Plan'!L2:L151,3,'Evaluation Plan'!M2:M151,"ADD")</x:f>
        <x:v>25</x:v>
      </x:c>
      <x:c r="C8" s="25" t="n">
        <x:v>25</x:v>
      </x:c>
      <x:c r="D8" s="25" t="str">
        <x:f>IF(B8=C8,"PASS","FAIL")</x:f>
        <x:v>PASS</x:v>
      </x:c>
      <x:c r="E8" s="25" t="str">
        <x:v>Held-out composition.</x:v>
      </x:c>
    </x:row>
    <x:row r="9" ht="28.5" customHeight="1">
      <x:c r="A9" s="25" t="str">
        <x:v>Matched controls total</x:v>
      </x:c>
      <x:c r="B9" s="25" t="n">
        <x:f>COUNTIF('Evaluation Plan'!H2:H151,"Matched manipulation control")</x:f>
        <x:v>20</x:v>
      </x:c>
      <x:c r="C9" s="25" t="n">
        <x:v>20</x:v>
      </x:c>
      <x:c r="D9" s="25" t="str">
        <x:f>IF(B9=C9,"PASS","FAIL")</x:f>
        <x:v>PASS</x:v>
      </x:c>
      <x:c r="E9" s="25" t="str">
        <x:v>Exact primary scenes.</x:v>
      </x:c>
    </x:row>
    <x:row r="10" ht="28.5" customHeight="1">
      <x:c r="A10" s="25" t="str">
        <x:v>Matched controls REMOVE</x:v>
      </x:c>
      <x:c r="B10" s="25" t="n">
        <x:f>COUNTIFS('Evaluation Plan'!H2:H151,"Matched manipulation control",'Evaluation Plan'!M2:M151,"REMOVE")</x:f>
        <x:v>10</x:v>
      </x:c>
      <x:c r="C10" s="25" t="n">
        <x:v>10</x:v>
      </x:c>
      <x:c r="D10" s="25" t="str">
        <x:f>IF(B10=C10,"PASS","FAIL")</x:f>
        <x:v>PASS</x:v>
      </x:c>
      <x:c r="E10" s="25" t="str">
        <x:v>Balanced action direction.</x:v>
      </x:c>
    </x:row>
    <x:row r="11" ht="28.5" customHeight="1">
      <x:c r="A11" s="25" t="str">
        <x:v>Matched controls ADD</x:v>
      </x:c>
      <x:c r="B11" s="25" t="n">
        <x:f>COUNTIFS('Evaluation Plan'!H2:H151,"Matched manipulation control",'Evaluation Plan'!M2:M151,"ADD")</x:f>
        <x:v>10</x:v>
      </x:c>
      <x:c r="C11" s="25" t="n">
        <x:v>10</x:v>
      </x:c>
      <x:c r="D11" s="25" t="str">
        <x:f>IF(B11=C11,"PASS","FAIL")</x:f>
        <x:v>PASS</x:v>
      </x:c>
      <x:c r="E11" s="25" t="str">
        <x:v>Balanced action direction.</x:v>
      </x:c>
    </x:row>
    <x:row r="12" ht="28.5" customHeight="1">
      <x:c r="A12" s="25" t="str">
        <x:v>Language robustness total</x:v>
      </x:c>
      <x:c r="B12" s="25" t="n">
        <x:f>COUNTIF('Evaluation Plan'!H2:H151,"Language robustness")</x:f>
        <x:v>20</x:v>
      </x:c>
      <x:c r="C12" s="25" t="n">
        <x:v>20</x:v>
      </x:c>
      <x:c r="D12" s="25" t="str">
        <x:f>IF(B12=C12,"PASS","FAIL")</x:f>
        <x:v>PASS</x:v>
      </x:c>
      <x:c r="E12" s="25" t="str">
        <x:v>Exact-scene paraphrases.</x:v>
      </x:c>
    </x:row>
    <x:row r="13" ht="28.5" customHeight="1">
      <x:c r="A13" s="25" t="str">
        <x:v>Language: primary paraphrases</x:v>
      </x:c>
      <x:c r="B13" s="25" t="n">
        <x:f>COUNTIF('Evaluation Plan'!N2:N151,"Primary compositional paraphrase: one via 2→1 removal")+COUNTIF('Evaluation Plan'!N2:N151,"Primary compositional paraphrase: three via 2→3 addition")</x:f>
        <x:v>10</x:v>
      </x:c>
      <x:c r="C13" s="25" t="n">
        <x:v>10</x:v>
      </x:c>
      <x:c r="D13" s="25" t="str">
        <x:f>IF(B13=C13,"PASS","FAIL")</x:f>
        <x:v>PASS</x:v>
      </x:c>
      <x:c r="E13" s="25" t="str">
        <x:v>Five one/removal and five three/addition.</x:v>
      </x:c>
    </x:row>
    <x:row r="14" ht="28.5" customHeight="1">
      <x:c r="A14" s="25" t="str">
        <x:v>Language: control paraphrases</x:v>
      </x:c>
      <x:c r="B14" s="25" t="n">
        <x:f>COUNTIF('Evaluation Plan'!N2:N151,"Matched-control paraphrase: REMOVE")+COUNTIF('Evaluation Plan'!N2:N151,"Matched-control paraphrase: ADD")</x:f>
        <x:v>10</x:v>
      </x:c>
      <x:c r="C14" s="25" t="n">
        <x:v>10</x:v>
      </x:c>
      <x:c r="D14" s="25" t="str">
        <x:f>IF(B14=C14,"PASS","FAIL")</x:f>
        <x:v>PASS</x:v>
      </x:c>
      <x:c r="E14" s="25" t="str">
        <x:v>Five direct removals and five direct additions.</x:v>
      </x:c>
    </x:row>
    <x:row r="15" ht="28.5" customHeight="1">
      <x:c r="A15" s="25" t="str">
        <x:v>Cross-task transfer total</x:v>
      </x:c>
      <x:c r="B15" s="25" t="n">
        <x:f>COUNTIF('Evaluation Plan'!H2:H151,"Cross-task object transfer")</x:f>
        <x:v>10</x:v>
      </x:c>
      <x:c r="C15" s="25" t="n">
        <x:v>10</x:v>
      </x:c>
      <x:c r="D15" s="25" t="str">
        <x:f>IF(B15=C15,"PASS","FAIL")</x:f>
        <x:v>PASS</x:v>
      </x:c>
      <x:c r="E15" s="25" t="str">
        <x:v>Familiar goal-count anchors only.</x:v>
      </x:c>
    </x:row>
    <x:row r="16" ht="28.5" customHeight="1">
      <x:c r="A16" s="25" t="str">
        <x:v>Cross-task controls total</x:v>
      </x:c>
      <x:c r="B16" s="25" t="n">
        <x:f>COUNTIF('Evaluation Plan'!H2:H151,"Cross-task matched control")</x:f>
        <x:v>10</x:v>
      </x:c>
      <x:c r="C16" s="25" t="n">
        <x:v>10</x:v>
      </x:c>
      <x:c r="D16" s="25" t="str">
        <x:f>IF(B16=C16,"PASS","FAIL")</x:f>
        <x:v>PASS</x:v>
      </x:c>
      <x:c r="E16" s="25" t="str">
        <x:v>Exact-scene direct controls.</x:v>
      </x:c>
    </x:row>
    <x:row r="17" ht="28.5" customHeight="1">
      <x:c r="A17" s="25" t="str">
        <x:v>Green-highlighter removal families</x:v>
      </x:c>
      <x:c r="B17" s="25" t="n">
        <x:f>COUNTIFS('Evaluation Plan'!H2:H151,"Cross-task object transfer",'Evaluation Plan'!M2:M151,"REMOVE")</x:f>
        <x:v>5</x:v>
      </x:c>
      <x:c r="C17" s="25" t="n">
        <x:v>5</x:v>
      </x:c>
      <x:c r="D17" s="25" t="str">
        <x:f>IF(B17=C17,"PASS","FAIL")</x:f>
        <x:v>PASS</x:v>
      </x:c>
      <x:c r="E17" s="25" t="str">
        <x:v>Highlighter is the only bowl object.</x:v>
      </x:c>
    </x:row>
    <x:row r="18" ht="28.5" customHeight="1">
      <x:c r="A18" s="25" t="str">
        <x:v>Green-highlighter addition families</x:v>
      </x:c>
      <x:c r="B18" s="25" t="n">
        <x:f>COUNTIFS('Evaluation Plan'!H2:H151,"Cross-task object transfer",'Evaluation Plan'!M2:M151,"ADD")</x:f>
        <x:v>5</x:v>
      </x:c>
      <x:c r="C18" s="25" t="n">
        <x:v>5</x:v>
      </x:c>
      <x:c r="D18" s="25" t="str">
        <x:f>IF(B18=C18,"PASS","FAIL")</x:f>
        <x:v>PASS</x:v>
      </x:c>
      <x:c r="E18" s="25" t="str">
        <x:v>Highlighter is the only table object.</x:v>
      </x:c>
    </x:row>
    <x:row r="19" ht="28.5" customHeight="1">
      <x:c r="A19" s="25" t="str">
        <x:v>Primary rows containing green highlighter</x:v>
      </x:c>
      <x:c r="B19" s="25" t="n">
        <x:f>COUNTIFS('Evaluation Plan'!H2:H151,"Concept/compositional transfer",'Evaluation Plan'!D2:D151,"*green highlighter*")</x:f>
        <x:v>0</x:v>
      </x:c>
      <x:c r="C19" s="25" t="n">
        <x:v>0</x:v>
      </x:c>
      <x:c r="D19" s="25" t="str">
        <x:f>IF(B19=C19,"PASS","FAIL")</x:f>
        <x:v>PASS</x:v>
      </x:c>
      <x:c r="E19" s="25" t="str">
        <x:v>Novel-object block does not duplicate the primary held-out cells.</x:v>
      </x:c>
    </x:row>
    <x:row r="20" ht="28.5" customHeight="1">
      <x:c r="A20" s="25" t="str">
        <x:v>Goal-already-satisfied total</x:v>
      </x:c>
      <x:c r="B20" s="25" t="n">
        <x:f>COUNTIF('Evaluation Plan'!H2:H151,"Goal already satisfied / no movement")</x:f>
        <x:v>20</x:v>
      </x:c>
      <x:c r="C20" s="25" t="n">
        <x:v>20</x:v>
      </x:c>
      <x:c r="D20" s="25" t="str">
        <x:f>IF(B20=C20,"PASS","FAIL")</x:f>
        <x:v>PASS</x:v>
      </x:c>
      <x:c r="E20" s="25" t="str">
        <x:v>Separate diagnostic condition.</x:v>
      </x:c>
    </x:row>
    <x:row r="21" ht="28.5" customHeight="1">
      <x:c r="A21" s="25" t="str">
        <x:v>No movement at goal 0</x:v>
      </x:c>
      <x:c r="B21" s="25" t="n">
        <x:f>COUNTIFS('Evaluation Plan'!H2:H151,"Goal already satisfied / no movement",'Evaluation Plan'!K2:K151,0,'Evaluation Plan'!L2:L151,0,'Evaluation Plan'!M2:M151,"NO-OP")</x:f>
        <x:v>5</x:v>
      </x:c>
      <x:c r="C21" s="25" t="n">
        <x:v>5</x:v>
      </x:c>
      <x:c r="D21" s="25" t="str">
        <x:f>IF(B21=C21,"PASS","FAIL")</x:f>
        <x:v>PASS</x:v>
      </x:c>
      <x:c r="E21" s="25" t="str">
        <x:v>Balanced across all four requested counts.</x:v>
      </x:c>
    </x:row>
    <x:row r="22" ht="28.5" customHeight="1">
      <x:c r="A22" s="25" t="str">
        <x:v>No movement at goal 1</x:v>
      </x:c>
      <x:c r="B22" s="25" t="n">
        <x:f>COUNTIFS('Evaluation Plan'!H2:H151,"Goal already satisfied / no movement",'Evaluation Plan'!K2:K151,1,'Evaluation Plan'!L2:L151,1,'Evaluation Plan'!M2:M151,"NO-OP")</x:f>
        <x:v>5</x:v>
      </x:c>
      <x:c r="C22" s="25" t="n">
        <x:v>5</x:v>
      </x:c>
      <x:c r="D22" s="25" t="str">
        <x:f>IF(B22=C22,"PASS","FAIL")</x:f>
        <x:v>PASS</x:v>
      </x:c>
      <x:c r="E22" s="25" t="str">
        <x:v>Balanced across all four requested counts.</x:v>
      </x:c>
    </x:row>
    <x:row r="23" ht="28.5" customHeight="1">
      <x:c r="A23" s="25" t="str">
        <x:v>No movement at goal 2</x:v>
      </x:c>
      <x:c r="B23" s="25" t="n">
        <x:f>COUNTIFS('Evaluation Plan'!H2:H151,"Goal already satisfied / no movement",'Evaluation Plan'!K2:K151,2,'Evaluation Plan'!L2:L151,2,'Evaluation Plan'!M2:M151,"NO-OP")</x:f>
        <x:v>5</x:v>
      </x:c>
      <x:c r="C23" s="25" t="n">
        <x:v>5</x:v>
      </x:c>
      <x:c r="D23" s="25" t="str">
        <x:f>IF(B23=C23,"PASS","FAIL")</x:f>
        <x:v>PASS</x:v>
      </x:c>
      <x:c r="E23" s="25" t="str">
        <x:v>Balanced across all four requested counts.</x:v>
      </x:c>
    </x:row>
    <x:row r="24" ht="28.5" customHeight="1">
      <x:c r="A24" s="25" t="str">
        <x:v>No movement at goal 3</x:v>
      </x:c>
      <x:c r="B24" s="25" t="n">
        <x:f>COUNTIFS('Evaluation Plan'!H2:H151,"Goal already satisfied / no movement",'Evaluation Plan'!K2:K151,3,'Evaluation Plan'!L2:L151,3,'Evaluation Plan'!M2:M151,"NO-OP")</x:f>
        <x:v>5</x:v>
      </x:c>
      <x:c r="C24" s="25" t="n">
        <x:v>5</x:v>
      </x:c>
      <x:c r="D24" s="25" t="str">
        <x:f>IF(B24=C24,"PASS","FAIL")</x:f>
        <x:v>PASS</x:v>
      </x:c>
      <x:c r="E24" s="25" t="str">
        <x:v>Balanced across all four requested counts.</x:v>
      </x:c>
    </x:row>
    <x:row r="25" ht="28.5" customHeight="1">
      <x:c r="A25" s="25" t="str">
        <x:v>No-op rows missing table distractors</x:v>
      </x:c>
      <x:c r="B25" s="25" t="n">
        <x:f>COUNTIFS('Evaluation Plan'!H2:H151,"Goal already satisfied / no movement",'Evaluation Plan'!D2:D151,"*Table objects: [none]*")</x:f>
        <x:v>0</x:v>
      </x:c>
      <x:c r="C25" s="25" t="n">
        <x:v>0</x:v>
      </x:c>
      <x:c r="D25" s="25" t="str">
        <x:f>IF(B25=C25,"PASS","FAIL")</x:f>
        <x:v>PASS</x:v>
      </x:c>
      <x:c r="E25" s="25" t="str">
        <x:v>At least one distractor remains on the table even for goal 3.</x:v>
      </x:c>
    </x:row>
    <x:row r="26" ht="28.5" customHeight="1">
      <x:c r="A26" s="25" t="str">
        <x:v>Non-empty simplified scene strings</x:v>
      </x:c>
      <x:c r="B26" s="25" t="n">
        <x:f>COUNTA('Evaluation Plan'!D2:D151)</x:f>
        <x:v>150</x:v>
      </x:c>
      <x:c r="C26" s="25" t="n">
        <x:v>150</x:v>
      </x:c>
      <x:c r="D26" s="25" t="str">
        <x:f>IF(B26=C26,"PASS","FAIL")</x:f>
        <x:v>PASS</x:v>
      </x:c>
      <x:c r="E26" s="25" t="str">
        <x:v>The builder separately enforces the exact 'Bowl objects | Table objects' structure for every row.</x:v>
      </x:c>
    </x:row>
    <x:row r="27" ht="40" customHeight="1">
      <x:c r="A27"/>
      <x:c r="B27"/>
      <x:c r="C27"/>
      <x:c r="D27"/>
      <x:c r="E27"/>
    </x:row>
    <x:row r="28" ht="40" customHeight="1">
      <x:c r="A28"/>
      <x:c r="B28"/>
      <x:c r="C28"/>
      <x:c r="D28"/>
      <x:c r="E28"/>
    </x:row>
    <x:row r="29" ht="40" customHeight="1">
      <x:c r="A29"/>
      <x:c r="B29"/>
      <x:c r="C29"/>
      <x:c r="D29"/>
      <x:c r="E29"/>
    </x:row>
    <x:row r="30" ht="40" customHeight="1">
      <x:c r="A30"/>
      <x:c r="B30"/>
      <x:c r="C30"/>
      <x:c r="D30"/>
      <x:c r="E30"/>
    </x:row>
    <x:row r="31" ht="40" customHeight="1">
      <x:c r="A31"/>
      <x:c r="B31"/>
      <x:c r="C31"/>
      <x:c r="D31"/>
      <x:c r="E31"/>
    </x:row>
    <x:row r="32" ht="40" customHeight="1">
      <x:c r="A32"/>
      <x:c r="B32"/>
      <x:c r="C32"/>
      <x:c r="D32"/>
      <x:c r="E32"/>
    </x:row>
    <x:row r="33" ht="40" customHeight="1">
      <x:c r="A33"/>
      <x:c r="B33"/>
      <x:c r="C33"/>
      <x:c r="D33"/>
      <x:c r="E33"/>
    </x:row>
    <x:row r="34" ht="40" customHeight="1">
      <x:c r="A34"/>
      <x:c r="B34"/>
      <x:c r="C34"/>
      <x:c r="D34"/>
      <x:c r="E34"/>
    </x:row>
    <x:row r="35" ht="40" customHeight="1">
      <x:c r="A35"/>
      <x:c r="B35"/>
      <x:c r="C35"/>
      <x:c r="D35"/>
      <x:c r="E35"/>
    </x:row>
    <x:row r="36" ht="40" customHeight="1">
      <x:c r="A36"/>
      <x:c r="B36"/>
      <x:c r="C36"/>
      <x:c r="D36"/>
      <x:c r="E36"/>
    </x:row>
    <x:row r="37" ht="40" customHeight="1">
      <x:c r="A37"/>
      <x:c r="B37"/>
      <x:c r="C37"/>
      <x:c r="D37"/>
      <x:c r="E37"/>
    </x:row>
    <x:row r="38" ht="40" customHeight="1">
      <x:c r="A38"/>
      <x:c r="B38"/>
      <x:c r="C38"/>
      <x:c r="D38"/>
      <x:c r="E38"/>
    </x:row>
    <x:row r="39" ht="40" customHeight="1">
      <x:c r="A39"/>
      <x:c r="B39"/>
      <x:c r="C39"/>
      <x:c r="D39"/>
      <x:c r="E39"/>
    </x:row>
  </x:sheetData>
  <x:conditionalFormatting sqref="D2:D39">
    <x:cfRule type="containsText" dxfId="7" priority="1" operator="containsText" text="PASS"/>
    <x:cfRule type="containsText" dxfId="8" priority="2" operator="containsText" text="CHECK"/>
  </x:conditionalFormatting>
  <x:conditionalFormatting sqref="D2:D26">
    <x:cfRule type="containsText" dxfId="38" priority="3" operator="containsText" text="PASS"/>
    <x:cfRule type="containsText" dxfId="39" priority="4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6.670000076293945" hidden="0" customWidth="1"/>
    <x:col min="3" max="3" width="28.889999389648438" hidden="0" customWidth="1"/>
    <x:col min="4" max="4" width="40" hidden="0" customWidth="1"/>
    <x:col min="5" max="5" width="9.4399995803833" hidden="0" customWidth="1"/>
    <x:col min="6" max="6" width="25" hidden="0" customWidth="1"/>
    <x:col min="7" max="7" width="28.889999389648438" hidden="0" customWidth="1"/>
    <x:col min="8" max="8" width="22.780000686645508" hidden="0" customWidth="1"/>
    <x:col min="9" max="9" width="10.5600004196167" hidden="0" customWidth="1"/>
    <x:col min="10" max="10" width="12.220000267028809" hidden="0" customWidth="1"/>
    <x:col min="11" max="11" width="8.890000343322754" hidden="0" customWidth="1"/>
    <x:col min="12" max="12" width="7.78000020980835" hidden="0" customWidth="1"/>
    <x:col min="13" max="13" width="10.5600004196167" hidden="0" customWidth="1"/>
    <x:col min="14" max="14" width="28.329999923706055" hidden="0" customWidth="1"/>
    <x:col min="15" max="15" width="9.4399995803833" hidden="0" customWidth="1"/>
    <x:col min="16" max="16" width="26.670000076293945" hidden="0" customWidth="1"/>
    <x:col min="17" max="17" width="34.439998626708984" hidden="0" customWidth="1"/>
    <x:col min="18" max="18" width="20.559999465942383" hidden="0" customWidth="1"/>
  </x:cols>
  <x:sheetData>
    <x:row r="1" ht="28.5" customHeight="1">
      <x:c r="A1" s="30" t="str">
        <x:v>Status</x:v>
      </x:c>
      <x:c r="B1" s="30" t="str">
        <x:v>Episode</x:v>
      </x:c>
      <x:c r="C1" s="30" t="str">
        <x:v>Prompt</x:v>
      </x:c>
      <x:c r="D1" s="30" t="str">
        <x:v>Scene Setup (Bowl / Table)</x:v>
      </x:c>
      <x:c r="E1" s="30" t="str">
        <x:v>Reference Episode</x:v>
      </x:c>
      <x:c r="F1" s="30" t="str">
        <x:v>Expected Target / Action</x:v>
      </x:c>
      <x:c r="G1" s="30" t="str">
        <x:v>Observations</x:v>
      </x:c>
      <x:c r="H1" s="30" t="str">
        <x:v>Condition</x:v>
      </x:c>
      <x:c r="I1" s="30" t="str">
        <x:v>Scene Family</x:v>
      </x:c>
      <x:c r="J1" s="30" t="str">
        <x:v>Contrast Pair</x:v>
      </x:c>
      <x:c r="K1" s="30" t="str">
        <x:v>Initial Bowl Count</x:v>
      </x:c>
      <x:c r="L1" s="30" t="str">
        <x:v>Goal Count</x:v>
      </x:c>
      <x:c r="M1" s="30" t="str">
        <x:v>Action Direction</x:v>
      </x:c>
      <x:c r="N1" s="30" t="str">
        <x:v>Comparison / Subtype</x:v>
      </x:c>
      <x:c r="O1" s="30" t="str">
        <x:v>Collection Block</x:v>
      </x:c>
      <x:c r="P1" s="30" t="str">
        <x:v>Setup Change from Previous</x:v>
      </x:c>
      <x:c r="Q1" s="30" t="str">
        <x:v>Design Note</x:v>
      </x:c>
      <x:c r="R1" s="30" t="str">
        <x:v>Reference Media Filename</x:v>
      </x:c>
    </x:row>
    <x:row r="2" ht="46.5" customHeight="1">
      <x:c r="A2" s="31" t="str">
        <x:v>Not collected</x:v>
      </x:c>
      <x:c r="B2" s="33" t="n">
        <x:f>'Evaluation Plan'!B2</x:f>
        <x:v>0</x:v>
      </x:c>
      <x:c r="C2" s="31" t="str">
        <x:f>'Evaluation Plan'!C2</x:f>
        <x:v>Leave exactly one object in the bowl.</x:v>
      </x:c>
      <x:c r="D2" s="31" t="str">
        <x:f>'Evaluation Plan'!D2</x:f>
        <x:v>Bowl objects: [none] | Table objects: [blue pen, yellow block, green pencil sharpener, airplane toy without propellers]</x:v>
      </x:c>
      <x:c r="E2" s="33" t="str">
        <x:f>'Evaluation Plan'!E2</x:f>
      </x:c>
      <x:c r="F2" s="31" t="str">
        <x:f>'Evaluation Plan'!F2</x:f>
        <x:v>ADD any one table object; finish with 1 object in the bowl</x:v>
      </x:c>
      <x:c r="G2" s="31" t="str"/>
      <x:c r="H2" s="35" t="str">
        <x:f>'Evaluation Plan'!H2</x:f>
        <x:v>In-distribution concept baseline</x:v>
      </x:c>
      <x:c r="I2" s="31" t="str">
        <x:f>'Evaluation Plan'!I2</x:f>
        <x:v>ID-CF01</x:v>
      </x:c>
      <x:c r="J2" s="31" t="str">
        <x:f>'Evaluation Plan'!J2</x:f>
        <x:v>ID-CF01</x:v>
      </x:c>
      <x:c r="K2" s="33" t="n">
        <x:f>'Evaluation Plan'!K2</x:f>
        <x:v>0</x:v>
      </x:c>
      <x:c r="L2" s="33" t="n">
        <x:f>'Evaluation Plan'!L2</x:f>
        <x:v>1</x:v>
      </x:c>
      <x:c r="M2" s="33" t="str">
        <x:f>'Evaluation Plan'!M2</x:f>
        <x:v>ADD</x:v>
      </x:c>
      <x:c r="N2" s="31" t="str">
        <x:f>'Evaluation Plan'!N2</x:f>
        <x:v>In-distribution: one via trained 0→1 addition</x:v>
      </x:c>
      <x:c r="O2" s="33" t="n">
        <x:f>'Evaluation Plan'!O2</x:f>
        <x:v>1</x:v>
      </x:c>
      <x:c r="P2" s="31" t="str">
        <x:f>'Evaluation Plan'!P2</x:f>
        <x:v>Build the empty-bowl scene.</x:v>
      </x:c>
      <x:c r="Q2" s="31" t="str">
        <x:f>'Evaluation Plan'!Q2</x:f>
        <x:v>The word one and the 0→1 addition transition are explicitly paired in training.</x:v>
      </x:c>
      <x:c r="R2" s="31" t="n">
        <x:f>'Evaluation Plan'!R2</x:f>
        <x:v>0</x:v>
      </x:c>
    </x:row>
    <x:row r="3" ht="46.5" customHeight="1">
      <x:c r="A3" s="32" t="str">
        <x:v>Not collected</x:v>
      </x:c>
      <x:c r="B3" s="34" t="n">
        <x:f>'Evaluation Plan'!B3</x:f>
        <x:v>1</x:v>
      </x:c>
      <x:c r="C3" s="32" t="str">
        <x:f>'Evaluation Plan'!C3</x:f>
        <x:v>Leave exactly three objects in the bowl.</x:v>
      </x:c>
      <x:c r="D3" s="32" t="str">
        <x:f>'Evaluation Plan'!D3</x:f>
        <x:v>Bowl objects: [blue pen, yellow block, green pencil sharpener, airplane toy without propellers] | Table objects: [none]</x:v>
      </x:c>
      <x:c r="E3" s="34" t="str">
        <x:f>'Evaluation Plan'!E3</x:f>
      </x:c>
      <x:c r="F3" s="32" t="str">
        <x:f>'Evaluation Plan'!F3</x:f>
        <x:v>REMOVE any one bowl object; finish with 3 objects in the bowl</x:v>
      </x:c>
      <x:c r="G3" s="32" t="str"/>
      <x:c r="H3" s="35" t="str">
        <x:f>'Evaluation Plan'!H3</x:f>
        <x:v>In-distribution concept baseline</x:v>
      </x:c>
      <x:c r="I3" s="32" t="str">
        <x:f>'Evaluation Plan'!I3</x:f>
        <x:v>ID-CF01</x:v>
      </x:c>
      <x:c r="J3" s="32" t="str">
        <x:f>'Evaluation Plan'!J3</x:f>
        <x:v>ID-CF01</x:v>
      </x:c>
      <x:c r="K3" s="34" t="n">
        <x:f>'Evaluation Plan'!K3</x:f>
        <x:v>4</x:v>
      </x:c>
      <x:c r="L3" s="34" t="n">
        <x:f>'Evaluation Plan'!L3</x:f>
        <x:v>3</x:v>
      </x:c>
      <x:c r="M3" s="34" t="str">
        <x:f>'Evaluation Plan'!M3</x:f>
        <x:v>REMOVE</x:v>
      </x:c>
      <x:c r="N3" s="32" t="str">
        <x:f>'Evaluation Plan'!N3</x:f>
        <x:v>In-distribution: three via trained 4→3 removal</x:v>
      </x:c>
      <x:c r="O3" s="34" t="n">
        <x:f>'Evaluation Plan'!O3</x:f>
        <x:v>1</x:v>
      </x:c>
      <x:c r="P3" s="32" t="str">
        <x:f>'Evaluation Plan'!P3</x:f>
        <x:v>Move all four objects into the bowl.</x:v>
      </x:c>
      <x:c r="Q3" s="32" t="str">
        <x:f>'Evaluation Plan'!Q3</x:f>
        <x:v>The word three and the 4→3 removal transition are explicitly paired in training.</x:v>
      </x:c>
      <x:c r="R3" s="32" t="n">
        <x:f>'Evaluation Plan'!R3</x:f>
        <x:v>0</x:v>
      </x:c>
    </x:row>
    <x:row r="4" ht="46.5" customHeight="1">
      <x:c r="A4" s="31" t="str">
        <x:v>Not collected</x:v>
      </x:c>
      <x:c r="B4" s="33" t="n">
        <x:f>'Evaluation Plan'!B4</x:f>
        <x:v>2</x:v>
      </x:c>
      <x:c r="C4" s="31" t="str">
        <x:f>'Evaluation Plan'!C4</x:f>
        <x:v>Leave exactly three objects in the bowl.</x:v>
      </x:c>
      <x:c r="D4" s="31" t="str">
        <x:f>'Evaluation Plan'!D4</x:f>
        <x:v>Bowl objects: [blue pen, yellow block, green pencil sharpener, airplane toy without propellers] | Table objects: [none]</x:v>
      </x:c>
      <x:c r="E4" s="33" t="str">
        <x:f>'Evaluation Plan'!E4</x:f>
      </x:c>
      <x:c r="F4" s="31" t="str">
        <x:f>'Evaluation Plan'!F4</x:f>
        <x:v>REMOVE any one bowl object; finish with 3 objects in the bowl</x:v>
      </x:c>
      <x:c r="G4" s="31" t="str"/>
      <x:c r="H4" s="35" t="str">
        <x:f>'Evaluation Plan'!H4</x:f>
        <x:v>In-distribution concept baseline</x:v>
      </x:c>
      <x:c r="I4" s="31" t="str">
        <x:f>'Evaluation Plan'!I4</x:f>
        <x:v>ID-CF02</x:v>
      </x:c>
      <x:c r="J4" s="31" t="str">
        <x:f>'Evaluation Plan'!J4</x:f>
        <x:v>ID-CF02</x:v>
      </x:c>
      <x:c r="K4" s="33" t="n">
        <x:f>'Evaluation Plan'!K4</x:f>
        <x:v>4</x:v>
      </x:c>
      <x:c r="L4" s="33" t="n">
        <x:f>'Evaluation Plan'!L4</x:f>
        <x:v>3</x:v>
      </x:c>
      <x:c r="M4" s="33" t="str">
        <x:f>'Evaluation Plan'!M4</x:f>
        <x:v>REMOVE</x:v>
      </x:c>
      <x:c r="N4" s="31" t="str">
        <x:f>'Evaluation Plan'!N4</x:f>
        <x:v>In-distribution: three via trained 4→3 removal</x:v>
      </x:c>
      <x:c r="O4" s="33" t="n">
        <x:f>'Evaluation Plan'!O4</x:f>
        <x:v>1</x:v>
      </x:c>
      <x:c r="P4" s="31" t="str">
        <x:f>'Evaluation Plan'!P4</x:f>
        <x:v>Move all four objects into the bowl.</x:v>
      </x:c>
      <x:c r="Q4" s="31" t="str">
        <x:f>'Evaluation Plan'!Q4</x:f>
        <x:v>The word three and the 4→3 removal transition are explicitly paired in training.</x:v>
      </x:c>
      <x:c r="R4" s="31" t="n">
        <x:f>'Evaluation Plan'!R4</x:f>
        <x:v>0</x:v>
      </x:c>
    </x:row>
    <x:row r="5" ht="46.5" customHeight="1">
      <x:c r="A5" s="32" t="str">
        <x:v>Not collected</x:v>
      </x:c>
      <x:c r="B5" s="34" t="n">
        <x:f>'Evaluation Plan'!B5</x:f>
        <x:v>3</x:v>
      </x:c>
      <x:c r="C5" s="32" t="str">
        <x:f>'Evaluation Plan'!C5</x:f>
        <x:v>Leave exactly one object in the bowl.</x:v>
      </x:c>
      <x:c r="D5" s="32" t="str">
        <x:f>'Evaluation Plan'!D5</x:f>
        <x:v>Bowl objects: [none] | Table objects: [blue pen, yellow block, green pencil sharpener, airplane toy without propellers]</x:v>
      </x:c>
      <x:c r="E5" s="34" t="str">
        <x:f>'Evaluation Plan'!E5</x:f>
      </x:c>
      <x:c r="F5" s="32" t="str">
        <x:f>'Evaluation Plan'!F5</x:f>
        <x:v>ADD any one table object; finish with 1 object in the bowl</x:v>
      </x:c>
      <x:c r="G5" s="32" t="str"/>
      <x:c r="H5" s="35" t="str">
        <x:f>'Evaluation Plan'!H5</x:f>
        <x:v>In-distribution concept baseline</x:v>
      </x:c>
      <x:c r="I5" s="32" t="str">
        <x:f>'Evaluation Plan'!I5</x:f>
        <x:v>ID-CF02</x:v>
      </x:c>
      <x:c r="J5" s="32" t="str">
        <x:f>'Evaluation Plan'!J5</x:f>
        <x:v>ID-CF02</x:v>
      </x:c>
      <x:c r="K5" s="34" t="n">
        <x:f>'Evaluation Plan'!K5</x:f>
        <x:v>0</x:v>
      </x:c>
      <x:c r="L5" s="34" t="n">
        <x:f>'Evaluation Plan'!L5</x:f>
        <x:v>1</x:v>
      </x:c>
      <x:c r="M5" s="34" t="str">
        <x:f>'Evaluation Plan'!M5</x:f>
        <x:v>ADD</x:v>
      </x:c>
      <x:c r="N5" s="32" t="str">
        <x:f>'Evaluation Plan'!N5</x:f>
        <x:v>In-distribution: one via trained 0→1 addition</x:v>
      </x:c>
      <x:c r="O5" s="34" t="n">
        <x:f>'Evaluation Plan'!O5</x:f>
        <x:v>1</x:v>
      </x:c>
      <x:c r="P5" s="32" t="str">
        <x:f>'Evaluation Plan'!P5</x:f>
        <x:v>Build the empty-bowl scene.</x:v>
      </x:c>
      <x:c r="Q5" s="32" t="str">
        <x:f>'Evaluation Plan'!Q5</x:f>
        <x:v>The word one and the 0→1 addition transition are explicitly paired in training.</x:v>
      </x:c>
      <x:c r="R5" s="32" t="n">
        <x:f>'Evaluation Plan'!R5</x:f>
        <x:v>0</x:v>
      </x:c>
    </x:row>
    <x:row r="6" ht="46.5" customHeight="1">
      <x:c r="A6" s="31" t="str">
        <x:v>Not collected</x:v>
      </x:c>
      <x:c r="B6" s="33" t="n">
        <x:f>'Evaluation Plan'!B6</x:f>
        <x:v>4</x:v>
      </x:c>
      <x:c r="C6" s="31" t="str">
        <x:f>'Evaluation Plan'!C6</x:f>
        <x:v>Leave exactly one object in the bowl.</x:v>
      </x:c>
      <x:c r="D6" s="31" t="str">
        <x:f>'Evaluation Plan'!D6</x:f>
        <x:v>Bowl objects: [none] | Table objects: [blue pen, yellow block, green pencil sharpener, airplane toy without propellers]</x:v>
      </x:c>
      <x:c r="E6" s="33" t="str">
        <x:f>'Evaluation Plan'!E6</x:f>
      </x:c>
      <x:c r="F6" s="31" t="str">
        <x:f>'Evaluation Plan'!F6</x:f>
        <x:v>ADD any one table object; finish with 1 object in the bowl</x:v>
      </x:c>
      <x:c r="G6" s="31" t="str"/>
      <x:c r="H6" s="35" t="str">
        <x:f>'Evaluation Plan'!H6</x:f>
        <x:v>In-distribution concept baseline</x:v>
      </x:c>
      <x:c r="I6" s="31" t="str">
        <x:f>'Evaluation Plan'!I6</x:f>
        <x:v>ID-CF03</x:v>
      </x:c>
      <x:c r="J6" s="31" t="str">
        <x:f>'Evaluation Plan'!J6</x:f>
        <x:v>ID-CF03</x:v>
      </x:c>
      <x:c r="K6" s="33" t="n">
        <x:f>'Evaluation Plan'!K6</x:f>
        <x:v>0</x:v>
      </x:c>
      <x:c r="L6" s="33" t="n">
        <x:f>'Evaluation Plan'!L6</x:f>
        <x:v>1</x:v>
      </x:c>
      <x:c r="M6" s="33" t="str">
        <x:f>'Evaluation Plan'!M6</x:f>
        <x:v>ADD</x:v>
      </x:c>
      <x:c r="N6" s="31" t="str">
        <x:f>'Evaluation Plan'!N6</x:f>
        <x:v>In-distribution: one via trained 0→1 addition</x:v>
      </x:c>
      <x:c r="O6" s="33" t="n">
        <x:f>'Evaluation Plan'!O6</x:f>
        <x:v>1</x:v>
      </x:c>
      <x:c r="P6" s="31" t="str">
        <x:f>'Evaluation Plan'!P6</x:f>
        <x:v>Build the empty-bowl scene.</x:v>
      </x:c>
      <x:c r="Q6" s="31" t="str">
        <x:f>'Evaluation Plan'!Q6</x:f>
        <x:v>The word one and the 0→1 addition transition are explicitly paired in training.</x:v>
      </x:c>
      <x:c r="R6" s="31" t="n">
        <x:f>'Evaluation Plan'!R6</x:f>
        <x:v>0</x:v>
      </x:c>
    </x:row>
    <x:row r="7" ht="46.5" customHeight="1">
      <x:c r="A7" s="32" t="str">
        <x:v>Not collected</x:v>
      </x:c>
      <x:c r="B7" s="34" t="n">
        <x:f>'Evaluation Plan'!B7</x:f>
        <x:v>5</x:v>
      </x:c>
      <x:c r="C7" s="32" t="str">
        <x:f>'Evaluation Plan'!C7</x:f>
        <x:v>Leave exactly three objects in the bowl.</x:v>
      </x:c>
      <x:c r="D7" s="32" t="str">
        <x:f>'Evaluation Plan'!D7</x:f>
        <x:v>Bowl objects: [blue pen, yellow block, green pencil sharpener, airplane toy without propellers] | Table objects: [none]</x:v>
      </x:c>
      <x:c r="E7" s="34" t="str">
        <x:f>'Evaluation Plan'!E7</x:f>
      </x:c>
      <x:c r="F7" s="32" t="str">
        <x:f>'Evaluation Plan'!F7</x:f>
        <x:v>REMOVE any one bowl object; finish with 3 objects in the bowl</x:v>
      </x:c>
      <x:c r="G7" s="32" t="str"/>
      <x:c r="H7" s="35" t="str">
        <x:f>'Evaluation Plan'!H7</x:f>
        <x:v>In-distribution concept baseline</x:v>
      </x:c>
      <x:c r="I7" s="32" t="str">
        <x:f>'Evaluation Plan'!I7</x:f>
        <x:v>ID-CF03</x:v>
      </x:c>
      <x:c r="J7" s="32" t="str">
        <x:f>'Evaluation Plan'!J7</x:f>
        <x:v>ID-CF03</x:v>
      </x:c>
      <x:c r="K7" s="34" t="n">
        <x:f>'Evaluation Plan'!K7</x:f>
        <x:v>4</x:v>
      </x:c>
      <x:c r="L7" s="34" t="n">
        <x:f>'Evaluation Plan'!L7</x:f>
        <x:v>3</x:v>
      </x:c>
      <x:c r="M7" s="34" t="str">
        <x:f>'Evaluation Plan'!M7</x:f>
        <x:v>REMOVE</x:v>
      </x:c>
      <x:c r="N7" s="32" t="str">
        <x:f>'Evaluation Plan'!N7</x:f>
        <x:v>In-distribution: three via trained 4→3 removal</x:v>
      </x:c>
      <x:c r="O7" s="34" t="n">
        <x:f>'Evaluation Plan'!O7</x:f>
        <x:v>1</x:v>
      </x:c>
      <x:c r="P7" s="32" t="str">
        <x:f>'Evaluation Plan'!P7</x:f>
        <x:v>Move all four objects into the bowl.</x:v>
      </x:c>
      <x:c r="Q7" s="32" t="str">
        <x:f>'Evaluation Plan'!Q7</x:f>
        <x:v>The word three and the 4→3 removal transition are explicitly paired in training.</x:v>
      </x:c>
      <x:c r="R7" s="32" t="n">
        <x:f>'Evaluation Plan'!R7</x:f>
        <x:v>0</x:v>
      </x:c>
    </x:row>
    <x:row r="8" ht="46.5" customHeight="1">
      <x:c r="A8" s="31" t="str">
        <x:v>Not collected</x:v>
      </x:c>
      <x:c r="B8" s="33" t="n">
        <x:f>'Evaluation Plan'!B8</x:f>
        <x:v>6</x:v>
      </x:c>
      <x:c r="C8" s="31" t="str">
        <x:f>'Evaluation Plan'!C8</x:f>
        <x:v>Leave exactly three objects in the bowl.</x:v>
      </x:c>
      <x:c r="D8" s="31" t="str">
        <x:f>'Evaluation Plan'!D8</x:f>
        <x:v>Bowl objects: [blue pen, yellow block, green pencil sharpener, airplane toy without propellers] | Table objects: [none]</x:v>
      </x:c>
      <x:c r="E8" s="33" t="str">
        <x:f>'Evaluation Plan'!E8</x:f>
      </x:c>
      <x:c r="F8" s="31" t="str">
        <x:f>'Evaluation Plan'!F8</x:f>
        <x:v>REMOVE any one bowl object; finish with 3 objects in the bowl</x:v>
      </x:c>
      <x:c r="G8" s="31" t="str"/>
      <x:c r="H8" s="35" t="str">
        <x:f>'Evaluation Plan'!H8</x:f>
        <x:v>In-distribution concept baseline</x:v>
      </x:c>
      <x:c r="I8" s="31" t="str">
        <x:f>'Evaluation Plan'!I8</x:f>
        <x:v>ID-CF04</x:v>
      </x:c>
      <x:c r="J8" s="31" t="str">
        <x:f>'Evaluation Plan'!J8</x:f>
        <x:v>ID-CF04</x:v>
      </x:c>
      <x:c r="K8" s="33" t="n">
        <x:f>'Evaluation Plan'!K8</x:f>
        <x:v>4</x:v>
      </x:c>
      <x:c r="L8" s="33" t="n">
        <x:f>'Evaluation Plan'!L8</x:f>
        <x:v>3</x:v>
      </x:c>
      <x:c r="M8" s="33" t="str">
        <x:f>'Evaluation Plan'!M8</x:f>
        <x:v>REMOVE</x:v>
      </x:c>
      <x:c r="N8" s="31" t="str">
        <x:f>'Evaluation Plan'!N8</x:f>
        <x:v>In-distribution: three via trained 4→3 removal</x:v>
      </x:c>
      <x:c r="O8" s="33" t="n">
        <x:f>'Evaluation Plan'!O8</x:f>
        <x:v>1</x:v>
      </x:c>
      <x:c r="P8" s="31" t="str">
        <x:f>'Evaluation Plan'!P8</x:f>
        <x:v>Move all four objects into the bowl.</x:v>
      </x:c>
      <x:c r="Q8" s="31" t="str">
        <x:f>'Evaluation Plan'!Q8</x:f>
        <x:v>The word three and the 4→3 removal transition are explicitly paired in training.</x:v>
      </x:c>
      <x:c r="R8" s="31" t="n">
        <x:f>'Evaluation Plan'!R8</x:f>
        <x:v>0</x:v>
      </x:c>
    </x:row>
    <x:row r="9" ht="46.5" customHeight="1">
      <x:c r="A9" s="32" t="str">
        <x:v>Not collected</x:v>
      </x:c>
      <x:c r="B9" s="34" t="n">
        <x:f>'Evaluation Plan'!B9</x:f>
        <x:v>7</x:v>
      </x:c>
      <x:c r="C9" s="32" t="str">
        <x:f>'Evaluation Plan'!C9</x:f>
        <x:v>Leave exactly one object in the bowl.</x:v>
      </x:c>
      <x:c r="D9" s="32" t="str">
        <x:f>'Evaluation Plan'!D9</x:f>
        <x:v>Bowl objects: [none] | Table objects: [blue pen, yellow block, green pencil sharpener, airplane toy without propellers]</x:v>
      </x:c>
      <x:c r="E9" s="34" t="str">
        <x:f>'Evaluation Plan'!E9</x:f>
      </x:c>
      <x:c r="F9" s="32" t="str">
        <x:f>'Evaluation Plan'!F9</x:f>
        <x:v>ADD any one table object; finish with 1 object in the bowl</x:v>
      </x:c>
      <x:c r="G9" s="32" t="str"/>
      <x:c r="H9" s="35" t="str">
        <x:f>'Evaluation Plan'!H9</x:f>
        <x:v>In-distribution concept baseline</x:v>
      </x:c>
      <x:c r="I9" s="32" t="str">
        <x:f>'Evaluation Plan'!I9</x:f>
        <x:v>ID-CF04</x:v>
      </x:c>
      <x:c r="J9" s="32" t="str">
        <x:f>'Evaluation Plan'!J9</x:f>
        <x:v>ID-CF04</x:v>
      </x:c>
      <x:c r="K9" s="34" t="n">
        <x:f>'Evaluation Plan'!K9</x:f>
        <x:v>0</x:v>
      </x:c>
      <x:c r="L9" s="34" t="n">
        <x:f>'Evaluation Plan'!L9</x:f>
        <x:v>1</x:v>
      </x:c>
      <x:c r="M9" s="34" t="str">
        <x:f>'Evaluation Plan'!M9</x:f>
        <x:v>ADD</x:v>
      </x:c>
      <x:c r="N9" s="32" t="str">
        <x:f>'Evaluation Plan'!N9</x:f>
        <x:v>In-distribution: one via trained 0→1 addition</x:v>
      </x:c>
      <x:c r="O9" s="34" t="n">
        <x:f>'Evaluation Plan'!O9</x:f>
        <x:v>1</x:v>
      </x:c>
      <x:c r="P9" s="32" t="str">
        <x:f>'Evaluation Plan'!P9</x:f>
        <x:v>Build the empty-bowl scene.</x:v>
      </x:c>
      <x:c r="Q9" s="32" t="str">
        <x:f>'Evaluation Plan'!Q9</x:f>
        <x:v>The word one and the 0→1 addition transition are explicitly paired in training.</x:v>
      </x:c>
      <x:c r="R9" s="32" t="n">
        <x:f>'Evaluation Plan'!R9</x:f>
        <x:v>0</x:v>
      </x:c>
    </x:row>
    <x:row r="10" ht="46.5" customHeight="1">
      <x:c r="A10" s="31" t="str">
        <x:v>Not collected</x:v>
      </x:c>
      <x:c r="B10" s="33" t="n">
        <x:f>'Evaluation Plan'!B10</x:f>
        <x:v>8</x:v>
      </x:c>
      <x:c r="C10" s="31" t="str">
        <x:f>'Evaluation Plan'!C10</x:f>
        <x:v>Leave exactly one object in the bowl.</x:v>
      </x:c>
      <x:c r="D10" s="31" t="str">
        <x:f>'Evaluation Plan'!D10</x:f>
        <x:v>Bowl objects: [none] | Table objects: [blue pen, yellow block, green pencil sharpener, airplane toy without propellers]</x:v>
      </x:c>
      <x:c r="E10" s="33" t="str">
        <x:f>'Evaluation Plan'!E10</x:f>
      </x:c>
      <x:c r="F10" s="31" t="str">
        <x:f>'Evaluation Plan'!F10</x:f>
        <x:v>ADD any one table object; finish with 1 object in the bowl</x:v>
      </x:c>
      <x:c r="G10" s="31" t="str"/>
      <x:c r="H10" s="35" t="str">
        <x:f>'Evaluation Plan'!H10</x:f>
        <x:v>In-distribution concept baseline</x:v>
      </x:c>
      <x:c r="I10" s="31" t="str">
        <x:f>'Evaluation Plan'!I10</x:f>
        <x:v>ID-CF05</x:v>
      </x:c>
      <x:c r="J10" s="31" t="str">
        <x:f>'Evaluation Plan'!J10</x:f>
        <x:v>ID-CF05</x:v>
      </x:c>
      <x:c r="K10" s="33" t="n">
        <x:f>'Evaluation Plan'!K10</x:f>
        <x:v>0</x:v>
      </x:c>
      <x:c r="L10" s="33" t="n">
        <x:f>'Evaluation Plan'!L10</x:f>
        <x:v>1</x:v>
      </x:c>
      <x:c r="M10" s="33" t="str">
        <x:f>'Evaluation Plan'!M10</x:f>
        <x:v>ADD</x:v>
      </x:c>
      <x:c r="N10" s="31" t="str">
        <x:f>'Evaluation Plan'!N10</x:f>
        <x:v>In-distribution: one via trained 0→1 addition</x:v>
      </x:c>
      <x:c r="O10" s="33" t="n">
        <x:f>'Evaluation Plan'!O10</x:f>
        <x:v>1</x:v>
      </x:c>
      <x:c r="P10" s="31" t="str">
        <x:f>'Evaluation Plan'!P10</x:f>
        <x:v>Build the empty-bowl scene.</x:v>
      </x:c>
      <x:c r="Q10" s="31" t="str">
        <x:f>'Evaluation Plan'!Q10</x:f>
        <x:v>The word one and the 0→1 addition transition are explicitly paired in training.</x:v>
      </x:c>
      <x:c r="R10" s="31" t="n">
        <x:f>'Evaluation Plan'!R10</x:f>
        <x:v>0</x:v>
      </x:c>
    </x:row>
    <x:row r="11" ht="46.5" customHeight="1">
      <x:c r="A11" s="32" t="str">
        <x:v>Not collected</x:v>
      </x:c>
      <x:c r="B11" s="34" t="n">
        <x:f>'Evaluation Plan'!B11</x:f>
        <x:v>9</x:v>
      </x:c>
      <x:c r="C11" s="32" t="str">
        <x:f>'Evaluation Plan'!C11</x:f>
        <x:v>Leave exactly three objects in the bowl.</x:v>
      </x:c>
      <x:c r="D11" s="32" t="str">
        <x:f>'Evaluation Plan'!D11</x:f>
        <x:v>Bowl objects: [blue pen, yellow block, green pencil sharpener, airplane toy without propellers] | Table objects: [none]</x:v>
      </x:c>
      <x:c r="E11" s="34" t="str">
        <x:f>'Evaluation Plan'!E11</x:f>
      </x:c>
      <x:c r="F11" s="32" t="str">
        <x:f>'Evaluation Plan'!F11</x:f>
        <x:v>REMOVE any one bowl object; finish with 3 objects in the bowl</x:v>
      </x:c>
      <x:c r="G11" s="32" t="str"/>
      <x:c r="H11" s="35" t="str">
        <x:f>'Evaluation Plan'!H11</x:f>
        <x:v>In-distribution concept baseline</x:v>
      </x:c>
      <x:c r="I11" s="32" t="str">
        <x:f>'Evaluation Plan'!I11</x:f>
        <x:v>ID-CF05</x:v>
      </x:c>
      <x:c r="J11" s="32" t="str">
        <x:f>'Evaluation Plan'!J11</x:f>
        <x:v>ID-CF05</x:v>
      </x:c>
      <x:c r="K11" s="34" t="n">
        <x:f>'Evaluation Plan'!K11</x:f>
        <x:v>4</x:v>
      </x:c>
      <x:c r="L11" s="34" t="n">
        <x:f>'Evaluation Plan'!L11</x:f>
        <x:v>3</x:v>
      </x:c>
      <x:c r="M11" s="34" t="str">
        <x:f>'Evaluation Plan'!M11</x:f>
        <x:v>REMOVE</x:v>
      </x:c>
      <x:c r="N11" s="32" t="str">
        <x:f>'Evaluation Plan'!N11</x:f>
        <x:v>In-distribution: three via trained 4→3 removal</x:v>
      </x:c>
      <x:c r="O11" s="34" t="n">
        <x:f>'Evaluation Plan'!O11</x:f>
        <x:v>1</x:v>
      </x:c>
      <x:c r="P11" s="32" t="str">
        <x:f>'Evaluation Plan'!P11</x:f>
        <x:v>Move all four objects into the bowl.</x:v>
      </x:c>
      <x:c r="Q11" s="32" t="str">
        <x:f>'Evaluation Plan'!Q11</x:f>
        <x:v>The word three and the 4→3 removal transition are explicitly paired in training.</x:v>
      </x:c>
      <x:c r="R11" s="32" t="n">
        <x:f>'Evaluation Plan'!R11</x:f>
        <x:v>0</x:v>
      </x:c>
    </x:row>
    <x:row r="12" ht="46.5" customHeight="1">
      <x:c r="A12" s="31" t="str">
        <x:v>Not collected</x:v>
      </x:c>
      <x:c r="B12" s="33" t="n">
        <x:f>'Evaluation Plan'!B12</x:f>
        <x:v>10</x:v>
      </x:c>
      <x:c r="C12" s="31" t="str">
        <x:f>'Evaluation Plan'!C12</x:f>
        <x:v>Leave exactly three objects in the bowl.</x:v>
      </x:c>
      <x:c r="D12" s="31" t="str">
        <x:f>'Evaluation Plan'!D12</x:f>
        <x:v>Bowl objects: [blue pen, yellow block, green pencil sharpener, airplane toy without propellers] | Table objects: [none]</x:v>
      </x:c>
      <x:c r="E12" s="33" t="str">
        <x:f>'Evaluation Plan'!E12</x:f>
      </x:c>
      <x:c r="F12" s="31" t="str">
        <x:f>'Evaluation Plan'!F12</x:f>
        <x:v>REMOVE any one bowl object; finish with 3 objects in the bowl</x:v>
      </x:c>
      <x:c r="G12" s="31" t="str"/>
      <x:c r="H12" s="35" t="str">
        <x:f>'Evaluation Plan'!H12</x:f>
        <x:v>In-distribution concept baseline</x:v>
      </x:c>
      <x:c r="I12" s="31" t="str">
        <x:f>'Evaluation Plan'!I12</x:f>
        <x:v>ID-CF06</x:v>
      </x:c>
      <x:c r="J12" s="31" t="str">
        <x:f>'Evaluation Plan'!J12</x:f>
        <x:v>ID-CF06</x:v>
      </x:c>
      <x:c r="K12" s="33" t="n">
        <x:f>'Evaluation Plan'!K12</x:f>
        <x:v>4</x:v>
      </x:c>
      <x:c r="L12" s="33" t="n">
        <x:f>'Evaluation Plan'!L12</x:f>
        <x:v>3</x:v>
      </x:c>
      <x:c r="M12" s="33" t="str">
        <x:f>'Evaluation Plan'!M12</x:f>
        <x:v>REMOVE</x:v>
      </x:c>
      <x:c r="N12" s="31" t="str">
        <x:f>'Evaluation Plan'!N12</x:f>
        <x:v>In-distribution: three via trained 4→3 removal</x:v>
      </x:c>
      <x:c r="O12" s="33" t="n">
        <x:f>'Evaluation Plan'!O12</x:f>
        <x:v>1</x:v>
      </x:c>
      <x:c r="P12" s="31" t="str">
        <x:f>'Evaluation Plan'!P12</x:f>
        <x:v>Move all four objects into the bowl.</x:v>
      </x:c>
      <x:c r="Q12" s="31" t="str">
        <x:f>'Evaluation Plan'!Q12</x:f>
        <x:v>The word three and the 4→3 removal transition are explicitly paired in training.</x:v>
      </x:c>
      <x:c r="R12" s="31" t="n">
        <x:f>'Evaluation Plan'!R12</x:f>
        <x:v>0</x:v>
      </x:c>
    </x:row>
    <x:row r="13" ht="46.5" customHeight="1">
      <x:c r="A13" s="32" t="str">
        <x:v>Not collected</x:v>
      </x:c>
      <x:c r="B13" s="34" t="n">
        <x:f>'Evaluation Plan'!B13</x:f>
        <x:v>11</x:v>
      </x:c>
      <x:c r="C13" s="32" t="str">
        <x:f>'Evaluation Plan'!C13</x:f>
        <x:v>Leave exactly one object in the bowl.</x:v>
      </x:c>
      <x:c r="D13" s="32" t="str">
        <x:f>'Evaluation Plan'!D13</x:f>
        <x:v>Bowl objects: [none] | Table objects: [blue pen, yellow block, green pencil sharpener, airplane toy without propellers]</x:v>
      </x:c>
      <x:c r="E13" s="34" t="str">
        <x:f>'Evaluation Plan'!E13</x:f>
      </x:c>
      <x:c r="F13" s="32" t="str">
        <x:f>'Evaluation Plan'!F13</x:f>
        <x:v>ADD any one table object; finish with 1 object in the bowl</x:v>
      </x:c>
      <x:c r="G13" s="32" t="str"/>
      <x:c r="H13" s="35" t="str">
        <x:f>'Evaluation Plan'!H13</x:f>
        <x:v>In-distribution concept baseline</x:v>
      </x:c>
      <x:c r="I13" s="32" t="str">
        <x:f>'Evaluation Plan'!I13</x:f>
        <x:v>ID-CF06</x:v>
      </x:c>
      <x:c r="J13" s="32" t="str">
        <x:f>'Evaluation Plan'!J13</x:f>
        <x:v>ID-CF06</x:v>
      </x:c>
      <x:c r="K13" s="34" t="n">
        <x:f>'Evaluation Plan'!K13</x:f>
        <x:v>0</x:v>
      </x:c>
      <x:c r="L13" s="34" t="n">
        <x:f>'Evaluation Plan'!L13</x:f>
        <x:v>1</x:v>
      </x:c>
      <x:c r="M13" s="34" t="str">
        <x:f>'Evaluation Plan'!M13</x:f>
        <x:v>ADD</x:v>
      </x:c>
      <x:c r="N13" s="32" t="str">
        <x:f>'Evaluation Plan'!N13</x:f>
        <x:v>In-distribution: one via trained 0→1 addition</x:v>
      </x:c>
      <x:c r="O13" s="34" t="n">
        <x:f>'Evaluation Plan'!O13</x:f>
        <x:v>1</x:v>
      </x:c>
      <x:c r="P13" s="32" t="str">
        <x:f>'Evaluation Plan'!P13</x:f>
        <x:v>Build the empty-bowl scene.</x:v>
      </x:c>
      <x:c r="Q13" s="32" t="str">
        <x:f>'Evaluation Plan'!Q13</x:f>
        <x:v>The word one and the 0→1 addition transition are explicitly paired in training.</x:v>
      </x:c>
      <x:c r="R13" s="32" t="n">
        <x:f>'Evaluation Plan'!R13</x:f>
        <x:v>0</x:v>
      </x:c>
    </x:row>
    <x:row r="14" ht="46.5" customHeight="1">
      <x:c r="A14" s="31" t="str">
        <x:v>Not collected</x:v>
      </x:c>
      <x:c r="B14" s="33" t="n">
        <x:f>'Evaluation Plan'!B14</x:f>
        <x:v>12</x:v>
      </x:c>
      <x:c r="C14" s="31" t="str">
        <x:f>'Evaluation Plan'!C14</x:f>
        <x:v>Leave exactly one object in the bowl.</x:v>
      </x:c>
      <x:c r="D14" s="31" t="str">
        <x:f>'Evaluation Plan'!D14</x:f>
        <x:v>Bowl objects: [none] | Table objects: [blue pen, yellow block, green pencil sharpener, airplane toy without propellers]</x:v>
      </x:c>
      <x:c r="E14" s="33" t="str">
        <x:f>'Evaluation Plan'!E14</x:f>
      </x:c>
      <x:c r="F14" s="31" t="str">
        <x:f>'Evaluation Plan'!F14</x:f>
        <x:v>ADD any one table object; finish with 1 object in the bowl</x:v>
      </x:c>
      <x:c r="G14" s="31" t="str"/>
      <x:c r="H14" s="35" t="str">
        <x:f>'Evaluation Plan'!H14</x:f>
        <x:v>In-distribution concept baseline</x:v>
      </x:c>
      <x:c r="I14" s="31" t="str">
        <x:f>'Evaluation Plan'!I14</x:f>
        <x:v>ID-CF07</x:v>
      </x:c>
      <x:c r="J14" s="31" t="str">
        <x:f>'Evaluation Plan'!J14</x:f>
        <x:v>ID-CF07</x:v>
      </x:c>
      <x:c r="K14" s="33" t="n">
        <x:f>'Evaluation Plan'!K14</x:f>
        <x:v>0</x:v>
      </x:c>
      <x:c r="L14" s="33" t="n">
        <x:f>'Evaluation Plan'!L14</x:f>
        <x:v>1</x:v>
      </x:c>
      <x:c r="M14" s="33" t="str">
        <x:f>'Evaluation Plan'!M14</x:f>
        <x:v>ADD</x:v>
      </x:c>
      <x:c r="N14" s="31" t="str">
        <x:f>'Evaluation Plan'!N14</x:f>
        <x:v>In-distribution: one via trained 0→1 addition</x:v>
      </x:c>
      <x:c r="O14" s="33" t="n">
        <x:f>'Evaluation Plan'!O14</x:f>
        <x:v>1</x:v>
      </x:c>
      <x:c r="P14" s="31" t="str">
        <x:f>'Evaluation Plan'!P14</x:f>
        <x:v>Build the empty-bowl scene.</x:v>
      </x:c>
      <x:c r="Q14" s="31" t="str">
        <x:f>'Evaluation Plan'!Q14</x:f>
        <x:v>The word one and the 0→1 addition transition are explicitly paired in training.</x:v>
      </x:c>
      <x:c r="R14" s="31" t="n">
        <x:f>'Evaluation Plan'!R14</x:f>
        <x:v>0</x:v>
      </x:c>
    </x:row>
    <x:row r="15" ht="46.5" customHeight="1">
      <x:c r="A15" s="32" t="str">
        <x:v>Not collected</x:v>
      </x:c>
      <x:c r="B15" s="34" t="n">
        <x:f>'Evaluation Plan'!B15</x:f>
        <x:v>13</x:v>
      </x:c>
      <x:c r="C15" s="32" t="str">
        <x:f>'Evaluation Plan'!C15</x:f>
        <x:v>Leave exactly three objects in the bowl.</x:v>
      </x:c>
      <x:c r="D15" s="32" t="str">
        <x:f>'Evaluation Plan'!D15</x:f>
        <x:v>Bowl objects: [blue pen, yellow block, green pencil sharpener, airplane toy without propellers] | Table objects: [none]</x:v>
      </x:c>
      <x:c r="E15" s="34" t="str">
        <x:f>'Evaluation Plan'!E15</x:f>
      </x:c>
      <x:c r="F15" s="32" t="str">
        <x:f>'Evaluation Plan'!F15</x:f>
        <x:v>REMOVE any one bowl object; finish with 3 objects in the bowl</x:v>
      </x:c>
      <x:c r="G15" s="32" t="str"/>
      <x:c r="H15" s="35" t="str">
        <x:f>'Evaluation Plan'!H15</x:f>
        <x:v>In-distribution concept baseline</x:v>
      </x:c>
      <x:c r="I15" s="32" t="str">
        <x:f>'Evaluation Plan'!I15</x:f>
        <x:v>ID-CF07</x:v>
      </x:c>
      <x:c r="J15" s="32" t="str">
        <x:f>'Evaluation Plan'!J15</x:f>
        <x:v>ID-CF07</x:v>
      </x:c>
      <x:c r="K15" s="34" t="n">
        <x:f>'Evaluation Plan'!K15</x:f>
        <x:v>4</x:v>
      </x:c>
      <x:c r="L15" s="34" t="n">
        <x:f>'Evaluation Plan'!L15</x:f>
        <x:v>3</x:v>
      </x:c>
      <x:c r="M15" s="34" t="str">
        <x:f>'Evaluation Plan'!M15</x:f>
        <x:v>REMOVE</x:v>
      </x:c>
      <x:c r="N15" s="32" t="str">
        <x:f>'Evaluation Plan'!N15</x:f>
        <x:v>In-distribution: three via trained 4→3 removal</x:v>
      </x:c>
      <x:c r="O15" s="34" t="n">
        <x:f>'Evaluation Plan'!O15</x:f>
        <x:v>1</x:v>
      </x:c>
      <x:c r="P15" s="32" t="str">
        <x:f>'Evaluation Plan'!P15</x:f>
        <x:v>Move all four objects into the bowl.</x:v>
      </x:c>
      <x:c r="Q15" s="32" t="str">
        <x:f>'Evaluation Plan'!Q15</x:f>
        <x:v>The word three and the 4→3 removal transition are explicitly paired in training.</x:v>
      </x:c>
      <x:c r="R15" s="32" t="n">
        <x:f>'Evaluation Plan'!R15</x:f>
        <x:v>0</x:v>
      </x:c>
    </x:row>
    <x:row r="16" ht="46.5" customHeight="1">
      <x:c r="A16" s="31" t="str">
        <x:v>Not collected</x:v>
      </x:c>
      <x:c r="B16" s="33" t="n">
        <x:f>'Evaluation Plan'!B16</x:f>
        <x:v>14</x:v>
      </x:c>
      <x:c r="C16" s="31" t="str">
        <x:f>'Evaluation Plan'!C16</x:f>
        <x:v>Leave exactly three objects in the bowl.</x:v>
      </x:c>
      <x:c r="D16" s="31" t="str">
        <x:f>'Evaluation Plan'!D16</x:f>
        <x:v>Bowl objects: [blue pen, yellow block, green pencil sharpener, airplane toy without propellers] | Table objects: [none]</x:v>
      </x:c>
      <x:c r="E16" s="33" t="str">
        <x:f>'Evaluation Plan'!E16</x:f>
      </x:c>
      <x:c r="F16" s="31" t="str">
        <x:f>'Evaluation Plan'!F16</x:f>
        <x:v>REMOVE any one bowl object; finish with 3 objects in the bowl</x:v>
      </x:c>
      <x:c r="G16" s="31" t="str"/>
      <x:c r="H16" s="35" t="str">
        <x:f>'Evaluation Plan'!H16</x:f>
        <x:v>In-distribution concept baseline</x:v>
      </x:c>
      <x:c r="I16" s="31" t="str">
        <x:f>'Evaluation Plan'!I16</x:f>
        <x:v>ID-CF08</x:v>
      </x:c>
      <x:c r="J16" s="31" t="str">
        <x:f>'Evaluation Plan'!J16</x:f>
        <x:v>ID-CF08</x:v>
      </x:c>
      <x:c r="K16" s="33" t="n">
        <x:f>'Evaluation Plan'!K16</x:f>
        <x:v>4</x:v>
      </x:c>
      <x:c r="L16" s="33" t="n">
        <x:f>'Evaluation Plan'!L16</x:f>
        <x:v>3</x:v>
      </x:c>
      <x:c r="M16" s="33" t="str">
        <x:f>'Evaluation Plan'!M16</x:f>
        <x:v>REMOVE</x:v>
      </x:c>
      <x:c r="N16" s="31" t="str">
        <x:f>'Evaluation Plan'!N16</x:f>
        <x:v>In-distribution: three via trained 4→3 removal</x:v>
      </x:c>
      <x:c r="O16" s="33" t="n">
        <x:f>'Evaluation Plan'!O16</x:f>
        <x:v>1</x:v>
      </x:c>
      <x:c r="P16" s="31" t="str">
        <x:f>'Evaluation Plan'!P16</x:f>
        <x:v>Move all four objects into the bowl.</x:v>
      </x:c>
      <x:c r="Q16" s="31" t="str">
        <x:f>'Evaluation Plan'!Q16</x:f>
        <x:v>The word three and the 4→3 removal transition are explicitly paired in training.</x:v>
      </x:c>
      <x:c r="R16" s="31" t="n">
        <x:f>'Evaluation Plan'!R16</x:f>
        <x:v>0</x:v>
      </x:c>
    </x:row>
    <x:row r="17" ht="46.5" customHeight="1">
      <x:c r="A17" s="32" t="str">
        <x:v>Not collected</x:v>
      </x:c>
      <x:c r="B17" s="34" t="n">
        <x:f>'Evaluation Plan'!B17</x:f>
        <x:v>15</x:v>
      </x:c>
      <x:c r="C17" s="32" t="str">
        <x:f>'Evaluation Plan'!C17</x:f>
        <x:v>Leave exactly one object in the bowl.</x:v>
      </x:c>
      <x:c r="D17" s="32" t="str">
        <x:f>'Evaluation Plan'!D17</x:f>
        <x:v>Bowl objects: [none] | Table objects: [blue pen, yellow block, green pencil sharpener, airplane toy without propellers]</x:v>
      </x:c>
      <x:c r="E17" s="34" t="str">
        <x:f>'Evaluation Plan'!E17</x:f>
      </x:c>
      <x:c r="F17" s="32" t="str">
        <x:f>'Evaluation Plan'!F17</x:f>
        <x:v>ADD any one table object; finish with 1 object in the bowl</x:v>
      </x:c>
      <x:c r="G17" s="32" t="str"/>
      <x:c r="H17" s="35" t="str">
        <x:f>'Evaluation Plan'!H17</x:f>
        <x:v>In-distribution concept baseline</x:v>
      </x:c>
      <x:c r="I17" s="32" t="str">
        <x:f>'Evaluation Plan'!I17</x:f>
        <x:v>ID-CF08</x:v>
      </x:c>
      <x:c r="J17" s="32" t="str">
        <x:f>'Evaluation Plan'!J17</x:f>
        <x:v>ID-CF08</x:v>
      </x:c>
      <x:c r="K17" s="34" t="n">
        <x:f>'Evaluation Plan'!K17</x:f>
        <x:v>0</x:v>
      </x:c>
      <x:c r="L17" s="34" t="n">
        <x:f>'Evaluation Plan'!L17</x:f>
        <x:v>1</x:v>
      </x:c>
      <x:c r="M17" s="34" t="str">
        <x:f>'Evaluation Plan'!M17</x:f>
        <x:v>ADD</x:v>
      </x:c>
      <x:c r="N17" s="32" t="str">
        <x:f>'Evaluation Plan'!N17</x:f>
        <x:v>In-distribution: one via trained 0→1 addition</x:v>
      </x:c>
      <x:c r="O17" s="34" t="n">
        <x:f>'Evaluation Plan'!O17</x:f>
        <x:v>1</x:v>
      </x:c>
      <x:c r="P17" s="32" t="str">
        <x:f>'Evaluation Plan'!P17</x:f>
        <x:v>Build the empty-bowl scene.</x:v>
      </x:c>
      <x:c r="Q17" s="32" t="str">
        <x:f>'Evaluation Plan'!Q17</x:f>
        <x:v>The word one and the 0→1 addition transition are explicitly paired in training.</x:v>
      </x:c>
      <x:c r="R17" s="32" t="n">
        <x:f>'Evaluation Plan'!R17</x:f>
        <x:v>0</x:v>
      </x:c>
    </x:row>
    <x:row r="18" ht="46.5" customHeight="1">
      <x:c r="A18" s="31" t="str">
        <x:v>Not collected</x:v>
      </x:c>
      <x:c r="B18" s="33" t="n">
        <x:f>'Evaluation Plan'!B18</x:f>
        <x:v>16</x:v>
      </x:c>
      <x:c r="C18" s="31" t="str">
        <x:f>'Evaluation Plan'!C18</x:f>
        <x:v>Leave exactly one object in the bowl.</x:v>
      </x:c>
      <x:c r="D18" s="31" t="str">
        <x:f>'Evaluation Plan'!D18</x:f>
        <x:v>Bowl objects: [none] | Table objects: [blue pen, yellow block, green pencil sharpener, airplane toy without propellers]</x:v>
      </x:c>
      <x:c r="E18" s="33" t="str">
        <x:f>'Evaluation Plan'!E18</x:f>
      </x:c>
      <x:c r="F18" s="31" t="str">
        <x:f>'Evaluation Plan'!F18</x:f>
        <x:v>ADD any one table object; finish with 1 object in the bowl</x:v>
      </x:c>
      <x:c r="G18" s="31" t="str"/>
      <x:c r="H18" s="35" t="str">
        <x:f>'Evaluation Plan'!H18</x:f>
        <x:v>In-distribution concept baseline</x:v>
      </x:c>
      <x:c r="I18" s="31" t="str">
        <x:f>'Evaluation Plan'!I18</x:f>
        <x:v>ID-CF09</x:v>
      </x:c>
      <x:c r="J18" s="31" t="str">
        <x:f>'Evaluation Plan'!J18</x:f>
        <x:v>ID-CF09</x:v>
      </x:c>
      <x:c r="K18" s="33" t="n">
        <x:f>'Evaluation Plan'!K18</x:f>
        <x:v>0</x:v>
      </x:c>
      <x:c r="L18" s="33" t="n">
        <x:f>'Evaluation Plan'!L18</x:f>
        <x:v>1</x:v>
      </x:c>
      <x:c r="M18" s="33" t="str">
        <x:f>'Evaluation Plan'!M18</x:f>
        <x:v>ADD</x:v>
      </x:c>
      <x:c r="N18" s="31" t="str">
        <x:f>'Evaluation Plan'!N18</x:f>
        <x:v>In-distribution: one via trained 0→1 addition</x:v>
      </x:c>
      <x:c r="O18" s="33" t="n">
        <x:f>'Evaluation Plan'!O18</x:f>
        <x:v>1</x:v>
      </x:c>
      <x:c r="P18" s="31" t="str">
        <x:f>'Evaluation Plan'!P18</x:f>
        <x:v>Build the empty-bowl scene.</x:v>
      </x:c>
      <x:c r="Q18" s="31" t="str">
        <x:f>'Evaluation Plan'!Q18</x:f>
        <x:v>The word one and the 0→1 addition transition are explicitly paired in training.</x:v>
      </x:c>
      <x:c r="R18" s="31" t="n">
        <x:f>'Evaluation Plan'!R18</x:f>
        <x:v>0</x:v>
      </x:c>
    </x:row>
    <x:row r="19" ht="46.5" customHeight="1">
      <x:c r="A19" s="32" t="str">
        <x:v>Not collected</x:v>
      </x:c>
      <x:c r="B19" s="34" t="n">
        <x:f>'Evaluation Plan'!B19</x:f>
        <x:v>17</x:v>
      </x:c>
      <x:c r="C19" s="32" t="str">
        <x:f>'Evaluation Plan'!C19</x:f>
        <x:v>Leave exactly three objects in the bowl.</x:v>
      </x:c>
      <x:c r="D19" s="32" t="str">
        <x:f>'Evaluation Plan'!D19</x:f>
        <x:v>Bowl objects: [blue pen, yellow block, green pencil sharpener, airplane toy without propellers] | Table objects: [none]</x:v>
      </x:c>
      <x:c r="E19" s="34" t="str">
        <x:f>'Evaluation Plan'!E19</x:f>
      </x:c>
      <x:c r="F19" s="32" t="str">
        <x:f>'Evaluation Plan'!F19</x:f>
        <x:v>REMOVE any one bowl object; finish with 3 objects in the bowl</x:v>
      </x:c>
      <x:c r="G19" s="32" t="str"/>
      <x:c r="H19" s="35" t="str">
        <x:f>'Evaluation Plan'!H19</x:f>
        <x:v>In-distribution concept baseline</x:v>
      </x:c>
      <x:c r="I19" s="32" t="str">
        <x:f>'Evaluation Plan'!I19</x:f>
        <x:v>ID-CF09</x:v>
      </x:c>
      <x:c r="J19" s="32" t="str">
        <x:f>'Evaluation Plan'!J19</x:f>
        <x:v>ID-CF09</x:v>
      </x:c>
      <x:c r="K19" s="34" t="n">
        <x:f>'Evaluation Plan'!K19</x:f>
        <x:v>4</x:v>
      </x:c>
      <x:c r="L19" s="34" t="n">
        <x:f>'Evaluation Plan'!L19</x:f>
        <x:v>3</x:v>
      </x:c>
      <x:c r="M19" s="34" t="str">
        <x:f>'Evaluation Plan'!M19</x:f>
        <x:v>REMOVE</x:v>
      </x:c>
      <x:c r="N19" s="32" t="str">
        <x:f>'Evaluation Plan'!N19</x:f>
        <x:v>In-distribution: three via trained 4→3 removal</x:v>
      </x:c>
      <x:c r="O19" s="34" t="n">
        <x:f>'Evaluation Plan'!O19</x:f>
        <x:v>1</x:v>
      </x:c>
      <x:c r="P19" s="32" t="str">
        <x:f>'Evaluation Plan'!P19</x:f>
        <x:v>Move all four objects into the bowl.</x:v>
      </x:c>
      <x:c r="Q19" s="32" t="str">
        <x:f>'Evaluation Plan'!Q19</x:f>
        <x:v>The word three and the 4→3 removal transition are explicitly paired in training.</x:v>
      </x:c>
      <x:c r="R19" s="32" t="n">
        <x:f>'Evaluation Plan'!R19</x:f>
        <x:v>0</x:v>
      </x:c>
    </x:row>
    <x:row r="20" ht="46.5" customHeight="1">
      <x:c r="A20" s="31" t="str">
        <x:v>Not collected</x:v>
      </x:c>
      <x:c r="B20" s="33" t="n">
        <x:f>'Evaluation Plan'!B20</x:f>
        <x:v>18</x:v>
      </x:c>
      <x:c r="C20" s="31" t="str">
        <x:f>'Evaluation Plan'!C20</x:f>
        <x:v>Leave exactly three objects in the bowl.</x:v>
      </x:c>
      <x:c r="D20" s="31" t="str">
        <x:f>'Evaluation Plan'!D20</x:f>
        <x:v>Bowl objects: [blue pen, yellow block, green pencil sharpener, airplane toy without propellers] | Table objects: [none]</x:v>
      </x:c>
      <x:c r="E20" s="33" t="str">
        <x:f>'Evaluation Plan'!E20</x:f>
      </x:c>
      <x:c r="F20" s="31" t="str">
        <x:f>'Evaluation Plan'!F20</x:f>
        <x:v>REMOVE any one bowl object; finish with 3 objects in the bowl</x:v>
      </x:c>
      <x:c r="G20" s="31" t="str"/>
      <x:c r="H20" s="35" t="str">
        <x:f>'Evaluation Plan'!H20</x:f>
        <x:v>In-distribution concept baseline</x:v>
      </x:c>
      <x:c r="I20" s="31" t="str">
        <x:f>'Evaluation Plan'!I20</x:f>
        <x:v>ID-CF10</x:v>
      </x:c>
      <x:c r="J20" s="31" t="str">
        <x:f>'Evaluation Plan'!J20</x:f>
        <x:v>ID-CF10</x:v>
      </x:c>
      <x:c r="K20" s="33" t="n">
        <x:f>'Evaluation Plan'!K20</x:f>
        <x:v>4</x:v>
      </x:c>
      <x:c r="L20" s="33" t="n">
        <x:f>'Evaluation Plan'!L20</x:f>
        <x:v>3</x:v>
      </x:c>
      <x:c r="M20" s="33" t="str">
        <x:f>'Evaluation Plan'!M20</x:f>
        <x:v>REMOVE</x:v>
      </x:c>
      <x:c r="N20" s="31" t="str">
        <x:f>'Evaluation Plan'!N20</x:f>
        <x:v>In-distribution: three via trained 4→3 removal</x:v>
      </x:c>
      <x:c r="O20" s="33" t="n">
        <x:f>'Evaluation Plan'!O20</x:f>
        <x:v>1</x:v>
      </x:c>
      <x:c r="P20" s="31" t="str">
        <x:f>'Evaluation Plan'!P20</x:f>
        <x:v>Move all four objects into the bowl.</x:v>
      </x:c>
      <x:c r="Q20" s="31" t="str">
        <x:f>'Evaluation Plan'!Q20</x:f>
        <x:v>The word three and the 4→3 removal transition are explicitly paired in training.</x:v>
      </x:c>
      <x:c r="R20" s="31" t="n">
        <x:f>'Evaluation Plan'!R20</x:f>
        <x:v>0</x:v>
      </x:c>
    </x:row>
    <x:row r="21" ht="46.5" customHeight="1">
      <x:c r="A21" s="32" t="str">
        <x:v>Not collected</x:v>
      </x:c>
      <x:c r="B21" s="34" t="n">
        <x:f>'Evaluation Plan'!B21</x:f>
        <x:v>19</x:v>
      </x:c>
      <x:c r="C21" s="32" t="str">
        <x:f>'Evaluation Plan'!C21</x:f>
        <x:v>Leave exactly one object in the bowl.</x:v>
      </x:c>
      <x:c r="D21" s="32" t="str">
        <x:f>'Evaluation Plan'!D21</x:f>
        <x:v>Bowl objects: [none] | Table objects: [blue pen, yellow block, green pencil sharpener, airplane toy without propellers]</x:v>
      </x:c>
      <x:c r="E21" s="34" t="str">
        <x:f>'Evaluation Plan'!E21</x:f>
      </x:c>
      <x:c r="F21" s="32" t="str">
        <x:f>'Evaluation Plan'!F21</x:f>
        <x:v>ADD any one table object; finish with 1 object in the bowl</x:v>
      </x:c>
      <x:c r="G21" s="32" t="str"/>
      <x:c r="H21" s="35" t="str">
        <x:f>'Evaluation Plan'!H21</x:f>
        <x:v>In-distribution concept baseline</x:v>
      </x:c>
      <x:c r="I21" s="32" t="str">
        <x:f>'Evaluation Plan'!I21</x:f>
        <x:v>ID-CF10</x:v>
      </x:c>
      <x:c r="J21" s="32" t="str">
        <x:f>'Evaluation Plan'!J21</x:f>
        <x:v>ID-CF10</x:v>
      </x:c>
      <x:c r="K21" s="34" t="n">
        <x:f>'Evaluation Plan'!K21</x:f>
        <x:v>0</x:v>
      </x:c>
      <x:c r="L21" s="34" t="n">
        <x:f>'Evaluation Plan'!L21</x:f>
        <x:v>1</x:v>
      </x:c>
      <x:c r="M21" s="34" t="str">
        <x:f>'Evaluation Plan'!M21</x:f>
        <x:v>ADD</x:v>
      </x:c>
      <x:c r="N21" s="32" t="str">
        <x:f>'Evaluation Plan'!N21</x:f>
        <x:v>In-distribution: one via trained 0→1 addition</x:v>
      </x:c>
      <x:c r="O21" s="34" t="n">
        <x:f>'Evaluation Plan'!O21</x:f>
        <x:v>1</x:v>
      </x:c>
      <x:c r="P21" s="32" t="str">
        <x:f>'Evaluation Plan'!P21</x:f>
        <x:v>Build the empty-bowl scene.</x:v>
      </x:c>
      <x:c r="Q21" s="32" t="str">
        <x:f>'Evaluation Plan'!Q21</x:f>
        <x:v>The word one and the 0→1 addition transition are explicitly paired in training.</x:v>
      </x:c>
      <x:c r="R21" s="32" t="n">
        <x:f>'Evaluation Plan'!R21</x:f>
        <x:v>0</x:v>
      </x:c>
    </x:row>
    <x:row r="22" ht="46.5" customHeight="1">
      <x:c r="A22" s="31" t="str">
        <x:v>Not collected</x:v>
      </x:c>
      <x:c r="B22" s="33" t="n">
        <x:f>'Evaluation Plan'!B22</x:f>
        <x:v>20</x:v>
      </x:c>
      <x:c r="C22" s="31" t="str">
        <x:f>'Evaluation Plan'!C22</x:f>
        <x:v>Leave exactly one object in the bowl.</x:v>
      </x:c>
      <x:c r="D22" s="31" t="str">
        <x:f>'Evaluation Plan'!D22</x:f>
        <x:v>Bowl objects: [blue pen, airplane toy without propellers] | Table objects: [yellow block, green pencil sharpener]</x:v>
      </x:c>
      <x:c r="E22" s="33" t="str">
        <x:f>'Evaluation Plan'!E22</x:f>
      </x:c>
      <x:c r="F22" s="31" t="str">
        <x:f>'Evaluation Plan'!F22</x:f>
        <x:v>REMOVE any one bowl object; finish with 1 object in the bowl</x:v>
      </x:c>
      <x:c r="G22" s="31" t="str"/>
      <x:c r="H22" s="36" t="str">
        <x:f>'Evaluation Plan'!H22</x:f>
        <x:v>Concept/compositional transfer</x:v>
      </x:c>
      <x:c r="I22" s="31" t="str">
        <x:f>'Evaluation Plan'!I22</x:f>
        <x:v>CT-CF01</x:v>
      </x:c>
      <x:c r="J22" s="31" t="str">
        <x:f>'Evaluation Plan'!J22</x:f>
        <x:v>CT-CF01-REMOVE</x:v>
      </x:c>
      <x:c r="K22" s="33" t="n">
        <x:f>'Evaluation Plan'!K22</x:f>
        <x:v>2</x:v>
      </x:c>
      <x:c r="L22" s="33" t="n">
        <x:f>'Evaluation Plan'!L22</x:f>
        <x:v>1</x:v>
      </x:c>
      <x:c r="M22" s="33" t="str">
        <x:f>'Evaluation Plan'!M22</x:f>
        <x:v>REMOVE</x:v>
      </x:c>
      <x:c r="N22" s="31" t="str">
        <x:f>'Evaluation Plan'!N22</x:f>
        <x:v>Primary: one via held-out 2→1 removal</x:v>
      </x:c>
      <x:c r="O22" s="33" t="n">
        <x:f>'Evaluation Plan'!O22</x:f>
        <x:v>2</x:v>
      </x:c>
      <x:c r="P22" s="31" t="str">
        <x:f>'Evaluation Plan'!P22</x:f>
        <x:v>Build the listed count-2 scene.</x:v>
      </x:c>
      <x:c r="Q22" s="31" t="str">
        <x:f>'Evaluation Plan'!Q22</x:f>
        <x:v>The goal word one is trained, and this 2→1 trajectory is trained under a direct instruction, but the combination is withheld.</x:v>
      </x:c>
      <x:c r="R22" s="31" t="n">
        <x:f>'Evaluation Plan'!R22</x:f>
        <x:v>0</x:v>
      </x:c>
    </x:row>
    <x:row r="23" ht="46.5" customHeight="1">
      <x:c r="A23" s="32" t="str">
        <x:v>Not collected</x:v>
      </x:c>
      <x:c r="B23" s="34" t="n">
        <x:f>'Evaluation Plan'!B23</x:f>
        <x:v>21</x:v>
      </x:c>
      <x:c r="C23" s="32" t="str">
        <x:f>'Evaluation Plan'!C23</x:f>
        <x:v>Move the blue pen from the bowl to the table.</x:v>
      </x:c>
      <x:c r="D23" s="32" t="str">
        <x:f>'Evaluation Plan'!D23</x:f>
        <x:v>Bowl objects: [blue pen, airplane toy without propellers] | Table objects: [yellow block, green pencil sharpener]</x:v>
      </x:c>
      <x:c r="E23" s="34" t="n">
        <x:f>'Evaluation Plan'!E23</x:f>
        <x:v>20</x:v>
      </x:c>
      <x:c r="F23" s="32" t="str">
        <x:f>'Evaluation Plan'!F23</x:f>
        <x:v>REMOVE blue pen</x:v>
      </x:c>
      <x:c r="G23" s="32" t="str"/>
      <x:c r="H23" s="37" t="str">
        <x:f>'Evaluation Plan'!H23</x:f>
        <x:v>Matched manipulation control</x:v>
      </x:c>
      <x:c r="I23" s="32" t="str">
        <x:f>'Evaluation Plan'!I23</x:f>
        <x:v>CT-CF01</x:v>
      </x:c>
      <x:c r="J23" s="32" t="str">
        <x:f>'Evaluation Plan'!J23</x:f>
        <x:v>CT-CF01-REMOVE</x:v>
      </x:c>
      <x:c r="K23" s="34" t="n">
        <x:f>'Evaluation Plan'!K23</x:f>
        <x:v>2</x:v>
      </x:c>
      <x:c r="L23" s="34" t="n">
        <x:f>'Evaluation Plan'!L23</x:f>
        <x:v>1</x:v>
      </x:c>
      <x:c r="M23" s="34" t="str">
        <x:f>'Evaluation Plan'!M23</x:f>
        <x:v>REMOVE</x:v>
      </x:c>
      <x:c r="N23" s="32" t="str">
        <x:f>'Evaluation Plan'!N23</x:f>
        <x:v>Matched direct REMOVE control</x:v>
      </x:c>
      <x:c r="O23" s="34" t="n">
        <x:f>'Evaluation Plan'!O23</x:f>
        <x:v>2</x:v>
      </x:c>
      <x:c r="P23" s="32" t="str">
        <x:f>'Evaluation Plan'!P23</x:f>
        <x:v>Reset the exact count-2 scene; change only the prompt.</x:v>
      </x:c>
      <x:c r="Q23" s="32" t="str">
        <x:f>'Evaluation Plan'!Q23</x:f>
        <x:v>The direct prompt is present in Counting training for this same-task object and action direction.</x:v>
      </x:c>
      <x:c r="R23" s="32" t="n">
        <x:f>'Evaluation Plan'!R23</x:f>
        <x:v>0</x:v>
      </x:c>
    </x:row>
    <x:row r="24" ht="46.5" customHeight="1">
      <x:c r="A24" s="31" t="str">
        <x:v>Not collected</x:v>
      </x:c>
      <x:c r="B24" s="33" t="n">
        <x:f>'Evaluation Plan'!B24</x:f>
        <x:v>22</x:v>
      </x:c>
      <x:c r="C24" s="31" t="str">
        <x:f>'Evaluation Plan'!C24</x:f>
        <x:v>Finish with one object in the bowl.</x:v>
      </x:c>
      <x:c r="D24" s="31" t="str">
        <x:f>'Evaluation Plan'!D24</x:f>
        <x:v>Bowl objects: [blue pen, airplane toy without propellers] | Table objects: [yellow block, green pencil sharpener]</x:v>
      </x:c>
      <x:c r="E24" s="33" t="n">
        <x:f>'Evaluation Plan'!E24</x:f>
        <x:v>20</x:v>
      </x:c>
      <x:c r="F24" s="31" t="str">
        <x:f>'Evaluation Plan'!F24</x:f>
        <x:v>REMOVE any one bowl object; finish with 1 object in the bowl</x:v>
      </x:c>
      <x:c r="G24" s="31" t="str"/>
      <x:c r="H24" s="38" t="str">
        <x:f>'Evaluation Plan'!H24</x:f>
        <x:v>Language robustness</x:v>
      </x:c>
      <x:c r="I24" s="31" t="str">
        <x:f>'Evaluation Plan'!I24</x:f>
        <x:v>CT-CF01</x:v>
      </x:c>
      <x:c r="J24" s="31" t="str">
        <x:f>'Evaluation Plan'!J24</x:f>
        <x:v>CT-CF01-REMOVE</x:v>
      </x:c>
      <x:c r="K24" s="33" t="n">
        <x:f>'Evaluation Plan'!K24</x:f>
        <x:v>2</x:v>
      </x:c>
      <x:c r="L24" s="33" t="n">
        <x:f>'Evaluation Plan'!L24</x:f>
        <x:v>1</x:v>
      </x:c>
      <x:c r="M24" s="33" t="str">
        <x:f>'Evaluation Plan'!M24</x:f>
        <x:v>REMOVE</x:v>
      </x:c>
      <x:c r="N24" s="31" t="str">
        <x:f>'Evaluation Plan'!N24</x:f>
        <x:v>Primary compositional paraphrase: one via 2→1 removal</x:v>
      </x:c>
      <x:c r="O24" s="33" t="n">
        <x:f>'Evaluation Plan'!O24</x:f>
        <x:v>2</x:v>
      </x:c>
      <x:c r="P24" s="31" t="str">
        <x:f>'Evaluation Plan'!P24</x:f>
        <x:v>Build the listed count-2 scene.</x:v>
      </x:c>
      <x:c r="Q24" s="31" t="str">
        <x:f>'Evaluation Plan'!Q24</x:f>
        <x:v>Exact-scene paraphrase of the canonical held-out composition.</x:v>
      </x:c>
      <x:c r="R24" s="31" t="n">
        <x:f>'Evaluation Plan'!R24</x:f>
        <x:v>0</x:v>
      </x:c>
    </x:row>
    <x:row r="25" ht="46.5" customHeight="1">
      <x:c r="A25" s="32" t="str">
        <x:v>Not collected</x:v>
      </x:c>
      <x:c r="B25" s="34" t="n">
        <x:f>'Evaluation Plan'!B25</x:f>
        <x:v>23</x:v>
      </x:c>
      <x:c r="C25" s="32" t="str">
        <x:f>'Evaluation Plan'!C25</x:f>
        <x:v>Lift the blue pen out of the bowl and set it on the table.</x:v>
      </x:c>
      <x:c r="D25" s="32" t="str">
        <x:f>'Evaluation Plan'!D25</x:f>
        <x:v>Bowl objects: [blue pen, airplane toy without propellers] | Table objects: [yellow block, green pencil sharpener]</x:v>
      </x:c>
      <x:c r="E25" s="34" t="n">
        <x:f>'Evaluation Plan'!E25</x:f>
        <x:v>21</x:v>
      </x:c>
      <x:c r="F25" s="32" t="str">
        <x:f>'Evaluation Plan'!F25</x:f>
        <x:v>REMOVE blue pen</x:v>
      </x:c>
      <x:c r="G25" s="32" t="str"/>
      <x:c r="H25" s="38" t="str">
        <x:f>'Evaluation Plan'!H25</x:f>
        <x:v>Language robustness</x:v>
      </x:c>
      <x:c r="I25" s="32" t="str">
        <x:f>'Evaluation Plan'!I25</x:f>
        <x:v>CT-CF01</x:v>
      </x:c>
      <x:c r="J25" s="32" t="str">
        <x:f>'Evaluation Plan'!J25</x:f>
        <x:v>CT-CF01-REMOVE</x:v>
      </x:c>
      <x:c r="K25" s="34" t="n">
        <x:f>'Evaluation Plan'!K25</x:f>
        <x:v>2</x:v>
      </x:c>
      <x:c r="L25" s="34" t="n">
        <x:f>'Evaluation Plan'!L25</x:f>
        <x:v>1</x:v>
      </x:c>
      <x:c r="M25" s="34" t="str">
        <x:f>'Evaluation Plan'!M25</x:f>
        <x:v>REMOVE</x:v>
      </x:c>
      <x:c r="N25" s="32" t="str">
        <x:f>'Evaluation Plan'!N25</x:f>
        <x:v>Matched-control paraphrase: REMOVE</x:v>
      </x:c>
      <x:c r="O25" s="34" t="n">
        <x:f>'Evaluation Plan'!O25</x:f>
        <x:v>2</x:v>
      </x:c>
      <x:c r="P25" s="32" t="str">
        <x:f>'Evaluation Plan'!P25</x:f>
        <x:v>Reset the exact count-2 scene; change only the prompt.</x:v>
      </x:c>
      <x:c r="Q25" s="32" t="str">
        <x:f>'Evaluation Plan'!Q25</x:f>
        <x:v>Exact-scene paraphrase of the direct manipulation control.</x:v>
      </x:c>
      <x:c r="R25" s="32" t="n">
        <x:f>'Evaluation Plan'!R25</x:f>
        <x:v>0</x:v>
      </x:c>
    </x:row>
    <x:row r="26" ht="46.5" customHeight="1">
      <x:c r="A26" s="31" t="str">
        <x:v>Not collected</x:v>
      </x:c>
      <x:c r="B26" s="33" t="n">
        <x:f>'Evaluation Plan'!B26</x:f>
        <x:v>24</x:v>
      </x:c>
      <x:c r="C26" s="31" t="str">
        <x:f>'Evaluation Plan'!C26</x:f>
        <x:v>Move the green pencil sharpener into the bowl.</x:v>
      </x:c>
      <x:c r="D26" s="31" t="str">
        <x:f>'Evaluation Plan'!D26</x:f>
        <x:v>Bowl objects: [blue pen, airplane toy without propellers] | Table objects: [yellow block, green pencil sharpener]</x:v>
      </x:c>
      <x:c r="E26" s="33" t="str">
        <x:f>'Evaluation Plan'!E26</x:f>
      </x:c>
      <x:c r="F26" s="31" t="str">
        <x:f>'Evaluation Plan'!F26</x:f>
        <x:v>ADD green pencil sharpener</x:v>
      </x:c>
      <x:c r="G26" s="31" t="str"/>
      <x:c r="H26" s="37" t="str">
        <x:f>'Evaluation Plan'!H26</x:f>
        <x:v>Matched manipulation control</x:v>
      </x:c>
      <x:c r="I26" s="31" t="str">
        <x:f>'Evaluation Plan'!I26</x:f>
        <x:v>CT-CF01</x:v>
      </x:c>
      <x:c r="J26" s="31" t="str">
        <x:f>'Evaluation Plan'!J26</x:f>
        <x:v>CT-CF01-ADD</x:v>
      </x:c>
      <x:c r="K26" s="33" t="n">
        <x:f>'Evaluation Plan'!K26</x:f>
        <x:v>2</x:v>
      </x:c>
      <x:c r="L26" s="33" t="n">
        <x:f>'Evaluation Plan'!L26</x:f>
        <x:v>3</x:v>
      </x:c>
      <x:c r="M26" s="33" t="str">
        <x:f>'Evaluation Plan'!M26</x:f>
        <x:v>ADD</x:v>
      </x:c>
      <x:c r="N26" s="31" t="str">
        <x:f>'Evaluation Plan'!N26</x:f>
        <x:v>Matched direct ADD control</x:v>
      </x:c>
      <x:c r="O26" s="33" t="n">
        <x:f>'Evaluation Plan'!O26</x:f>
        <x:v>2</x:v>
      </x:c>
      <x:c r="P26" s="31" t="str">
        <x:f>'Evaluation Plan'!P26</x:f>
        <x:v>Reset the exact count-2 scene; change only the prompt.</x:v>
      </x:c>
      <x:c r="Q26" s="31" t="str">
        <x:f>'Evaluation Plan'!Q26</x:f>
        <x:v>The direct prompt is present in Counting training for this same-task object and action direction.</x:v>
      </x:c>
      <x:c r="R26" s="31" t="n">
        <x:f>'Evaluation Plan'!R26</x:f>
        <x:v>0</x:v>
      </x:c>
    </x:row>
    <x:row r="27" ht="46.5" customHeight="1">
      <x:c r="A27" s="32" t="str">
        <x:v>Not collected</x:v>
      </x:c>
      <x:c r="B27" s="34" t="n">
        <x:f>'Evaluation Plan'!B27</x:f>
        <x:v>25</x:v>
      </x:c>
      <x:c r="C27" s="32" t="str">
        <x:f>'Evaluation Plan'!C27</x:f>
        <x:v>Leave exactly three objects in the bowl.</x:v>
      </x:c>
      <x:c r="D27" s="32" t="str">
        <x:f>'Evaluation Plan'!D27</x:f>
        <x:v>Bowl objects: [blue pen, airplane toy without propellers] | Table objects: [yellow block, green pencil sharpener]</x:v>
      </x:c>
      <x:c r="E27" s="34" t="n">
        <x:f>'Evaluation Plan'!E27</x:f>
        <x:v>24</x:v>
      </x:c>
      <x:c r="F27" s="32" t="str">
        <x:f>'Evaluation Plan'!F27</x:f>
        <x:v>ADD any one table object; finish with 3 objects in the bowl</x:v>
      </x:c>
      <x:c r="G27" s="32" t="str"/>
      <x:c r="H27" s="36" t="str">
        <x:f>'Evaluation Plan'!H27</x:f>
        <x:v>Concept/compositional transfer</x:v>
      </x:c>
      <x:c r="I27" s="32" t="str">
        <x:f>'Evaluation Plan'!I27</x:f>
        <x:v>CT-CF01</x:v>
      </x:c>
      <x:c r="J27" s="32" t="str">
        <x:f>'Evaluation Plan'!J27</x:f>
        <x:v>CT-CF01-ADD</x:v>
      </x:c>
      <x:c r="K27" s="34" t="n">
        <x:f>'Evaluation Plan'!K27</x:f>
        <x:v>2</x:v>
      </x:c>
      <x:c r="L27" s="34" t="n">
        <x:f>'Evaluation Plan'!L27</x:f>
        <x:v>3</x:v>
      </x:c>
      <x:c r="M27" s="34" t="str">
        <x:f>'Evaluation Plan'!M27</x:f>
        <x:v>ADD</x:v>
      </x:c>
      <x:c r="N27" s="32" t="str">
        <x:f>'Evaluation Plan'!N27</x:f>
        <x:v>Primary: three via held-out 2→3 addition</x:v>
      </x:c>
      <x:c r="O27" s="34" t="n">
        <x:f>'Evaluation Plan'!O27</x:f>
        <x:v>2</x:v>
      </x:c>
      <x:c r="P27" s="32" t="str">
        <x:f>'Evaluation Plan'!P27</x:f>
        <x:v>Reset the exact count-2 scene; change only the prompt.</x:v>
      </x:c>
      <x:c r="Q27" s="32" t="str">
        <x:f>'Evaluation Plan'!Q27</x:f>
        <x:v>The goal word three is trained, and this 2→3 trajectory is trained under a direct instruction, but the combination is withheld.</x:v>
      </x:c>
      <x:c r="R27" s="32" t="n">
        <x:f>'Evaluation Plan'!R27</x:f>
        <x:v>0</x:v>
      </x:c>
    </x:row>
    <x:row r="28" ht="46.5" customHeight="1">
      <x:c r="A28" s="31" t="str">
        <x:v>Not collected</x:v>
      </x:c>
      <x:c r="B28" s="33" t="n">
        <x:f>'Evaluation Plan'!B28</x:f>
        <x:v>26</x:v>
      </x:c>
      <x:c r="C28" s="31" t="str">
        <x:f>'Evaluation Plan'!C28</x:f>
        <x:v>Lift the green pencil sharpener from the table and set it inside the bowl.</x:v>
      </x:c>
      <x:c r="D28" s="31" t="str">
        <x:f>'Evaluation Plan'!D28</x:f>
        <x:v>Bowl objects: [blue pen, airplane toy without propellers] | Table objects: [yellow block, green pencil sharpener]</x:v>
      </x:c>
      <x:c r="E28" s="33" t="n">
        <x:f>'Evaluation Plan'!E28</x:f>
        <x:v>24</x:v>
      </x:c>
      <x:c r="F28" s="31" t="str">
        <x:f>'Evaluation Plan'!F28</x:f>
        <x:v>ADD green pencil sharpener</x:v>
      </x:c>
      <x:c r="G28" s="31" t="str"/>
      <x:c r="H28" s="38" t="str">
        <x:f>'Evaluation Plan'!H28</x:f>
        <x:v>Language robustness</x:v>
      </x:c>
      <x:c r="I28" s="31" t="str">
        <x:f>'Evaluation Plan'!I28</x:f>
        <x:v>CT-CF01</x:v>
      </x:c>
      <x:c r="J28" s="31" t="str">
        <x:f>'Evaluation Plan'!J28</x:f>
        <x:v>CT-CF01-ADD</x:v>
      </x:c>
      <x:c r="K28" s="33" t="n">
        <x:f>'Evaluation Plan'!K28</x:f>
        <x:v>2</x:v>
      </x:c>
      <x:c r="L28" s="33" t="n">
        <x:f>'Evaluation Plan'!L28</x:f>
        <x:v>3</x:v>
      </x:c>
      <x:c r="M28" s="33" t="str">
        <x:f>'Evaluation Plan'!M28</x:f>
        <x:v>ADD</x:v>
      </x:c>
      <x:c r="N28" s="31" t="str">
        <x:f>'Evaluation Plan'!N28</x:f>
        <x:v>Matched-control paraphrase: ADD</x:v>
      </x:c>
      <x:c r="O28" s="33" t="n">
        <x:f>'Evaluation Plan'!O28</x:f>
        <x:v>2</x:v>
      </x:c>
      <x:c r="P28" s="31" t="str">
        <x:f>'Evaluation Plan'!P28</x:f>
        <x:v>Reset the exact count-2 scene; change only the prompt.</x:v>
      </x:c>
      <x:c r="Q28" s="31" t="str">
        <x:f>'Evaluation Plan'!Q28</x:f>
        <x:v>Exact-scene paraphrase of the direct manipulation control.</x:v>
      </x:c>
      <x:c r="R28" s="31" t="n">
        <x:f>'Evaluation Plan'!R28</x:f>
        <x:v>0</x:v>
      </x:c>
    </x:row>
    <x:row r="29" ht="46.5" customHeight="1">
      <x:c r="A29" s="32" t="str">
        <x:v>Not collected</x:v>
      </x:c>
      <x:c r="B29" s="34" t="n">
        <x:f>'Evaluation Plan'!B29</x:f>
        <x:v>27</x:v>
      </x:c>
      <x:c r="C29" s="32" t="str">
        <x:f>'Evaluation Plan'!C29</x:f>
        <x:v>Finish with three objects in the bowl.</x:v>
      </x:c>
      <x:c r="D29" s="32" t="str">
        <x:f>'Evaluation Plan'!D29</x:f>
        <x:v>Bowl objects: [blue pen, airplane toy without propellers] | Table objects: [yellow block, green pencil sharpener]</x:v>
      </x:c>
      <x:c r="E29" s="34" t="n">
        <x:f>'Evaluation Plan'!E29</x:f>
        <x:v>25</x:v>
      </x:c>
      <x:c r="F29" s="32" t="str">
        <x:f>'Evaluation Plan'!F29</x:f>
        <x:v>ADD any one table object; finish with 3 objects in the bowl</x:v>
      </x:c>
      <x:c r="G29" s="32" t="str"/>
      <x:c r="H29" s="38" t="str">
        <x:f>'Evaluation Plan'!H29</x:f>
        <x:v>Language robustness</x:v>
      </x:c>
      <x:c r="I29" s="32" t="str">
        <x:f>'Evaluation Plan'!I29</x:f>
        <x:v>CT-CF01</x:v>
      </x:c>
      <x:c r="J29" s="32" t="str">
        <x:f>'Evaluation Plan'!J29</x:f>
        <x:v>CT-CF01-ADD</x:v>
      </x:c>
      <x:c r="K29" s="34" t="n">
        <x:f>'Evaluation Plan'!K29</x:f>
        <x:v>2</x:v>
      </x:c>
      <x:c r="L29" s="34" t="n">
        <x:f>'Evaluation Plan'!L29</x:f>
        <x:v>3</x:v>
      </x:c>
      <x:c r="M29" s="34" t="str">
        <x:f>'Evaluation Plan'!M29</x:f>
        <x:v>ADD</x:v>
      </x:c>
      <x:c r="N29" s="32" t="str">
        <x:f>'Evaluation Plan'!N29</x:f>
        <x:v>Primary compositional paraphrase: three via 2→3 addition</x:v>
      </x:c>
      <x:c r="O29" s="34" t="n">
        <x:f>'Evaluation Plan'!O29</x:f>
        <x:v>2</x:v>
      </x:c>
      <x:c r="P29" s="32" t="str">
        <x:f>'Evaluation Plan'!P29</x:f>
        <x:v>Reset the exact count-2 scene; change only the prompt.</x:v>
      </x:c>
      <x:c r="Q29" s="32" t="str">
        <x:f>'Evaluation Plan'!Q29</x:f>
        <x:v>Exact-scene paraphrase of the canonical held-out composition.</x:v>
      </x:c>
      <x:c r="R29" s="32" t="n">
        <x:f>'Evaluation Plan'!R29</x:f>
        <x:v>0</x:v>
      </x:c>
    </x:row>
    <x:row r="30" ht="46.5" customHeight="1">
      <x:c r="A30" s="31" t="str">
        <x:v>Not collected</x:v>
      </x:c>
      <x:c r="B30" s="33" t="n">
        <x:f>'Evaluation Plan'!B30</x:f>
        <x:v>28</x:v>
      </x:c>
      <x:c r="C30" s="31" t="str">
        <x:f>'Evaluation Plan'!C30</x:f>
        <x:v>Leave exactly three objects in the bowl.</x:v>
      </x:c>
      <x:c r="D30" s="31" t="str">
        <x:f>'Evaluation Plan'!D30</x:f>
        <x:v>Bowl objects: [yellow block, blue pen] | Table objects: [green pencil sharpener, airplane toy without propellers]</x:v>
      </x:c>
      <x:c r="E30" s="33" t="str">
        <x:f>'Evaluation Plan'!E30</x:f>
      </x:c>
      <x:c r="F30" s="31" t="str">
        <x:f>'Evaluation Plan'!F30</x:f>
        <x:v>ADD any one table object; finish with 3 objects in the bowl</x:v>
      </x:c>
      <x:c r="G30" s="31" t="str"/>
      <x:c r="H30" s="36" t="str">
        <x:f>'Evaluation Plan'!H30</x:f>
        <x:v>Concept/compositional transfer</x:v>
      </x:c>
      <x:c r="I30" s="31" t="str">
        <x:f>'Evaluation Plan'!I30</x:f>
        <x:v>CT-CF02</x:v>
      </x:c>
      <x:c r="J30" s="31" t="str">
        <x:f>'Evaluation Plan'!J30</x:f>
        <x:v>CT-CF02-ADD</x:v>
      </x:c>
      <x:c r="K30" s="33" t="n">
        <x:f>'Evaluation Plan'!K30</x:f>
        <x:v>2</x:v>
      </x:c>
      <x:c r="L30" s="33" t="n">
        <x:f>'Evaluation Plan'!L30</x:f>
        <x:v>3</x:v>
      </x:c>
      <x:c r="M30" s="33" t="str">
        <x:f>'Evaluation Plan'!M30</x:f>
        <x:v>ADD</x:v>
      </x:c>
      <x:c r="N30" s="31" t="str">
        <x:f>'Evaluation Plan'!N30</x:f>
        <x:v>Primary: three via held-out 2→3 addition</x:v>
      </x:c>
      <x:c r="O30" s="33" t="n">
        <x:f>'Evaluation Plan'!O30</x:f>
        <x:v>2</x:v>
      </x:c>
      <x:c r="P30" s="31" t="str">
        <x:f>'Evaluation Plan'!P30</x:f>
        <x:v>Reset the exact count-2 scene; change only the prompt.</x:v>
      </x:c>
      <x:c r="Q30" s="31" t="str">
        <x:f>'Evaluation Plan'!Q30</x:f>
        <x:v>The goal word three is trained, and this 2→3 trajectory is trained under a direct instruction, but the combination is withheld.</x:v>
      </x:c>
      <x:c r="R30" s="31" t="n">
        <x:f>'Evaluation Plan'!R30</x:f>
        <x:v>0</x:v>
      </x:c>
    </x:row>
    <x:row r="31" ht="46.5" customHeight="1">
      <x:c r="A31" s="32" t="str">
        <x:v>Not collected</x:v>
      </x:c>
      <x:c r="B31" s="34" t="n">
        <x:f>'Evaluation Plan'!B31</x:f>
        <x:v>29</x:v>
      </x:c>
      <x:c r="C31" s="32" t="str">
        <x:f>'Evaluation Plan'!C31</x:f>
        <x:v>Move the airplane toy without propellers into the bowl.</x:v>
      </x:c>
      <x:c r="D31" s="32" t="str">
        <x:f>'Evaluation Plan'!D31</x:f>
        <x:v>Bowl objects: [yellow block, blue pen] | Table objects: [green pencil sharpener, airplane toy without propellers]</x:v>
      </x:c>
      <x:c r="E31" s="34" t="n">
        <x:f>'Evaluation Plan'!E31</x:f>
        <x:v>28</x:v>
      </x:c>
      <x:c r="F31" s="32" t="str">
        <x:f>'Evaluation Plan'!F31</x:f>
        <x:v>ADD airplane toy without propellers</x:v>
      </x:c>
      <x:c r="G31" s="32" t="str"/>
      <x:c r="H31" s="37" t="str">
        <x:f>'Evaluation Plan'!H31</x:f>
        <x:v>Matched manipulation control</x:v>
      </x:c>
      <x:c r="I31" s="32" t="str">
        <x:f>'Evaluation Plan'!I31</x:f>
        <x:v>CT-CF02</x:v>
      </x:c>
      <x:c r="J31" s="32" t="str">
        <x:f>'Evaluation Plan'!J31</x:f>
        <x:v>CT-CF02-ADD</x:v>
      </x:c>
      <x:c r="K31" s="34" t="n">
        <x:f>'Evaluation Plan'!K31</x:f>
        <x:v>2</x:v>
      </x:c>
      <x:c r="L31" s="34" t="n">
        <x:f>'Evaluation Plan'!L31</x:f>
        <x:v>3</x:v>
      </x:c>
      <x:c r="M31" s="34" t="str">
        <x:f>'Evaluation Plan'!M31</x:f>
        <x:v>ADD</x:v>
      </x:c>
      <x:c r="N31" s="32" t="str">
        <x:f>'Evaluation Plan'!N31</x:f>
        <x:v>Matched direct ADD control</x:v>
      </x:c>
      <x:c r="O31" s="34" t="n">
        <x:f>'Evaluation Plan'!O31</x:f>
        <x:v>2</x:v>
      </x:c>
      <x:c r="P31" s="32" t="str">
        <x:f>'Evaluation Plan'!P31</x:f>
        <x:v>Reset the exact count-2 scene; change only the prompt.</x:v>
      </x:c>
      <x:c r="Q31" s="32" t="str">
        <x:f>'Evaluation Plan'!Q31</x:f>
        <x:v>The direct prompt is present in Counting training for this same-task object and action direction.</x:v>
      </x:c>
      <x:c r="R31" s="32" t="n">
        <x:f>'Evaluation Plan'!R31</x:f>
        <x:v>0</x:v>
      </x:c>
    </x:row>
    <x:row r="32" ht="46.5" customHeight="1">
      <x:c r="A32" s="31" t="str">
        <x:v>Not collected</x:v>
      </x:c>
      <x:c r="B32" s="33" t="n">
        <x:f>'Evaluation Plan'!B32</x:f>
        <x:v>30</x:v>
      </x:c>
      <x:c r="C32" s="31" t="str">
        <x:f>'Evaluation Plan'!C32</x:f>
        <x:v>Set the bowl's final object count to three.</x:v>
      </x:c>
      <x:c r="D32" s="31" t="str">
        <x:f>'Evaluation Plan'!D32</x:f>
        <x:v>Bowl objects: [yellow block, blue pen] | Table objects: [green pencil sharpener, airplane toy without propellers]</x:v>
      </x:c>
      <x:c r="E32" s="33" t="n">
        <x:f>'Evaluation Plan'!E32</x:f>
        <x:v>28</x:v>
      </x:c>
      <x:c r="F32" s="31" t="str">
        <x:f>'Evaluation Plan'!F32</x:f>
        <x:v>ADD any one table object; finish with 3 objects in the bowl</x:v>
      </x:c>
      <x:c r="G32" s="31" t="str"/>
      <x:c r="H32" s="38" t="str">
        <x:f>'Evaluation Plan'!H32</x:f>
        <x:v>Language robustness</x:v>
      </x:c>
      <x:c r="I32" s="31" t="str">
        <x:f>'Evaluation Plan'!I32</x:f>
        <x:v>CT-CF02</x:v>
      </x:c>
      <x:c r="J32" s="31" t="str">
        <x:f>'Evaluation Plan'!J32</x:f>
        <x:v>CT-CF02-ADD</x:v>
      </x:c>
      <x:c r="K32" s="33" t="n">
        <x:f>'Evaluation Plan'!K32</x:f>
        <x:v>2</x:v>
      </x:c>
      <x:c r="L32" s="33" t="n">
        <x:f>'Evaluation Plan'!L32</x:f>
        <x:v>3</x:v>
      </x:c>
      <x:c r="M32" s="33" t="str">
        <x:f>'Evaluation Plan'!M32</x:f>
        <x:v>ADD</x:v>
      </x:c>
      <x:c r="N32" s="31" t="str">
        <x:f>'Evaluation Plan'!N32</x:f>
        <x:v>Primary compositional paraphrase: three via 2→3 addition</x:v>
      </x:c>
      <x:c r="O32" s="33" t="n">
        <x:f>'Evaluation Plan'!O32</x:f>
        <x:v>2</x:v>
      </x:c>
      <x:c r="P32" s="31" t="str">
        <x:f>'Evaluation Plan'!P32</x:f>
        <x:v>Reset the exact count-2 scene; change only the prompt.</x:v>
      </x:c>
      <x:c r="Q32" s="31" t="str">
        <x:f>'Evaluation Plan'!Q32</x:f>
        <x:v>Exact-scene paraphrase of the canonical held-out composition.</x:v>
      </x:c>
      <x:c r="R32" s="31" t="n">
        <x:f>'Evaluation Plan'!R32</x:f>
        <x:v>0</x:v>
      </x:c>
    </x:row>
    <x:row r="33" ht="46.5" customHeight="1">
      <x:c r="A33" s="32" t="str">
        <x:v>Not collected</x:v>
      </x:c>
      <x:c r="B33" s="34" t="n">
        <x:f>'Evaluation Plan'!B33</x:f>
        <x:v>31</x:v>
      </x:c>
      <x:c r="C33" s="32" t="str">
        <x:f>'Evaluation Plan'!C33</x:f>
        <x:v>Lift the airplane toy without propellers from the table and set it inside the bowl.</x:v>
      </x:c>
      <x:c r="D33" s="32" t="str">
        <x:f>'Evaluation Plan'!D33</x:f>
        <x:v>Bowl objects: [yellow block, blue pen] | Table objects: [green pencil sharpener, airplane toy without propellers]</x:v>
      </x:c>
      <x:c r="E33" s="34" t="n">
        <x:f>'Evaluation Plan'!E33</x:f>
        <x:v>29</x:v>
      </x:c>
      <x:c r="F33" s="32" t="str">
        <x:f>'Evaluation Plan'!F33</x:f>
        <x:v>ADD airplane toy without propellers</x:v>
      </x:c>
      <x:c r="G33" s="32" t="str"/>
      <x:c r="H33" s="38" t="str">
        <x:f>'Evaluation Plan'!H33</x:f>
        <x:v>Language robustness</x:v>
      </x:c>
      <x:c r="I33" s="32" t="str">
        <x:f>'Evaluation Plan'!I33</x:f>
        <x:v>CT-CF02</x:v>
      </x:c>
      <x:c r="J33" s="32" t="str">
        <x:f>'Evaluation Plan'!J33</x:f>
        <x:v>CT-CF02-ADD</x:v>
      </x:c>
      <x:c r="K33" s="34" t="n">
        <x:f>'Evaluation Plan'!K33</x:f>
        <x:v>2</x:v>
      </x:c>
      <x:c r="L33" s="34" t="n">
        <x:f>'Evaluation Plan'!L33</x:f>
        <x:v>3</x:v>
      </x:c>
      <x:c r="M33" s="34" t="str">
        <x:f>'Evaluation Plan'!M33</x:f>
        <x:v>ADD</x:v>
      </x:c>
      <x:c r="N33" s="32" t="str">
        <x:f>'Evaluation Plan'!N33</x:f>
        <x:v>Matched-control paraphrase: ADD</x:v>
      </x:c>
      <x:c r="O33" s="34" t="n">
        <x:f>'Evaluation Plan'!O33</x:f>
        <x:v>2</x:v>
      </x:c>
      <x:c r="P33" s="32" t="str">
        <x:f>'Evaluation Plan'!P33</x:f>
        <x:v>Reset the exact count-2 scene; change only the prompt.</x:v>
      </x:c>
      <x:c r="Q33" s="32" t="str">
        <x:f>'Evaluation Plan'!Q33</x:f>
        <x:v>Exact-scene paraphrase of the direct manipulation control.</x:v>
      </x:c>
      <x:c r="R33" s="32" t="n">
        <x:f>'Evaluation Plan'!R33</x:f>
        <x:v>0</x:v>
      </x:c>
    </x:row>
    <x:row r="34" ht="46.5" customHeight="1">
      <x:c r="A34" s="31" t="str">
        <x:v>Not collected</x:v>
      </x:c>
      <x:c r="B34" s="33" t="n">
        <x:f>'Evaluation Plan'!B34</x:f>
        <x:v>32</x:v>
      </x:c>
      <x:c r="C34" s="31" t="str">
        <x:f>'Evaluation Plan'!C34</x:f>
        <x:v>Move the yellow block from the bowl to the table.</x:v>
      </x:c>
      <x:c r="D34" s="31" t="str">
        <x:f>'Evaluation Plan'!D34</x:f>
        <x:v>Bowl objects: [yellow block, blue pen] | Table objects: [green pencil sharpener, airplane toy without propellers]</x:v>
      </x:c>
      <x:c r="E34" s="33" t="str">
        <x:f>'Evaluation Plan'!E34</x:f>
      </x:c>
      <x:c r="F34" s="31" t="str">
        <x:f>'Evaluation Plan'!F34</x:f>
        <x:v>REMOVE yellow block</x:v>
      </x:c>
      <x:c r="G34" s="31" t="str"/>
      <x:c r="H34" s="37" t="str">
        <x:f>'Evaluation Plan'!H34</x:f>
        <x:v>Matched manipulation control</x:v>
      </x:c>
      <x:c r="I34" s="31" t="str">
        <x:f>'Evaluation Plan'!I34</x:f>
        <x:v>CT-CF02</x:v>
      </x:c>
      <x:c r="J34" s="31" t="str">
        <x:f>'Evaluation Plan'!J34</x:f>
        <x:v>CT-CF02-REMOVE</x:v>
      </x:c>
      <x:c r="K34" s="33" t="n">
        <x:f>'Evaluation Plan'!K34</x:f>
        <x:v>2</x:v>
      </x:c>
      <x:c r="L34" s="33" t="n">
        <x:f>'Evaluation Plan'!L34</x:f>
        <x:v>1</x:v>
      </x:c>
      <x:c r="M34" s="33" t="str">
        <x:f>'Evaluation Plan'!M34</x:f>
        <x:v>REMOVE</x:v>
      </x:c>
      <x:c r="N34" s="31" t="str">
        <x:f>'Evaluation Plan'!N34</x:f>
        <x:v>Matched direct REMOVE control</x:v>
      </x:c>
      <x:c r="O34" s="33" t="n">
        <x:f>'Evaluation Plan'!O34</x:f>
        <x:v>2</x:v>
      </x:c>
      <x:c r="P34" s="31" t="str">
        <x:f>'Evaluation Plan'!P34</x:f>
        <x:v>Reset the exact count-2 scene; change only the prompt.</x:v>
      </x:c>
      <x:c r="Q34" s="31" t="str">
        <x:f>'Evaluation Plan'!Q34</x:f>
        <x:v>The direct prompt is present in Counting training for this same-task object and action direction.</x:v>
      </x:c>
      <x:c r="R34" s="31" t="n">
        <x:f>'Evaluation Plan'!R34</x:f>
        <x:v>0</x:v>
      </x:c>
    </x:row>
    <x:row r="35" ht="46.5" customHeight="1">
      <x:c r="A35" s="32" t="str">
        <x:v>Not collected</x:v>
      </x:c>
      <x:c r="B35" s="34" t="n">
        <x:f>'Evaluation Plan'!B35</x:f>
        <x:v>33</x:v>
      </x:c>
      <x:c r="C35" s="32" t="str">
        <x:f>'Evaluation Plan'!C35</x:f>
        <x:v>Leave exactly one object in the bowl.</x:v>
      </x:c>
      <x:c r="D35" s="32" t="str">
        <x:f>'Evaluation Plan'!D35</x:f>
        <x:v>Bowl objects: [yellow block, blue pen] | Table objects: [green pencil sharpener, airplane toy without propellers]</x:v>
      </x:c>
      <x:c r="E35" s="34" t="n">
        <x:f>'Evaluation Plan'!E35</x:f>
        <x:v>32</x:v>
      </x:c>
      <x:c r="F35" s="32" t="str">
        <x:f>'Evaluation Plan'!F35</x:f>
        <x:v>REMOVE any one bowl object; finish with 1 object in the bowl</x:v>
      </x:c>
      <x:c r="G35" s="32" t="str"/>
      <x:c r="H35" s="36" t="str">
        <x:f>'Evaluation Plan'!H35</x:f>
        <x:v>Concept/compositional transfer</x:v>
      </x:c>
      <x:c r="I35" s="32" t="str">
        <x:f>'Evaluation Plan'!I35</x:f>
        <x:v>CT-CF02</x:v>
      </x:c>
      <x:c r="J35" s="32" t="str">
        <x:f>'Evaluation Plan'!J35</x:f>
        <x:v>CT-CF02-REMOVE</x:v>
      </x:c>
      <x:c r="K35" s="34" t="n">
        <x:f>'Evaluation Plan'!K35</x:f>
        <x:v>2</x:v>
      </x:c>
      <x:c r="L35" s="34" t="n">
        <x:f>'Evaluation Plan'!L35</x:f>
        <x:v>1</x:v>
      </x:c>
      <x:c r="M35" s="34" t="str">
        <x:f>'Evaluation Plan'!M35</x:f>
        <x:v>REMOVE</x:v>
      </x:c>
      <x:c r="N35" s="32" t="str">
        <x:f>'Evaluation Plan'!N35</x:f>
        <x:v>Primary: one via held-out 2→1 removal</x:v>
      </x:c>
      <x:c r="O35" s="34" t="n">
        <x:f>'Evaluation Plan'!O35</x:f>
        <x:v>2</x:v>
      </x:c>
      <x:c r="P35" s="32" t="str">
        <x:f>'Evaluation Plan'!P35</x:f>
        <x:v>Build the listed count-2 scene.</x:v>
      </x:c>
      <x:c r="Q35" s="32" t="str">
        <x:f>'Evaluation Plan'!Q35</x:f>
        <x:v>The goal word one is trained, and this 2→1 trajectory is trained under a direct instruction, but the combination is withheld.</x:v>
      </x:c>
      <x:c r="R35" s="32" t="n">
        <x:f>'Evaluation Plan'!R35</x:f>
        <x:v>0</x:v>
      </x:c>
    </x:row>
    <x:row r="36" ht="46.5" customHeight="1">
      <x:c r="A36" s="31" t="str">
        <x:v>Not collected</x:v>
      </x:c>
      <x:c r="B36" s="33" t="n">
        <x:f>'Evaluation Plan'!B36</x:f>
        <x:v>34</x:v>
      </x:c>
      <x:c r="C36" s="31" t="str">
        <x:f>'Evaluation Plan'!C36</x:f>
        <x:v>Lift the yellow block out of the bowl and set it on the table.</x:v>
      </x:c>
      <x:c r="D36" s="31" t="str">
        <x:f>'Evaluation Plan'!D36</x:f>
        <x:v>Bowl objects: [yellow block, blue pen] | Table objects: [green pencil sharpener, airplane toy without propellers]</x:v>
      </x:c>
      <x:c r="E36" s="33" t="n">
        <x:f>'Evaluation Plan'!E36</x:f>
        <x:v>32</x:v>
      </x:c>
      <x:c r="F36" s="31" t="str">
        <x:f>'Evaluation Plan'!F36</x:f>
        <x:v>REMOVE yellow block</x:v>
      </x:c>
      <x:c r="G36" s="31" t="str"/>
      <x:c r="H36" s="38" t="str">
        <x:f>'Evaluation Plan'!H36</x:f>
        <x:v>Language robustness</x:v>
      </x:c>
      <x:c r="I36" s="31" t="str">
        <x:f>'Evaluation Plan'!I36</x:f>
        <x:v>CT-CF02</x:v>
      </x:c>
      <x:c r="J36" s="31" t="str">
        <x:f>'Evaluation Plan'!J36</x:f>
        <x:v>CT-CF02-REMOVE</x:v>
      </x:c>
      <x:c r="K36" s="33" t="n">
        <x:f>'Evaluation Plan'!K36</x:f>
        <x:v>2</x:v>
      </x:c>
      <x:c r="L36" s="33" t="n">
        <x:f>'Evaluation Plan'!L36</x:f>
        <x:v>1</x:v>
      </x:c>
      <x:c r="M36" s="33" t="str">
        <x:f>'Evaluation Plan'!M36</x:f>
        <x:v>REMOVE</x:v>
      </x:c>
      <x:c r="N36" s="31" t="str">
        <x:f>'Evaluation Plan'!N36</x:f>
        <x:v>Matched-control paraphrase: REMOVE</x:v>
      </x:c>
      <x:c r="O36" s="33" t="n">
        <x:f>'Evaluation Plan'!O36</x:f>
        <x:v>2</x:v>
      </x:c>
      <x:c r="P36" s="31" t="str">
        <x:f>'Evaluation Plan'!P36</x:f>
        <x:v>Reset the exact count-2 scene; change only the prompt.</x:v>
      </x:c>
      <x:c r="Q36" s="31" t="str">
        <x:f>'Evaluation Plan'!Q36</x:f>
        <x:v>Exact-scene paraphrase of the direct manipulation control.</x:v>
      </x:c>
      <x:c r="R36" s="31" t="n">
        <x:f>'Evaluation Plan'!R36</x:f>
        <x:v>0</x:v>
      </x:c>
    </x:row>
    <x:row r="37" ht="46.5" customHeight="1">
      <x:c r="A37" s="32" t="str">
        <x:v>Not collected</x:v>
      </x:c>
      <x:c r="B37" s="34" t="n">
        <x:f>'Evaluation Plan'!B37</x:f>
        <x:v>35</x:v>
      </x:c>
      <x:c r="C37" s="32" t="str">
        <x:f>'Evaluation Plan'!C37</x:f>
        <x:v>Set the bowl's final object count to one.</x:v>
      </x:c>
      <x:c r="D37" s="32" t="str">
        <x:f>'Evaluation Plan'!D37</x:f>
        <x:v>Bowl objects: [yellow block, blue pen] | Table objects: [green pencil sharpener, airplane toy without propellers]</x:v>
      </x:c>
      <x:c r="E37" s="34" t="n">
        <x:f>'Evaluation Plan'!E37</x:f>
        <x:v>33</x:v>
      </x:c>
      <x:c r="F37" s="32" t="str">
        <x:f>'Evaluation Plan'!F37</x:f>
        <x:v>REMOVE any one bowl object; finish with 1 object in the bowl</x:v>
      </x:c>
      <x:c r="G37" s="32" t="str"/>
      <x:c r="H37" s="38" t="str">
        <x:f>'Evaluation Plan'!H37</x:f>
        <x:v>Language robustness</x:v>
      </x:c>
      <x:c r="I37" s="32" t="str">
        <x:f>'Evaluation Plan'!I37</x:f>
        <x:v>CT-CF02</x:v>
      </x:c>
      <x:c r="J37" s="32" t="str">
        <x:f>'Evaluation Plan'!J37</x:f>
        <x:v>CT-CF02-REMOVE</x:v>
      </x:c>
      <x:c r="K37" s="34" t="n">
        <x:f>'Evaluation Plan'!K37</x:f>
        <x:v>2</x:v>
      </x:c>
      <x:c r="L37" s="34" t="n">
        <x:f>'Evaluation Plan'!L37</x:f>
        <x:v>1</x:v>
      </x:c>
      <x:c r="M37" s="34" t="str">
        <x:f>'Evaluation Plan'!M37</x:f>
        <x:v>REMOVE</x:v>
      </x:c>
      <x:c r="N37" s="32" t="str">
        <x:f>'Evaluation Plan'!N37</x:f>
        <x:v>Primary compositional paraphrase: one via 2→1 removal</x:v>
      </x:c>
      <x:c r="O37" s="34" t="n">
        <x:f>'Evaluation Plan'!O37</x:f>
        <x:v>2</x:v>
      </x:c>
      <x:c r="P37" s="32" t="str">
        <x:f>'Evaluation Plan'!P37</x:f>
        <x:v>Build the listed count-2 scene.</x:v>
      </x:c>
      <x:c r="Q37" s="32" t="str">
        <x:f>'Evaluation Plan'!Q37</x:f>
        <x:v>Exact-scene paraphrase of the canonical held-out composition.</x:v>
      </x:c>
      <x:c r="R37" s="32" t="n">
        <x:f>'Evaluation Plan'!R37</x:f>
        <x:v>0</x:v>
      </x:c>
    </x:row>
    <x:row r="38" ht="46.5" customHeight="1">
      <x:c r="A38" s="31" t="str">
        <x:v>Not collected</x:v>
      </x:c>
      <x:c r="B38" s="33" t="n">
        <x:f>'Evaluation Plan'!B38</x:f>
        <x:v>36</x:v>
      </x:c>
      <x:c r="C38" s="31" t="str">
        <x:f>'Evaluation Plan'!C38</x:f>
        <x:v>Leave exactly one object in the bowl.</x:v>
      </x:c>
      <x:c r="D38" s="31" t="str">
        <x:f>'Evaluation Plan'!D38</x:f>
        <x:v>Bowl objects: [green pencil sharpener, airplane toy without propellers] | Table objects: [blue pen, yellow block]</x:v>
      </x:c>
      <x:c r="E38" s="33" t="str">
        <x:f>'Evaluation Plan'!E38</x:f>
      </x:c>
      <x:c r="F38" s="31" t="str">
        <x:f>'Evaluation Plan'!F38</x:f>
        <x:v>REMOVE any one bowl object; finish with 1 object in the bowl</x:v>
      </x:c>
      <x:c r="G38" s="31" t="str"/>
      <x:c r="H38" s="36" t="str">
        <x:f>'Evaluation Plan'!H38</x:f>
        <x:v>Concept/compositional transfer</x:v>
      </x:c>
      <x:c r="I38" s="31" t="str">
        <x:f>'Evaluation Plan'!I38</x:f>
        <x:v>CT-CF03</x:v>
      </x:c>
      <x:c r="J38" s="31" t="str">
        <x:f>'Evaluation Plan'!J38</x:f>
        <x:v>CT-CF03-REMOVE</x:v>
      </x:c>
      <x:c r="K38" s="33" t="n">
        <x:f>'Evaluation Plan'!K38</x:f>
        <x:v>2</x:v>
      </x:c>
      <x:c r="L38" s="33" t="n">
        <x:f>'Evaluation Plan'!L38</x:f>
        <x:v>1</x:v>
      </x:c>
      <x:c r="M38" s="33" t="str">
        <x:f>'Evaluation Plan'!M38</x:f>
        <x:v>REMOVE</x:v>
      </x:c>
      <x:c r="N38" s="31" t="str">
        <x:f>'Evaluation Plan'!N38</x:f>
        <x:v>Primary: one via held-out 2→1 removal</x:v>
      </x:c>
      <x:c r="O38" s="33" t="n">
        <x:f>'Evaluation Plan'!O38</x:f>
        <x:v>2</x:v>
      </x:c>
      <x:c r="P38" s="31" t="str">
        <x:f>'Evaluation Plan'!P38</x:f>
        <x:v>Build the listed count-2 scene.</x:v>
      </x:c>
      <x:c r="Q38" s="31" t="str">
        <x:f>'Evaluation Plan'!Q38</x:f>
        <x:v>The goal word one is trained, and this 2→1 trajectory is trained under a direct instruction, but the combination is withheld.</x:v>
      </x:c>
      <x:c r="R38" s="31" t="n">
        <x:f>'Evaluation Plan'!R38</x:f>
        <x:v>0</x:v>
      </x:c>
    </x:row>
    <x:row r="39" ht="46.5" customHeight="1">
      <x:c r="A39" s="32" t="str">
        <x:v>Not collected</x:v>
      </x:c>
      <x:c r="B39" s="34" t="n">
        <x:f>'Evaluation Plan'!B39</x:f>
        <x:v>37</x:v>
      </x:c>
      <x:c r="C39" s="32" t="str">
        <x:f>'Evaluation Plan'!C39</x:f>
        <x:v>Move the green pencil sharpener from the bowl to the table.</x:v>
      </x:c>
      <x:c r="D39" s="32" t="str">
        <x:f>'Evaluation Plan'!D39</x:f>
        <x:v>Bowl objects: [green pencil sharpener, airplane toy without propellers] | Table objects: [blue pen, yellow block]</x:v>
      </x:c>
      <x:c r="E39" s="34" t="n">
        <x:f>'Evaluation Plan'!E39</x:f>
        <x:v>36</x:v>
      </x:c>
      <x:c r="F39" s="32" t="str">
        <x:f>'Evaluation Plan'!F39</x:f>
        <x:v>REMOVE green pencil sharpener</x:v>
      </x:c>
      <x:c r="G39" s="32" t="str"/>
      <x:c r="H39" s="37" t="str">
        <x:f>'Evaluation Plan'!H39</x:f>
        <x:v>Matched manipulation control</x:v>
      </x:c>
      <x:c r="I39" s="32" t="str">
        <x:f>'Evaluation Plan'!I39</x:f>
        <x:v>CT-CF03</x:v>
      </x:c>
      <x:c r="J39" s="32" t="str">
        <x:f>'Evaluation Plan'!J39</x:f>
        <x:v>CT-CF03-REMOVE</x:v>
      </x:c>
      <x:c r="K39" s="34" t="n">
        <x:f>'Evaluation Plan'!K39</x:f>
        <x:v>2</x:v>
      </x:c>
      <x:c r="L39" s="34" t="n">
        <x:f>'Evaluation Plan'!L39</x:f>
        <x:v>1</x:v>
      </x:c>
      <x:c r="M39" s="34" t="str">
        <x:f>'Evaluation Plan'!M39</x:f>
        <x:v>REMOVE</x:v>
      </x:c>
      <x:c r="N39" s="32" t="str">
        <x:f>'Evaluation Plan'!N39</x:f>
        <x:v>Matched direct REMOVE control</x:v>
      </x:c>
      <x:c r="O39" s="34" t="n">
        <x:f>'Evaluation Plan'!O39</x:f>
        <x:v>2</x:v>
      </x:c>
      <x:c r="P39" s="32" t="str">
        <x:f>'Evaluation Plan'!P39</x:f>
        <x:v>Reset the exact count-2 scene; change only the prompt.</x:v>
      </x:c>
      <x:c r="Q39" s="32" t="str">
        <x:f>'Evaluation Plan'!Q39</x:f>
        <x:v>The direct prompt is present in Counting training for this same-task object and action direction.</x:v>
      </x:c>
      <x:c r="R39" s="32" t="n">
        <x:f>'Evaluation Plan'!R39</x:f>
        <x:v>0</x:v>
      </x:c>
    </x:row>
    <x:row r="40" ht="46.5" customHeight="1">
      <x:c r="A40" s="31" t="str">
        <x:v>Not collected</x:v>
      </x:c>
      <x:c r="B40" s="33" t="n">
        <x:f>'Evaluation Plan'!B40</x:f>
        <x:v>38</x:v>
      </x:c>
      <x:c r="C40" s="31" t="str">
        <x:f>'Evaluation Plan'!C40</x:f>
        <x:v>Change the contents so the bowl ends up holding one item.</x:v>
      </x:c>
      <x:c r="D40" s="31" t="str">
        <x:f>'Evaluation Plan'!D40</x:f>
        <x:v>Bowl objects: [green pencil sharpener, airplane toy without propellers] | Table objects: [blue pen, yellow block]</x:v>
      </x:c>
      <x:c r="E40" s="33" t="n">
        <x:f>'Evaluation Plan'!E40</x:f>
        <x:v>36</x:v>
      </x:c>
      <x:c r="F40" s="31" t="str">
        <x:f>'Evaluation Plan'!F40</x:f>
        <x:v>REMOVE any one bowl object; finish with 1 object in the bowl</x:v>
      </x:c>
      <x:c r="G40" s="31" t="str"/>
      <x:c r="H40" s="38" t="str">
        <x:f>'Evaluation Plan'!H40</x:f>
        <x:v>Language robustness</x:v>
      </x:c>
      <x:c r="I40" s="31" t="str">
        <x:f>'Evaluation Plan'!I40</x:f>
        <x:v>CT-CF03</x:v>
      </x:c>
      <x:c r="J40" s="31" t="str">
        <x:f>'Evaluation Plan'!J40</x:f>
        <x:v>CT-CF03-REMOVE</x:v>
      </x:c>
      <x:c r="K40" s="33" t="n">
        <x:f>'Evaluation Plan'!K40</x:f>
        <x:v>2</x:v>
      </x:c>
      <x:c r="L40" s="33" t="n">
        <x:f>'Evaluation Plan'!L40</x:f>
        <x:v>1</x:v>
      </x:c>
      <x:c r="M40" s="33" t="str">
        <x:f>'Evaluation Plan'!M40</x:f>
        <x:v>REMOVE</x:v>
      </x:c>
      <x:c r="N40" s="31" t="str">
        <x:f>'Evaluation Plan'!N40</x:f>
        <x:v>Primary compositional paraphrase: one via 2→1 removal</x:v>
      </x:c>
      <x:c r="O40" s="33" t="n">
        <x:f>'Evaluation Plan'!O40</x:f>
        <x:v>2</x:v>
      </x:c>
      <x:c r="P40" s="31" t="str">
        <x:f>'Evaluation Plan'!P40</x:f>
        <x:v>Build the listed count-2 scene.</x:v>
      </x:c>
      <x:c r="Q40" s="31" t="str">
        <x:f>'Evaluation Plan'!Q40</x:f>
        <x:v>Exact-scene paraphrase of the canonical held-out composition.</x:v>
      </x:c>
      <x:c r="R40" s="31" t="n">
        <x:f>'Evaluation Plan'!R40</x:f>
        <x:v>0</x:v>
      </x:c>
    </x:row>
    <x:row r="41" ht="46.5" customHeight="1">
      <x:c r="A41" s="32" t="str">
        <x:v>Not collected</x:v>
      </x:c>
      <x:c r="B41" s="34" t="n">
        <x:f>'Evaluation Plan'!B41</x:f>
        <x:v>39</x:v>
      </x:c>
      <x:c r="C41" s="32" t="str">
        <x:f>'Evaluation Plan'!C41</x:f>
        <x:v>Lift the green pencil sharpener out of the bowl and set it on the table.</x:v>
      </x:c>
      <x:c r="D41" s="32" t="str">
        <x:f>'Evaluation Plan'!D41</x:f>
        <x:v>Bowl objects: [green pencil sharpener, airplane toy without propellers] | Table objects: [blue pen, yellow block]</x:v>
      </x:c>
      <x:c r="E41" s="34" t="n">
        <x:f>'Evaluation Plan'!E41</x:f>
        <x:v>37</x:v>
      </x:c>
      <x:c r="F41" s="32" t="str">
        <x:f>'Evaluation Plan'!F41</x:f>
        <x:v>REMOVE green pencil sharpener</x:v>
      </x:c>
      <x:c r="G41" s="32" t="str"/>
      <x:c r="H41" s="38" t="str">
        <x:f>'Evaluation Plan'!H41</x:f>
        <x:v>Language robustness</x:v>
      </x:c>
      <x:c r="I41" s="32" t="str">
        <x:f>'Evaluation Plan'!I41</x:f>
        <x:v>CT-CF03</x:v>
      </x:c>
      <x:c r="J41" s="32" t="str">
        <x:f>'Evaluation Plan'!J41</x:f>
        <x:v>CT-CF03-REMOVE</x:v>
      </x:c>
      <x:c r="K41" s="34" t="n">
        <x:f>'Evaluation Plan'!K41</x:f>
        <x:v>2</x:v>
      </x:c>
      <x:c r="L41" s="34" t="n">
        <x:f>'Evaluation Plan'!L41</x:f>
        <x:v>1</x:v>
      </x:c>
      <x:c r="M41" s="34" t="str">
        <x:f>'Evaluation Plan'!M41</x:f>
        <x:v>REMOVE</x:v>
      </x:c>
      <x:c r="N41" s="32" t="str">
        <x:f>'Evaluation Plan'!N41</x:f>
        <x:v>Matched-control paraphrase: REMOVE</x:v>
      </x:c>
      <x:c r="O41" s="34" t="n">
        <x:f>'Evaluation Plan'!O41</x:f>
        <x:v>2</x:v>
      </x:c>
      <x:c r="P41" s="32" t="str">
        <x:f>'Evaluation Plan'!P41</x:f>
        <x:v>Reset the exact count-2 scene; change only the prompt.</x:v>
      </x:c>
      <x:c r="Q41" s="32" t="str">
        <x:f>'Evaluation Plan'!Q41</x:f>
        <x:v>Exact-scene paraphrase of the direct manipulation control.</x:v>
      </x:c>
      <x:c r="R41" s="32" t="n">
        <x:f>'Evaluation Plan'!R41</x:f>
        <x:v>0</x:v>
      </x:c>
    </x:row>
    <x:row r="42" ht="46.5" customHeight="1">
      <x:c r="A42" s="31" t="str">
        <x:v>Not collected</x:v>
      </x:c>
      <x:c r="B42" s="33" t="n">
        <x:f>'Evaluation Plan'!B42</x:f>
        <x:v>40</x:v>
      </x:c>
      <x:c r="C42" s="31" t="str">
        <x:f>'Evaluation Plan'!C42</x:f>
        <x:v>Move the blue pen into the bowl.</x:v>
      </x:c>
      <x:c r="D42" s="31" t="str">
        <x:f>'Evaluation Plan'!D42</x:f>
        <x:v>Bowl objects: [green pencil sharpener, airplane toy without propellers] | Table objects: [blue pen, yellow block]</x:v>
      </x:c>
      <x:c r="E42" s="33" t="str">
        <x:f>'Evaluation Plan'!E42</x:f>
      </x:c>
      <x:c r="F42" s="31" t="str">
        <x:f>'Evaluation Plan'!F42</x:f>
        <x:v>ADD blue pen</x:v>
      </x:c>
      <x:c r="G42" s="31" t="str"/>
      <x:c r="H42" s="37" t="str">
        <x:f>'Evaluation Plan'!H42</x:f>
        <x:v>Matched manipulation control</x:v>
      </x:c>
      <x:c r="I42" s="31" t="str">
        <x:f>'Evaluation Plan'!I42</x:f>
        <x:v>CT-CF03</x:v>
      </x:c>
      <x:c r="J42" s="31" t="str">
        <x:f>'Evaluation Plan'!J42</x:f>
        <x:v>CT-CF03-ADD</x:v>
      </x:c>
      <x:c r="K42" s="33" t="n">
        <x:f>'Evaluation Plan'!K42</x:f>
        <x:v>2</x:v>
      </x:c>
      <x:c r="L42" s="33" t="n">
        <x:f>'Evaluation Plan'!L42</x:f>
        <x:v>3</x:v>
      </x:c>
      <x:c r="M42" s="33" t="str">
        <x:f>'Evaluation Plan'!M42</x:f>
        <x:v>ADD</x:v>
      </x:c>
      <x:c r="N42" s="31" t="str">
        <x:f>'Evaluation Plan'!N42</x:f>
        <x:v>Matched direct ADD control</x:v>
      </x:c>
      <x:c r="O42" s="33" t="n">
        <x:f>'Evaluation Plan'!O42</x:f>
        <x:v>2</x:v>
      </x:c>
      <x:c r="P42" s="31" t="str">
        <x:f>'Evaluation Plan'!P42</x:f>
        <x:v>Reset the exact count-2 scene; change only the prompt.</x:v>
      </x:c>
      <x:c r="Q42" s="31" t="str">
        <x:f>'Evaluation Plan'!Q42</x:f>
        <x:v>The direct prompt is present in Counting training for this same-task object and action direction.</x:v>
      </x:c>
      <x:c r="R42" s="31" t="n">
        <x:f>'Evaluation Plan'!R42</x:f>
        <x:v>0</x:v>
      </x:c>
    </x:row>
    <x:row r="43" ht="46.5" customHeight="1">
      <x:c r="A43" s="32" t="str">
        <x:v>Not collected</x:v>
      </x:c>
      <x:c r="B43" s="34" t="n">
        <x:f>'Evaluation Plan'!B43</x:f>
        <x:v>41</x:v>
      </x:c>
      <x:c r="C43" s="32" t="str">
        <x:f>'Evaluation Plan'!C43</x:f>
        <x:v>Leave exactly three objects in the bowl.</x:v>
      </x:c>
      <x:c r="D43" s="32" t="str">
        <x:f>'Evaluation Plan'!D43</x:f>
        <x:v>Bowl objects: [green pencil sharpener, airplane toy without propellers] | Table objects: [blue pen, yellow block]</x:v>
      </x:c>
      <x:c r="E43" s="34" t="n">
        <x:f>'Evaluation Plan'!E43</x:f>
        <x:v>40</x:v>
      </x:c>
      <x:c r="F43" s="32" t="str">
        <x:f>'Evaluation Plan'!F43</x:f>
        <x:v>ADD any one table object; finish with 3 objects in the bowl</x:v>
      </x:c>
      <x:c r="G43" s="32" t="str"/>
      <x:c r="H43" s="36" t="str">
        <x:f>'Evaluation Plan'!H43</x:f>
        <x:v>Concept/compositional transfer</x:v>
      </x:c>
      <x:c r="I43" s="32" t="str">
        <x:f>'Evaluation Plan'!I43</x:f>
        <x:v>CT-CF03</x:v>
      </x:c>
      <x:c r="J43" s="32" t="str">
        <x:f>'Evaluation Plan'!J43</x:f>
        <x:v>CT-CF03-ADD</x:v>
      </x:c>
      <x:c r="K43" s="34" t="n">
        <x:f>'Evaluation Plan'!K43</x:f>
        <x:v>2</x:v>
      </x:c>
      <x:c r="L43" s="34" t="n">
        <x:f>'Evaluation Plan'!L43</x:f>
        <x:v>3</x:v>
      </x:c>
      <x:c r="M43" s="34" t="str">
        <x:f>'Evaluation Plan'!M43</x:f>
        <x:v>ADD</x:v>
      </x:c>
      <x:c r="N43" s="32" t="str">
        <x:f>'Evaluation Plan'!N43</x:f>
        <x:v>Primary: three via held-out 2→3 addition</x:v>
      </x:c>
      <x:c r="O43" s="34" t="n">
        <x:f>'Evaluation Plan'!O43</x:f>
        <x:v>2</x:v>
      </x:c>
      <x:c r="P43" s="32" t="str">
        <x:f>'Evaluation Plan'!P43</x:f>
        <x:v>Reset the exact count-2 scene; change only the prompt.</x:v>
      </x:c>
      <x:c r="Q43" s="32" t="str">
        <x:f>'Evaluation Plan'!Q43</x:f>
        <x:v>The goal word three is trained, and this 2→3 trajectory is trained under a direct instruction, but the combination is withheld.</x:v>
      </x:c>
      <x:c r="R43" s="32" t="n">
        <x:f>'Evaluation Plan'!R43</x:f>
        <x:v>0</x:v>
      </x:c>
    </x:row>
    <x:row r="44" ht="46.5" customHeight="1">
      <x:c r="A44" s="31" t="str">
        <x:v>Not collected</x:v>
      </x:c>
      <x:c r="B44" s="33" t="n">
        <x:f>'Evaluation Plan'!B44</x:f>
        <x:v>42</x:v>
      </x:c>
      <x:c r="C44" s="31" t="str">
        <x:f>'Evaluation Plan'!C44</x:f>
        <x:v>Lift the blue pen from the table and set it inside the bowl.</x:v>
      </x:c>
      <x:c r="D44" s="31" t="str">
        <x:f>'Evaluation Plan'!D44</x:f>
        <x:v>Bowl objects: [green pencil sharpener, airplane toy without propellers] | Table objects: [blue pen, yellow block]</x:v>
      </x:c>
      <x:c r="E44" s="33" t="n">
        <x:f>'Evaluation Plan'!E44</x:f>
        <x:v>40</x:v>
      </x:c>
      <x:c r="F44" s="31" t="str">
        <x:f>'Evaluation Plan'!F44</x:f>
        <x:v>ADD blue pen</x:v>
      </x:c>
      <x:c r="G44" s="31" t="str"/>
      <x:c r="H44" s="38" t="str">
        <x:f>'Evaluation Plan'!H44</x:f>
        <x:v>Language robustness</x:v>
      </x:c>
      <x:c r="I44" s="31" t="str">
        <x:f>'Evaluation Plan'!I44</x:f>
        <x:v>CT-CF03</x:v>
      </x:c>
      <x:c r="J44" s="31" t="str">
        <x:f>'Evaluation Plan'!J44</x:f>
        <x:v>CT-CF03-ADD</x:v>
      </x:c>
      <x:c r="K44" s="33" t="n">
        <x:f>'Evaluation Plan'!K44</x:f>
        <x:v>2</x:v>
      </x:c>
      <x:c r="L44" s="33" t="n">
        <x:f>'Evaluation Plan'!L44</x:f>
        <x:v>3</x:v>
      </x:c>
      <x:c r="M44" s="33" t="str">
        <x:f>'Evaluation Plan'!M44</x:f>
        <x:v>ADD</x:v>
      </x:c>
      <x:c r="N44" s="31" t="str">
        <x:f>'Evaluation Plan'!N44</x:f>
        <x:v>Matched-control paraphrase: ADD</x:v>
      </x:c>
      <x:c r="O44" s="33" t="n">
        <x:f>'Evaluation Plan'!O44</x:f>
        <x:v>2</x:v>
      </x:c>
      <x:c r="P44" s="31" t="str">
        <x:f>'Evaluation Plan'!P44</x:f>
        <x:v>Reset the exact count-2 scene; change only the prompt.</x:v>
      </x:c>
      <x:c r="Q44" s="31" t="str">
        <x:f>'Evaluation Plan'!Q44</x:f>
        <x:v>Exact-scene paraphrase of the direct manipulation control.</x:v>
      </x:c>
      <x:c r="R44" s="31" t="n">
        <x:f>'Evaluation Plan'!R44</x:f>
        <x:v>0</x:v>
      </x:c>
    </x:row>
    <x:row r="45" ht="46.5" customHeight="1">
      <x:c r="A45" s="32" t="str">
        <x:v>Not collected</x:v>
      </x:c>
      <x:c r="B45" s="34" t="n">
        <x:f>'Evaluation Plan'!B45</x:f>
        <x:v>43</x:v>
      </x:c>
      <x:c r="C45" s="32" t="str">
        <x:f>'Evaluation Plan'!C45</x:f>
        <x:v>Change the contents so the bowl ends up holding three items.</x:v>
      </x:c>
      <x:c r="D45" s="32" t="str">
        <x:f>'Evaluation Plan'!D45</x:f>
        <x:v>Bowl objects: [green pencil sharpener, airplane toy without propellers] | Table objects: [blue pen, yellow block]</x:v>
      </x:c>
      <x:c r="E45" s="34" t="n">
        <x:f>'Evaluation Plan'!E45</x:f>
        <x:v>41</x:v>
      </x:c>
      <x:c r="F45" s="32" t="str">
        <x:f>'Evaluation Plan'!F45</x:f>
        <x:v>ADD any one table object; finish with 3 objects in the bowl</x:v>
      </x:c>
      <x:c r="G45" s="32" t="str"/>
      <x:c r="H45" s="38" t="str">
        <x:f>'Evaluation Plan'!H45</x:f>
        <x:v>Language robustness</x:v>
      </x:c>
      <x:c r="I45" s="32" t="str">
        <x:f>'Evaluation Plan'!I45</x:f>
        <x:v>CT-CF03</x:v>
      </x:c>
      <x:c r="J45" s="32" t="str">
        <x:f>'Evaluation Plan'!J45</x:f>
        <x:v>CT-CF03-ADD</x:v>
      </x:c>
      <x:c r="K45" s="34" t="n">
        <x:f>'Evaluation Plan'!K45</x:f>
        <x:v>2</x:v>
      </x:c>
      <x:c r="L45" s="34" t="n">
        <x:f>'Evaluation Plan'!L45</x:f>
        <x:v>3</x:v>
      </x:c>
      <x:c r="M45" s="34" t="str">
        <x:f>'Evaluation Plan'!M45</x:f>
        <x:v>ADD</x:v>
      </x:c>
      <x:c r="N45" s="32" t="str">
        <x:f>'Evaluation Plan'!N45</x:f>
        <x:v>Primary compositional paraphrase: three via 2→3 addition</x:v>
      </x:c>
      <x:c r="O45" s="34" t="n">
        <x:f>'Evaluation Plan'!O45</x:f>
        <x:v>2</x:v>
      </x:c>
      <x:c r="P45" s="32" t="str">
        <x:f>'Evaluation Plan'!P45</x:f>
        <x:v>Reset the exact count-2 scene; change only the prompt.</x:v>
      </x:c>
      <x:c r="Q45" s="32" t="str">
        <x:f>'Evaluation Plan'!Q45</x:f>
        <x:v>Exact-scene paraphrase of the canonical held-out composition.</x:v>
      </x:c>
      <x:c r="R45" s="32" t="n">
        <x:f>'Evaluation Plan'!R45</x:f>
        <x:v>0</x:v>
      </x:c>
    </x:row>
    <x:row r="46" ht="46.5" customHeight="1">
      <x:c r="A46" s="31" t="str">
        <x:v>Not collected</x:v>
      </x:c>
      <x:c r="B46" s="33" t="n">
        <x:f>'Evaluation Plan'!B46</x:f>
        <x:v>44</x:v>
      </x:c>
      <x:c r="C46" s="31" t="str">
        <x:f>'Evaluation Plan'!C46</x:f>
        <x:v>Leave exactly three objects in the bowl.</x:v>
      </x:c>
      <x:c r="D46" s="31" t="str">
        <x:f>'Evaluation Plan'!D46</x:f>
        <x:v>Bowl objects: [airplane toy without propellers, blue pen] | Table objects: [yellow block, green pencil sharpener]</x:v>
      </x:c>
      <x:c r="E46" s="33" t="str">
        <x:f>'Evaluation Plan'!E46</x:f>
      </x:c>
      <x:c r="F46" s="31" t="str">
        <x:f>'Evaluation Plan'!F46</x:f>
        <x:v>ADD any one table object; finish with 3 objects in the bowl</x:v>
      </x:c>
      <x:c r="G46" s="31" t="str"/>
      <x:c r="H46" s="36" t="str">
        <x:f>'Evaluation Plan'!H46</x:f>
        <x:v>Concept/compositional transfer</x:v>
      </x:c>
      <x:c r="I46" s="31" t="str">
        <x:f>'Evaluation Plan'!I46</x:f>
        <x:v>CT-CF04</x:v>
      </x:c>
      <x:c r="J46" s="31" t="str">
        <x:f>'Evaluation Plan'!J46</x:f>
        <x:v>CT-CF04-ADD</x:v>
      </x:c>
      <x:c r="K46" s="33" t="n">
        <x:f>'Evaluation Plan'!K46</x:f>
        <x:v>2</x:v>
      </x:c>
      <x:c r="L46" s="33" t="n">
        <x:f>'Evaluation Plan'!L46</x:f>
        <x:v>3</x:v>
      </x:c>
      <x:c r="M46" s="33" t="str">
        <x:f>'Evaluation Plan'!M46</x:f>
        <x:v>ADD</x:v>
      </x:c>
      <x:c r="N46" s="31" t="str">
        <x:f>'Evaluation Plan'!N46</x:f>
        <x:v>Primary: three via held-out 2→3 addition</x:v>
      </x:c>
      <x:c r="O46" s="33" t="n">
        <x:f>'Evaluation Plan'!O46</x:f>
        <x:v>2</x:v>
      </x:c>
      <x:c r="P46" s="31" t="str">
        <x:f>'Evaluation Plan'!P46</x:f>
        <x:v>Reset the exact count-2 scene; change only the prompt.</x:v>
      </x:c>
      <x:c r="Q46" s="31" t="str">
        <x:f>'Evaluation Plan'!Q46</x:f>
        <x:v>The goal word three is trained, and this 2→3 trajectory is trained under a direct instruction, but the combination is withheld.</x:v>
      </x:c>
      <x:c r="R46" s="31" t="n">
        <x:f>'Evaluation Plan'!R46</x:f>
        <x:v>0</x:v>
      </x:c>
    </x:row>
    <x:row r="47" ht="46.5" customHeight="1">
      <x:c r="A47" s="32" t="str">
        <x:v>Not collected</x:v>
      </x:c>
      <x:c r="B47" s="34" t="n">
        <x:f>'Evaluation Plan'!B47</x:f>
        <x:v>45</x:v>
      </x:c>
      <x:c r="C47" s="32" t="str">
        <x:f>'Evaluation Plan'!C47</x:f>
        <x:v>Move the yellow block into the bowl.</x:v>
      </x:c>
      <x:c r="D47" s="32" t="str">
        <x:f>'Evaluation Plan'!D47</x:f>
        <x:v>Bowl objects: [airplane toy without propellers, blue pen] | Table objects: [yellow block, green pencil sharpener]</x:v>
      </x:c>
      <x:c r="E47" s="34" t="n">
        <x:f>'Evaluation Plan'!E47</x:f>
        <x:v>44</x:v>
      </x:c>
      <x:c r="F47" s="32" t="str">
        <x:f>'Evaluation Plan'!F47</x:f>
        <x:v>ADD yellow block</x:v>
      </x:c>
      <x:c r="G47" s="32" t="str"/>
      <x:c r="H47" s="37" t="str">
        <x:f>'Evaluation Plan'!H47</x:f>
        <x:v>Matched manipulation control</x:v>
      </x:c>
      <x:c r="I47" s="32" t="str">
        <x:f>'Evaluation Plan'!I47</x:f>
        <x:v>CT-CF04</x:v>
      </x:c>
      <x:c r="J47" s="32" t="str">
        <x:f>'Evaluation Plan'!J47</x:f>
        <x:v>CT-CF04-ADD</x:v>
      </x:c>
      <x:c r="K47" s="34" t="n">
        <x:f>'Evaluation Plan'!K47</x:f>
        <x:v>2</x:v>
      </x:c>
      <x:c r="L47" s="34" t="n">
        <x:f>'Evaluation Plan'!L47</x:f>
        <x:v>3</x:v>
      </x:c>
      <x:c r="M47" s="34" t="str">
        <x:f>'Evaluation Plan'!M47</x:f>
        <x:v>ADD</x:v>
      </x:c>
      <x:c r="N47" s="32" t="str">
        <x:f>'Evaluation Plan'!N47</x:f>
        <x:v>Matched direct ADD control</x:v>
      </x:c>
      <x:c r="O47" s="34" t="n">
        <x:f>'Evaluation Plan'!O47</x:f>
        <x:v>2</x:v>
      </x:c>
      <x:c r="P47" s="32" t="str">
        <x:f>'Evaluation Plan'!P47</x:f>
        <x:v>Reset the exact count-2 scene; change only the prompt.</x:v>
      </x:c>
      <x:c r="Q47" s="32" t="str">
        <x:f>'Evaluation Plan'!Q47</x:f>
        <x:v>The direct prompt is present in Counting training for this same-task object and action direction.</x:v>
      </x:c>
      <x:c r="R47" s="32" t="n">
        <x:f>'Evaluation Plan'!R47</x:f>
        <x:v>0</x:v>
      </x:c>
    </x:row>
    <x:row r="48" ht="46.5" customHeight="1">
      <x:c r="A48" s="31" t="str">
        <x:v>Not collected</x:v>
      </x:c>
      <x:c r="B48" s="33" t="n">
        <x:f>'Evaluation Plan'!B48</x:f>
        <x:v>46</x:v>
      </x:c>
      <x:c r="C48" s="31" t="str">
        <x:f>'Evaluation Plan'!C48</x:f>
        <x:v>End with three items inside the bowl.</x:v>
      </x:c>
      <x:c r="D48" s="31" t="str">
        <x:f>'Evaluation Plan'!D48</x:f>
        <x:v>Bowl objects: [airplane toy without propellers, blue pen] | Table objects: [yellow block, green pencil sharpener]</x:v>
      </x:c>
      <x:c r="E48" s="33" t="n">
        <x:f>'Evaluation Plan'!E48</x:f>
        <x:v>44</x:v>
      </x:c>
      <x:c r="F48" s="31" t="str">
        <x:f>'Evaluation Plan'!F48</x:f>
        <x:v>ADD any one table object; finish with 3 objects in the bowl</x:v>
      </x:c>
      <x:c r="G48" s="31" t="str"/>
      <x:c r="H48" s="38" t="str">
        <x:f>'Evaluation Plan'!H48</x:f>
        <x:v>Language robustness</x:v>
      </x:c>
      <x:c r="I48" s="31" t="str">
        <x:f>'Evaluation Plan'!I48</x:f>
        <x:v>CT-CF04</x:v>
      </x:c>
      <x:c r="J48" s="31" t="str">
        <x:f>'Evaluation Plan'!J48</x:f>
        <x:v>CT-CF04-ADD</x:v>
      </x:c>
      <x:c r="K48" s="33" t="n">
        <x:f>'Evaluation Plan'!K48</x:f>
        <x:v>2</x:v>
      </x:c>
      <x:c r="L48" s="33" t="n">
        <x:f>'Evaluation Plan'!L48</x:f>
        <x:v>3</x:v>
      </x:c>
      <x:c r="M48" s="33" t="str">
        <x:f>'Evaluation Plan'!M48</x:f>
        <x:v>ADD</x:v>
      </x:c>
      <x:c r="N48" s="31" t="str">
        <x:f>'Evaluation Plan'!N48</x:f>
        <x:v>Primary compositional paraphrase: three via 2→3 addition</x:v>
      </x:c>
      <x:c r="O48" s="33" t="n">
        <x:f>'Evaluation Plan'!O48</x:f>
        <x:v>2</x:v>
      </x:c>
      <x:c r="P48" s="31" t="str">
        <x:f>'Evaluation Plan'!P48</x:f>
        <x:v>Reset the exact count-2 scene; change only the prompt.</x:v>
      </x:c>
      <x:c r="Q48" s="31" t="str">
        <x:f>'Evaluation Plan'!Q48</x:f>
        <x:v>Exact-scene paraphrase of the canonical held-out composition.</x:v>
      </x:c>
      <x:c r="R48" s="31" t="n">
        <x:f>'Evaluation Plan'!R48</x:f>
        <x:v>0</x:v>
      </x:c>
    </x:row>
    <x:row r="49" ht="46.5" customHeight="1">
      <x:c r="A49" s="32" t="str">
        <x:v>Not collected</x:v>
      </x:c>
      <x:c r="B49" s="34" t="n">
        <x:f>'Evaluation Plan'!B49</x:f>
        <x:v>47</x:v>
      </x:c>
      <x:c r="C49" s="32" t="str">
        <x:f>'Evaluation Plan'!C49</x:f>
        <x:v>Lift the yellow block from the table and set it inside the bowl.</x:v>
      </x:c>
      <x:c r="D49" s="32" t="str">
        <x:f>'Evaluation Plan'!D49</x:f>
        <x:v>Bowl objects: [airplane toy without propellers, blue pen] | Table objects: [yellow block, green pencil sharpener]</x:v>
      </x:c>
      <x:c r="E49" s="34" t="n">
        <x:f>'Evaluation Plan'!E49</x:f>
        <x:v>45</x:v>
      </x:c>
      <x:c r="F49" s="32" t="str">
        <x:f>'Evaluation Plan'!F49</x:f>
        <x:v>ADD yellow block</x:v>
      </x:c>
      <x:c r="G49" s="32" t="str"/>
      <x:c r="H49" s="38" t="str">
        <x:f>'Evaluation Plan'!H49</x:f>
        <x:v>Language robustness</x:v>
      </x:c>
      <x:c r="I49" s="32" t="str">
        <x:f>'Evaluation Plan'!I49</x:f>
        <x:v>CT-CF04</x:v>
      </x:c>
      <x:c r="J49" s="32" t="str">
        <x:f>'Evaluation Plan'!J49</x:f>
        <x:v>CT-CF04-ADD</x:v>
      </x:c>
      <x:c r="K49" s="34" t="n">
        <x:f>'Evaluation Plan'!K49</x:f>
        <x:v>2</x:v>
      </x:c>
      <x:c r="L49" s="34" t="n">
        <x:f>'Evaluation Plan'!L49</x:f>
        <x:v>3</x:v>
      </x:c>
      <x:c r="M49" s="34" t="str">
        <x:f>'Evaluation Plan'!M49</x:f>
        <x:v>ADD</x:v>
      </x:c>
      <x:c r="N49" s="32" t="str">
        <x:f>'Evaluation Plan'!N49</x:f>
        <x:v>Matched-control paraphrase: ADD</x:v>
      </x:c>
      <x:c r="O49" s="34" t="n">
        <x:f>'Evaluation Plan'!O49</x:f>
        <x:v>2</x:v>
      </x:c>
      <x:c r="P49" s="32" t="str">
        <x:f>'Evaluation Plan'!P49</x:f>
        <x:v>Reset the exact count-2 scene; change only the prompt.</x:v>
      </x:c>
      <x:c r="Q49" s="32" t="str">
        <x:f>'Evaluation Plan'!Q49</x:f>
        <x:v>Exact-scene paraphrase of the direct manipulation control.</x:v>
      </x:c>
      <x:c r="R49" s="32" t="n">
        <x:f>'Evaluation Plan'!R49</x:f>
        <x:v>0</x:v>
      </x:c>
    </x:row>
    <x:row r="50" ht="46.5" customHeight="1">
      <x:c r="A50" s="31" t="str">
        <x:v>Not collected</x:v>
      </x:c>
      <x:c r="B50" s="33" t="n">
        <x:f>'Evaluation Plan'!B50</x:f>
        <x:v>48</x:v>
      </x:c>
      <x:c r="C50" s="31" t="str">
        <x:f>'Evaluation Plan'!C50</x:f>
        <x:v>Move the airplane toy without propellers from the bowl to the table.</x:v>
      </x:c>
      <x:c r="D50" s="31" t="str">
        <x:f>'Evaluation Plan'!D50</x:f>
        <x:v>Bowl objects: [airplane toy without propellers, blue pen] | Table objects: [yellow block, green pencil sharpener]</x:v>
      </x:c>
      <x:c r="E50" s="33" t="str">
        <x:f>'Evaluation Plan'!E50</x:f>
      </x:c>
      <x:c r="F50" s="31" t="str">
        <x:f>'Evaluation Plan'!F50</x:f>
        <x:v>REMOVE airplane toy without propellers</x:v>
      </x:c>
      <x:c r="G50" s="31" t="str"/>
      <x:c r="H50" s="37" t="str">
        <x:f>'Evaluation Plan'!H50</x:f>
        <x:v>Matched manipulation control</x:v>
      </x:c>
      <x:c r="I50" s="31" t="str">
        <x:f>'Evaluation Plan'!I50</x:f>
        <x:v>CT-CF04</x:v>
      </x:c>
      <x:c r="J50" s="31" t="str">
        <x:f>'Evaluation Plan'!J50</x:f>
        <x:v>CT-CF04-REMOVE</x:v>
      </x:c>
      <x:c r="K50" s="33" t="n">
        <x:f>'Evaluation Plan'!K50</x:f>
        <x:v>2</x:v>
      </x:c>
      <x:c r="L50" s="33" t="n">
        <x:f>'Evaluation Plan'!L50</x:f>
        <x:v>1</x:v>
      </x:c>
      <x:c r="M50" s="33" t="str">
        <x:f>'Evaluation Plan'!M50</x:f>
        <x:v>REMOVE</x:v>
      </x:c>
      <x:c r="N50" s="31" t="str">
        <x:f>'Evaluation Plan'!N50</x:f>
        <x:v>Matched direct REMOVE control</x:v>
      </x:c>
      <x:c r="O50" s="33" t="n">
        <x:f>'Evaluation Plan'!O50</x:f>
        <x:v>2</x:v>
      </x:c>
      <x:c r="P50" s="31" t="str">
        <x:f>'Evaluation Plan'!P50</x:f>
        <x:v>Reset the exact count-2 scene; change only the prompt.</x:v>
      </x:c>
      <x:c r="Q50" s="31" t="str">
        <x:f>'Evaluation Plan'!Q50</x:f>
        <x:v>The direct prompt is present in Counting training for this same-task object and action direction.</x:v>
      </x:c>
      <x:c r="R50" s="31" t="n">
        <x:f>'Evaluation Plan'!R50</x:f>
        <x:v>0</x:v>
      </x:c>
    </x:row>
    <x:row r="51" ht="46.5" customHeight="1">
      <x:c r="A51" s="32" t="str">
        <x:v>Not collected</x:v>
      </x:c>
      <x:c r="B51" s="34" t="n">
        <x:f>'Evaluation Plan'!B51</x:f>
        <x:v>49</x:v>
      </x:c>
      <x:c r="C51" s="32" t="str">
        <x:f>'Evaluation Plan'!C51</x:f>
        <x:v>Leave exactly one object in the bowl.</x:v>
      </x:c>
      <x:c r="D51" s="32" t="str">
        <x:f>'Evaluation Plan'!D51</x:f>
        <x:v>Bowl objects: [airplane toy without propellers, blue pen] | Table objects: [yellow block, green pencil sharpener]</x:v>
      </x:c>
      <x:c r="E51" s="34" t="n">
        <x:f>'Evaluation Plan'!E51</x:f>
        <x:v>48</x:v>
      </x:c>
      <x:c r="F51" s="32" t="str">
        <x:f>'Evaluation Plan'!F51</x:f>
        <x:v>REMOVE any one bowl object; finish with 1 object in the bowl</x:v>
      </x:c>
      <x:c r="G51" s="32" t="str"/>
      <x:c r="H51" s="36" t="str">
        <x:f>'Evaluation Plan'!H51</x:f>
        <x:v>Concept/compositional transfer</x:v>
      </x:c>
      <x:c r="I51" s="32" t="str">
        <x:f>'Evaluation Plan'!I51</x:f>
        <x:v>CT-CF04</x:v>
      </x:c>
      <x:c r="J51" s="32" t="str">
        <x:f>'Evaluation Plan'!J51</x:f>
        <x:v>CT-CF04-REMOVE</x:v>
      </x:c>
      <x:c r="K51" s="34" t="n">
        <x:f>'Evaluation Plan'!K51</x:f>
        <x:v>2</x:v>
      </x:c>
      <x:c r="L51" s="34" t="n">
        <x:f>'Evaluation Plan'!L51</x:f>
        <x:v>1</x:v>
      </x:c>
      <x:c r="M51" s="34" t="str">
        <x:f>'Evaluation Plan'!M51</x:f>
        <x:v>REMOVE</x:v>
      </x:c>
      <x:c r="N51" s="32" t="str">
        <x:f>'Evaluation Plan'!N51</x:f>
        <x:v>Primary: one via held-out 2→1 removal</x:v>
      </x:c>
      <x:c r="O51" s="34" t="n">
        <x:f>'Evaluation Plan'!O51</x:f>
        <x:v>2</x:v>
      </x:c>
      <x:c r="P51" s="32" t="str">
        <x:f>'Evaluation Plan'!P51</x:f>
        <x:v>Build the listed count-2 scene.</x:v>
      </x:c>
      <x:c r="Q51" s="32" t="str">
        <x:f>'Evaluation Plan'!Q51</x:f>
        <x:v>The goal word one is trained, and this 2→1 trajectory is trained under a direct instruction, but the combination is withheld.</x:v>
      </x:c>
      <x:c r="R51" s="32" t="n">
        <x:f>'Evaluation Plan'!R51</x:f>
        <x:v>0</x:v>
      </x:c>
    </x:row>
    <x:row r="52" ht="46.5" customHeight="1">
      <x:c r="A52" s="31" t="str">
        <x:v>Not collected</x:v>
      </x:c>
      <x:c r="B52" s="33" t="n">
        <x:f>'Evaluation Plan'!B52</x:f>
        <x:v>50</x:v>
      </x:c>
      <x:c r="C52" s="31" t="str">
        <x:f>'Evaluation Plan'!C52</x:f>
        <x:v>Lift the airplane toy without propellers out of the bowl and set it on the table.</x:v>
      </x:c>
      <x:c r="D52" s="31" t="str">
        <x:f>'Evaluation Plan'!D52</x:f>
        <x:v>Bowl objects: [airplane toy without propellers, blue pen] | Table objects: [yellow block, green pencil sharpener]</x:v>
      </x:c>
      <x:c r="E52" s="33" t="n">
        <x:f>'Evaluation Plan'!E52</x:f>
        <x:v>48</x:v>
      </x:c>
      <x:c r="F52" s="31" t="str">
        <x:f>'Evaluation Plan'!F52</x:f>
        <x:v>REMOVE airplane toy without propellers</x:v>
      </x:c>
      <x:c r="G52" s="31" t="str"/>
      <x:c r="H52" s="38" t="str">
        <x:f>'Evaluation Plan'!H52</x:f>
        <x:v>Language robustness</x:v>
      </x:c>
      <x:c r="I52" s="31" t="str">
        <x:f>'Evaluation Plan'!I52</x:f>
        <x:v>CT-CF04</x:v>
      </x:c>
      <x:c r="J52" s="31" t="str">
        <x:f>'Evaluation Plan'!J52</x:f>
        <x:v>CT-CF04-REMOVE</x:v>
      </x:c>
      <x:c r="K52" s="33" t="n">
        <x:f>'Evaluation Plan'!K52</x:f>
        <x:v>2</x:v>
      </x:c>
      <x:c r="L52" s="33" t="n">
        <x:f>'Evaluation Plan'!L52</x:f>
        <x:v>1</x:v>
      </x:c>
      <x:c r="M52" s="33" t="str">
        <x:f>'Evaluation Plan'!M52</x:f>
        <x:v>REMOVE</x:v>
      </x:c>
      <x:c r="N52" s="31" t="str">
        <x:f>'Evaluation Plan'!N52</x:f>
        <x:v>Matched-control paraphrase: REMOVE</x:v>
      </x:c>
      <x:c r="O52" s="33" t="n">
        <x:f>'Evaluation Plan'!O52</x:f>
        <x:v>2</x:v>
      </x:c>
      <x:c r="P52" s="31" t="str">
        <x:f>'Evaluation Plan'!P52</x:f>
        <x:v>Reset the exact count-2 scene; change only the prompt.</x:v>
      </x:c>
      <x:c r="Q52" s="31" t="str">
        <x:f>'Evaluation Plan'!Q52</x:f>
        <x:v>Exact-scene paraphrase of the direct manipulation control.</x:v>
      </x:c>
      <x:c r="R52" s="31" t="n">
        <x:f>'Evaluation Plan'!R52</x:f>
        <x:v>0</x:v>
      </x:c>
    </x:row>
    <x:row r="53" ht="46.5" customHeight="1">
      <x:c r="A53" s="32" t="str">
        <x:v>Not collected</x:v>
      </x:c>
      <x:c r="B53" s="34" t="n">
        <x:f>'Evaluation Plan'!B53</x:f>
        <x:v>51</x:v>
      </x:c>
      <x:c r="C53" s="32" t="str">
        <x:f>'Evaluation Plan'!C53</x:f>
        <x:v>End with a single object in the bowl.</x:v>
      </x:c>
      <x:c r="D53" s="32" t="str">
        <x:f>'Evaluation Plan'!D53</x:f>
        <x:v>Bowl objects: [airplane toy without propellers, blue pen] | Table objects: [yellow block, green pencil sharpener]</x:v>
      </x:c>
      <x:c r="E53" s="34" t="n">
        <x:f>'Evaluation Plan'!E53</x:f>
        <x:v>49</x:v>
      </x:c>
      <x:c r="F53" s="32" t="str">
        <x:f>'Evaluation Plan'!F53</x:f>
        <x:v>REMOVE any one bowl object; finish with 1 object in the bowl</x:v>
      </x:c>
      <x:c r="G53" s="32" t="str"/>
      <x:c r="H53" s="38" t="str">
        <x:f>'Evaluation Plan'!H53</x:f>
        <x:v>Language robustness</x:v>
      </x:c>
      <x:c r="I53" s="32" t="str">
        <x:f>'Evaluation Plan'!I53</x:f>
        <x:v>CT-CF04</x:v>
      </x:c>
      <x:c r="J53" s="32" t="str">
        <x:f>'Evaluation Plan'!J53</x:f>
        <x:v>CT-CF04-REMOVE</x:v>
      </x:c>
      <x:c r="K53" s="34" t="n">
        <x:f>'Evaluation Plan'!K53</x:f>
        <x:v>2</x:v>
      </x:c>
      <x:c r="L53" s="34" t="n">
        <x:f>'Evaluation Plan'!L53</x:f>
        <x:v>1</x:v>
      </x:c>
      <x:c r="M53" s="34" t="str">
        <x:f>'Evaluation Plan'!M53</x:f>
        <x:v>REMOVE</x:v>
      </x:c>
      <x:c r="N53" s="32" t="str">
        <x:f>'Evaluation Plan'!N53</x:f>
        <x:v>Primary compositional paraphrase: one via 2→1 removal</x:v>
      </x:c>
      <x:c r="O53" s="34" t="n">
        <x:f>'Evaluation Plan'!O53</x:f>
        <x:v>2</x:v>
      </x:c>
      <x:c r="P53" s="32" t="str">
        <x:f>'Evaluation Plan'!P53</x:f>
        <x:v>Build the listed count-2 scene.</x:v>
      </x:c>
      <x:c r="Q53" s="32" t="str">
        <x:f>'Evaluation Plan'!Q53</x:f>
        <x:v>Exact-scene paraphrase of the canonical held-out composition.</x:v>
      </x:c>
      <x:c r="R53" s="32" t="n">
        <x:f>'Evaluation Plan'!R53</x:f>
        <x:v>0</x:v>
      </x:c>
    </x:row>
    <x:row r="54" ht="46.5" customHeight="1">
      <x:c r="A54" s="31" t="str">
        <x:v>Not collected</x:v>
      </x:c>
      <x:c r="B54" s="33" t="n">
        <x:f>'Evaluation Plan'!B54</x:f>
        <x:v>52</x:v>
      </x:c>
      <x:c r="C54" s="31" t="str">
        <x:f>'Evaluation Plan'!C54</x:f>
        <x:v>Leave exactly one object in the bowl.</x:v>
      </x:c>
      <x:c r="D54" s="31" t="str">
        <x:f>'Evaluation Plan'!D54</x:f>
        <x:v>Bowl objects: [blue pen, yellow block] | Table objects: [green pencil sharpener, airplane toy without propellers]</x:v>
      </x:c>
      <x:c r="E54" s="33" t="str">
        <x:f>'Evaluation Plan'!E54</x:f>
      </x:c>
      <x:c r="F54" s="31" t="str">
        <x:f>'Evaluation Plan'!F54</x:f>
        <x:v>REMOVE any one bowl object; finish with 1 object in the bowl</x:v>
      </x:c>
      <x:c r="G54" s="31" t="str"/>
      <x:c r="H54" s="36" t="str">
        <x:f>'Evaluation Plan'!H54</x:f>
        <x:v>Concept/compositional transfer</x:v>
      </x:c>
      <x:c r="I54" s="31" t="str">
        <x:f>'Evaluation Plan'!I54</x:f>
        <x:v>CT-CF05</x:v>
      </x:c>
      <x:c r="J54" s="31" t="str">
        <x:f>'Evaluation Plan'!J54</x:f>
        <x:v>CT-CF05-REMOVE</x:v>
      </x:c>
      <x:c r="K54" s="33" t="n">
        <x:f>'Evaluation Plan'!K54</x:f>
        <x:v>2</x:v>
      </x:c>
      <x:c r="L54" s="33" t="n">
        <x:f>'Evaluation Plan'!L54</x:f>
        <x:v>1</x:v>
      </x:c>
      <x:c r="M54" s="33" t="str">
        <x:f>'Evaluation Plan'!M54</x:f>
        <x:v>REMOVE</x:v>
      </x:c>
      <x:c r="N54" s="31" t="str">
        <x:f>'Evaluation Plan'!N54</x:f>
        <x:v>Primary: one via held-out 2→1 removal</x:v>
      </x:c>
      <x:c r="O54" s="33" t="n">
        <x:f>'Evaluation Plan'!O54</x:f>
        <x:v>2</x:v>
      </x:c>
      <x:c r="P54" s="31" t="str">
        <x:f>'Evaluation Plan'!P54</x:f>
        <x:v>Build the listed count-2 scene.</x:v>
      </x:c>
      <x:c r="Q54" s="31" t="str">
        <x:f>'Evaluation Plan'!Q54</x:f>
        <x:v>The goal word one is trained, and this 2→1 trajectory is trained under a direct instruction, but the combination is withheld.</x:v>
      </x:c>
      <x:c r="R54" s="31" t="n">
        <x:f>'Evaluation Plan'!R54</x:f>
        <x:v>0</x:v>
      </x:c>
    </x:row>
    <x:row r="55" ht="46.5" customHeight="1">
      <x:c r="A55" s="32" t="str">
        <x:v>Not collected</x:v>
      </x:c>
      <x:c r="B55" s="34" t="n">
        <x:f>'Evaluation Plan'!B55</x:f>
        <x:v>53</x:v>
      </x:c>
      <x:c r="C55" s="32" t="str">
        <x:f>'Evaluation Plan'!C55</x:f>
        <x:v>Move the blue pen from the bowl to the table.</x:v>
      </x:c>
      <x:c r="D55" s="32" t="str">
        <x:f>'Evaluation Plan'!D55</x:f>
        <x:v>Bowl objects: [blue pen, yellow block] | Table objects: [green pencil sharpener, airplane toy without propellers]</x:v>
      </x:c>
      <x:c r="E55" s="34" t="n">
        <x:f>'Evaluation Plan'!E55</x:f>
        <x:v>52</x:v>
      </x:c>
      <x:c r="F55" s="32" t="str">
        <x:f>'Evaluation Plan'!F55</x:f>
        <x:v>REMOVE blue pen</x:v>
      </x:c>
      <x:c r="G55" s="32" t="str"/>
      <x:c r="H55" s="37" t="str">
        <x:f>'Evaluation Plan'!H55</x:f>
        <x:v>Matched manipulation control</x:v>
      </x:c>
      <x:c r="I55" s="32" t="str">
        <x:f>'Evaluation Plan'!I55</x:f>
        <x:v>CT-CF05</x:v>
      </x:c>
      <x:c r="J55" s="32" t="str">
        <x:f>'Evaluation Plan'!J55</x:f>
        <x:v>CT-CF05-REMOVE</x:v>
      </x:c>
      <x:c r="K55" s="34" t="n">
        <x:f>'Evaluation Plan'!K55</x:f>
        <x:v>2</x:v>
      </x:c>
      <x:c r="L55" s="34" t="n">
        <x:f>'Evaluation Plan'!L55</x:f>
        <x:v>1</x:v>
      </x:c>
      <x:c r="M55" s="34" t="str">
        <x:f>'Evaluation Plan'!M55</x:f>
        <x:v>REMOVE</x:v>
      </x:c>
      <x:c r="N55" s="32" t="str">
        <x:f>'Evaluation Plan'!N55</x:f>
        <x:v>Matched direct REMOVE control</x:v>
      </x:c>
      <x:c r="O55" s="34" t="n">
        <x:f>'Evaluation Plan'!O55</x:f>
        <x:v>2</x:v>
      </x:c>
      <x:c r="P55" s="32" t="str">
        <x:f>'Evaluation Plan'!P55</x:f>
        <x:v>Reset the exact count-2 scene; change only the prompt.</x:v>
      </x:c>
      <x:c r="Q55" s="32" t="str">
        <x:f>'Evaluation Plan'!Q55</x:f>
        <x:v>The direct prompt is present in Counting training for this same-task object and action direction.</x:v>
      </x:c>
      <x:c r="R55" s="32" t="n">
        <x:f>'Evaluation Plan'!R55</x:f>
        <x:v>0</x:v>
      </x:c>
    </x:row>
    <x:row r="56" ht="46.5" customHeight="1">
      <x:c r="A56" s="31" t="str">
        <x:v>Not collected</x:v>
      </x:c>
      <x:c r="B56" s="33" t="n">
        <x:f>'Evaluation Plan'!B56</x:f>
        <x:v>54</x:v>
      </x:c>
      <x:c r="C56" s="31" t="str">
        <x:f>'Evaluation Plan'!C56</x:f>
        <x:v>Adjust the contents until only one object remains in the bowl.</x:v>
      </x:c>
      <x:c r="D56" s="31" t="str">
        <x:f>'Evaluation Plan'!D56</x:f>
        <x:v>Bowl objects: [blue pen, yellow block] | Table objects: [green pencil sharpener, airplane toy without propellers]</x:v>
      </x:c>
      <x:c r="E56" s="33" t="n">
        <x:f>'Evaluation Plan'!E56</x:f>
        <x:v>52</x:v>
      </x:c>
      <x:c r="F56" s="31" t="str">
        <x:f>'Evaluation Plan'!F56</x:f>
        <x:v>REMOVE any one bowl object; finish with 1 object in the bowl</x:v>
      </x:c>
      <x:c r="G56" s="31" t="str"/>
      <x:c r="H56" s="38" t="str">
        <x:f>'Evaluation Plan'!H56</x:f>
        <x:v>Language robustness</x:v>
      </x:c>
      <x:c r="I56" s="31" t="str">
        <x:f>'Evaluation Plan'!I56</x:f>
        <x:v>CT-CF05</x:v>
      </x:c>
      <x:c r="J56" s="31" t="str">
        <x:f>'Evaluation Plan'!J56</x:f>
        <x:v>CT-CF05-REMOVE</x:v>
      </x:c>
      <x:c r="K56" s="33" t="n">
        <x:f>'Evaluation Plan'!K56</x:f>
        <x:v>2</x:v>
      </x:c>
      <x:c r="L56" s="33" t="n">
        <x:f>'Evaluation Plan'!L56</x:f>
        <x:v>1</x:v>
      </x:c>
      <x:c r="M56" s="33" t="str">
        <x:f>'Evaluation Plan'!M56</x:f>
        <x:v>REMOVE</x:v>
      </x:c>
      <x:c r="N56" s="31" t="str">
        <x:f>'Evaluation Plan'!N56</x:f>
        <x:v>Primary compositional paraphrase: one via 2→1 removal</x:v>
      </x:c>
      <x:c r="O56" s="33" t="n">
        <x:f>'Evaluation Plan'!O56</x:f>
        <x:v>2</x:v>
      </x:c>
      <x:c r="P56" s="31" t="str">
        <x:f>'Evaluation Plan'!P56</x:f>
        <x:v>Build the listed count-2 scene.</x:v>
      </x:c>
      <x:c r="Q56" s="31" t="str">
        <x:f>'Evaluation Plan'!Q56</x:f>
        <x:v>Exact-scene paraphrase of the canonical held-out composition.</x:v>
      </x:c>
      <x:c r="R56" s="31" t="n">
        <x:f>'Evaluation Plan'!R56</x:f>
        <x:v>0</x:v>
      </x:c>
    </x:row>
    <x:row r="57" ht="46.5" customHeight="1">
      <x:c r="A57" s="32" t="str">
        <x:v>Not collected</x:v>
      </x:c>
      <x:c r="B57" s="34" t="n">
        <x:f>'Evaluation Plan'!B57</x:f>
        <x:v>55</x:v>
      </x:c>
      <x:c r="C57" s="32" t="str">
        <x:f>'Evaluation Plan'!C57</x:f>
        <x:v>Lift the blue pen out of the bowl and set it on the table.</x:v>
      </x:c>
      <x:c r="D57" s="32" t="str">
        <x:f>'Evaluation Plan'!D57</x:f>
        <x:v>Bowl objects: [blue pen, yellow block] | Table objects: [green pencil sharpener, airplane toy without propellers]</x:v>
      </x:c>
      <x:c r="E57" s="34" t="n">
        <x:f>'Evaluation Plan'!E57</x:f>
        <x:v>53</x:v>
      </x:c>
      <x:c r="F57" s="32" t="str">
        <x:f>'Evaluation Plan'!F57</x:f>
        <x:v>REMOVE blue pen</x:v>
      </x:c>
      <x:c r="G57" s="32" t="str"/>
      <x:c r="H57" s="38" t="str">
        <x:f>'Evaluation Plan'!H57</x:f>
        <x:v>Language robustness</x:v>
      </x:c>
      <x:c r="I57" s="32" t="str">
        <x:f>'Evaluation Plan'!I57</x:f>
        <x:v>CT-CF05</x:v>
      </x:c>
      <x:c r="J57" s="32" t="str">
        <x:f>'Evaluation Plan'!J57</x:f>
        <x:v>CT-CF05-REMOVE</x:v>
      </x:c>
      <x:c r="K57" s="34" t="n">
        <x:f>'Evaluation Plan'!K57</x:f>
        <x:v>2</x:v>
      </x:c>
      <x:c r="L57" s="34" t="n">
        <x:f>'Evaluation Plan'!L57</x:f>
        <x:v>1</x:v>
      </x:c>
      <x:c r="M57" s="34" t="str">
        <x:f>'Evaluation Plan'!M57</x:f>
        <x:v>REMOVE</x:v>
      </x:c>
      <x:c r="N57" s="32" t="str">
        <x:f>'Evaluation Plan'!N57</x:f>
        <x:v>Matched-control paraphrase: REMOVE</x:v>
      </x:c>
      <x:c r="O57" s="34" t="n">
        <x:f>'Evaluation Plan'!O57</x:f>
        <x:v>2</x:v>
      </x:c>
      <x:c r="P57" s="32" t="str">
        <x:f>'Evaluation Plan'!P57</x:f>
        <x:v>Reset the exact count-2 scene; change only the prompt.</x:v>
      </x:c>
      <x:c r="Q57" s="32" t="str">
        <x:f>'Evaluation Plan'!Q57</x:f>
        <x:v>Exact-scene paraphrase of the direct manipulation control.</x:v>
      </x:c>
      <x:c r="R57" s="32" t="n">
        <x:f>'Evaluation Plan'!R57</x:f>
        <x:v>0</x:v>
      </x:c>
    </x:row>
    <x:row r="58" ht="46.5" customHeight="1">
      <x:c r="A58" s="31" t="str">
        <x:v>Not collected</x:v>
      </x:c>
      <x:c r="B58" s="33" t="n">
        <x:f>'Evaluation Plan'!B58</x:f>
        <x:v>56</x:v>
      </x:c>
      <x:c r="C58" s="31" t="str">
        <x:f>'Evaluation Plan'!C58</x:f>
        <x:v>Move the green pencil sharpener into the bowl.</x:v>
      </x:c>
      <x:c r="D58" s="31" t="str">
        <x:f>'Evaluation Plan'!D58</x:f>
        <x:v>Bowl objects: [blue pen, yellow block] | Table objects: [green pencil sharpener, airplane toy without propellers]</x:v>
      </x:c>
      <x:c r="E58" s="33" t="str">
        <x:f>'Evaluation Plan'!E58</x:f>
      </x:c>
      <x:c r="F58" s="31" t="str">
        <x:f>'Evaluation Plan'!F58</x:f>
        <x:v>ADD green pencil sharpener</x:v>
      </x:c>
      <x:c r="G58" s="31" t="str"/>
      <x:c r="H58" s="37" t="str">
        <x:f>'Evaluation Plan'!H58</x:f>
        <x:v>Matched manipulation control</x:v>
      </x:c>
      <x:c r="I58" s="31" t="str">
        <x:f>'Evaluation Plan'!I58</x:f>
        <x:v>CT-CF05</x:v>
      </x:c>
      <x:c r="J58" s="31" t="str">
        <x:f>'Evaluation Plan'!J58</x:f>
        <x:v>CT-CF05-ADD</x:v>
      </x:c>
      <x:c r="K58" s="33" t="n">
        <x:f>'Evaluation Plan'!K58</x:f>
        <x:v>2</x:v>
      </x:c>
      <x:c r="L58" s="33" t="n">
        <x:f>'Evaluation Plan'!L58</x:f>
        <x:v>3</x:v>
      </x:c>
      <x:c r="M58" s="33" t="str">
        <x:f>'Evaluation Plan'!M58</x:f>
        <x:v>ADD</x:v>
      </x:c>
      <x:c r="N58" s="31" t="str">
        <x:f>'Evaluation Plan'!N58</x:f>
        <x:v>Matched direct ADD control</x:v>
      </x:c>
      <x:c r="O58" s="33" t="n">
        <x:f>'Evaluation Plan'!O58</x:f>
        <x:v>2</x:v>
      </x:c>
      <x:c r="P58" s="31" t="str">
        <x:f>'Evaluation Plan'!P58</x:f>
        <x:v>Reset the exact count-2 scene; change only the prompt.</x:v>
      </x:c>
      <x:c r="Q58" s="31" t="str">
        <x:f>'Evaluation Plan'!Q58</x:f>
        <x:v>The direct prompt is present in Counting training for this same-task object and action direction.</x:v>
      </x:c>
      <x:c r="R58" s="31" t="n">
        <x:f>'Evaluation Plan'!R58</x:f>
        <x:v>0</x:v>
      </x:c>
    </x:row>
    <x:row r="59" ht="46.5" customHeight="1">
      <x:c r="A59" s="32" t="str">
        <x:v>Not collected</x:v>
      </x:c>
      <x:c r="B59" s="34" t="n">
        <x:f>'Evaluation Plan'!B59</x:f>
        <x:v>57</x:v>
      </x:c>
      <x:c r="C59" s="32" t="str">
        <x:f>'Evaluation Plan'!C59</x:f>
        <x:v>Leave exactly three objects in the bowl.</x:v>
      </x:c>
      <x:c r="D59" s="32" t="str">
        <x:f>'Evaluation Plan'!D59</x:f>
        <x:v>Bowl objects: [blue pen, yellow block] | Table objects: [green pencil sharpener, airplane toy without propellers]</x:v>
      </x:c>
      <x:c r="E59" s="34" t="n">
        <x:f>'Evaluation Plan'!E59</x:f>
        <x:v>56</x:v>
      </x:c>
      <x:c r="F59" s="32" t="str">
        <x:f>'Evaluation Plan'!F59</x:f>
        <x:v>ADD any one table object; finish with 3 objects in the bowl</x:v>
      </x:c>
      <x:c r="G59" s="32" t="str"/>
      <x:c r="H59" s="36" t="str">
        <x:f>'Evaluation Plan'!H59</x:f>
        <x:v>Concept/compositional transfer</x:v>
      </x:c>
      <x:c r="I59" s="32" t="str">
        <x:f>'Evaluation Plan'!I59</x:f>
        <x:v>CT-CF05</x:v>
      </x:c>
      <x:c r="J59" s="32" t="str">
        <x:f>'Evaluation Plan'!J59</x:f>
        <x:v>CT-CF05-ADD</x:v>
      </x:c>
      <x:c r="K59" s="34" t="n">
        <x:f>'Evaluation Plan'!K59</x:f>
        <x:v>2</x:v>
      </x:c>
      <x:c r="L59" s="34" t="n">
        <x:f>'Evaluation Plan'!L59</x:f>
        <x:v>3</x:v>
      </x:c>
      <x:c r="M59" s="34" t="str">
        <x:f>'Evaluation Plan'!M59</x:f>
        <x:v>ADD</x:v>
      </x:c>
      <x:c r="N59" s="32" t="str">
        <x:f>'Evaluation Plan'!N59</x:f>
        <x:v>Primary: three via held-out 2→3 addition</x:v>
      </x:c>
      <x:c r="O59" s="34" t="n">
        <x:f>'Evaluation Plan'!O59</x:f>
        <x:v>2</x:v>
      </x:c>
      <x:c r="P59" s="32" t="str">
        <x:f>'Evaluation Plan'!P59</x:f>
        <x:v>Reset the exact count-2 scene; change only the prompt.</x:v>
      </x:c>
      <x:c r="Q59" s="32" t="str">
        <x:f>'Evaluation Plan'!Q59</x:f>
        <x:v>The goal word three is trained, and this 2→3 trajectory is trained under a direct instruction, but the combination is withheld.</x:v>
      </x:c>
      <x:c r="R59" s="32" t="n">
        <x:f>'Evaluation Plan'!R59</x:f>
        <x:v>0</x:v>
      </x:c>
    </x:row>
    <x:row r="60" ht="46.5" customHeight="1">
      <x:c r="A60" s="31" t="str">
        <x:v>Not collected</x:v>
      </x:c>
      <x:c r="B60" s="33" t="n">
        <x:f>'Evaluation Plan'!B60</x:f>
        <x:v>58</x:v>
      </x:c>
      <x:c r="C60" s="31" t="str">
        <x:f>'Evaluation Plan'!C60</x:f>
        <x:v>Lift the green pencil sharpener from the table and set it inside the bowl.</x:v>
      </x:c>
      <x:c r="D60" s="31" t="str">
        <x:f>'Evaluation Plan'!D60</x:f>
        <x:v>Bowl objects: [blue pen, yellow block] | Table objects: [green pencil sharpener, airplane toy without propellers]</x:v>
      </x:c>
      <x:c r="E60" s="33" t="n">
        <x:f>'Evaluation Plan'!E60</x:f>
        <x:v>56</x:v>
      </x:c>
      <x:c r="F60" s="31" t="str">
        <x:f>'Evaluation Plan'!F60</x:f>
        <x:v>ADD green pencil sharpener</x:v>
      </x:c>
      <x:c r="G60" s="31" t="str"/>
      <x:c r="H60" s="38" t="str">
        <x:f>'Evaluation Plan'!H60</x:f>
        <x:v>Language robustness</x:v>
      </x:c>
      <x:c r="I60" s="31" t="str">
        <x:f>'Evaluation Plan'!I60</x:f>
        <x:v>CT-CF05</x:v>
      </x:c>
      <x:c r="J60" s="31" t="str">
        <x:f>'Evaluation Plan'!J60</x:f>
        <x:v>CT-CF05-ADD</x:v>
      </x:c>
      <x:c r="K60" s="33" t="n">
        <x:f>'Evaluation Plan'!K60</x:f>
        <x:v>2</x:v>
      </x:c>
      <x:c r="L60" s="33" t="n">
        <x:f>'Evaluation Plan'!L60</x:f>
        <x:v>3</x:v>
      </x:c>
      <x:c r="M60" s="33" t="str">
        <x:f>'Evaluation Plan'!M60</x:f>
        <x:v>ADD</x:v>
      </x:c>
      <x:c r="N60" s="31" t="str">
        <x:f>'Evaluation Plan'!N60</x:f>
        <x:v>Matched-control paraphrase: ADD</x:v>
      </x:c>
      <x:c r="O60" s="33" t="n">
        <x:f>'Evaluation Plan'!O60</x:f>
        <x:v>2</x:v>
      </x:c>
      <x:c r="P60" s="31" t="str">
        <x:f>'Evaluation Plan'!P60</x:f>
        <x:v>Reset the exact count-2 scene; change only the prompt.</x:v>
      </x:c>
      <x:c r="Q60" s="31" t="str">
        <x:f>'Evaluation Plan'!Q60</x:f>
        <x:v>Exact-scene paraphrase of the direct manipulation control.</x:v>
      </x:c>
      <x:c r="R60" s="31" t="n">
        <x:f>'Evaluation Plan'!R60</x:f>
        <x:v>0</x:v>
      </x:c>
    </x:row>
    <x:row r="61" ht="46.5" customHeight="1">
      <x:c r="A61" s="32" t="str">
        <x:v>Not collected</x:v>
      </x:c>
      <x:c r="B61" s="34" t="n">
        <x:f>'Evaluation Plan'!B61</x:f>
        <x:v>59</x:v>
      </x:c>
      <x:c r="C61" s="32" t="str">
        <x:f>'Evaluation Plan'!C61</x:f>
        <x:v>Adjust the contents until three objects remain in the bowl.</x:v>
      </x:c>
      <x:c r="D61" s="32" t="str">
        <x:f>'Evaluation Plan'!D61</x:f>
        <x:v>Bowl objects: [blue pen, yellow block] | Table objects: [green pencil sharpener, airplane toy without propellers]</x:v>
      </x:c>
      <x:c r="E61" s="34" t="n">
        <x:f>'Evaluation Plan'!E61</x:f>
        <x:v>57</x:v>
      </x:c>
      <x:c r="F61" s="32" t="str">
        <x:f>'Evaluation Plan'!F61</x:f>
        <x:v>ADD any one table object; finish with 3 objects in the bowl</x:v>
      </x:c>
      <x:c r="G61" s="32" t="str"/>
      <x:c r="H61" s="38" t="str">
        <x:f>'Evaluation Plan'!H61</x:f>
        <x:v>Language robustness</x:v>
      </x:c>
      <x:c r="I61" s="32" t="str">
        <x:f>'Evaluation Plan'!I61</x:f>
        <x:v>CT-CF05</x:v>
      </x:c>
      <x:c r="J61" s="32" t="str">
        <x:f>'Evaluation Plan'!J61</x:f>
        <x:v>CT-CF05-ADD</x:v>
      </x:c>
      <x:c r="K61" s="34" t="n">
        <x:f>'Evaluation Plan'!K61</x:f>
        <x:v>2</x:v>
      </x:c>
      <x:c r="L61" s="34" t="n">
        <x:f>'Evaluation Plan'!L61</x:f>
        <x:v>3</x:v>
      </x:c>
      <x:c r="M61" s="34" t="str">
        <x:f>'Evaluation Plan'!M61</x:f>
        <x:v>ADD</x:v>
      </x:c>
      <x:c r="N61" s="32" t="str">
        <x:f>'Evaluation Plan'!N61</x:f>
        <x:v>Primary compositional paraphrase: three via 2→3 addition</x:v>
      </x:c>
      <x:c r="O61" s="34" t="n">
        <x:f>'Evaluation Plan'!O61</x:f>
        <x:v>2</x:v>
      </x:c>
      <x:c r="P61" s="32" t="str">
        <x:f>'Evaluation Plan'!P61</x:f>
        <x:v>Reset the exact count-2 scene; change only the prompt.</x:v>
      </x:c>
      <x:c r="Q61" s="32" t="str">
        <x:f>'Evaluation Plan'!Q61</x:f>
        <x:v>Exact-scene paraphrase of the canonical held-out composition.</x:v>
      </x:c>
      <x:c r="R61" s="32" t="n">
        <x:f>'Evaluation Plan'!R61</x:f>
        <x:v>0</x:v>
      </x:c>
    </x:row>
    <x:row r="62" ht="46.5" customHeight="1">
      <x:c r="A62" s="31" t="str">
        <x:v>Not collected</x:v>
      </x:c>
      <x:c r="B62" s="33" t="n">
        <x:f>'Evaluation Plan'!B62</x:f>
        <x:v>60</x:v>
      </x:c>
      <x:c r="C62" s="31" t="str">
        <x:f>'Evaluation Plan'!C62</x:f>
        <x:v>Leave exactly three objects in the bowl.</x:v>
      </x:c>
      <x:c r="D62" s="31" t="str">
        <x:f>'Evaluation Plan'!D62</x:f>
        <x:v>Bowl objects: [yellow block, blue pen] | Table objects: [green pencil sharpener, airplane toy without propellers]</x:v>
      </x:c>
      <x:c r="E62" s="33" t="str">
        <x:f>'Evaluation Plan'!E62</x:f>
      </x:c>
      <x:c r="F62" s="31" t="str">
        <x:f>'Evaluation Plan'!F62</x:f>
        <x:v>ADD any one table object; finish with 3 objects in the bowl</x:v>
      </x:c>
      <x:c r="G62" s="31" t="str"/>
      <x:c r="H62" s="36" t="str">
        <x:f>'Evaluation Plan'!H62</x:f>
        <x:v>Concept/compositional transfer</x:v>
      </x:c>
      <x:c r="I62" s="31" t="str">
        <x:f>'Evaluation Plan'!I62</x:f>
        <x:v>CT-CF06</x:v>
      </x:c>
      <x:c r="J62" s="31" t="str">
        <x:f>'Evaluation Plan'!J62</x:f>
        <x:v>CT-CF06-ADD</x:v>
      </x:c>
      <x:c r="K62" s="33" t="n">
        <x:f>'Evaluation Plan'!K62</x:f>
        <x:v>2</x:v>
      </x:c>
      <x:c r="L62" s="33" t="n">
        <x:f>'Evaluation Plan'!L62</x:f>
        <x:v>3</x:v>
      </x:c>
      <x:c r="M62" s="33" t="str">
        <x:f>'Evaluation Plan'!M62</x:f>
        <x:v>ADD</x:v>
      </x:c>
      <x:c r="N62" s="31" t="str">
        <x:f>'Evaluation Plan'!N62</x:f>
        <x:v>Primary: three via held-out 2→3 addition</x:v>
      </x:c>
      <x:c r="O62" s="33" t="n">
        <x:f>'Evaluation Plan'!O62</x:f>
        <x:v>3</x:v>
      </x:c>
      <x:c r="P62" s="31" t="str">
        <x:f>'Evaluation Plan'!P62</x:f>
        <x:v>Reset the exact count-2 scene; change only the prompt.</x:v>
      </x:c>
      <x:c r="Q62" s="31" t="str">
        <x:f>'Evaluation Plan'!Q62</x:f>
        <x:v>The goal word three is trained, and this 2→3 trajectory is trained under a direct instruction, but the combination is withheld.</x:v>
      </x:c>
      <x:c r="R62" s="31" t="n">
        <x:f>'Evaluation Plan'!R62</x:f>
        <x:v>0</x:v>
      </x:c>
    </x:row>
    <x:row r="63" ht="46.5" customHeight="1">
      <x:c r="A63" s="32" t="str">
        <x:v>Not collected</x:v>
      </x:c>
      <x:c r="B63" s="34" t="n">
        <x:f>'Evaluation Plan'!B63</x:f>
        <x:v>61</x:v>
      </x:c>
      <x:c r="C63" s="32" t="str">
        <x:f>'Evaluation Plan'!C63</x:f>
        <x:v>Move the airplane toy without propellers into the bowl.</x:v>
      </x:c>
      <x:c r="D63" s="32" t="str">
        <x:f>'Evaluation Plan'!D63</x:f>
        <x:v>Bowl objects: [yellow block, blue pen] | Table objects: [green pencil sharpener, airplane toy without propellers]</x:v>
      </x:c>
      <x:c r="E63" s="34" t="n">
        <x:f>'Evaluation Plan'!E63</x:f>
        <x:v>60</x:v>
      </x:c>
      <x:c r="F63" s="32" t="str">
        <x:f>'Evaluation Plan'!F63</x:f>
        <x:v>ADD airplane toy without propellers</x:v>
      </x:c>
      <x:c r="G63" s="32" t="str"/>
      <x:c r="H63" s="37" t="str">
        <x:f>'Evaluation Plan'!H63</x:f>
        <x:v>Matched manipulation control</x:v>
      </x:c>
      <x:c r="I63" s="32" t="str">
        <x:f>'Evaluation Plan'!I63</x:f>
        <x:v>CT-CF06</x:v>
      </x:c>
      <x:c r="J63" s="32" t="str">
        <x:f>'Evaluation Plan'!J63</x:f>
        <x:v>CT-CF06-ADD</x:v>
      </x:c>
      <x:c r="K63" s="34" t="n">
        <x:f>'Evaluation Plan'!K63</x:f>
        <x:v>2</x:v>
      </x:c>
      <x:c r="L63" s="34" t="n">
        <x:f>'Evaluation Plan'!L63</x:f>
        <x:v>3</x:v>
      </x:c>
      <x:c r="M63" s="34" t="str">
        <x:f>'Evaluation Plan'!M63</x:f>
        <x:v>ADD</x:v>
      </x:c>
      <x:c r="N63" s="32" t="str">
        <x:f>'Evaluation Plan'!N63</x:f>
        <x:v>Matched direct ADD control</x:v>
      </x:c>
      <x:c r="O63" s="34" t="n">
        <x:f>'Evaluation Plan'!O63</x:f>
        <x:v>3</x:v>
      </x:c>
      <x:c r="P63" s="32" t="str">
        <x:f>'Evaluation Plan'!P63</x:f>
        <x:v>Reset the exact count-2 scene; change only the prompt.</x:v>
      </x:c>
      <x:c r="Q63" s="32" t="str">
        <x:f>'Evaluation Plan'!Q63</x:f>
        <x:v>The direct prompt is present in Counting training for this same-task object and action direction.</x:v>
      </x:c>
      <x:c r="R63" s="32" t="n">
        <x:f>'Evaluation Plan'!R63</x:f>
        <x:v>0</x:v>
      </x:c>
    </x:row>
    <x:row r="64" ht="46.5" customHeight="1">
      <x:c r="A64" s="31" t="str">
        <x:v>Not collected</x:v>
      </x:c>
      <x:c r="B64" s="33" t="n">
        <x:f>'Evaluation Plan'!B64</x:f>
        <x:v>62</x:v>
      </x:c>
      <x:c r="C64" s="31" t="str">
        <x:f>'Evaluation Plan'!C64</x:f>
        <x:v>Move the yellow block from the bowl to the table.</x:v>
      </x:c>
      <x:c r="D64" s="31" t="str">
        <x:f>'Evaluation Plan'!D64</x:f>
        <x:v>Bowl objects: [yellow block, blue pen] | Table objects: [green pencil sharpener, airplane toy without propellers]</x:v>
      </x:c>
      <x:c r="E64" s="33" t="str">
        <x:f>'Evaluation Plan'!E64</x:f>
      </x:c>
      <x:c r="F64" s="31" t="str">
        <x:f>'Evaluation Plan'!F64</x:f>
        <x:v>REMOVE yellow block</x:v>
      </x:c>
      <x:c r="G64" s="31" t="str"/>
      <x:c r="H64" s="37" t="str">
        <x:f>'Evaluation Plan'!H64</x:f>
        <x:v>Matched manipulation control</x:v>
      </x:c>
      <x:c r="I64" s="31" t="str">
        <x:f>'Evaluation Plan'!I64</x:f>
        <x:v>CT-CF06</x:v>
      </x:c>
      <x:c r="J64" s="31" t="str">
        <x:f>'Evaluation Plan'!J64</x:f>
        <x:v>CT-CF06-REMOVE</x:v>
      </x:c>
      <x:c r="K64" s="33" t="n">
        <x:f>'Evaluation Plan'!K64</x:f>
        <x:v>2</x:v>
      </x:c>
      <x:c r="L64" s="33" t="n">
        <x:f>'Evaluation Plan'!L64</x:f>
        <x:v>1</x:v>
      </x:c>
      <x:c r="M64" s="33" t="str">
        <x:f>'Evaluation Plan'!M64</x:f>
        <x:v>REMOVE</x:v>
      </x:c>
      <x:c r="N64" s="31" t="str">
        <x:f>'Evaluation Plan'!N64</x:f>
        <x:v>Matched direct REMOVE control</x:v>
      </x:c>
      <x:c r="O64" s="33" t="n">
        <x:f>'Evaluation Plan'!O64</x:f>
        <x:v>3</x:v>
      </x:c>
      <x:c r="P64" s="31" t="str">
        <x:f>'Evaluation Plan'!P64</x:f>
        <x:v>Reset the exact count-2 scene; change only the prompt.</x:v>
      </x:c>
      <x:c r="Q64" s="31" t="str">
        <x:f>'Evaluation Plan'!Q64</x:f>
        <x:v>The direct prompt is present in Counting training for this same-task object and action direction.</x:v>
      </x:c>
      <x:c r="R64" s="31" t="n">
        <x:f>'Evaluation Plan'!R64</x:f>
        <x:v>0</x:v>
      </x:c>
    </x:row>
    <x:row r="65" ht="46.5" customHeight="1">
      <x:c r="A65" s="32" t="str">
        <x:v>Not collected</x:v>
      </x:c>
      <x:c r="B65" s="34" t="n">
        <x:f>'Evaluation Plan'!B65</x:f>
        <x:v>63</x:v>
      </x:c>
      <x:c r="C65" s="32" t="str">
        <x:f>'Evaluation Plan'!C65</x:f>
        <x:v>Leave exactly one object in the bowl.</x:v>
      </x:c>
      <x:c r="D65" s="32" t="str">
        <x:f>'Evaluation Plan'!D65</x:f>
        <x:v>Bowl objects: [yellow block, blue pen] | Table objects: [green pencil sharpener, airplane toy without propellers]</x:v>
      </x:c>
      <x:c r="E65" s="34" t="n">
        <x:f>'Evaluation Plan'!E65</x:f>
        <x:v>62</x:v>
      </x:c>
      <x:c r="F65" s="32" t="str">
        <x:f>'Evaluation Plan'!F65</x:f>
        <x:v>REMOVE any one bowl object; finish with 1 object in the bowl</x:v>
      </x:c>
      <x:c r="G65" s="32" t="str"/>
      <x:c r="H65" s="36" t="str">
        <x:f>'Evaluation Plan'!H65</x:f>
        <x:v>Concept/compositional transfer</x:v>
      </x:c>
      <x:c r="I65" s="32" t="str">
        <x:f>'Evaluation Plan'!I65</x:f>
        <x:v>CT-CF06</x:v>
      </x:c>
      <x:c r="J65" s="32" t="str">
        <x:f>'Evaluation Plan'!J65</x:f>
        <x:v>CT-CF06-REMOVE</x:v>
      </x:c>
      <x:c r="K65" s="34" t="n">
        <x:f>'Evaluation Plan'!K65</x:f>
        <x:v>2</x:v>
      </x:c>
      <x:c r="L65" s="34" t="n">
        <x:f>'Evaluation Plan'!L65</x:f>
        <x:v>1</x:v>
      </x:c>
      <x:c r="M65" s="34" t="str">
        <x:f>'Evaluation Plan'!M65</x:f>
        <x:v>REMOVE</x:v>
      </x:c>
      <x:c r="N65" s="32" t="str">
        <x:f>'Evaluation Plan'!N65</x:f>
        <x:v>Primary: one via held-out 2→1 removal</x:v>
      </x:c>
      <x:c r="O65" s="34" t="n">
        <x:f>'Evaluation Plan'!O65</x:f>
        <x:v>3</x:v>
      </x:c>
      <x:c r="P65" s="32" t="str">
        <x:f>'Evaluation Plan'!P65</x:f>
        <x:v>Build the listed count-2 scene.</x:v>
      </x:c>
      <x:c r="Q65" s="32" t="str">
        <x:f>'Evaluation Plan'!Q65</x:f>
        <x:v>The goal word one is trained, and this 2→1 trajectory is trained under a direct instruction, but the combination is withheld.</x:v>
      </x:c>
      <x:c r="R65" s="32" t="n">
        <x:f>'Evaluation Plan'!R65</x:f>
        <x:v>0</x:v>
      </x:c>
    </x:row>
    <x:row r="66" ht="46.5" customHeight="1">
      <x:c r="A66" s="31" t="str">
        <x:v>Not collected</x:v>
      </x:c>
      <x:c r="B66" s="33" t="n">
        <x:f>'Evaluation Plan'!B66</x:f>
        <x:v>64</x:v>
      </x:c>
      <x:c r="C66" s="31" t="str">
        <x:f>'Evaluation Plan'!C66</x:f>
        <x:v>Leave exactly one object in the bowl.</x:v>
      </x:c>
      <x:c r="D66" s="31" t="str">
        <x:f>'Evaluation Plan'!D66</x:f>
        <x:v>Bowl objects: [green pencil sharpener, airplane toy without propellers] | Table objects: [blue pen, yellow block]</x:v>
      </x:c>
      <x:c r="E66" s="33" t="str">
        <x:f>'Evaluation Plan'!E66</x:f>
      </x:c>
      <x:c r="F66" s="31" t="str">
        <x:f>'Evaluation Plan'!F66</x:f>
        <x:v>REMOVE any one bowl object; finish with 1 object in the bowl</x:v>
      </x:c>
      <x:c r="G66" s="31" t="str"/>
      <x:c r="H66" s="36" t="str">
        <x:f>'Evaluation Plan'!H66</x:f>
        <x:v>Concept/compositional transfer</x:v>
      </x:c>
      <x:c r="I66" s="31" t="str">
        <x:f>'Evaluation Plan'!I66</x:f>
        <x:v>CT-CF07</x:v>
      </x:c>
      <x:c r="J66" s="31" t="str">
        <x:f>'Evaluation Plan'!J66</x:f>
        <x:v>CT-CF07-REMOVE</x:v>
      </x:c>
      <x:c r="K66" s="33" t="n">
        <x:f>'Evaluation Plan'!K66</x:f>
        <x:v>2</x:v>
      </x:c>
      <x:c r="L66" s="33" t="n">
        <x:f>'Evaluation Plan'!L66</x:f>
        <x:v>1</x:v>
      </x:c>
      <x:c r="M66" s="33" t="str">
        <x:f>'Evaluation Plan'!M66</x:f>
        <x:v>REMOVE</x:v>
      </x:c>
      <x:c r="N66" s="31" t="str">
        <x:f>'Evaluation Plan'!N66</x:f>
        <x:v>Primary: one via held-out 2→1 removal</x:v>
      </x:c>
      <x:c r="O66" s="33" t="n">
        <x:f>'Evaluation Plan'!O66</x:f>
        <x:v>3</x:v>
      </x:c>
      <x:c r="P66" s="31" t="str">
        <x:f>'Evaluation Plan'!P66</x:f>
        <x:v>Build the listed count-2 scene.</x:v>
      </x:c>
      <x:c r="Q66" s="31" t="str">
        <x:f>'Evaluation Plan'!Q66</x:f>
        <x:v>The goal word one is trained, and this 2→1 trajectory is trained under a direct instruction, but the combination is withheld.</x:v>
      </x:c>
      <x:c r="R66" s="31" t="n">
        <x:f>'Evaluation Plan'!R66</x:f>
        <x:v>0</x:v>
      </x:c>
    </x:row>
    <x:row r="67" ht="46.5" customHeight="1">
      <x:c r="A67" s="32" t="str">
        <x:v>Not collected</x:v>
      </x:c>
      <x:c r="B67" s="34" t="n">
        <x:f>'Evaluation Plan'!B67</x:f>
        <x:v>65</x:v>
      </x:c>
      <x:c r="C67" s="32" t="str">
        <x:f>'Evaluation Plan'!C67</x:f>
        <x:v>Move the green pencil sharpener from the bowl to the table.</x:v>
      </x:c>
      <x:c r="D67" s="32" t="str">
        <x:f>'Evaluation Plan'!D67</x:f>
        <x:v>Bowl objects: [green pencil sharpener, airplane toy without propellers] | Table objects: [blue pen, yellow block]</x:v>
      </x:c>
      <x:c r="E67" s="34" t="n">
        <x:f>'Evaluation Plan'!E67</x:f>
        <x:v>64</x:v>
      </x:c>
      <x:c r="F67" s="32" t="str">
        <x:f>'Evaluation Plan'!F67</x:f>
        <x:v>REMOVE green pencil sharpener</x:v>
      </x:c>
      <x:c r="G67" s="32" t="str"/>
      <x:c r="H67" s="37" t="str">
        <x:f>'Evaluation Plan'!H67</x:f>
        <x:v>Matched manipulation control</x:v>
      </x:c>
      <x:c r="I67" s="32" t="str">
        <x:f>'Evaluation Plan'!I67</x:f>
        <x:v>CT-CF07</x:v>
      </x:c>
      <x:c r="J67" s="32" t="str">
        <x:f>'Evaluation Plan'!J67</x:f>
        <x:v>CT-CF07-REMOVE</x:v>
      </x:c>
      <x:c r="K67" s="34" t="n">
        <x:f>'Evaluation Plan'!K67</x:f>
        <x:v>2</x:v>
      </x:c>
      <x:c r="L67" s="34" t="n">
        <x:f>'Evaluation Plan'!L67</x:f>
        <x:v>1</x:v>
      </x:c>
      <x:c r="M67" s="34" t="str">
        <x:f>'Evaluation Plan'!M67</x:f>
        <x:v>REMOVE</x:v>
      </x:c>
      <x:c r="N67" s="32" t="str">
        <x:f>'Evaluation Plan'!N67</x:f>
        <x:v>Matched direct REMOVE control</x:v>
      </x:c>
      <x:c r="O67" s="34" t="n">
        <x:f>'Evaluation Plan'!O67</x:f>
        <x:v>3</x:v>
      </x:c>
      <x:c r="P67" s="32" t="str">
        <x:f>'Evaluation Plan'!P67</x:f>
        <x:v>Reset the exact count-2 scene; change only the prompt.</x:v>
      </x:c>
      <x:c r="Q67" s="32" t="str">
        <x:f>'Evaluation Plan'!Q67</x:f>
        <x:v>The direct prompt is present in Counting training for this same-task object and action direction.</x:v>
      </x:c>
      <x:c r="R67" s="32" t="n">
        <x:f>'Evaluation Plan'!R67</x:f>
        <x:v>0</x:v>
      </x:c>
    </x:row>
    <x:row r="68" ht="46.5" customHeight="1">
      <x:c r="A68" s="31" t="str">
        <x:v>Not collected</x:v>
      </x:c>
      <x:c r="B68" s="33" t="n">
        <x:f>'Evaluation Plan'!B68</x:f>
        <x:v>66</x:v>
      </x:c>
      <x:c r="C68" s="31" t="str">
        <x:f>'Evaluation Plan'!C68</x:f>
        <x:v>Move the blue pen into the bowl.</x:v>
      </x:c>
      <x:c r="D68" s="31" t="str">
        <x:f>'Evaluation Plan'!D68</x:f>
        <x:v>Bowl objects: [green pencil sharpener, airplane toy without propellers] | Table objects: [blue pen, yellow block]</x:v>
      </x:c>
      <x:c r="E68" s="33" t="str">
        <x:f>'Evaluation Plan'!E68</x:f>
      </x:c>
      <x:c r="F68" s="31" t="str">
        <x:f>'Evaluation Plan'!F68</x:f>
        <x:v>ADD blue pen</x:v>
      </x:c>
      <x:c r="G68" s="31" t="str"/>
      <x:c r="H68" s="37" t="str">
        <x:f>'Evaluation Plan'!H68</x:f>
        <x:v>Matched manipulation control</x:v>
      </x:c>
      <x:c r="I68" s="31" t="str">
        <x:f>'Evaluation Plan'!I68</x:f>
        <x:v>CT-CF07</x:v>
      </x:c>
      <x:c r="J68" s="31" t="str">
        <x:f>'Evaluation Plan'!J68</x:f>
        <x:v>CT-CF07-ADD</x:v>
      </x:c>
      <x:c r="K68" s="33" t="n">
        <x:f>'Evaluation Plan'!K68</x:f>
        <x:v>2</x:v>
      </x:c>
      <x:c r="L68" s="33" t="n">
        <x:f>'Evaluation Plan'!L68</x:f>
        <x:v>3</x:v>
      </x:c>
      <x:c r="M68" s="33" t="str">
        <x:f>'Evaluation Plan'!M68</x:f>
        <x:v>ADD</x:v>
      </x:c>
      <x:c r="N68" s="31" t="str">
        <x:f>'Evaluation Plan'!N68</x:f>
        <x:v>Matched direct ADD control</x:v>
      </x:c>
      <x:c r="O68" s="33" t="n">
        <x:f>'Evaluation Plan'!O68</x:f>
        <x:v>3</x:v>
      </x:c>
      <x:c r="P68" s="31" t="str">
        <x:f>'Evaluation Plan'!P68</x:f>
        <x:v>Reset the exact count-2 scene; change only the prompt.</x:v>
      </x:c>
      <x:c r="Q68" s="31" t="str">
        <x:f>'Evaluation Plan'!Q68</x:f>
        <x:v>The direct prompt is present in Counting training for this same-task object and action direction.</x:v>
      </x:c>
      <x:c r="R68" s="31" t="n">
        <x:f>'Evaluation Plan'!R68</x:f>
        <x:v>0</x:v>
      </x:c>
    </x:row>
    <x:row r="69" ht="46.5" customHeight="1">
      <x:c r="A69" s="32" t="str">
        <x:v>Not collected</x:v>
      </x:c>
      <x:c r="B69" s="34" t="n">
        <x:f>'Evaluation Plan'!B69</x:f>
        <x:v>67</x:v>
      </x:c>
      <x:c r="C69" s="32" t="str">
        <x:f>'Evaluation Plan'!C69</x:f>
        <x:v>Leave exactly three objects in the bowl.</x:v>
      </x:c>
      <x:c r="D69" s="32" t="str">
        <x:f>'Evaluation Plan'!D69</x:f>
        <x:v>Bowl objects: [green pencil sharpener, airplane toy without propellers] | Table objects: [blue pen, yellow block]</x:v>
      </x:c>
      <x:c r="E69" s="34" t="n">
        <x:f>'Evaluation Plan'!E69</x:f>
        <x:v>66</x:v>
      </x:c>
      <x:c r="F69" s="32" t="str">
        <x:f>'Evaluation Plan'!F69</x:f>
        <x:v>ADD any one table object; finish with 3 objects in the bowl</x:v>
      </x:c>
      <x:c r="G69" s="32" t="str"/>
      <x:c r="H69" s="36" t="str">
        <x:f>'Evaluation Plan'!H69</x:f>
        <x:v>Concept/compositional transfer</x:v>
      </x:c>
      <x:c r="I69" s="32" t="str">
        <x:f>'Evaluation Plan'!I69</x:f>
        <x:v>CT-CF07</x:v>
      </x:c>
      <x:c r="J69" s="32" t="str">
        <x:f>'Evaluation Plan'!J69</x:f>
        <x:v>CT-CF07-ADD</x:v>
      </x:c>
      <x:c r="K69" s="34" t="n">
        <x:f>'Evaluation Plan'!K69</x:f>
        <x:v>2</x:v>
      </x:c>
      <x:c r="L69" s="34" t="n">
        <x:f>'Evaluation Plan'!L69</x:f>
        <x:v>3</x:v>
      </x:c>
      <x:c r="M69" s="34" t="str">
        <x:f>'Evaluation Plan'!M69</x:f>
        <x:v>ADD</x:v>
      </x:c>
      <x:c r="N69" s="32" t="str">
        <x:f>'Evaluation Plan'!N69</x:f>
        <x:v>Primary: three via held-out 2→3 addition</x:v>
      </x:c>
      <x:c r="O69" s="34" t="n">
        <x:f>'Evaluation Plan'!O69</x:f>
        <x:v>3</x:v>
      </x:c>
      <x:c r="P69" s="32" t="str">
        <x:f>'Evaluation Plan'!P69</x:f>
        <x:v>Reset the exact count-2 scene; change only the prompt.</x:v>
      </x:c>
      <x:c r="Q69" s="32" t="str">
        <x:f>'Evaluation Plan'!Q69</x:f>
        <x:v>The goal word three is trained, and this 2→3 trajectory is trained under a direct instruction, but the combination is withheld.</x:v>
      </x:c>
      <x:c r="R69" s="32" t="n">
        <x:f>'Evaluation Plan'!R69</x:f>
        <x:v>0</x:v>
      </x:c>
    </x:row>
    <x:row r="70" ht="46.5" customHeight="1">
      <x:c r="A70" s="31" t="str">
        <x:v>Not collected</x:v>
      </x:c>
      <x:c r="B70" s="33" t="n">
        <x:f>'Evaluation Plan'!B70</x:f>
        <x:v>68</x:v>
      </x:c>
      <x:c r="C70" s="31" t="str">
        <x:f>'Evaluation Plan'!C70</x:f>
        <x:v>Leave exactly three objects in the bowl.</x:v>
      </x:c>
      <x:c r="D70" s="31" t="str">
        <x:f>'Evaluation Plan'!D70</x:f>
        <x:v>Bowl objects: [airplane toy without propellers, blue pen] | Table objects: [yellow block, green pencil sharpener]</x:v>
      </x:c>
      <x:c r="E70" s="33" t="str">
        <x:f>'Evaluation Plan'!E70</x:f>
      </x:c>
      <x:c r="F70" s="31" t="str">
        <x:f>'Evaluation Plan'!F70</x:f>
        <x:v>ADD any one table object; finish with 3 objects in the bowl</x:v>
      </x:c>
      <x:c r="G70" s="31" t="str"/>
      <x:c r="H70" s="36" t="str">
        <x:f>'Evaluation Plan'!H70</x:f>
        <x:v>Concept/compositional transfer</x:v>
      </x:c>
      <x:c r="I70" s="31" t="str">
        <x:f>'Evaluation Plan'!I70</x:f>
        <x:v>CT-CF08</x:v>
      </x:c>
      <x:c r="J70" s="31" t="str">
        <x:f>'Evaluation Plan'!J70</x:f>
        <x:v>CT-CF08-ADD</x:v>
      </x:c>
      <x:c r="K70" s="33" t="n">
        <x:f>'Evaluation Plan'!K70</x:f>
        <x:v>2</x:v>
      </x:c>
      <x:c r="L70" s="33" t="n">
        <x:f>'Evaluation Plan'!L70</x:f>
        <x:v>3</x:v>
      </x:c>
      <x:c r="M70" s="33" t="str">
        <x:f>'Evaluation Plan'!M70</x:f>
        <x:v>ADD</x:v>
      </x:c>
      <x:c r="N70" s="31" t="str">
        <x:f>'Evaluation Plan'!N70</x:f>
        <x:v>Primary: three via held-out 2→3 addition</x:v>
      </x:c>
      <x:c r="O70" s="33" t="n">
        <x:f>'Evaluation Plan'!O70</x:f>
        <x:v>3</x:v>
      </x:c>
      <x:c r="P70" s="31" t="str">
        <x:f>'Evaluation Plan'!P70</x:f>
        <x:v>Reset the exact count-2 scene; change only the prompt.</x:v>
      </x:c>
      <x:c r="Q70" s="31" t="str">
        <x:f>'Evaluation Plan'!Q70</x:f>
        <x:v>The goal word three is trained, and this 2→3 trajectory is trained under a direct instruction, but the combination is withheld.</x:v>
      </x:c>
      <x:c r="R70" s="31" t="n">
        <x:f>'Evaluation Plan'!R70</x:f>
        <x:v>0</x:v>
      </x:c>
    </x:row>
    <x:row r="71" ht="46.5" customHeight="1">
      <x:c r="A71" s="32" t="str">
        <x:v>Not collected</x:v>
      </x:c>
      <x:c r="B71" s="34" t="n">
        <x:f>'Evaluation Plan'!B71</x:f>
        <x:v>69</x:v>
      </x:c>
      <x:c r="C71" s="32" t="str">
        <x:f>'Evaluation Plan'!C71</x:f>
        <x:v>Move the yellow block into the bowl.</x:v>
      </x:c>
      <x:c r="D71" s="32" t="str">
        <x:f>'Evaluation Plan'!D71</x:f>
        <x:v>Bowl objects: [airplane toy without propellers, blue pen] | Table objects: [yellow block, green pencil sharpener]</x:v>
      </x:c>
      <x:c r="E71" s="34" t="n">
        <x:f>'Evaluation Plan'!E71</x:f>
        <x:v>68</x:v>
      </x:c>
      <x:c r="F71" s="32" t="str">
        <x:f>'Evaluation Plan'!F71</x:f>
        <x:v>ADD yellow block</x:v>
      </x:c>
      <x:c r="G71" s="32" t="str"/>
      <x:c r="H71" s="37" t="str">
        <x:f>'Evaluation Plan'!H71</x:f>
        <x:v>Matched manipulation control</x:v>
      </x:c>
      <x:c r="I71" s="32" t="str">
        <x:f>'Evaluation Plan'!I71</x:f>
        <x:v>CT-CF08</x:v>
      </x:c>
      <x:c r="J71" s="32" t="str">
        <x:f>'Evaluation Plan'!J71</x:f>
        <x:v>CT-CF08-ADD</x:v>
      </x:c>
      <x:c r="K71" s="34" t="n">
        <x:f>'Evaluation Plan'!K71</x:f>
        <x:v>2</x:v>
      </x:c>
      <x:c r="L71" s="34" t="n">
        <x:f>'Evaluation Plan'!L71</x:f>
        <x:v>3</x:v>
      </x:c>
      <x:c r="M71" s="34" t="str">
        <x:f>'Evaluation Plan'!M71</x:f>
        <x:v>ADD</x:v>
      </x:c>
      <x:c r="N71" s="32" t="str">
        <x:f>'Evaluation Plan'!N71</x:f>
        <x:v>Matched direct ADD control</x:v>
      </x:c>
      <x:c r="O71" s="34" t="n">
        <x:f>'Evaluation Plan'!O71</x:f>
        <x:v>3</x:v>
      </x:c>
      <x:c r="P71" s="32" t="str">
        <x:f>'Evaluation Plan'!P71</x:f>
        <x:v>Reset the exact count-2 scene; change only the prompt.</x:v>
      </x:c>
      <x:c r="Q71" s="32" t="str">
        <x:f>'Evaluation Plan'!Q71</x:f>
        <x:v>The direct prompt is present in Counting training for this same-task object and action direction.</x:v>
      </x:c>
      <x:c r="R71" s="32" t="n">
        <x:f>'Evaluation Plan'!R71</x:f>
        <x:v>0</x:v>
      </x:c>
    </x:row>
    <x:row r="72" ht="46.5" customHeight="1">
      <x:c r="A72" s="31" t="str">
        <x:v>Not collected</x:v>
      </x:c>
      <x:c r="B72" s="33" t="n">
        <x:f>'Evaluation Plan'!B72</x:f>
        <x:v>70</x:v>
      </x:c>
      <x:c r="C72" s="31" t="str">
        <x:f>'Evaluation Plan'!C72</x:f>
        <x:v>Move the airplane toy without propellers from the bowl to the table.</x:v>
      </x:c>
      <x:c r="D72" s="31" t="str">
        <x:f>'Evaluation Plan'!D72</x:f>
        <x:v>Bowl objects: [airplane toy without propellers, blue pen] | Table objects: [yellow block, green pencil sharpener]</x:v>
      </x:c>
      <x:c r="E72" s="33" t="str">
        <x:f>'Evaluation Plan'!E72</x:f>
      </x:c>
      <x:c r="F72" s="31" t="str">
        <x:f>'Evaluation Plan'!F72</x:f>
        <x:v>REMOVE airplane toy without propellers</x:v>
      </x:c>
      <x:c r="G72" s="31" t="str"/>
      <x:c r="H72" s="37" t="str">
        <x:f>'Evaluation Plan'!H72</x:f>
        <x:v>Matched manipulation control</x:v>
      </x:c>
      <x:c r="I72" s="31" t="str">
        <x:f>'Evaluation Plan'!I72</x:f>
        <x:v>CT-CF08</x:v>
      </x:c>
      <x:c r="J72" s="31" t="str">
        <x:f>'Evaluation Plan'!J72</x:f>
        <x:v>CT-CF08-REMOVE</x:v>
      </x:c>
      <x:c r="K72" s="33" t="n">
        <x:f>'Evaluation Plan'!K72</x:f>
        <x:v>2</x:v>
      </x:c>
      <x:c r="L72" s="33" t="n">
        <x:f>'Evaluation Plan'!L72</x:f>
        <x:v>1</x:v>
      </x:c>
      <x:c r="M72" s="33" t="str">
        <x:f>'Evaluation Plan'!M72</x:f>
        <x:v>REMOVE</x:v>
      </x:c>
      <x:c r="N72" s="31" t="str">
        <x:f>'Evaluation Plan'!N72</x:f>
        <x:v>Matched direct REMOVE control</x:v>
      </x:c>
      <x:c r="O72" s="33" t="n">
        <x:f>'Evaluation Plan'!O72</x:f>
        <x:v>3</x:v>
      </x:c>
      <x:c r="P72" s="31" t="str">
        <x:f>'Evaluation Plan'!P72</x:f>
        <x:v>Reset the exact count-2 scene; change only the prompt.</x:v>
      </x:c>
      <x:c r="Q72" s="31" t="str">
        <x:f>'Evaluation Plan'!Q72</x:f>
        <x:v>The direct prompt is present in Counting training for this same-task object and action direction.</x:v>
      </x:c>
      <x:c r="R72" s="31" t="n">
        <x:f>'Evaluation Plan'!R72</x:f>
        <x:v>0</x:v>
      </x:c>
    </x:row>
    <x:row r="73" ht="46.5" customHeight="1">
      <x:c r="A73" s="32" t="str">
        <x:v>Not collected</x:v>
      </x:c>
      <x:c r="B73" s="34" t="n">
        <x:f>'Evaluation Plan'!B73</x:f>
        <x:v>71</x:v>
      </x:c>
      <x:c r="C73" s="32" t="str">
        <x:f>'Evaluation Plan'!C73</x:f>
        <x:v>Leave exactly one object in the bowl.</x:v>
      </x:c>
      <x:c r="D73" s="32" t="str">
        <x:f>'Evaluation Plan'!D73</x:f>
        <x:v>Bowl objects: [airplane toy without propellers, blue pen] | Table objects: [yellow block, green pencil sharpener]</x:v>
      </x:c>
      <x:c r="E73" s="34" t="n">
        <x:f>'Evaluation Plan'!E73</x:f>
        <x:v>70</x:v>
      </x:c>
      <x:c r="F73" s="32" t="str">
        <x:f>'Evaluation Plan'!F73</x:f>
        <x:v>REMOVE any one bowl object; finish with 1 object in the bowl</x:v>
      </x:c>
      <x:c r="G73" s="32" t="str"/>
      <x:c r="H73" s="36" t="str">
        <x:f>'Evaluation Plan'!H73</x:f>
        <x:v>Concept/compositional transfer</x:v>
      </x:c>
      <x:c r="I73" s="32" t="str">
        <x:f>'Evaluation Plan'!I73</x:f>
        <x:v>CT-CF08</x:v>
      </x:c>
      <x:c r="J73" s="32" t="str">
        <x:f>'Evaluation Plan'!J73</x:f>
        <x:v>CT-CF08-REMOVE</x:v>
      </x:c>
      <x:c r="K73" s="34" t="n">
        <x:f>'Evaluation Plan'!K73</x:f>
        <x:v>2</x:v>
      </x:c>
      <x:c r="L73" s="34" t="n">
        <x:f>'Evaluation Plan'!L73</x:f>
        <x:v>1</x:v>
      </x:c>
      <x:c r="M73" s="34" t="str">
        <x:f>'Evaluation Plan'!M73</x:f>
        <x:v>REMOVE</x:v>
      </x:c>
      <x:c r="N73" s="32" t="str">
        <x:f>'Evaluation Plan'!N73</x:f>
        <x:v>Primary: one via held-out 2→1 removal</x:v>
      </x:c>
      <x:c r="O73" s="34" t="n">
        <x:f>'Evaluation Plan'!O73</x:f>
        <x:v>3</x:v>
      </x:c>
      <x:c r="P73" s="32" t="str">
        <x:f>'Evaluation Plan'!P73</x:f>
        <x:v>Build the listed count-2 scene.</x:v>
      </x:c>
      <x:c r="Q73" s="32" t="str">
        <x:f>'Evaluation Plan'!Q73</x:f>
        <x:v>The goal word one is trained, and this 2→1 trajectory is trained under a direct instruction, but the combination is withheld.</x:v>
      </x:c>
      <x:c r="R73" s="32" t="n">
        <x:f>'Evaluation Plan'!R73</x:f>
        <x:v>0</x:v>
      </x:c>
    </x:row>
    <x:row r="74" ht="46.5" customHeight="1">
      <x:c r="A74" s="31" t="str">
        <x:v>Not collected</x:v>
      </x:c>
      <x:c r="B74" s="33" t="n">
        <x:f>'Evaluation Plan'!B74</x:f>
        <x:v>72</x:v>
      </x:c>
      <x:c r="C74" s="31" t="str">
        <x:f>'Evaluation Plan'!C74</x:f>
        <x:v>Leave exactly one object in the bowl.</x:v>
      </x:c>
      <x:c r="D74" s="31" t="str">
        <x:f>'Evaluation Plan'!D74</x:f>
        <x:v>Bowl objects: [blue pen, yellow block] | Table objects: [green pencil sharpener, airplane toy without propellers]</x:v>
      </x:c>
      <x:c r="E74" s="33" t="str">
        <x:f>'Evaluation Plan'!E74</x:f>
      </x:c>
      <x:c r="F74" s="31" t="str">
        <x:f>'Evaluation Plan'!F74</x:f>
        <x:v>REMOVE any one bowl object; finish with 1 object in the bowl</x:v>
      </x:c>
      <x:c r="G74" s="31" t="str"/>
      <x:c r="H74" s="36" t="str">
        <x:f>'Evaluation Plan'!H74</x:f>
        <x:v>Concept/compositional transfer</x:v>
      </x:c>
      <x:c r="I74" s="31" t="str">
        <x:f>'Evaluation Plan'!I74</x:f>
        <x:v>CT-CF09</x:v>
      </x:c>
      <x:c r="J74" s="31" t="str">
        <x:f>'Evaluation Plan'!J74</x:f>
        <x:v>CT-CF09-REMOVE</x:v>
      </x:c>
      <x:c r="K74" s="33" t="n">
        <x:f>'Evaluation Plan'!K74</x:f>
        <x:v>2</x:v>
      </x:c>
      <x:c r="L74" s="33" t="n">
        <x:f>'Evaluation Plan'!L74</x:f>
        <x:v>1</x:v>
      </x:c>
      <x:c r="M74" s="33" t="str">
        <x:f>'Evaluation Plan'!M74</x:f>
        <x:v>REMOVE</x:v>
      </x:c>
      <x:c r="N74" s="31" t="str">
        <x:f>'Evaluation Plan'!N74</x:f>
        <x:v>Primary: one via held-out 2→1 removal</x:v>
      </x:c>
      <x:c r="O74" s="33" t="n">
        <x:f>'Evaluation Plan'!O74</x:f>
        <x:v>3</x:v>
      </x:c>
      <x:c r="P74" s="31" t="str">
        <x:f>'Evaluation Plan'!P74</x:f>
        <x:v>Build the listed count-2 scene.</x:v>
      </x:c>
      <x:c r="Q74" s="31" t="str">
        <x:f>'Evaluation Plan'!Q74</x:f>
        <x:v>The goal word one is trained, and this 2→1 trajectory is trained under a direct instruction, but the combination is withheld.</x:v>
      </x:c>
      <x:c r="R74" s="31" t="n">
        <x:f>'Evaluation Plan'!R74</x:f>
        <x:v>0</x:v>
      </x:c>
    </x:row>
    <x:row r="75" ht="46.5" customHeight="1">
      <x:c r="A75" s="32" t="str">
        <x:v>Not collected</x:v>
      </x:c>
      <x:c r="B75" s="34" t="n">
        <x:f>'Evaluation Plan'!B75</x:f>
        <x:v>73</x:v>
      </x:c>
      <x:c r="C75" s="32" t="str">
        <x:f>'Evaluation Plan'!C75</x:f>
        <x:v>Move the blue pen from the bowl to the table.</x:v>
      </x:c>
      <x:c r="D75" s="32" t="str">
        <x:f>'Evaluation Plan'!D75</x:f>
        <x:v>Bowl objects: [blue pen, yellow block] | Table objects: [green pencil sharpener, airplane toy without propellers]</x:v>
      </x:c>
      <x:c r="E75" s="34" t="n">
        <x:f>'Evaluation Plan'!E75</x:f>
        <x:v>72</x:v>
      </x:c>
      <x:c r="F75" s="32" t="str">
        <x:f>'Evaluation Plan'!F75</x:f>
        <x:v>REMOVE blue pen</x:v>
      </x:c>
      <x:c r="G75" s="32" t="str"/>
      <x:c r="H75" s="37" t="str">
        <x:f>'Evaluation Plan'!H75</x:f>
        <x:v>Matched manipulation control</x:v>
      </x:c>
      <x:c r="I75" s="32" t="str">
        <x:f>'Evaluation Plan'!I75</x:f>
        <x:v>CT-CF09</x:v>
      </x:c>
      <x:c r="J75" s="32" t="str">
        <x:f>'Evaluation Plan'!J75</x:f>
        <x:v>CT-CF09-REMOVE</x:v>
      </x:c>
      <x:c r="K75" s="34" t="n">
        <x:f>'Evaluation Plan'!K75</x:f>
        <x:v>2</x:v>
      </x:c>
      <x:c r="L75" s="34" t="n">
        <x:f>'Evaluation Plan'!L75</x:f>
        <x:v>1</x:v>
      </x:c>
      <x:c r="M75" s="34" t="str">
        <x:f>'Evaluation Plan'!M75</x:f>
        <x:v>REMOVE</x:v>
      </x:c>
      <x:c r="N75" s="32" t="str">
        <x:f>'Evaluation Plan'!N75</x:f>
        <x:v>Matched direct REMOVE control</x:v>
      </x:c>
      <x:c r="O75" s="34" t="n">
        <x:f>'Evaluation Plan'!O75</x:f>
        <x:v>3</x:v>
      </x:c>
      <x:c r="P75" s="32" t="str">
        <x:f>'Evaluation Plan'!P75</x:f>
        <x:v>Reset the exact count-2 scene; change only the prompt.</x:v>
      </x:c>
      <x:c r="Q75" s="32" t="str">
        <x:f>'Evaluation Plan'!Q75</x:f>
        <x:v>The direct prompt is present in Counting training for this same-task object and action direction.</x:v>
      </x:c>
      <x:c r="R75" s="32" t="n">
        <x:f>'Evaluation Plan'!R75</x:f>
        <x:v>0</x:v>
      </x:c>
    </x:row>
    <x:row r="76" ht="46.5" customHeight="1">
      <x:c r="A76" s="31" t="str">
        <x:v>Not collected</x:v>
      </x:c>
      <x:c r="B76" s="33" t="n">
        <x:f>'Evaluation Plan'!B76</x:f>
        <x:v>74</x:v>
      </x:c>
      <x:c r="C76" s="31" t="str">
        <x:f>'Evaluation Plan'!C76</x:f>
        <x:v>Move the green pencil sharpener into the bowl.</x:v>
      </x:c>
      <x:c r="D76" s="31" t="str">
        <x:f>'Evaluation Plan'!D76</x:f>
        <x:v>Bowl objects: [blue pen, yellow block] | Table objects: [green pencil sharpener, airplane toy without propellers]</x:v>
      </x:c>
      <x:c r="E76" s="33" t="str">
        <x:f>'Evaluation Plan'!E76</x:f>
      </x:c>
      <x:c r="F76" s="31" t="str">
        <x:f>'Evaluation Plan'!F76</x:f>
        <x:v>ADD green pencil sharpener</x:v>
      </x:c>
      <x:c r="G76" s="31" t="str"/>
      <x:c r="H76" s="37" t="str">
        <x:f>'Evaluation Plan'!H76</x:f>
        <x:v>Matched manipulation control</x:v>
      </x:c>
      <x:c r="I76" s="31" t="str">
        <x:f>'Evaluation Plan'!I76</x:f>
        <x:v>CT-CF09</x:v>
      </x:c>
      <x:c r="J76" s="31" t="str">
        <x:f>'Evaluation Plan'!J76</x:f>
        <x:v>CT-CF09-ADD</x:v>
      </x:c>
      <x:c r="K76" s="33" t="n">
        <x:f>'Evaluation Plan'!K76</x:f>
        <x:v>2</x:v>
      </x:c>
      <x:c r="L76" s="33" t="n">
        <x:f>'Evaluation Plan'!L76</x:f>
        <x:v>3</x:v>
      </x:c>
      <x:c r="M76" s="33" t="str">
        <x:f>'Evaluation Plan'!M76</x:f>
        <x:v>ADD</x:v>
      </x:c>
      <x:c r="N76" s="31" t="str">
        <x:f>'Evaluation Plan'!N76</x:f>
        <x:v>Matched direct ADD control</x:v>
      </x:c>
      <x:c r="O76" s="33" t="n">
        <x:f>'Evaluation Plan'!O76</x:f>
        <x:v>3</x:v>
      </x:c>
      <x:c r="P76" s="31" t="str">
        <x:f>'Evaluation Plan'!P76</x:f>
        <x:v>Reset the exact count-2 scene; change only the prompt.</x:v>
      </x:c>
      <x:c r="Q76" s="31" t="str">
        <x:f>'Evaluation Plan'!Q76</x:f>
        <x:v>The direct prompt is present in Counting training for this same-task object and action direction.</x:v>
      </x:c>
      <x:c r="R76" s="31" t="n">
        <x:f>'Evaluation Plan'!R76</x:f>
        <x:v>0</x:v>
      </x:c>
    </x:row>
    <x:row r="77" ht="46.5" customHeight="1">
      <x:c r="A77" s="32" t="str">
        <x:v>Not collected</x:v>
      </x:c>
      <x:c r="B77" s="34" t="n">
        <x:f>'Evaluation Plan'!B77</x:f>
        <x:v>75</x:v>
      </x:c>
      <x:c r="C77" s="32" t="str">
        <x:f>'Evaluation Plan'!C77</x:f>
        <x:v>Leave exactly three objects in the bowl.</x:v>
      </x:c>
      <x:c r="D77" s="32" t="str">
        <x:f>'Evaluation Plan'!D77</x:f>
        <x:v>Bowl objects: [blue pen, yellow block] | Table objects: [green pencil sharpener, airplane toy without propellers]</x:v>
      </x:c>
      <x:c r="E77" s="34" t="n">
        <x:f>'Evaluation Plan'!E77</x:f>
        <x:v>74</x:v>
      </x:c>
      <x:c r="F77" s="32" t="str">
        <x:f>'Evaluation Plan'!F77</x:f>
        <x:v>ADD any one table object; finish with 3 objects in the bowl</x:v>
      </x:c>
      <x:c r="G77" s="32" t="str"/>
      <x:c r="H77" s="36" t="str">
        <x:f>'Evaluation Plan'!H77</x:f>
        <x:v>Concept/compositional transfer</x:v>
      </x:c>
      <x:c r="I77" s="32" t="str">
        <x:f>'Evaluation Plan'!I77</x:f>
        <x:v>CT-CF09</x:v>
      </x:c>
      <x:c r="J77" s="32" t="str">
        <x:f>'Evaluation Plan'!J77</x:f>
        <x:v>CT-CF09-ADD</x:v>
      </x:c>
      <x:c r="K77" s="34" t="n">
        <x:f>'Evaluation Plan'!K77</x:f>
        <x:v>2</x:v>
      </x:c>
      <x:c r="L77" s="34" t="n">
        <x:f>'Evaluation Plan'!L77</x:f>
        <x:v>3</x:v>
      </x:c>
      <x:c r="M77" s="34" t="str">
        <x:f>'Evaluation Plan'!M77</x:f>
        <x:v>ADD</x:v>
      </x:c>
      <x:c r="N77" s="32" t="str">
        <x:f>'Evaluation Plan'!N77</x:f>
        <x:v>Primary: three via held-out 2→3 addition</x:v>
      </x:c>
      <x:c r="O77" s="34" t="n">
        <x:f>'Evaluation Plan'!O77</x:f>
        <x:v>3</x:v>
      </x:c>
      <x:c r="P77" s="32" t="str">
        <x:f>'Evaluation Plan'!P77</x:f>
        <x:v>Reset the exact count-2 scene; change only the prompt.</x:v>
      </x:c>
      <x:c r="Q77" s="32" t="str">
        <x:f>'Evaluation Plan'!Q77</x:f>
        <x:v>The goal word three is trained, and this 2→3 trajectory is trained under a direct instruction, but the combination is withheld.</x:v>
      </x:c>
      <x:c r="R77" s="32" t="n">
        <x:f>'Evaluation Plan'!R77</x:f>
        <x:v>0</x:v>
      </x:c>
    </x:row>
    <x:row r="78" ht="46.5" customHeight="1">
      <x:c r="A78" s="31" t="str">
        <x:v>Not collected</x:v>
      </x:c>
      <x:c r="B78" s="33" t="n">
        <x:f>'Evaluation Plan'!B78</x:f>
        <x:v>76</x:v>
      </x:c>
      <x:c r="C78" s="31" t="str">
        <x:f>'Evaluation Plan'!C78</x:f>
        <x:v>Leave exactly three objects in the bowl.</x:v>
      </x:c>
      <x:c r="D78" s="31" t="str">
        <x:f>'Evaluation Plan'!D78</x:f>
        <x:v>Bowl objects: [yellow block, blue pen] | Table objects: [green pencil sharpener, airplane toy without propellers]</x:v>
      </x:c>
      <x:c r="E78" s="33" t="str">
        <x:f>'Evaluation Plan'!E78</x:f>
      </x:c>
      <x:c r="F78" s="31" t="str">
        <x:f>'Evaluation Plan'!F78</x:f>
        <x:v>ADD any one table object; finish with 3 objects in the bowl</x:v>
      </x:c>
      <x:c r="G78" s="31" t="str"/>
      <x:c r="H78" s="36" t="str">
        <x:f>'Evaluation Plan'!H78</x:f>
        <x:v>Concept/compositional transfer</x:v>
      </x:c>
      <x:c r="I78" s="31" t="str">
        <x:f>'Evaluation Plan'!I78</x:f>
        <x:v>CT-CF10</x:v>
      </x:c>
      <x:c r="J78" s="31" t="str">
        <x:f>'Evaluation Plan'!J78</x:f>
        <x:v>CT-CF10-ADD</x:v>
      </x:c>
      <x:c r="K78" s="33" t="n">
        <x:f>'Evaluation Plan'!K78</x:f>
        <x:v>2</x:v>
      </x:c>
      <x:c r="L78" s="33" t="n">
        <x:f>'Evaluation Plan'!L78</x:f>
        <x:v>3</x:v>
      </x:c>
      <x:c r="M78" s="33" t="str">
        <x:f>'Evaluation Plan'!M78</x:f>
        <x:v>ADD</x:v>
      </x:c>
      <x:c r="N78" s="31" t="str">
        <x:f>'Evaluation Plan'!N78</x:f>
        <x:v>Primary: three via held-out 2→3 addition</x:v>
      </x:c>
      <x:c r="O78" s="33" t="n">
        <x:f>'Evaluation Plan'!O78</x:f>
        <x:v>3</x:v>
      </x:c>
      <x:c r="P78" s="31" t="str">
        <x:f>'Evaluation Plan'!P78</x:f>
        <x:v>Reset the exact count-2 scene; change only the prompt.</x:v>
      </x:c>
      <x:c r="Q78" s="31" t="str">
        <x:f>'Evaluation Plan'!Q78</x:f>
        <x:v>The goal word three is trained, and this 2→3 trajectory is trained under a direct instruction, but the combination is withheld.</x:v>
      </x:c>
      <x:c r="R78" s="31" t="n">
        <x:f>'Evaluation Plan'!R78</x:f>
        <x:v>0</x:v>
      </x:c>
    </x:row>
    <x:row r="79" ht="46.5" customHeight="1">
      <x:c r="A79" s="32" t="str">
        <x:v>Not collected</x:v>
      </x:c>
      <x:c r="B79" s="34" t="n">
        <x:f>'Evaluation Plan'!B79</x:f>
        <x:v>77</x:v>
      </x:c>
      <x:c r="C79" s="32" t="str">
        <x:f>'Evaluation Plan'!C79</x:f>
        <x:v>Move the airplane toy without propellers into the bowl.</x:v>
      </x:c>
      <x:c r="D79" s="32" t="str">
        <x:f>'Evaluation Plan'!D79</x:f>
        <x:v>Bowl objects: [yellow block, blue pen] | Table objects: [green pencil sharpener, airplane toy without propellers]</x:v>
      </x:c>
      <x:c r="E79" s="34" t="n">
        <x:f>'Evaluation Plan'!E79</x:f>
        <x:v>76</x:v>
      </x:c>
      <x:c r="F79" s="32" t="str">
        <x:f>'Evaluation Plan'!F79</x:f>
        <x:v>ADD airplane toy without propellers</x:v>
      </x:c>
      <x:c r="G79" s="32" t="str"/>
      <x:c r="H79" s="37" t="str">
        <x:f>'Evaluation Plan'!H79</x:f>
        <x:v>Matched manipulation control</x:v>
      </x:c>
      <x:c r="I79" s="32" t="str">
        <x:f>'Evaluation Plan'!I79</x:f>
        <x:v>CT-CF10</x:v>
      </x:c>
      <x:c r="J79" s="32" t="str">
        <x:f>'Evaluation Plan'!J79</x:f>
        <x:v>CT-CF10-ADD</x:v>
      </x:c>
      <x:c r="K79" s="34" t="n">
        <x:f>'Evaluation Plan'!K79</x:f>
        <x:v>2</x:v>
      </x:c>
      <x:c r="L79" s="34" t="n">
        <x:f>'Evaluation Plan'!L79</x:f>
        <x:v>3</x:v>
      </x:c>
      <x:c r="M79" s="34" t="str">
        <x:f>'Evaluation Plan'!M79</x:f>
        <x:v>ADD</x:v>
      </x:c>
      <x:c r="N79" s="32" t="str">
        <x:f>'Evaluation Plan'!N79</x:f>
        <x:v>Matched direct ADD control</x:v>
      </x:c>
      <x:c r="O79" s="34" t="n">
        <x:f>'Evaluation Plan'!O79</x:f>
        <x:v>3</x:v>
      </x:c>
      <x:c r="P79" s="32" t="str">
        <x:f>'Evaluation Plan'!P79</x:f>
        <x:v>Reset the exact count-2 scene; change only the prompt.</x:v>
      </x:c>
      <x:c r="Q79" s="32" t="str">
        <x:f>'Evaluation Plan'!Q79</x:f>
        <x:v>The direct prompt is present in Counting training for this same-task object and action direction.</x:v>
      </x:c>
      <x:c r="R79" s="32" t="n">
        <x:f>'Evaluation Plan'!R79</x:f>
        <x:v>0</x:v>
      </x:c>
    </x:row>
    <x:row r="80" ht="46.5" customHeight="1">
      <x:c r="A80" s="31" t="str">
        <x:v>Not collected</x:v>
      </x:c>
      <x:c r="B80" s="33" t="n">
        <x:f>'Evaluation Plan'!B80</x:f>
        <x:v>78</x:v>
      </x:c>
      <x:c r="C80" s="31" t="str">
        <x:f>'Evaluation Plan'!C80</x:f>
        <x:v>Move the yellow block from the bowl to the table.</x:v>
      </x:c>
      <x:c r="D80" s="31" t="str">
        <x:f>'Evaluation Plan'!D80</x:f>
        <x:v>Bowl objects: [yellow block, blue pen] | Table objects: [green pencil sharpener, airplane toy without propellers]</x:v>
      </x:c>
      <x:c r="E80" s="33" t="str">
        <x:f>'Evaluation Plan'!E80</x:f>
      </x:c>
      <x:c r="F80" s="31" t="str">
        <x:f>'Evaluation Plan'!F80</x:f>
        <x:v>REMOVE yellow block</x:v>
      </x:c>
      <x:c r="G80" s="31" t="str"/>
      <x:c r="H80" s="37" t="str">
        <x:f>'Evaluation Plan'!H80</x:f>
        <x:v>Matched manipulation control</x:v>
      </x:c>
      <x:c r="I80" s="31" t="str">
        <x:f>'Evaluation Plan'!I80</x:f>
        <x:v>CT-CF10</x:v>
      </x:c>
      <x:c r="J80" s="31" t="str">
        <x:f>'Evaluation Plan'!J80</x:f>
        <x:v>CT-CF10-REMOVE</x:v>
      </x:c>
      <x:c r="K80" s="33" t="n">
        <x:f>'Evaluation Plan'!K80</x:f>
        <x:v>2</x:v>
      </x:c>
      <x:c r="L80" s="33" t="n">
        <x:f>'Evaluation Plan'!L80</x:f>
        <x:v>1</x:v>
      </x:c>
      <x:c r="M80" s="33" t="str">
        <x:f>'Evaluation Plan'!M80</x:f>
        <x:v>REMOVE</x:v>
      </x:c>
      <x:c r="N80" s="31" t="str">
        <x:f>'Evaluation Plan'!N80</x:f>
        <x:v>Matched direct REMOVE control</x:v>
      </x:c>
      <x:c r="O80" s="33" t="n">
        <x:f>'Evaluation Plan'!O80</x:f>
        <x:v>3</x:v>
      </x:c>
      <x:c r="P80" s="31" t="str">
        <x:f>'Evaluation Plan'!P80</x:f>
        <x:v>Reset the exact count-2 scene; change only the prompt.</x:v>
      </x:c>
      <x:c r="Q80" s="31" t="str">
        <x:f>'Evaluation Plan'!Q80</x:f>
        <x:v>The direct prompt is present in Counting training for this same-task object and action direction.</x:v>
      </x:c>
      <x:c r="R80" s="31" t="n">
        <x:f>'Evaluation Plan'!R80</x:f>
        <x:v>0</x:v>
      </x:c>
    </x:row>
    <x:row r="81" ht="46.5" customHeight="1">
      <x:c r="A81" s="32" t="str">
        <x:v>Not collected</x:v>
      </x:c>
      <x:c r="B81" s="34" t="n">
        <x:f>'Evaluation Plan'!B81</x:f>
        <x:v>79</x:v>
      </x:c>
      <x:c r="C81" s="32" t="str">
        <x:f>'Evaluation Plan'!C81</x:f>
        <x:v>Leave exactly one object in the bowl.</x:v>
      </x:c>
      <x:c r="D81" s="32" t="str">
        <x:f>'Evaluation Plan'!D81</x:f>
        <x:v>Bowl objects: [yellow block, blue pen] | Table objects: [green pencil sharpener, airplane toy without propellers]</x:v>
      </x:c>
      <x:c r="E81" s="34" t="n">
        <x:f>'Evaluation Plan'!E81</x:f>
        <x:v>78</x:v>
      </x:c>
      <x:c r="F81" s="32" t="str">
        <x:f>'Evaluation Plan'!F81</x:f>
        <x:v>REMOVE any one bowl object; finish with 1 object in the bowl</x:v>
      </x:c>
      <x:c r="G81" s="32" t="str"/>
      <x:c r="H81" s="36" t="str">
        <x:f>'Evaluation Plan'!H81</x:f>
        <x:v>Concept/compositional transfer</x:v>
      </x:c>
      <x:c r="I81" s="32" t="str">
        <x:f>'Evaluation Plan'!I81</x:f>
        <x:v>CT-CF10</x:v>
      </x:c>
      <x:c r="J81" s="32" t="str">
        <x:f>'Evaluation Plan'!J81</x:f>
        <x:v>CT-CF10-REMOVE</x:v>
      </x:c>
      <x:c r="K81" s="34" t="n">
        <x:f>'Evaluation Plan'!K81</x:f>
        <x:v>2</x:v>
      </x:c>
      <x:c r="L81" s="34" t="n">
        <x:f>'Evaluation Plan'!L81</x:f>
        <x:v>1</x:v>
      </x:c>
      <x:c r="M81" s="34" t="str">
        <x:f>'Evaluation Plan'!M81</x:f>
        <x:v>REMOVE</x:v>
      </x:c>
      <x:c r="N81" s="32" t="str">
        <x:f>'Evaluation Plan'!N81</x:f>
        <x:v>Primary: one via held-out 2→1 removal</x:v>
      </x:c>
      <x:c r="O81" s="34" t="n">
        <x:f>'Evaluation Plan'!O81</x:f>
        <x:v>3</x:v>
      </x:c>
      <x:c r="P81" s="32" t="str">
        <x:f>'Evaluation Plan'!P81</x:f>
        <x:v>Build the listed count-2 scene.</x:v>
      </x:c>
      <x:c r="Q81" s="32" t="str">
        <x:f>'Evaluation Plan'!Q81</x:f>
        <x:v>The goal word one is trained, and this 2→1 trajectory is trained under a direct instruction, but the combination is withheld.</x:v>
      </x:c>
      <x:c r="R81" s="32" t="n">
        <x:f>'Evaluation Plan'!R81</x:f>
        <x:v>0</x:v>
      </x:c>
    </x:row>
    <x:row r="82" ht="46.5" customHeight="1">
      <x:c r="A82" s="31" t="str">
        <x:v>Not collected</x:v>
      </x:c>
      <x:c r="B82" s="33" t="n">
        <x:f>'Evaluation Plan'!B82</x:f>
        <x:v>80</x:v>
      </x:c>
      <x:c r="C82" s="31" t="str">
        <x:f>'Evaluation Plan'!C82</x:f>
        <x:v>Leave exactly one object in the bowl.</x:v>
      </x:c>
      <x:c r="D82" s="31" t="str">
        <x:f>'Evaluation Plan'!D82</x:f>
        <x:v>Bowl objects: [green pencil sharpener, airplane toy without propellers] | Table objects: [blue pen, yellow block]</x:v>
      </x:c>
      <x:c r="E82" s="33" t="str">
        <x:f>'Evaluation Plan'!E82</x:f>
      </x:c>
      <x:c r="F82" s="31" t="str">
        <x:f>'Evaluation Plan'!F82</x:f>
        <x:v>REMOVE any one bowl object; finish with 1 object in the bowl</x:v>
      </x:c>
      <x:c r="G82" s="31" t="str"/>
      <x:c r="H82" s="36" t="str">
        <x:f>'Evaluation Plan'!H82</x:f>
        <x:v>Concept/compositional transfer</x:v>
      </x:c>
      <x:c r="I82" s="31" t="str">
        <x:f>'Evaluation Plan'!I82</x:f>
        <x:v>CT-CF11</x:v>
      </x:c>
      <x:c r="J82" s="31" t="str">
        <x:f>'Evaluation Plan'!J82</x:f>
        <x:v>CT-CF11-REMOVE</x:v>
      </x:c>
      <x:c r="K82" s="33" t="n">
        <x:f>'Evaluation Plan'!K82</x:f>
        <x:v>2</x:v>
      </x:c>
      <x:c r="L82" s="33" t="n">
        <x:f>'Evaluation Plan'!L82</x:f>
        <x:v>1</x:v>
      </x:c>
      <x:c r="M82" s="33" t="str">
        <x:f>'Evaluation Plan'!M82</x:f>
        <x:v>REMOVE</x:v>
      </x:c>
      <x:c r="N82" s="31" t="str">
        <x:f>'Evaluation Plan'!N82</x:f>
        <x:v>Primary: one via held-out 2→1 removal</x:v>
      </x:c>
      <x:c r="O82" s="33" t="n">
        <x:f>'Evaluation Plan'!O82</x:f>
        <x:v>4</x:v>
      </x:c>
      <x:c r="P82" s="31" t="str">
        <x:f>'Evaluation Plan'!P82</x:f>
        <x:v>Build the listed count-2 scene.</x:v>
      </x:c>
      <x:c r="Q82" s="31" t="str">
        <x:f>'Evaluation Plan'!Q82</x:f>
        <x:v>The goal word one is trained, and this 2→1 trajectory is trained under a direct instruction, but the combination is withheld.</x:v>
      </x:c>
      <x:c r="R82" s="31" t="n">
        <x:f>'Evaluation Plan'!R82</x:f>
        <x:v>0</x:v>
      </x:c>
    </x:row>
    <x:row r="83" ht="46.5" customHeight="1">
      <x:c r="A83" s="32" t="str">
        <x:v>Not collected</x:v>
      </x:c>
      <x:c r="B83" s="34" t="n">
        <x:f>'Evaluation Plan'!B83</x:f>
        <x:v>81</x:v>
      </x:c>
      <x:c r="C83" s="32" t="str">
        <x:f>'Evaluation Plan'!C83</x:f>
        <x:v>Leave exactly three objects in the bowl.</x:v>
      </x:c>
      <x:c r="D83" s="32" t="str">
        <x:f>'Evaluation Plan'!D83</x:f>
        <x:v>Bowl objects: [green pencil sharpener, airplane toy without propellers] | Table objects: [blue pen, yellow block]</x:v>
      </x:c>
      <x:c r="E83" s="34" t="n">
        <x:f>'Evaluation Plan'!E83</x:f>
        <x:v>80</x:v>
      </x:c>
      <x:c r="F83" s="32" t="str">
        <x:f>'Evaluation Plan'!F83</x:f>
        <x:v>ADD any one table object; finish with 3 objects in the bowl</x:v>
      </x:c>
      <x:c r="G83" s="32" t="str"/>
      <x:c r="H83" s="36" t="str">
        <x:f>'Evaluation Plan'!H83</x:f>
        <x:v>Concept/compositional transfer</x:v>
      </x:c>
      <x:c r="I83" s="32" t="str">
        <x:f>'Evaluation Plan'!I83</x:f>
        <x:v>CT-CF11</x:v>
      </x:c>
      <x:c r="J83" s="32" t="str">
        <x:f>'Evaluation Plan'!J83</x:f>
        <x:v>CT-CF11-ADD</x:v>
      </x:c>
      <x:c r="K83" s="34" t="n">
        <x:f>'Evaluation Plan'!K83</x:f>
        <x:v>2</x:v>
      </x:c>
      <x:c r="L83" s="34" t="n">
        <x:f>'Evaluation Plan'!L83</x:f>
        <x:v>3</x:v>
      </x:c>
      <x:c r="M83" s="34" t="str">
        <x:f>'Evaluation Plan'!M83</x:f>
        <x:v>ADD</x:v>
      </x:c>
      <x:c r="N83" s="32" t="str">
        <x:f>'Evaluation Plan'!N83</x:f>
        <x:v>Primary: three via held-out 2→3 addition</x:v>
      </x:c>
      <x:c r="O83" s="34" t="n">
        <x:f>'Evaluation Plan'!O83</x:f>
        <x:v>4</x:v>
      </x:c>
      <x:c r="P83" s="32" t="str">
        <x:f>'Evaluation Plan'!P83</x:f>
        <x:v>Reset the exact count-2 scene; change only the prompt.</x:v>
      </x:c>
      <x:c r="Q83" s="32" t="str">
        <x:f>'Evaluation Plan'!Q83</x:f>
        <x:v>The goal word three is trained, and this 2→3 trajectory is trained under a direct instruction, but the combination is withheld.</x:v>
      </x:c>
      <x:c r="R83" s="32" t="n">
        <x:f>'Evaluation Plan'!R83</x:f>
        <x:v>0</x:v>
      </x:c>
    </x:row>
    <x:row r="84" ht="46.5" customHeight="1">
      <x:c r="A84" s="31" t="str">
        <x:v>Not collected</x:v>
      </x:c>
      <x:c r="B84" s="33" t="n">
        <x:f>'Evaluation Plan'!B84</x:f>
        <x:v>82</x:v>
      </x:c>
      <x:c r="C84" s="31" t="str">
        <x:f>'Evaluation Plan'!C84</x:f>
        <x:v>Leave exactly three objects in the bowl.</x:v>
      </x:c>
      <x:c r="D84" s="31" t="str">
        <x:f>'Evaluation Plan'!D84</x:f>
        <x:v>Bowl objects: [yellow block, green pencil sharpener] | Table objects: [blue pen, airplane toy without propellers]</x:v>
      </x:c>
      <x:c r="E84" s="33" t="str">
        <x:f>'Evaluation Plan'!E84</x:f>
      </x:c>
      <x:c r="F84" s="31" t="str">
        <x:f>'Evaluation Plan'!F84</x:f>
        <x:v>ADD any one table object; finish with 3 objects in the bowl</x:v>
      </x:c>
      <x:c r="G84" s="31" t="str"/>
      <x:c r="H84" s="36" t="str">
        <x:f>'Evaluation Plan'!H84</x:f>
        <x:v>Concept/compositional transfer</x:v>
      </x:c>
      <x:c r="I84" s="31" t="str">
        <x:f>'Evaluation Plan'!I84</x:f>
        <x:v>CT-CF12</x:v>
      </x:c>
      <x:c r="J84" s="31" t="str">
        <x:f>'Evaluation Plan'!J84</x:f>
        <x:v>CT-CF12-ADD</x:v>
      </x:c>
      <x:c r="K84" s="33" t="n">
        <x:f>'Evaluation Plan'!K84</x:f>
        <x:v>2</x:v>
      </x:c>
      <x:c r="L84" s="33" t="n">
        <x:f>'Evaluation Plan'!L84</x:f>
        <x:v>3</x:v>
      </x:c>
      <x:c r="M84" s="33" t="str">
        <x:f>'Evaluation Plan'!M84</x:f>
        <x:v>ADD</x:v>
      </x:c>
      <x:c r="N84" s="31" t="str">
        <x:f>'Evaluation Plan'!N84</x:f>
        <x:v>Primary: three via held-out 2→3 addition</x:v>
      </x:c>
      <x:c r="O84" s="33" t="n">
        <x:f>'Evaluation Plan'!O84</x:f>
        <x:v>4</x:v>
      </x:c>
      <x:c r="P84" s="31" t="str">
        <x:f>'Evaluation Plan'!P84</x:f>
        <x:v>Reset the exact count-2 scene; change only the prompt.</x:v>
      </x:c>
      <x:c r="Q84" s="31" t="str">
        <x:f>'Evaluation Plan'!Q84</x:f>
        <x:v>The goal word three is trained, and this 2→3 trajectory is trained under a direct instruction, but the combination is withheld.</x:v>
      </x:c>
      <x:c r="R84" s="31" t="n">
        <x:f>'Evaluation Plan'!R84</x:f>
        <x:v>0</x:v>
      </x:c>
    </x:row>
    <x:row r="85" ht="46.5" customHeight="1">
      <x:c r="A85" s="32" t="str">
        <x:v>Not collected</x:v>
      </x:c>
      <x:c r="B85" s="34" t="n">
        <x:f>'Evaluation Plan'!B85</x:f>
        <x:v>83</x:v>
      </x:c>
      <x:c r="C85" s="32" t="str">
        <x:f>'Evaluation Plan'!C85</x:f>
        <x:v>Leave exactly one object in the bowl.</x:v>
      </x:c>
      <x:c r="D85" s="32" t="str">
        <x:f>'Evaluation Plan'!D85</x:f>
        <x:v>Bowl objects: [yellow block, green pencil sharpener] | Table objects: [blue pen, airplane toy without propellers]</x:v>
      </x:c>
      <x:c r="E85" s="34" t="n">
        <x:f>'Evaluation Plan'!E85</x:f>
        <x:v>82</x:v>
      </x:c>
      <x:c r="F85" s="32" t="str">
        <x:f>'Evaluation Plan'!F85</x:f>
        <x:v>REMOVE any one bowl object; finish with 1 object in the bowl</x:v>
      </x:c>
      <x:c r="G85" s="32" t="str"/>
      <x:c r="H85" s="36" t="str">
        <x:f>'Evaluation Plan'!H85</x:f>
        <x:v>Concept/compositional transfer</x:v>
      </x:c>
      <x:c r="I85" s="32" t="str">
        <x:f>'Evaluation Plan'!I85</x:f>
        <x:v>CT-CF12</x:v>
      </x:c>
      <x:c r="J85" s="32" t="str">
        <x:f>'Evaluation Plan'!J85</x:f>
        <x:v>CT-CF12-REMOVE</x:v>
      </x:c>
      <x:c r="K85" s="34" t="n">
        <x:f>'Evaluation Plan'!K85</x:f>
        <x:v>2</x:v>
      </x:c>
      <x:c r="L85" s="34" t="n">
        <x:f>'Evaluation Plan'!L85</x:f>
        <x:v>1</x:v>
      </x:c>
      <x:c r="M85" s="34" t="str">
        <x:f>'Evaluation Plan'!M85</x:f>
        <x:v>REMOVE</x:v>
      </x:c>
      <x:c r="N85" s="32" t="str">
        <x:f>'Evaluation Plan'!N85</x:f>
        <x:v>Primary: one via held-out 2→1 removal</x:v>
      </x:c>
      <x:c r="O85" s="34" t="n">
        <x:f>'Evaluation Plan'!O85</x:f>
        <x:v>4</x:v>
      </x:c>
      <x:c r="P85" s="32" t="str">
        <x:f>'Evaluation Plan'!P85</x:f>
        <x:v>Build the listed count-2 scene.</x:v>
      </x:c>
      <x:c r="Q85" s="32" t="str">
        <x:f>'Evaluation Plan'!Q85</x:f>
        <x:v>The goal word one is trained, and this 2→1 trajectory is trained under a direct instruction, but the combination is withheld.</x:v>
      </x:c>
      <x:c r="R85" s="32" t="n">
        <x:f>'Evaluation Plan'!R85</x:f>
        <x:v>0</x:v>
      </x:c>
    </x:row>
    <x:row r="86" ht="46.5" customHeight="1">
      <x:c r="A86" s="31" t="str">
        <x:v>Not collected</x:v>
      </x:c>
      <x:c r="B86" s="33" t="n">
        <x:f>'Evaluation Plan'!B86</x:f>
        <x:v>84</x:v>
      </x:c>
      <x:c r="C86" s="31" t="str">
        <x:f>'Evaluation Plan'!C86</x:f>
        <x:v>Leave exactly one object in the bowl.</x:v>
      </x:c>
      <x:c r="D86" s="31" t="str">
        <x:f>'Evaluation Plan'!D86</x:f>
        <x:v>Bowl objects: [green pencil sharpener, airplane toy without propellers] | Table objects: [blue pen, yellow block]</x:v>
      </x:c>
      <x:c r="E86" s="33" t="str">
        <x:f>'Evaluation Plan'!E86</x:f>
      </x:c>
      <x:c r="F86" s="31" t="str">
        <x:f>'Evaluation Plan'!F86</x:f>
        <x:v>REMOVE any one bowl object; finish with 1 object in the bowl</x:v>
      </x:c>
      <x:c r="G86" s="31" t="str"/>
      <x:c r="H86" s="36" t="str">
        <x:f>'Evaluation Plan'!H86</x:f>
        <x:v>Concept/compositional transfer</x:v>
      </x:c>
      <x:c r="I86" s="31" t="str">
        <x:f>'Evaluation Plan'!I86</x:f>
        <x:v>CT-CF13</x:v>
      </x:c>
      <x:c r="J86" s="31" t="str">
        <x:f>'Evaluation Plan'!J86</x:f>
        <x:v>CT-CF13-REMOVE</x:v>
      </x:c>
      <x:c r="K86" s="33" t="n">
        <x:f>'Evaluation Plan'!K86</x:f>
        <x:v>2</x:v>
      </x:c>
      <x:c r="L86" s="33" t="n">
        <x:f>'Evaluation Plan'!L86</x:f>
        <x:v>1</x:v>
      </x:c>
      <x:c r="M86" s="33" t="str">
        <x:f>'Evaluation Plan'!M86</x:f>
        <x:v>REMOVE</x:v>
      </x:c>
      <x:c r="N86" s="31" t="str">
        <x:f>'Evaluation Plan'!N86</x:f>
        <x:v>Primary: one via held-out 2→1 removal</x:v>
      </x:c>
      <x:c r="O86" s="33" t="n">
        <x:f>'Evaluation Plan'!O86</x:f>
        <x:v>4</x:v>
      </x:c>
      <x:c r="P86" s="31" t="str">
        <x:f>'Evaluation Plan'!P86</x:f>
        <x:v>Build the listed count-2 scene.</x:v>
      </x:c>
      <x:c r="Q86" s="31" t="str">
        <x:f>'Evaluation Plan'!Q86</x:f>
        <x:v>The goal word one is trained, and this 2→1 trajectory is trained under a direct instruction, but the combination is withheld.</x:v>
      </x:c>
      <x:c r="R86" s="31" t="n">
        <x:f>'Evaluation Plan'!R86</x:f>
        <x:v>0</x:v>
      </x:c>
    </x:row>
    <x:row r="87" ht="46.5" customHeight="1">
      <x:c r="A87" s="32" t="str">
        <x:v>Not collected</x:v>
      </x:c>
      <x:c r="B87" s="34" t="n">
        <x:f>'Evaluation Plan'!B87</x:f>
        <x:v>85</x:v>
      </x:c>
      <x:c r="C87" s="32" t="str">
        <x:f>'Evaluation Plan'!C87</x:f>
        <x:v>Leave exactly three objects in the bowl.</x:v>
      </x:c>
      <x:c r="D87" s="32" t="str">
        <x:f>'Evaluation Plan'!D87</x:f>
        <x:v>Bowl objects: [green pencil sharpener, airplane toy without propellers] | Table objects: [blue pen, yellow block]</x:v>
      </x:c>
      <x:c r="E87" s="34" t="n">
        <x:f>'Evaluation Plan'!E87</x:f>
        <x:v>84</x:v>
      </x:c>
      <x:c r="F87" s="32" t="str">
        <x:f>'Evaluation Plan'!F87</x:f>
        <x:v>ADD any one table object; finish with 3 objects in the bowl</x:v>
      </x:c>
      <x:c r="G87" s="32" t="str"/>
      <x:c r="H87" s="36" t="str">
        <x:f>'Evaluation Plan'!H87</x:f>
        <x:v>Concept/compositional transfer</x:v>
      </x:c>
      <x:c r="I87" s="32" t="str">
        <x:f>'Evaluation Plan'!I87</x:f>
        <x:v>CT-CF13</x:v>
      </x:c>
      <x:c r="J87" s="32" t="str">
        <x:f>'Evaluation Plan'!J87</x:f>
        <x:v>CT-CF13-ADD</x:v>
      </x:c>
      <x:c r="K87" s="34" t="n">
        <x:f>'Evaluation Plan'!K87</x:f>
        <x:v>2</x:v>
      </x:c>
      <x:c r="L87" s="34" t="n">
        <x:f>'Evaluation Plan'!L87</x:f>
        <x:v>3</x:v>
      </x:c>
      <x:c r="M87" s="34" t="str">
        <x:f>'Evaluation Plan'!M87</x:f>
        <x:v>ADD</x:v>
      </x:c>
      <x:c r="N87" s="32" t="str">
        <x:f>'Evaluation Plan'!N87</x:f>
        <x:v>Primary: three via held-out 2→3 addition</x:v>
      </x:c>
      <x:c r="O87" s="34" t="n">
        <x:f>'Evaluation Plan'!O87</x:f>
        <x:v>4</x:v>
      </x:c>
      <x:c r="P87" s="32" t="str">
        <x:f>'Evaluation Plan'!P87</x:f>
        <x:v>Reset the exact count-2 scene; change only the prompt.</x:v>
      </x:c>
      <x:c r="Q87" s="32" t="str">
        <x:f>'Evaluation Plan'!Q87</x:f>
        <x:v>The goal word three is trained, and this 2→3 trajectory is trained under a direct instruction, but the combination is withheld.</x:v>
      </x:c>
      <x:c r="R87" s="32" t="n">
        <x:f>'Evaluation Plan'!R87</x:f>
        <x:v>0</x:v>
      </x:c>
    </x:row>
    <x:row r="88" ht="46.5" customHeight="1">
      <x:c r="A88" s="31" t="str">
        <x:v>Not collected</x:v>
      </x:c>
      <x:c r="B88" s="33" t="n">
        <x:f>'Evaluation Plan'!B88</x:f>
        <x:v>86</x:v>
      </x:c>
      <x:c r="C88" s="31" t="str">
        <x:f>'Evaluation Plan'!C88</x:f>
        <x:v>Leave exactly three objects in the bowl.</x:v>
      </x:c>
      <x:c r="D88" s="31" t="str">
        <x:f>'Evaluation Plan'!D88</x:f>
        <x:v>Bowl objects: [yellow block, green pencil sharpener] | Table objects: [blue pen, airplane toy without propellers]</x:v>
      </x:c>
      <x:c r="E88" s="33" t="str">
        <x:f>'Evaluation Plan'!E88</x:f>
      </x:c>
      <x:c r="F88" s="31" t="str">
        <x:f>'Evaluation Plan'!F88</x:f>
        <x:v>ADD any one table object; finish with 3 objects in the bowl</x:v>
      </x:c>
      <x:c r="G88" s="31" t="str"/>
      <x:c r="H88" s="36" t="str">
        <x:f>'Evaluation Plan'!H88</x:f>
        <x:v>Concept/compositional transfer</x:v>
      </x:c>
      <x:c r="I88" s="31" t="str">
        <x:f>'Evaluation Plan'!I88</x:f>
        <x:v>CT-CF14</x:v>
      </x:c>
      <x:c r="J88" s="31" t="str">
        <x:f>'Evaluation Plan'!J88</x:f>
        <x:v>CT-CF14-ADD</x:v>
      </x:c>
      <x:c r="K88" s="33" t="n">
        <x:f>'Evaluation Plan'!K88</x:f>
        <x:v>2</x:v>
      </x:c>
      <x:c r="L88" s="33" t="n">
        <x:f>'Evaluation Plan'!L88</x:f>
        <x:v>3</x:v>
      </x:c>
      <x:c r="M88" s="33" t="str">
        <x:f>'Evaluation Plan'!M88</x:f>
        <x:v>ADD</x:v>
      </x:c>
      <x:c r="N88" s="31" t="str">
        <x:f>'Evaluation Plan'!N88</x:f>
        <x:v>Primary: three via held-out 2→3 addition</x:v>
      </x:c>
      <x:c r="O88" s="33" t="n">
        <x:f>'Evaluation Plan'!O88</x:f>
        <x:v>4</x:v>
      </x:c>
      <x:c r="P88" s="31" t="str">
        <x:f>'Evaluation Plan'!P88</x:f>
        <x:v>Reset the exact count-2 scene; change only the prompt.</x:v>
      </x:c>
      <x:c r="Q88" s="31" t="str">
        <x:f>'Evaluation Plan'!Q88</x:f>
        <x:v>The goal word three is trained, and this 2→3 trajectory is trained under a direct instruction, but the combination is withheld.</x:v>
      </x:c>
      <x:c r="R88" s="31" t="n">
        <x:f>'Evaluation Plan'!R88</x:f>
        <x:v>0</x:v>
      </x:c>
    </x:row>
    <x:row r="89" ht="46.5" customHeight="1">
      <x:c r="A89" s="32" t="str">
        <x:v>Not collected</x:v>
      </x:c>
      <x:c r="B89" s="34" t="n">
        <x:f>'Evaluation Plan'!B89</x:f>
        <x:v>87</x:v>
      </x:c>
      <x:c r="C89" s="32" t="str">
        <x:f>'Evaluation Plan'!C89</x:f>
        <x:v>Leave exactly one object in the bowl.</x:v>
      </x:c>
      <x:c r="D89" s="32" t="str">
        <x:f>'Evaluation Plan'!D89</x:f>
        <x:v>Bowl objects: [yellow block, green pencil sharpener] | Table objects: [blue pen, airplane toy without propellers]</x:v>
      </x:c>
      <x:c r="E89" s="34" t="n">
        <x:f>'Evaluation Plan'!E89</x:f>
        <x:v>86</x:v>
      </x:c>
      <x:c r="F89" s="32" t="str">
        <x:f>'Evaluation Plan'!F89</x:f>
        <x:v>REMOVE any one bowl object; finish with 1 object in the bowl</x:v>
      </x:c>
      <x:c r="G89" s="32" t="str"/>
      <x:c r="H89" s="36" t="str">
        <x:f>'Evaluation Plan'!H89</x:f>
        <x:v>Concept/compositional transfer</x:v>
      </x:c>
      <x:c r="I89" s="32" t="str">
        <x:f>'Evaluation Plan'!I89</x:f>
        <x:v>CT-CF14</x:v>
      </x:c>
      <x:c r="J89" s="32" t="str">
        <x:f>'Evaluation Plan'!J89</x:f>
        <x:v>CT-CF14-REMOVE</x:v>
      </x:c>
      <x:c r="K89" s="34" t="n">
        <x:f>'Evaluation Plan'!K89</x:f>
        <x:v>2</x:v>
      </x:c>
      <x:c r="L89" s="34" t="n">
        <x:f>'Evaluation Plan'!L89</x:f>
        <x:v>1</x:v>
      </x:c>
      <x:c r="M89" s="34" t="str">
        <x:f>'Evaluation Plan'!M89</x:f>
        <x:v>REMOVE</x:v>
      </x:c>
      <x:c r="N89" s="32" t="str">
        <x:f>'Evaluation Plan'!N89</x:f>
        <x:v>Primary: one via held-out 2→1 removal</x:v>
      </x:c>
      <x:c r="O89" s="34" t="n">
        <x:f>'Evaluation Plan'!O89</x:f>
        <x:v>4</x:v>
      </x:c>
      <x:c r="P89" s="32" t="str">
        <x:f>'Evaluation Plan'!P89</x:f>
        <x:v>Build the listed count-2 scene.</x:v>
      </x:c>
      <x:c r="Q89" s="32" t="str">
        <x:f>'Evaluation Plan'!Q89</x:f>
        <x:v>The goal word one is trained, and this 2→1 trajectory is trained under a direct instruction, but the combination is withheld.</x:v>
      </x:c>
      <x:c r="R89" s="32" t="n">
        <x:f>'Evaluation Plan'!R89</x:f>
        <x:v>0</x:v>
      </x:c>
    </x:row>
    <x:row r="90" ht="46.5" customHeight="1">
      <x:c r="A90" s="31" t="str">
        <x:v>Not collected</x:v>
      </x:c>
      <x:c r="B90" s="33" t="n">
        <x:f>'Evaluation Plan'!B90</x:f>
        <x:v>88</x:v>
      </x:c>
      <x:c r="C90" s="31" t="str">
        <x:f>'Evaluation Plan'!C90</x:f>
        <x:v>Leave exactly one object in the bowl.</x:v>
      </x:c>
      <x:c r="D90" s="31" t="str">
        <x:f>'Evaluation Plan'!D90</x:f>
        <x:v>Bowl objects: [green pencil sharpener, airplane toy without propellers] | Table objects: [blue pen, yellow block]</x:v>
      </x:c>
      <x:c r="E90" s="33" t="str">
        <x:f>'Evaluation Plan'!E90</x:f>
      </x:c>
      <x:c r="F90" s="31" t="str">
        <x:f>'Evaluation Plan'!F90</x:f>
        <x:v>REMOVE any one bowl object; finish with 1 object in the bowl</x:v>
      </x:c>
      <x:c r="G90" s="31" t="str"/>
      <x:c r="H90" s="36" t="str">
        <x:f>'Evaluation Plan'!H90</x:f>
        <x:v>Concept/compositional transfer</x:v>
      </x:c>
      <x:c r="I90" s="31" t="str">
        <x:f>'Evaluation Plan'!I90</x:f>
        <x:v>CT-CF15</x:v>
      </x:c>
      <x:c r="J90" s="31" t="str">
        <x:f>'Evaluation Plan'!J90</x:f>
        <x:v>CT-CF15-REMOVE</x:v>
      </x:c>
      <x:c r="K90" s="33" t="n">
        <x:f>'Evaluation Plan'!K90</x:f>
        <x:v>2</x:v>
      </x:c>
      <x:c r="L90" s="33" t="n">
        <x:f>'Evaluation Plan'!L90</x:f>
        <x:v>1</x:v>
      </x:c>
      <x:c r="M90" s="33" t="str">
        <x:f>'Evaluation Plan'!M90</x:f>
        <x:v>REMOVE</x:v>
      </x:c>
      <x:c r="N90" s="31" t="str">
        <x:f>'Evaluation Plan'!N90</x:f>
        <x:v>Primary: one via held-out 2→1 removal</x:v>
      </x:c>
      <x:c r="O90" s="33" t="n">
        <x:f>'Evaluation Plan'!O90</x:f>
        <x:v>4</x:v>
      </x:c>
      <x:c r="P90" s="31" t="str">
        <x:f>'Evaluation Plan'!P90</x:f>
        <x:v>Build the listed count-2 scene.</x:v>
      </x:c>
      <x:c r="Q90" s="31" t="str">
        <x:f>'Evaluation Plan'!Q90</x:f>
        <x:v>The goal word one is trained, and this 2→1 trajectory is trained under a direct instruction, but the combination is withheld.</x:v>
      </x:c>
      <x:c r="R90" s="31" t="n">
        <x:f>'Evaluation Plan'!R90</x:f>
        <x:v>0</x:v>
      </x:c>
    </x:row>
    <x:row r="91" ht="46.5" customHeight="1">
      <x:c r="A91" s="32" t="str">
        <x:v>Not collected</x:v>
      </x:c>
      <x:c r="B91" s="34" t="n">
        <x:f>'Evaluation Plan'!B91</x:f>
        <x:v>89</x:v>
      </x:c>
      <x:c r="C91" s="32" t="str">
        <x:f>'Evaluation Plan'!C91</x:f>
        <x:v>Leave exactly three objects in the bowl.</x:v>
      </x:c>
      <x:c r="D91" s="32" t="str">
        <x:f>'Evaluation Plan'!D91</x:f>
        <x:v>Bowl objects: [green pencil sharpener, airplane toy without propellers] | Table objects: [blue pen, yellow block]</x:v>
      </x:c>
      <x:c r="E91" s="34" t="n">
        <x:f>'Evaluation Plan'!E91</x:f>
        <x:v>88</x:v>
      </x:c>
      <x:c r="F91" s="32" t="str">
        <x:f>'Evaluation Plan'!F91</x:f>
        <x:v>ADD any one table object; finish with 3 objects in the bowl</x:v>
      </x:c>
      <x:c r="G91" s="32" t="str"/>
      <x:c r="H91" s="36" t="str">
        <x:f>'Evaluation Plan'!H91</x:f>
        <x:v>Concept/compositional transfer</x:v>
      </x:c>
      <x:c r="I91" s="32" t="str">
        <x:f>'Evaluation Plan'!I91</x:f>
        <x:v>CT-CF15</x:v>
      </x:c>
      <x:c r="J91" s="32" t="str">
        <x:f>'Evaluation Plan'!J91</x:f>
        <x:v>CT-CF15-ADD</x:v>
      </x:c>
      <x:c r="K91" s="34" t="n">
        <x:f>'Evaluation Plan'!K91</x:f>
        <x:v>2</x:v>
      </x:c>
      <x:c r="L91" s="34" t="n">
        <x:f>'Evaluation Plan'!L91</x:f>
        <x:v>3</x:v>
      </x:c>
      <x:c r="M91" s="34" t="str">
        <x:f>'Evaluation Plan'!M91</x:f>
        <x:v>ADD</x:v>
      </x:c>
      <x:c r="N91" s="32" t="str">
        <x:f>'Evaluation Plan'!N91</x:f>
        <x:v>Primary: three via held-out 2→3 addition</x:v>
      </x:c>
      <x:c r="O91" s="34" t="n">
        <x:f>'Evaluation Plan'!O91</x:f>
        <x:v>4</x:v>
      </x:c>
      <x:c r="P91" s="32" t="str">
        <x:f>'Evaluation Plan'!P91</x:f>
        <x:v>Reset the exact count-2 scene; change only the prompt.</x:v>
      </x:c>
      <x:c r="Q91" s="32" t="str">
        <x:f>'Evaluation Plan'!Q91</x:f>
        <x:v>The goal word three is trained, and this 2→3 trajectory is trained under a direct instruction, but the combination is withheld.</x:v>
      </x:c>
      <x:c r="R91" s="32" t="n">
        <x:f>'Evaluation Plan'!R91</x:f>
        <x:v>0</x:v>
      </x:c>
    </x:row>
    <x:row r="92" ht="46.5" customHeight="1">
      <x:c r="A92" s="31" t="str">
        <x:v>Not collected</x:v>
      </x:c>
      <x:c r="B92" s="33" t="n">
        <x:f>'Evaluation Plan'!B92</x:f>
        <x:v>90</x:v>
      </x:c>
      <x:c r="C92" s="31" t="str">
        <x:f>'Evaluation Plan'!C92</x:f>
        <x:v>Leave exactly three objects in the bowl.</x:v>
      </x:c>
      <x:c r="D92" s="31" t="str">
        <x:f>'Evaluation Plan'!D92</x:f>
        <x:v>Bowl objects: [yellow block, green pencil sharpener] | Table objects: [blue pen, airplane toy without propellers]</x:v>
      </x:c>
      <x:c r="E92" s="33" t="str">
        <x:f>'Evaluation Plan'!E92</x:f>
      </x:c>
      <x:c r="F92" s="31" t="str">
        <x:f>'Evaluation Plan'!F92</x:f>
        <x:v>ADD any one table object; finish with 3 objects in the bowl</x:v>
      </x:c>
      <x:c r="G92" s="31" t="str"/>
      <x:c r="H92" s="36" t="str">
        <x:f>'Evaluation Plan'!H92</x:f>
        <x:v>Concept/compositional transfer</x:v>
      </x:c>
      <x:c r="I92" s="31" t="str">
        <x:f>'Evaluation Plan'!I92</x:f>
        <x:v>CT-CF16</x:v>
      </x:c>
      <x:c r="J92" s="31" t="str">
        <x:f>'Evaluation Plan'!J92</x:f>
        <x:v>CT-CF16-ADD</x:v>
      </x:c>
      <x:c r="K92" s="33" t="n">
        <x:f>'Evaluation Plan'!K92</x:f>
        <x:v>2</x:v>
      </x:c>
      <x:c r="L92" s="33" t="n">
        <x:f>'Evaluation Plan'!L92</x:f>
        <x:v>3</x:v>
      </x:c>
      <x:c r="M92" s="33" t="str">
        <x:f>'Evaluation Plan'!M92</x:f>
        <x:v>ADD</x:v>
      </x:c>
      <x:c r="N92" s="31" t="str">
        <x:f>'Evaluation Plan'!N92</x:f>
        <x:v>Primary: three via held-out 2→3 addition</x:v>
      </x:c>
      <x:c r="O92" s="33" t="n">
        <x:f>'Evaluation Plan'!O92</x:f>
        <x:v>4</x:v>
      </x:c>
      <x:c r="P92" s="31" t="str">
        <x:f>'Evaluation Plan'!P92</x:f>
        <x:v>Reset the exact count-2 scene; change only the prompt.</x:v>
      </x:c>
      <x:c r="Q92" s="31" t="str">
        <x:f>'Evaluation Plan'!Q92</x:f>
        <x:v>The goal word three is trained, and this 2→3 trajectory is trained under a direct instruction, but the combination is withheld.</x:v>
      </x:c>
      <x:c r="R92" s="31" t="n">
        <x:f>'Evaluation Plan'!R92</x:f>
        <x:v>0</x:v>
      </x:c>
    </x:row>
    <x:row r="93" ht="46.5" customHeight="1">
      <x:c r="A93" s="32" t="str">
        <x:v>Not collected</x:v>
      </x:c>
      <x:c r="B93" s="34" t="n">
        <x:f>'Evaluation Plan'!B93</x:f>
        <x:v>91</x:v>
      </x:c>
      <x:c r="C93" s="32" t="str">
        <x:f>'Evaluation Plan'!C93</x:f>
        <x:v>Leave exactly one object in the bowl.</x:v>
      </x:c>
      <x:c r="D93" s="32" t="str">
        <x:f>'Evaluation Plan'!D93</x:f>
        <x:v>Bowl objects: [yellow block, green pencil sharpener] | Table objects: [blue pen, airplane toy without propellers]</x:v>
      </x:c>
      <x:c r="E93" s="34" t="n">
        <x:f>'Evaluation Plan'!E93</x:f>
        <x:v>90</x:v>
      </x:c>
      <x:c r="F93" s="32" t="str">
        <x:f>'Evaluation Plan'!F93</x:f>
        <x:v>REMOVE any one bowl object; finish with 1 object in the bowl</x:v>
      </x:c>
      <x:c r="G93" s="32" t="str"/>
      <x:c r="H93" s="36" t="str">
        <x:f>'Evaluation Plan'!H93</x:f>
        <x:v>Concept/compositional transfer</x:v>
      </x:c>
      <x:c r="I93" s="32" t="str">
        <x:f>'Evaluation Plan'!I93</x:f>
        <x:v>CT-CF16</x:v>
      </x:c>
      <x:c r="J93" s="32" t="str">
        <x:f>'Evaluation Plan'!J93</x:f>
        <x:v>CT-CF16-REMOVE</x:v>
      </x:c>
      <x:c r="K93" s="34" t="n">
        <x:f>'Evaluation Plan'!K93</x:f>
        <x:v>2</x:v>
      </x:c>
      <x:c r="L93" s="34" t="n">
        <x:f>'Evaluation Plan'!L93</x:f>
        <x:v>1</x:v>
      </x:c>
      <x:c r="M93" s="34" t="str">
        <x:f>'Evaluation Plan'!M93</x:f>
        <x:v>REMOVE</x:v>
      </x:c>
      <x:c r="N93" s="32" t="str">
        <x:f>'Evaluation Plan'!N93</x:f>
        <x:v>Primary: one via held-out 2→1 removal</x:v>
      </x:c>
      <x:c r="O93" s="34" t="n">
        <x:f>'Evaluation Plan'!O93</x:f>
        <x:v>4</x:v>
      </x:c>
      <x:c r="P93" s="32" t="str">
        <x:f>'Evaluation Plan'!P93</x:f>
        <x:v>Build the listed count-2 scene.</x:v>
      </x:c>
      <x:c r="Q93" s="32" t="str">
        <x:f>'Evaluation Plan'!Q93</x:f>
        <x:v>The goal word one is trained, and this 2→1 trajectory is trained under a direct instruction, but the combination is withheld.</x:v>
      </x:c>
      <x:c r="R93" s="32" t="n">
        <x:f>'Evaluation Plan'!R93</x:f>
        <x:v>0</x:v>
      </x:c>
    </x:row>
    <x:row r="94" ht="46.5" customHeight="1">
      <x:c r="A94" s="31" t="str">
        <x:v>Not collected</x:v>
      </x:c>
      <x:c r="B94" s="33" t="n">
        <x:f>'Evaluation Plan'!B94</x:f>
        <x:v>92</x:v>
      </x:c>
      <x:c r="C94" s="31" t="str">
        <x:f>'Evaluation Plan'!C94</x:f>
        <x:v>Leave exactly one object in the bowl.</x:v>
      </x:c>
      <x:c r="D94" s="31" t="str">
        <x:f>'Evaluation Plan'!D94</x:f>
        <x:v>Bowl objects: [blue pen, airplane toy without propellers] | Table objects: [yellow block, green pencil sharpener]</x:v>
      </x:c>
      <x:c r="E94" s="33" t="str">
        <x:f>'Evaluation Plan'!E94</x:f>
      </x:c>
      <x:c r="F94" s="31" t="str">
        <x:f>'Evaluation Plan'!F94</x:f>
        <x:v>REMOVE any one bowl object; finish with 1 object in the bowl</x:v>
      </x:c>
      <x:c r="G94" s="31" t="str"/>
      <x:c r="H94" s="36" t="str">
        <x:f>'Evaluation Plan'!H94</x:f>
        <x:v>Concept/compositional transfer</x:v>
      </x:c>
      <x:c r="I94" s="31" t="str">
        <x:f>'Evaluation Plan'!I94</x:f>
        <x:v>CT-CF17</x:v>
      </x:c>
      <x:c r="J94" s="31" t="str">
        <x:f>'Evaluation Plan'!J94</x:f>
        <x:v>CT-CF17-REMOVE</x:v>
      </x:c>
      <x:c r="K94" s="33" t="n">
        <x:f>'Evaluation Plan'!K94</x:f>
        <x:v>2</x:v>
      </x:c>
      <x:c r="L94" s="33" t="n">
        <x:f>'Evaluation Plan'!L94</x:f>
        <x:v>1</x:v>
      </x:c>
      <x:c r="M94" s="33" t="str">
        <x:f>'Evaluation Plan'!M94</x:f>
        <x:v>REMOVE</x:v>
      </x:c>
      <x:c r="N94" s="31" t="str">
        <x:f>'Evaluation Plan'!N94</x:f>
        <x:v>Primary: one via held-out 2→1 removal</x:v>
      </x:c>
      <x:c r="O94" s="33" t="n">
        <x:f>'Evaluation Plan'!O94</x:f>
        <x:v>4</x:v>
      </x:c>
      <x:c r="P94" s="31" t="str">
        <x:f>'Evaluation Plan'!P94</x:f>
        <x:v>Build the listed count-2 scene.</x:v>
      </x:c>
      <x:c r="Q94" s="31" t="str">
        <x:f>'Evaluation Plan'!Q94</x:f>
        <x:v>The goal word one is trained, and this 2→1 trajectory is trained under a direct instruction, but the combination is withheld.</x:v>
      </x:c>
      <x:c r="R94" s="31" t="n">
        <x:f>'Evaluation Plan'!R94</x:f>
        <x:v>0</x:v>
      </x:c>
    </x:row>
    <x:row r="95" ht="46.5" customHeight="1">
      <x:c r="A95" s="32" t="str">
        <x:v>Not collected</x:v>
      </x:c>
      <x:c r="B95" s="34" t="n">
        <x:f>'Evaluation Plan'!B95</x:f>
        <x:v>93</x:v>
      </x:c>
      <x:c r="C95" s="32" t="str">
        <x:f>'Evaluation Plan'!C95</x:f>
        <x:v>Leave exactly three objects in the bowl.</x:v>
      </x:c>
      <x:c r="D95" s="32" t="str">
        <x:f>'Evaluation Plan'!D95</x:f>
        <x:v>Bowl objects: [blue pen, airplane toy without propellers] | Table objects: [yellow block, green pencil sharpener]</x:v>
      </x:c>
      <x:c r="E95" s="34" t="n">
        <x:f>'Evaluation Plan'!E95</x:f>
        <x:v>92</x:v>
      </x:c>
      <x:c r="F95" s="32" t="str">
        <x:f>'Evaluation Plan'!F95</x:f>
        <x:v>ADD any one table object; finish with 3 objects in the bowl</x:v>
      </x:c>
      <x:c r="G95" s="32" t="str"/>
      <x:c r="H95" s="36" t="str">
        <x:f>'Evaluation Plan'!H95</x:f>
        <x:v>Concept/compositional transfer</x:v>
      </x:c>
      <x:c r="I95" s="32" t="str">
        <x:f>'Evaluation Plan'!I95</x:f>
        <x:v>CT-CF17</x:v>
      </x:c>
      <x:c r="J95" s="32" t="str">
        <x:f>'Evaluation Plan'!J95</x:f>
        <x:v>CT-CF17-ADD</x:v>
      </x:c>
      <x:c r="K95" s="34" t="n">
        <x:f>'Evaluation Plan'!K95</x:f>
        <x:v>2</x:v>
      </x:c>
      <x:c r="L95" s="34" t="n">
        <x:f>'Evaluation Plan'!L95</x:f>
        <x:v>3</x:v>
      </x:c>
      <x:c r="M95" s="34" t="str">
        <x:f>'Evaluation Plan'!M95</x:f>
        <x:v>ADD</x:v>
      </x:c>
      <x:c r="N95" s="32" t="str">
        <x:f>'Evaluation Plan'!N95</x:f>
        <x:v>Primary: three via held-out 2→3 addition</x:v>
      </x:c>
      <x:c r="O95" s="34" t="n">
        <x:f>'Evaluation Plan'!O95</x:f>
        <x:v>4</x:v>
      </x:c>
      <x:c r="P95" s="32" t="str">
        <x:f>'Evaluation Plan'!P95</x:f>
        <x:v>Reset the exact count-2 scene; change only the prompt.</x:v>
      </x:c>
      <x:c r="Q95" s="32" t="str">
        <x:f>'Evaluation Plan'!Q95</x:f>
        <x:v>The goal word three is trained, and this 2→3 trajectory is trained under a direct instruction, but the combination is withheld.</x:v>
      </x:c>
      <x:c r="R95" s="32" t="n">
        <x:f>'Evaluation Plan'!R95</x:f>
        <x:v>0</x:v>
      </x:c>
    </x:row>
    <x:row r="96" ht="46.5" customHeight="1">
      <x:c r="A96" s="31" t="str">
        <x:v>Not collected</x:v>
      </x:c>
      <x:c r="B96" s="33" t="n">
        <x:f>'Evaluation Plan'!B96</x:f>
        <x:v>94</x:v>
      </x:c>
      <x:c r="C96" s="31" t="str">
        <x:f>'Evaluation Plan'!C96</x:f>
        <x:v>Leave exactly three objects in the bowl.</x:v>
      </x:c>
      <x:c r="D96" s="31" t="str">
        <x:f>'Evaluation Plan'!D96</x:f>
        <x:v>Bowl objects: [yellow block, green pencil sharpener] | Table objects: [blue pen, airplane toy without propellers]</x:v>
      </x:c>
      <x:c r="E96" s="33" t="str">
        <x:f>'Evaluation Plan'!E96</x:f>
      </x:c>
      <x:c r="F96" s="31" t="str">
        <x:f>'Evaluation Plan'!F96</x:f>
        <x:v>ADD any one table object; finish with 3 objects in the bowl</x:v>
      </x:c>
      <x:c r="G96" s="31" t="str"/>
      <x:c r="H96" s="36" t="str">
        <x:f>'Evaluation Plan'!H96</x:f>
        <x:v>Concept/compositional transfer</x:v>
      </x:c>
      <x:c r="I96" s="31" t="str">
        <x:f>'Evaluation Plan'!I96</x:f>
        <x:v>CT-CF18</x:v>
      </x:c>
      <x:c r="J96" s="31" t="str">
        <x:f>'Evaluation Plan'!J96</x:f>
        <x:v>CT-CF18-ADD</x:v>
      </x:c>
      <x:c r="K96" s="33" t="n">
        <x:f>'Evaluation Plan'!K96</x:f>
        <x:v>2</x:v>
      </x:c>
      <x:c r="L96" s="33" t="n">
        <x:f>'Evaluation Plan'!L96</x:f>
        <x:v>3</x:v>
      </x:c>
      <x:c r="M96" s="33" t="str">
        <x:f>'Evaluation Plan'!M96</x:f>
        <x:v>ADD</x:v>
      </x:c>
      <x:c r="N96" s="31" t="str">
        <x:f>'Evaluation Plan'!N96</x:f>
        <x:v>Primary: three via held-out 2→3 addition</x:v>
      </x:c>
      <x:c r="O96" s="33" t="n">
        <x:f>'Evaluation Plan'!O96</x:f>
        <x:v>4</x:v>
      </x:c>
      <x:c r="P96" s="31" t="str">
        <x:f>'Evaluation Plan'!P96</x:f>
        <x:v>Reset the exact count-2 scene; change only the prompt.</x:v>
      </x:c>
      <x:c r="Q96" s="31" t="str">
        <x:f>'Evaluation Plan'!Q96</x:f>
        <x:v>The goal word three is trained, and this 2→3 trajectory is trained under a direct instruction, but the combination is withheld.</x:v>
      </x:c>
      <x:c r="R96" s="31" t="n">
        <x:f>'Evaluation Plan'!R96</x:f>
        <x:v>0</x:v>
      </x:c>
    </x:row>
    <x:row r="97" ht="46.5" customHeight="1">
      <x:c r="A97" s="32" t="str">
        <x:v>Not collected</x:v>
      </x:c>
      <x:c r="B97" s="34" t="n">
        <x:f>'Evaluation Plan'!B97</x:f>
        <x:v>95</x:v>
      </x:c>
      <x:c r="C97" s="32" t="str">
        <x:f>'Evaluation Plan'!C97</x:f>
        <x:v>Leave exactly one object in the bowl.</x:v>
      </x:c>
      <x:c r="D97" s="32" t="str">
        <x:f>'Evaluation Plan'!D97</x:f>
        <x:v>Bowl objects: [yellow block, green pencil sharpener] | Table objects: [blue pen, airplane toy without propellers]</x:v>
      </x:c>
      <x:c r="E97" s="34" t="n">
        <x:f>'Evaluation Plan'!E97</x:f>
        <x:v>94</x:v>
      </x:c>
      <x:c r="F97" s="32" t="str">
        <x:f>'Evaluation Plan'!F97</x:f>
        <x:v>REMOVE any one bowl object; finish with 1 object in the bowl</x:v>
      </x:c>
      <x:c r="G97" s="32" t="str"/>
      <x:c r="H97" s="36" t="str">
        <x:f>'Evaluation Plan'!H97</x:f>
        <x:v>Concept/compositional transfer</x:v>
      </x:c>
      <x:c r="I97" s="32" t="str">
        <x:f>'Evaluation Plan'!I97</x:f>
        <x:v>CT-CF18</x:v>
      </x:c>
      <x:c r="J97" s="32" t="str">
        <x:f>'Evaluation Plan'!J97</x:f>
        <x:v>CT-CF18-REMOVE</x:v>
      </x:c>
      <x:c r="K97" s="34" t="n">
        <x:f>'Evaluation Plan'!K97</x:f>
        <x:v>2</x:v>
      </x:c>
      <x:c r="L97" s="34" t="n">
        <x:f>'Evaluation Plan'!L97</x:f>
        <x:v>1</x:v>
      </x:c>
      <x:c r="M97" s="34" t="str">
        <x:f>'Evaluation Plan'!M97</x:f>
        <x:v>REMOVE</x:v>
      </x:c>
      <x:c r="N97" s="32" t="str">
        <x:f>'Evaluation Plan'!N97</x:f>
        <x:v>Primary: one via held-out 2→1 removal</x:v>
      </x:c>
      <x:c r="O97" s="34" t="n">
        <x:f>'Evaluation Plan'!O97</x:f>
        <x:v>4</x:v>
      </x:c>
      <x:c r="P97" s="32" t="str">
        <x:f>'Evaluation Plan'!P97</x:f>
        <x:v>Build the listed count-2 scene.</x:v>
      </x:c>
      <x:c r="Q97" s="32" t="str">
        <x:f>'Evaluation Plan'!Q97</x:f>
        <x:v>The goal word one is trained, and this 2→1 trajectory is trained under a direct instruction, but the combination is withheld.</x:v>
      </x:c>
      <x:c r="R97" s="32" t="n">
        <x:f>'Evaluation Plan'!R97</x:f>
        <x:v>0</x:v>
      </x:c>
    </x:row>
    <x:row r="98" ht="46.5" customHeight="1">
      <x:c r="A98" s="31" t="str">
        <x:v>Not collected</x:v>
      </x:c>
      <x:c r="B98" s="33" t="n">
        <x:f>'Evaluation Plan'!B98</x:f>
        <x:v>96</x:v>
      </x:c>
      <x:c r="C98" s="31" t="str">
        <x:f>'Evaluation Plan'!C98</x:f>
        <x:v>Leave exactly one object in the bowl.</x:v>
      </x:c>
      <x:c r="D98" s="31" t="str">
        <x:f>'Evaluation Plan'!D98</x:f>
        <x:v>Bowl objects: [blue pen, green pencil sharpener] | Table objects: [yellow block, airplane toy without propellers]</x:v>
      </x:c>
      <x:c r="E98" s="33" t="str">
        <x:f>'Evaluation Plan'!E98</x:f>
      </x:c>
      <x:c r="F98" s="31" t="str">
        <x:f>'Evaluation Plan'!F98</x:f>
        <x:v>REMOVE any one bowl object; finish with 1 object in the bowl</x:v>
      </x:c>
      <x:c r="G98" s="31" t="str"/>
      <x:c r="H98" s="36" t="str">
        <x:f>'Evaluation Plan'!H98</x:f>
        <x:v>Concept/compositional transfer</x:v>
      </x:c>
      <x:c r="I98" s="31" t="str">
        <x:f>'Evaluation Plan'!I98</x:f>
        <x:v>CT-CF19</x:v>
      </x:c>
      <x:c r="J98" s="31" t="str">
        <x:f>'Evaluation Plan'!J98</x:f>
        <x:v>CT-CF19-REMOVE</x:v>
      </x:c>
      <x:c r="K98" s="33" t="n">
        <x:f>'Evaluation Plan'!K98</x:f>
        <x:v>2</x:v>
      </x:c>
      <x:c r="L98" s="33" t="n">
        <x:f>'Evaluation Plan'!L98</x:f>
        <x:v>1</x:v>
      </x:c>
      <x:c r="M98" s="33" t="str">
        <x:f>'Evaluation Plan'!M98</x:f>
        <x:v>REMOVE</x:v>
      </x:c>
      <x:c r="N98" s="31" t="str">
        <x:f>'Evaluation Plan'!N98</x:f>
        <x:v>Primary: one via held-out 2→1 removal</x:v>
      </x:c>
      <x:c r="O98" s="33" t="n">
        <x:f>'Evaluation Plan'!O98</x:f>
        <x:v>4</x:v>
      </x:c>
      <x:c r="P98" s="31" t="str">
        <x:f>'Evaluation Plan'!P98</x:f>
        <x:v>Build the listed count-2 scene.</x:v>
      </x:c>
      <x:c r="Q98" s="31" t="str">
        <x:f>'Evaluation Plan'!Q98</x:f>
        <x:v>The goal word one is trained, and this 2→1 trajectory is trained under a direct instruction, but the combination is withheld.</x:v>
      </x:c>
      <x:c r="R98" s="31" t="n">
        <x:f>'Evaluation Plan'!R98</x:f>
        <x:v>0</x:v>
      </x:c>
    </x:row>
    <x:row r="99" ht="46.5" customHeight="1">
      <x:c r="A99" s="32" t="str">
        <x:v>Not collected</x:v>
      </x:c>
      <x:c r="B99" s="34" t="n">
        <x:f>'Evaluation Plan'!B99</x:f>
        <x:v>97</x:v>
      </x:c>
      <x:c r="C99" s="32" t="str">
        <x:f>'Evaluation Plan'!C99</x:f>
        <x:v>Leave exactly three objects in the bowl.</x:v>
      </x:c>
      <x:c r="D99" s="32" t="str">
        <x:f>'Evaluation Plan'!D99</x:f>
        <x:v>Bowl objects: [blue pen, green pencil sharpener] | Table objects: [yellow block, airplane toy without propellers]</x:v>
      </x:c>
      <x:c r="E99" s="34" t="n">
        <x:f>'Evaluation Plan'!E99</x:f>
        <x:v>96</x:v>
      </x:c>
      <x:c r="F99" s="32" t="str">
        <x:f>'Evaluation Plan'!F99</x:f>
        <x:v>ADD any one table object; finish with 3 objects in the bowl</x:v>
      </x:c>
      <x:c r="G99" s="32" t="str"/>
      <x:c r="H99" s="36" t="str">
        <x:f>'Evaluation Plan'!H99</x:f>
        <x:v>Concept/compositional transfer</x:v>
      </x:c>
      <x:c r="I99" s="32" t="str">
        <x:f>'Evaluation Plan'!I99</x:f>
        <x:v>CT-CF19</x:v>
      </x:c>
      <x:c r="J99" s="32" t="str">
        <x:f>'Evaluation Plan'!J99</x:f>
        <x:v>CT-CF19-ADD</x:v>
      </x:c>
      <x:c r="K99" s="34" t="n">
        <x:f>'Evaluation Plan'!K99</x:f>
        <x:v>2</x:v>
      </x:c>
      <x:c r="L99" s="34" t="n">
        <x:f>'Evaluation Plan'!L99</x:f>
        <x:v>3</x:v>
      </x:c>
      <x:c r="M99" s="34" t="str">
        <x:f>'Evaluation Plan'!M99</x:f>
        <x:v>ADD</x:v>
      </x:c>
      <x:c r="N99" s="32" t="str">
        <x:f>'Evaluation Plan'!N99</x:f>
        <x:v>Primary: three via held-out 2→3 addition</x:v>
      </x:c>
      <x:c r="O99" s="34" t="n">
        <x:f>'Evaluation Plan'!O99</x:f>
        <x:v>4</x:v>
      </x:c>
      <x:c r="P99" s="32" t="str">
        <x:f>'Evaluation Plan'!P99</x:f>
        <x:v>Reset the exact count-2 scene; change only the prompt.</x:v>
      </x:c>
      <x:c r="Q99" s="32" t="str">
        <x:f>'Evaluation Plan'!Q99</x:f>
        <x:v>The goal word three is trained, and this 2→3 trajectory is trained under a direct instruction, but the combination is withheld.</x:v>
      </x:c>
      <x:c r="R99" s="32" t="n">
        <x:f>'Evaluation Plan'!R99</x:f>
        <x:v>0</x:v>
      </x:c>
    </x:row>
    <x:row r="100" ht="46.5" customHeight="1">
      <x:c r="A100" s="31" t="str">
        <x:v>Not collected</x:v>
      </x:c>
      <x:c r="B100" s="33" t="n">
        <x:f>'Evaluation Plan'!B100</x:f>
        <x:v>98</x:v>
      </x:c>
      <x:c r="C100" s="31" t="str">
        <x:f>'Evaluation Plan'!C100</x:f>
        <x:v>Leave exactly three objects in the bowl.</x:v>
      </x:c>
      <x:c r="D100" s="31" t="str">
        <x:f>'Evaluation Plan'!D100</x:f>
        <x:v>Bowl objects: [yellow block, airplane toy without propellers] | Table objects: [blue pen, green pencil sharpener]</x:v>
      </x:c>
      <x:c r="E100" s="33" t="str">
        <x:f>'Evaluation Plan'!E100</x:f>
      </x:c>
      <x:c r="F100" s="31" t="str">
        <x:f>'Evaluation Plan'!F100</x:f>
        <x:v>ADD any one table object; finish with 3 objects in the bowl</x:v>
      </x:c>
      <x:c r="G100" s="31" t="str"/>
      <x:c r="H100" s="36" t="str">
        <x:f>'Evaluation Plan'!H100</x:f>
        <x:v>Concept/compositional transfer</x:v>
      </x:c>
      <x:c r="I100" s="31" t="str">
        <x:f>'Evaluation Plan'!I100</x:f>
        <x:v>CT-CF20</x:v>
      </x:c>
      <x:c r="J100" s="31" t="str">
        <x:f>'Evaluation Plan'!J100</x:f>
        <x:v>CT-CF20-ADD</x:v>
      </x:c>
      <x:c r="K100" s="33" t="n">
        <x:f>'Evaluation Plan'!K100</x:f>
        <x:v>2</x:v>
      </x:c>
      <x:c r="L100" s="33" t="n">
        <x:f>'Evaluation Plan'!L100</x:f>
        <x:v>3</x:v>
      </x:c>
      <x:c r="M100" s="33" t="str">
        <x:f>'Evaluation Plan'!M100</x:f>
        <x:v>ADD</x:v>
      </x:c>
      <x:c r="N100" s="31" t="str">
        <x:f>'Evaluation Plan'!N100</x:f>
        <x:v>Primary: three via held-out 2→3 addition</x:v>
      </x:c>
      <x:c r="O100" s="33" t="n">
        <x:f>'Evaluation Plan'!O100</x:f>
        <x:v>4</x:v>
      </x:c>
      <x:c r="P100" s="31" t="str">
        <x:f>'Evaluation Plan'!P100</x:f>
        <x:v>Reset the exact count-2 scene; change only the prompt.</x:v>
      </x:c>
      <x:c r="Q100" s="31" t="str">
        <x:f>'Evaluation Plan'!Q100</x:f>
        <x:v>The goal word three is trained, and this 2→3 trajectory is trained under a direct instruction, but the combination is withheld.</x:v>
      </x:c>
      <x:c r="R100" s="31" t="n">
        <x:f>'Evaluation Plan'!R100</x:f>
        <x:v>0</x:v>
      </x:c>
    </x:row>
    <x:row r="101" ht="46.5" customHeight="1">
      <x:c r="A101" s="32" t="str">
        <x:v>Not collected</x:v>
      </x:c>
      <x:c r="B101" s="34" t="n">
        <x:f>'Evaluation Plan'!B101</x:f>
        <x:v>99</x:v>
      </x:c>
      <x:c r="C101" s="32" t="str">
        <x:f>'Evaluation Plan'!C101</x:f>
        <x:v>Leave exactly one object in the bowl.</x:v>
      </x:c>
      <x:c r="D101" s="32" t="str">
        <x:f>'Evaluation Plan'!D101</x:f>
        <x:v>Bowl objects: [yellow block, airplane toy without propellers] | Table objects: [blue pen, green pencil sharpener]</x:v>
      </x:c>
      <x:c r="E101" s="34" t="n">
        <x:f>'Evaluation Plan'!E101</x:f>
        <x:v>98</x:v>
      </x:c>
      <x:c r="F101" s="32" t="str">
        <x:f>'Evaluation Plan'!F101</x:f>
        <x:v>REMOVE any one bowl object; finish with 1 object in the bowl</x:v>
      </x:c>
      <x:c r="G101" s="32" t="str"/>
      <x:c r="H101" s="36" t="str">
        <x:f>'Evaluation Plan'!H101</x:f>
        <x:v>Concept/compositional transfer</x:v>
      </x:c>
      <x:c r="I101" s="32" t="str">
        <x:f>'Evaluation Plan'!I101</x:f>
        <x:v>CT-CF20</x:v>
      </x:c>
      <x:c r="J101" s="32" t="str">
        <x:f>'Evaluation Plan'!J101</x:f>
        <x:v>CT-CF20-REMOVE</x:v>
      </x:c>
      <x:c r="K101" s="34" t="n">
        <x:f>'Evaluation Plan'!K101</x:f>
        <x:v>2</x:v>
      </x:c>
      <x:c r="L101" s="34" t="n">
        <x:f>'Evaluation Plan'!L101</x:f>
        <x:v>1</x:v>
      </x:c>
      <x:c r="M101" s="34" t="str">
        <x:f>'Evaluation Plan'!M101</x:f>
        <x:v>REMOVE</x:v>
      </x:c>
      <x:c r="N101" s="32" t="str">
        <x:f>'Evaluation Plan'!N101</x:f>
        <x:v>Primary: one via held-out 2→1 removal</x:v>
      </x:c>
      <x:c r="O101" s="34" t="n">
        <x:f>'Evaluation Plan'!O101</x:f>
        <x:v>4</x:v>
      </x:c>
      <x:c r="P101" s="32" t="str">
        <x:f>'Evaluation Plan'!P101</x:f>
        <x:v>Build the listed count-2 scene.</x:v>
      </x:c>
      <x:c r="Q101" s="32" t="str">
        <x:f>'Evaluation Plan'!Q101</x:f>
        <x:v>The goal word one is trained, and this 2→1 trajectory is trained under a direct instruction, but the combination is withheld.</x:v>
      </x:c>
      <x:c r="R101" s="32" t="n">
        <x:f>'Evaluation Plan'!R101</x:f>
        <x:v>0</x:v>
      </x:c>
    </x:row>
    <x:row r="102" ht="46.5" customHeight="1">
      <x:c r="A102" s="31" t="str">
        <x:v>Not collected</x:v>
      </x:c>
      <x:c r="B102" s="33" t="n">
        <x:f>'Evaluation Plan'!B102</x:f>
        <x:v>100</x:v>
      </x:c>
      <x:c r="C102" s="31" t="str">
        <x:f>'Evaluation Plan'!C102</x:f>
        <x:v>Leave exactly one object in the bowl.</x:v>
      </x:c>
      <x:c r="D102" s="31" t="str">
        <x:f>'Evaluation Plan'!D102</x:f>
        <x:v>Bowl objects: [blue pen, yellow block] | Table objects: [green pencil sharpener, airplane toy without propellers]</x:v>
      </x:c>
      <x:c r="E102" s="33" t="str">
        <x:f>'Evaluation Plan'!E102</x:f>
      </x:c>
      <x:c r="F102" s="31" t="str">
        <x:f>'Evaluation Plan'!F102</x:f>
        <x:v>REMOVE any one bowl object; finish with 1 object in the bowl</x:v>
      </x:c>
      <x:c r="G102" s="31" t="str"/>
      <x:c r="H102" s="36" t="str">
        <x:f>'Evaluation Plan'!H102</x:f>
        <x:v>Concept/compositional transfer</x:v>
      </x:c>
      <x:c r="I102" s="31" t="str">
        <x:f>'Evaluation Plan'!I102</x:f>
        <x:v>CT-CF21</x:v>
      </x:c>
      <x:c r="J102" s="31" t="str">
        <x:f>'Evaluation Plan'!J102</x:f>
        <x:v>CT-CF21-REMOVE</x:v>
      </x:c>
      <x:c r="K102" s="33" t="n">
        <x:f>'Evaluation Plan'!K102</x:f>
        <x:v>2</x:v>
      </x:c>
      <x:c r="L102" s="33" t="n">
        <x:f>'Evaluation Plan'!L102</x:f>
        <x:v>1</x:v>
      </x:c>
      <x:c r="M102" s="33" t="str">
        <x:f>'Evaluation Plan'!M102</x:f>
        <x:v>REMOVE</x:v>
      </x:c>
      <x:c r="N102" s="31" t="str">
        <x:f>'Evaluation Plan'!N102</x:f>
        <x:v>Primary: one via held-out 2→1 removal</x:v>
      </x:c>
      <x:c r="O102" s="33" t="n">
        <x:f>'Evaluation Plan'!O102</x:f>
        <x:v>4</x:v>
      </x:c>
      <x:c r="P102" s="31" t="str">
        <x:f>'Evaluation Plan'!P102</x:f>
        <x:v>Build the listed count-2 scene.</x:v>
      </x:c>
      <x:c r="Q102" s="31" t="str">
        <x:f>'Evaluation Plan'!Q102</x:f>
        <x:v>The goal word one is trained, and this 2→1 trajectory is trained under a direct instruction, but the combination is withheld.</x:v>
      </x:c>
      <x:c r="R102" s="31" t="n">
        <x:f>'Evaluation Plan'!R102</x:f>
        <x:v>0</x:v>
      </x:c>
    </x:row>
    <x:row r="103" ht="46.5" customHeight="1">
      <x:c r="A103" s="32" t="str">
        <x:v>Not collected</x:v>
      </x:c>
      <x:c r="B103" s="34" t="n">
        <x:f>'Evaluation Plan'!B103</x:f>
        <x:v>101</x:v>
      </x:c>
      <x:c r="C103" s="32" t="str">
        <x:f>'Evaluation Plan'!C103</x:f>
        <x:v>Leave exactly three objects in the bowl.</x:v>
      </x:c>
      <x:c r="D103" s="32" t="str">
        <x:f>'Evaluation Plan'!D103</x:f>
        <x:v>Bowl objects: [blue pen, yellow block] | Table objects: [green pencil sharpener, airplane toy without propellers]</x:v>
      </x:c>
      <x:c r="E103" s="34" t="n">
        <x:f>'Evaluation Plan'!E103</x:f>
        <x:v>100</x:v>
      </x:c>
      <x:c r="F103" s="32" t="str">
        <x:f>'Evaluation Plan'!F103</x:f>
        <x:v>ADD any one table object; finish with 3 objects in the bowl</x:v>
      </x:c>
      <x:c r="G103" s="32" t="str"/>
      <x:c r="H103" s="36" t="str">
        <x:f>'Evaluation Plan'!H103</x:f>
        <x:v>Concept/compositional transfer</x:v>
      </x:c>
      <x:c r="I103" s="32" t="str">
        <x:f>'Evaluation Plan'!I103</x:f>
        <x:v>CT-CF21</x:v>
      </x:c>
      <x:c r="J103" s="32" t="str">
        <x:f>'Evaluation Plan'!J103</x:f>
        <x:v>CT-CF21-ADD</x:v>
      </x:c>
      <x:c r="K103" s="34" t="n">
        <x:f>'Evaluation Plan'!K103</x:f>
        <x:v>2</x:v>
      </x:c>
      <x:c r="L103" s="34" t="n">
        <x:f>'Evaluation Plan'!L103</x:f>
        <x:v>3</x:v>
      </x:c>
      <x:c r="M103" s="34" t="str">
        <x:f>'Evaluation Plan'!M103</x:f>
        <x:v>ADD</x:v>
      </x:c>
      <x:c r="N103" s="32" t="str">
        <x:f>'Evaluation Plan'!N103</x:f>
        <x:v>Primary: three via held-out 2→3 addition</x:v>
      </x:c>
      <x:c r="O103" s="34" t="n">
        <x:f>'Evaluation Plan'!O103</x:f>
        <x:v>4</x:v>
      </x:c>
      <x:c r="P103" s="32" t="str">
        <x:f>'Evaluation Plan'!P103</x:f>
        <x:v>Reset the exact count-2 scene; change only the prompt.</x:v>
      </x:c>
      <x:c r="Q103" s="32" t="str">
        <x:f>'Evaluation Plan'!Q103</x:f>
        <x:v>The goal word three is trained, and this 2→3 trajectory is trained under a direct instruction, but the combination is withheld.</x:v>
      </x:c>
      <x:c r="R103" s="32" t="n">
        <x:f>'Evaluation Plan'!R103</x:f>
        <x:v>0</x:v>
      </x:c>
    </x:row>
    <x:row r="104" ht="46.5" customHeight="1">
      <x:c r="A104" s="31" t="str">
        <x:v>Not collected</x:v>
      </x:c>
      <x:c r="B104" s="33" t="n">
        <x:f>'Evaluation Plan'!B104</x:f>
        <x:v>102</x:v>
      </x:c>
      <x:c r="C104" s="31" t="str">
        <x:f>'Evaluation Plan'!C104</x:f>
        <x:v>Leave exactly three objects in the bowl.</x:v>
      </x:c>
      <x:c r="D104" s="31" t="str">
        <x:f>'Evaluation Plan'!D104</x:f>
        <x:v>Bowl objects: [green pencil sharpener, airplane toy without propellers] | Table objects: [blue pen, yellow block]</x:v>
      </x:c>
      <x:c r="E104" s="33" t="str">
        <x:f>'Evaluation Plan'!E104</x:f>
      </x:c>
      <x:c r="F104" s="31" t="str">
        <x:f>'Evaluation Plan'!F104</x:f>
        <x:v>ADD any one table object; finish with 3 objects in the bowl</x:v>
      </x:c>
      <x:c r="G104" s="31" t="str"/>
      <x:c r="H104" s="36" t="str">
        <x:f>'Evaluation Plan'!H104</x:f>
        <x:v>Concept/compositional transfer</x:v>
      </x:c>
      <x:c r="I104" s="31" t="str">
        <x:f>'Evaluation Plan'!I104</x:f>
        <x:v>CT-CF22</x:v>
      </x:c>
      <x:c r="J104" s="31" t="str">
        <x:f>'Evaluation Plan'!J104</x:f>
        <x:v>CT-CF22-ADD</x:v>
      </x:c>
      <x:c r="K104" s="33" t="n">
        <x:f>'Evaluation Plan'!K104</x:f>
        <x:v>2</x:v>
      </x:c>
      <x:c r="L104" s="33" t="n">
        <x:f>'Evaluation Plan'!L104</x:f>
        <x:v>3</x:v>
      </x:c>
      <x:c r="M104" s="33" t="str">
        <x:f>'Evaluation Plan'!M104</x:f>
        <x:v>ADD</x:v>
      </x:c>
      <x:c r="N104" s="31" t="str">
        <x:f>'Evaluation Plan'!N104</x:f>
        <x:v>Primary: three via held-out 2→3 addition</x:v>
      </x:c>
      <x:c r="O104" s="33" t="n">
        <x:f>'Evaluation Plan'!O104</x:f>
        <x:v>4</x:v>
      </x:c>
      <x:c r="P104" s="31" t="str">
        <x:f>'Evaluation Plan'!P104</x:f>
        <x:v>Reset the exact count-2 scene; change only the prompt.</x:v>
      </x:c>
      <x:c r="Q104" s="31" t="str">
        <x:f>'Evaluation Plan'!Q104</x:f>
        <x:v>The goal word three is trained, and this 2→3 trajectory is trained under a direct instruction, but the combination is withheld.</x:v>
      </x:c>
      <x:c r="R104" s="31" t="n">
        <x:f>'Evaluation Plan'!R104</x:f>
        <x:v>0</x:v>
      </x:c>
    </x:row>
    <x:row r="105" ht="46.5" customHeight="1">
      <x:c r="A105" s="32" t="str">
        <x:v>Not collected</x:v>
      </x:c>
      <x:c r="B105" s="34" t="n">
        <x:f>'Evaluation Plan'!B105</x:f>
        <x:v>103</x:v>
      </x:c>
      <x:c r="C105" s="32" t="str">
        <x:f>'Evaluation Plan'!C105</x:f>
        <x:v>Leave exactly one object in the bowl.</x:v>
      </x:c>
      <x:c r="D105" s="32" t="str">
        <x:f>'Evaluation Plan'!D105</x:f>
        <x:v>Bowl objects: [green pencil sharpener, airplane toy without propellers] | Table objects: [blue pen, yellow block]</x:v>
      </x:c>
      <x:c r="E105" s="34" t="n">
        <x:f>'Evaluation Plan'!E105</x:f>
        <x:v>102</x:v>
      </x:c>
      <x:c r="F105" s="32" t="str">
        <x:f>'Evaluation Plan'!F105</x:f>
        <x:v>REMOVE any one bowl object; finish with 1 object in the bowl</x:v>
      </x:c>
      <x:c r="G105" s="32" t="str"/>
      <x:c r="H105" s="36" t="str">
        <x:f>'Evaluation Plan'!H105</x:f>
        <x:v>Concept/compositional transfer</x:v>
      </x:c>
      <x:c r="I105" s="32" t="str">
        <x:f>'Evaluation Plan'!I105</x:f>
        <x:v>CT-CF22</x:v>
      </x:c>
      <x:c r="J105" s="32" t="str">
        <x:f>'Evaluation Plan'!J105</x:f>
        <x:v>CT-CF22-REMOVE</x:v>
      </x:c>
      <x:c r="K105" s="34" t="n">
        <x:f>'Evaluation Plan'!K105</x:f>
        <x:v>2</x:v>
      </x:c>
      <x:c r="L105" s="34" t="n">
        <x:f>'Evaluation Plan'!L105</x:f>
        <x:v>1</x:v>
      </x:c>
      <x:c r="M105" s="34" t="str">
        <x:f>'Evaluation Plan'!M105</x:f>
        <x:v>REMOVE</x:v>
      </x:c>
      <x:c r="N105" s="32" t="str">
        <x:f>'Evaluation Plan'!N105</x:f>
        <x:v>Primary: one via held-out 2→1 removal</x:v>
      </x:c>
      <x:c r="O105" s="34" t="n">
        <x:f>'Evaluation Plan'!O105</x:f>
        <x:v>4</x:v>
      </x:c>
      <x:c r="P105" s="32" t="str">
        <x:f>'Evaluation Plan'!P105</x:f>
        <x:v>Build the listed count-2 scene.</x:v>
      </x:c>
      <x:c r="Q105" s="32" t="str">
        <x:f>'Evaluation Plan'!Q105</x:f>
        <x:v>The goal word one is trained, and this 2→1 trajectory is trained under a direct instruction, but the combination is withheld.</x:v>
      </x:c>
      <x:c r="R105" s="32" t="n">
        <x:f>'Evaluation Plan'!R105</x:f>
        <x:v>0</x:v>
      </x:c>
    </x:row>
    <x:row r="106" ht="46.5" customHeight="1">
      <x:c r="A106" s="31" t="str">
        <x:v>Not collected</x:v>
      </x:c>
      <x:c r="B106" s="33" t="n">
        <x:f>'Evaluation Plan'!B106</x:f>
        <x:v>104</x:v>
      </x:c>
      <x:c r="C106" s="31" t="str">
        <x:f>'Evaluation Plan'!C106</x:f>
        <x:v>Leave exactly one object in the bowl.</x:v>
      </x:c>
      <x:c r="D106" s="31" t="str">
        <x:f>'Evaluation Plan'!D106</x:f>
        <x:v>Bowl objects: [blue pen, airplane toy without propellers] | Table objects: [yellow block, green pencil sharpener]</x:v>
      </x:c>
      <x:c r="E106" s="33" t="str">
        <x:f>'Evaluation Plan'!E106</x:f>
      </x:c>
      <x:c r="F106" s="31" t="str">
        <x:f>'Evaluation Plan'!F106</x:f>
        <x:v>REMOVE any one bowl object; finish with 1 object in the bowl</x:v>
      </x:c>
      <x:c r="G106" s="31" t="str"/>
      <x:c r="H106" s="36" t="str">
        <x:f>'Evaluation Plan'!H106</x:f>
        <x:v>Concept/compositional transfer</x:v>
      </x:c>
      <x:c r="I106" s="31" t="str">
        <x:f>'Evaluation Plan'!I106</x:f>
        <x:v>CT-CF23</x:v>
      </x:c>
      <x:c r="J106" s="31" t="str">
        <x:f>'Evaluation Plan'!J106</x:f>
        <x:v>CT-CF23-REMOVE</x:v>
      </x:c>
      <x:c r="K106" s="33" t="n">
        <x:f>'Evaluation Plan'!K106</x:f>
        <x:v>2</x:v>
      </x:c>
      <x:c r="L106" s="33" t="n">
        <x:f>'Evaluation Plan'!L106</x:f>
        <x:v>1</x:v>
      </x:c>
      <x:c r="M106" s="33" t="str">
        <x:f>'Evaluation Plan'!M106</x:f>
        <x:v>REMOVE</x:v>
      </x:c>
      <x:c r="N106" s="31" t="str">
        <x:f>'Evaluation Plan'!N106</x:f>
        <x:v>Primary: one via held-out 2→1 removal</x:v>
      </x:c>
      <x:c r="O106" s="33" t="n">
        <x:f>'Evaluation Plan'!O106</x:f>
        <x:v>4</x:v>
      </x:c>
      <x:c r="P106" s="31" t="str">
        <x:f>'Evaluation Plan'!P106</x:f>
        <x:v>Build the listed count-2 scene.</x:v>
      </x:c>
      <x:c r="Q106" s="31" t="str">
        <x:f>'Evaluation Plan'!Q106</x:f>
        <x:v>The goal word one is trained, and this 2→1 trajectory is trained under a direct instruction, but the combination is withheld.</x:v>
      </x:c>
      <x:c r="R106" s="31" t="n">
        <x:f>'Evaluation Plan'!R106</x:f>
        <x:v>0</x:v>
      </x:c>
    </x:row>
    <x:row r="107" ht="46.5" customHeight="1">
      <x:c r="A107" s="32" t="str">
        <x:v>Not collected</x:v>
      </x:c>
      <x:c r="B107" s="34" t="n">
        <x:f>'Evaluation Plan'!B107</x:f>
        <x:v>105</x:v>
      </x:c>
      <x:c r="C107" s="32" t="str">
        <x:f>'Evaluation Plan'!C107</x:f>
        <x:v>Leave exactly three objects in the bowl.</x:v>
      </x:c>
      <x:c r="D107" s="32" t="str">
        <x:f>'Evaluation Plan'!D107</x:f>
        <x:v>Bowl objects: [blue pen, airplane toy without propellers] | Table objects: [yellow block, green pencil sharpener]</x:v>
      </x:c>
      <x:c r="E107" s="34" t="n">
        <x:f>'Evaluation Plan'!E107</x:f>
        <x:v>104</x:v>
      </x:c>
      <x:c r="F107" s="32" t="str">
        <x:f>'Evaluation Plan'!F107</x:f>
        <x:v>ADD any one table object; finish with 3 objects in the bowl</x:v>
      </x:c>
      <x:c r="G107" s="32" t="str"/>
      <x:c r="H107" s="36" t="str">
        <x:f>'Evaluation Plan'!H107</x:f>
        <x:v>Concept/compositional transfer</x:v>
      </x:c>
      <x:c r="I107" s="32" t="str">
        <x:f>'Evaluation Plan'!I107</x:f>
        <x:v>CT-CF23</x:v>
      </x:c>
      <x:c r="J107" s="32" t="str">
        <x:f>'Evaluation Plan'!J107</x:f>
        <x:v>CT-CF23-ADD</x:v>
      </x:c>
      <x:c r="K107" s="34" t="n">
        <x:f>'Evaluation Plan'!K107</x:f>
        <x:v>2</x:v>
      </x:c>
      <x:c r="L107" s="34" t="n">
        <x:f>'Evaluation Plan'!L107</x:f>
        <x:v>3</x:v>
      </x:c>
      <x:c r="M107" s="34" t="str">
        <x:f>'Evaluation Plan'!M107</x:f>
        <x:v>ADD</x:v>
      </x:c>
      <x:c r="N107" s="32" t="str">
        <x:f>'Evaluation Plan'!N107</x:f>
        <x:v>Primary: three via held-out 2→3 addition</x:v>
      </x:c>
      <x:c r="O107" s="34" t="n">
        <x:f>'Evaluation Plan'!O107</x:f>
        <x:v>4</x:v>
      </x:c>
      <x:c r="P107" s="32" t="str">
        <x:f>'Evaluation Plan'!P107</x:f>
        <x:v>Reset the exact count-2 scene; change only the prompt.</x:v>
      </x:c>
      <x:c r="Q107" s="32" t="str">
        <x:f>'Evaluation Plan'!Q107</x:f>
        <x:v>The goal word three is trained, and this 2→3 trajectory is trained under a direct instruction, but the combination is withheld.</x:v>
      </x:c>
      <x:c r="R107" s="32" t="n">
        <x:f>'Evaluation Plan'!R107</x:f>
        <x:v>0</x:v>
      </x:c>
    </x:row>
    <x:row r="108" ht="46.5" customHeight="1">
      <x:c r="A108" s="31" t="str">
        <x:v>Not collected</x:v>
      </x:c>
      <x:c r="B108" s="33" t="n">
        <x:f>'Evaluation Plan'!B108</x:f>
        <x:v>106</x:v>
      </x:c>
      <x:c r="C108" s="31" t="str">
        <x:f>'Evaluation Plan'!C108</x:f>
        <x:v>Leave exactly three objects in the bowl.</x:v>
      </x:c>
      <x:c r="D108" s="31" t="str">
        <x:f>'Evaluation Plan'!D108</x:f>
        <x:v>Bowl objects: [yellow block, green pencil sharpener] | Table objects: [blue pen, airplane toy without propellers]</x:v>
      </x:c>
      <x:c r="E108" s="33" t="str">
        <x:f>'Evaluation Plan'!E108</x:f>
      </x:c>
      <x:c r="F108" s="31" t="str">
        <x:f>'Evaluation Plan'!F108</x:f>
        <x:v>ADD any one table object; finish with 3 objects in the bowl</x:v>
      </x:c>
      <x:c r="G108" s="31" t="str"/>
      <x:c r="H108" s="36" t="str">
        <x:f>'Evaluation Plan'!H108</x:f>
        <x:v>Concept/compositional transfer</x:v>
      </x:c>
      <x:c r="I108" s="31" t="str">
        <x:f>'Evaluation Plan'!I108</x:f>
        <x:v>CT-CF24</x:v>
      </x:c>
      <x:c r="J108" s="31" t="str">
        <x:f>'Evaluation Plan'!J108</x:f>
        <x:v>CT-CF24-ADD</x:v>
      </x:c>
      <x:c r="K108" s="33" t="n">
        <x:f>'Evaluation Plan'!K108</x:f>
        <x:v>2</x:v>
      </x:c>
      <x:c r="L108" s="33" t="n">
        <x:f>'Evaluation Plan'!L108</x:f>
        <x:v>3</x:v>
      </x:c>
      <x:c r="M108" s="33" t="str">
        <x:f>'Evaluation Plan'!M108</x:f>
        <x:v>ADD</x:v>
      </x:c>
      <x:c r="N108" s="31" t="str">
        <x:f>'Evaluation Plan'!N108</x:f>
        <x:v>Primary: three via held-out 2→3 addition</x:v>
      </x:c>
      <x:c r="O108" s="33" t="n">
        <x:f>'Evaluation Plan'!O108</x:f>
        <x:v>4</x:v>
      </x:c>
      <x:c r="P108" s="31" t="str">
        <x:f>'Evaluation Plan'!P108</x:f>
        <x:v>Reset the exact count-2 scene; change only the prompt.</x:v>
      </x:c>
      <x:c r="Q108" s="31" t="str">
        <x:f>'Evaluation Plan'!Q108</x:f>
        <x:v>The goal word three is trained, and this 2→3 trajectory is trained under a direct instruction, but the combination is withheld.</x:v>
      </x:c>
      <x:c r="R108" s="31" t="n">
        <x:f>'Evaluation Plan'!R108</x:f>
        <x:v>0</x:v>
      </x:c>
    </x:row>
    <x:row r="109" ht="46.5" customHeight="1">
      <x:c r="A109" s="32" t="str">
        <x:v>Not collected</x:v>
      </x:c>
      <x:c r="B109" s="34" t="n">
        <x:f>'Evaluation Plan'!B109</x:f>
        <x:v>107</x:v>
      </x:c>
      <x:c r="C109" s="32" t="str">
        <x:f>'Evaluation Plan'!C109</x:f>
        <x:v>Leave exactly one object in the bowl.</x:v>
      </x:c>
      <x:c r="D109" s="32" t="str">
        <x:f>'Evaluation Plan'!D109</x:f>
        <x:v>Bowl objects: [yellow block, green pencil sharpener] | Table objects: [blue pen, airplane toy without propellers]</x:v>
      </x:c>
      <x:c r="E109" s="34" t="n">
        <x:f>'Evaluation Plan'!E109</x:f>
        <x:v>106</x:v>
      </x:c>
      <x:c r="F109" s="32" t="str">
        <x:f>'Evaluation Plan'!F109</x:f>
        <x:v>REMOVE any one bowl object; finish with 1 object in the bowl</x:v>
      </x:c>
      <x:c r="G109" s="32" t="str"/>
      <x:c r="H109" s="36" t="str">
        <x:f>'Evaluation Plan'!H109</x:f>
        <x:v>Concept/compositional transfer</x:v>
      </x:c>
      <x:c r="I109" s="32" t="str">
        <x:f>'Evaluation Plan'!I109</x:f>
        <x:v>CT-CF24</x:v>
      </x:c>
      <x:c r="J109" s="32" t="str">
        <x:f>'Evaluation Plan'!J109</x:f>
        <x:v>CT-CF24-REMOVE</x:v>
      </x:c>
      <x:c r="K109" s="34" t="n">
        <x:f>'Evaluation Plan'!K109</x:f>
        <x:v>2</x:v>
      </x:c>
      <x:c r="L109" s="34" t="n">
        <x:f>'Evaluation Plan'!L109</x:f>
        <x:v>1</x:v>
      </x:c>
      <x:c r="M109" s="34" t="str">
        <x:f>'Evaluation Plan'!M109</x:f>
        <x:v>REMOVE</x:v>
      </x:c>
      <x:c r="N109" s="32" t="str">
        <x:f>'Evaluation Plan'!N109</x:f>
        <x:v>Primary: one via held-out 2→1 removal</x:v>
      </x:c>
      <x:c r="O109" s="34" t="n">
        <x:f>'Evaluation Plan'!O109</x:f>
        <x:v>4</x:v>
      </x:c>
      <x:c r="P109" s="32" t="str">
        <x:f>'Evaluation Plan'!P109</x:f>
        <x:v>Build the listed count-2 scene.</x:v>
      </x:c>
      <x:c r="Q109" s="32" t="str">
        <x:f>'Evaluation Plan'!Q109</x:f>
        <x:v>The goal word one is trained, and this 2→1 trajectory is trained under a direct instruction, but the combination is withheld.</x:v>
      </x:c>
      <x:c r="R109" s="32" t="n">
        <x:f>'Evaluation Plan'!R109</x:f>
        <x:v>0</x:v>
      </x:c>
    </x:row>
    <x:row r="110" ht="46.5" customHeight="1">
      <x:c r="A110" s="31" t="str">
        <x:v>Not collected</x:v>
      </x:c>
      <x:c r="B110" s="33" t="n">
        <x:f>'Evaluation Plan'!B110</x:f>
        <x:v>108</x:v>
      </x:c>
      <x:c r="C110" s="31" t="str">
        <x:f>'Evaluation Plan'!C110</x:f>
        <x:v>Leave exactly one object in the bowl.</x:v>
      </x:c>
      <x:c r="D110" s="31" t="str">
        <x:f>'Evaluation Plan'!D110</x:f>
        <x:v>Bowl objects: [blue pen, green pencil sharpener] | Table objects: [yellow block, airplane toy without propellers]</x:v>
      </x:c>
      <x:c r="E110" s="33" t="str">
        <x:f>'Evaluation Plan'!E110</x:f>
      </x:c>
      <x:c r="F110" s="31" t="str">
        <x:f>'Evaluation Plan'!F110</x:f>
        <x:v>REMOVE any one bowl object; finish with 1 object in the bowl</x:v>
      </x:c>
      <x:c r="G110" s="31" t="str"/>
      <x:c r="H110" s="36" t="str">
        <x:f>'Evaluation Plan'!H110</x:f>
        <x:v>Concept/compositional transfer</x:v>
      </x:c>
      <x:c r="I110" s="31" t="str">
        <x:f>'Evaluation Plan'!I110</x:f>
        <x:v>CT-CF25</x:v>
      </x:c>
      <x:c r="J110" s="31" t="str">
        <x:f>'Evaluation Plan'!J110</x:f>
        <x:v>CT-CF25-REMOVE</x:v>
      </x:c>
      <x:c r="K110" s="33" t="n">
        <x:f>'Evaluation Plan'!K110</x:f>
        <x:v>2</x:v>
      </x:c>
      <x:c r="L110" s="33" t="n">
        <x:f>'Evaluation Plan'!L110</x:f>
        <x:v>1</x:v>
      </x:c>
      <x:c r="M110" s="33" t="str">
        <x:f>'Evaluation Plan'!M110</x:f>
        <x:v>REMOVE</x:v>
      </x:c>
      <x:c r="N110" s="31" t="str">
        <x:f>'Evaluation Plan'!N110</x:f>
        <x:v>Primary: one via held-out 2→1 removal</x:v>
      </x:c>
      <x:c r="O110" s="33" t="n">
        <x:f>'Evaluation Plan'!O110</x:f>
        <x:v>4</x:v>
      </x:c>
      <x:c r="P110" s="31" t="str">
        <x:f>'Evaluation Plan'!P110</x:f>
        <x:v>Build the listed count-2 scene.</x:v>
      </x:c>
      <x:c r="Q110" s="31" t="str">
        <x:f>'Evaluation Plan'!Q110</x:f>
        <x:v>The goal word one is trained, and this 2→1 trajectory is trained under a direct instruction, but the combination is withheld.</x:v>
      </x:c>
      <x:c r="R110" s="31" t="n">
        <x:f>'Evaluation Plan'!R110</x:f>
        <x:v>0</x:v>
      </x:c>
    </x:row>
    <x:row r="111" ht="46.5" customHeight="1">
      <x:c r="A111" s="32" t="str">
        <x:v>Not collected</x:v>
      </x:c>
      <x:c r="B111" s="34" t="n">
        <x:f>'Evaluation Plan'!B111</x:f>
        <x:v>109</x:v>
      </x:c>
      <x:c r="C111" s="32" t="str">
        <x:f>'Evaluation Plan'!C111</x:f>
        <x:v>Leave exactly three objects in the bowl.</x:v>
      </x:c>
      <x:c r="D111" s="32" t="str">
        <x:f>'Evaluation Plan'!D111</x:f>
        <x:v>Bowl objects: [blue pen, green pencil sharpener] | Table objects: [yellow block, airplane toy without propellers]</x:v>
      </x:c>
      <x:c r="E111" s="34" t="n">
        <x:f>'Evaluation Plan'!E111</x:f>
        <x:v>108</x:v>
      </x:c>
      <x:c r="F111" s="32" t="str">
        <x:f>'Evaluation Plan'!F111</x:f>
        <x:v>ADD any one table object; finish with 3 objects in the bowl</x:v>
      </x:c>
      <x:c r="G111" s="32" t="str"/>
      <x:c r="H111" s="36" t="str">
        <x:f>'Evaluation Plan'!H111</x:f>
        <x:v>Concept/compositional transfer</x:v>
      </x:c>
      <x:c r="I111" s="32" t="str">
        <x:f>'Evaluation Plan'!I111</x:f>
        <x:v>CT-CF25</x:v>
      </x:c>
      <x:c r="J111" s="32" t="str">
        <x:f>'Evaluation Plan'!J111</x:f>
        <x:v>CT-CF25-ADD</x:v>
      </x:c>
      <x:c r="K111" s="34" t="n">
        <x:f>'Evaluation Plan'!K111</x:f>
        <x:v>2</x:v>
      </x:c>
      <x:c r="L111" s="34" t="n">
        <x:f>'Evaluation Plan'!L111</x:f>
        <x:v>3</x:v>
      </x:c>
      <x:c r="M111" s="34" t="str">
        <x:f>'Evaluation Plan'!M111</x:f>
        <x:v>ADD</x:v>
      </x:c>
      <x:c r="N111" s="32" t="str">
        <x:f>'Evaluation Plan'!N111</x:f>
        <x:v>Primary: three via held-out 2→3 addition</x:v>
      </x:c>
      <x:c r="O111" s="34" t="n">
        <x:f>'Evaluation Plan'!O111</x:f>
        <x:v>4</x:v>
      </x:c>
      <x:c r="P111" s="32" t="str">
        <x:f>'Evaluation Plan'!P111</x:f>
        <x:v>Reset the exact count-2 scene; change only the prompt.</x:v>
      </x:c>
      <x:c r="Q111" s="32" t="str">
        <x:f>'Evaluation Plan'!Q111</x:f>
        <x:v>The goal word three is trained, and this 2→3 trajectory is trained under a direct instruction, but the combination is withheld.</x:v>
      </x:c>
      <x:c r="R111" s="32" t="n">
        <x:f>'Evaluation Plan'!R111</x:f>
        <x:v>0</x:v>
      </x:c>
    </x:row>
    <x:row r="112" ht="46.5" customHeight="1">
      <x:c r="A112" s="31" t="str">
        <x:v>Not collected</x:v>
      </x:c>
      <x:c r="B112" s="33" t="n">
        <x:f>'Evaluation Plan'!B112</x:f>
        <x:v>110</x:v>
      </x:c>
      <x:c r="C112" s="31" t="str">
        <x:f>'Evaluation Plan'!C112</x:f>
        <x:v>Make the bowl contain exactly zero objects.</x:v>
      </x:c>
      <x:c r="D112" s="31" t="str">
        <x:f>'Evaluation Plan'!D112</x:f>
        <x:v>Bowl objects: [green highlighter] | Table objects: [yellow block, green pencil sharpener, airplane toy without propellers]</x:v>
      </x:c>
      <x:c r="E112" s="33" t="str">
        <x:f>'Evaluation Plan'!E112</x:f>
      </x:c>
      <x:c r="F112" s="31" t="str">
        <x:f>'Evaluation Plan'!F112</x:f>
        <x:v>REMOVE green highlighter; finish with 0 objects in the bowl</x:v>
      </x:c>
      <x:c r="G112" s="31" t="str"/>
      <x:c r="H112" s="39" t="str">
        <x:f>'Evaluation Plan'!H112</x:f>
        <x:v>Cross-task object transfer</x:v>
      </x:c>
      <x:c r="I112" s="31" t="str">
        <x:f>'Evaluation Plan'!I112</x:f>
        <x:v>XT-GH01</x:v>
      </x:c>
      <x:c r="J112" s="31" t="str">
        <x:f>'Evaluation Plan'!J112</x:f>
        <x:v>XT-GH01</x:v>
      </x:c>
      <x:c r="K112" s="33" t="n">
        <x:f>'Evaluation Plan'!K112</x:f>
        <x:v>1</x:v>
      </x:c>
      <x:c r="L112" s="33" t="n">
        <x:f>'Evaluation Plan'!L112</x:f>
        <x:v>0</x:v>
      </x:c>
      <x:c r="M112" s="33" t="str">
        <x:f>'Evaluation Plan'!M112</x:f>
        <x:v>REMOVE</x:v>
      </x:c>
      <x:c r="N112" s="31" t="str">
        <x:f>'Evaluation Plan'!N112</x:f>
        <x:v>Green-highlighter familiar-count transfer: 1→0 removal</x:v>
      </x:c>
      <x:c r="O112" s="33" t="n">
        <x:f>'Evaluation Plan'!O112</x:f>
        <x:v>5</x:v>
      </x:c>
      <x:c r="P112" s="31" t="str">
        <x:f>'Evaluation Plan'!P112</x:f>
        <x:v>Build the listed green-highlighter scene.</x:v>
      </x:c>
      <x:c r="Q112" s="31" t="str">
        <x:f>'Evaluation Plan'!Q112</x:f>
        <x:v>The green highlighter appears elsewhere in training but not in Counting. The prompt uses a familiar count/transition and the highlighter is the only eligible object.</x:v>
      </x:c>
      <x:c r="R112" s="31" t="n">
        <x:f>'Evaluation Plan'!R112</x:f>
        <x:v>0</x:v>
      </x:c>
    </x:row>
    <x:row r="113" ht="46.5" customHeight="1">
      <x:c r="A113" s="32" t="str">
        <x:v>Not collected</x:v>
      </x:c>
      <x:c r="B113" s="34" t="n">
        <x:f>'Evaluation Plan'!B113</x:f>
        <x:v>111</x:v>
      </x:c>
      <x:c r="C113" s="32" t="str">
        <x:f>'Evaluation Plan'!C113</x:f>
        <x:v>Move the green highlighter from the bowl to the table.</x:v>
      </x:c>
      <x:c r="D113" s="32" t="str">
        <x:f>'Evaluation Plan'!D113</x:f>
        <x:v>Bowl objects: [green highlighter] | Table objects: [yellow block, green pencil sharpener, airplane toy without propellers]</x:v>
      </x:c>
      <x:c r="E113" s="34" t="n">
        <x:f>'Evaluation Plan'!E113</x:f>
        <x:v>110</x:v>
      </x:c>
      <x:c r="F113" s="32" t="str">
        <x:f>'Evaluation Plan'!F113</x:f>
        <x:v>REMOVE green highlighter</x:v>
      </x:c>
      <x:c r="G113" s="32" t="str"/>
      <x:c r="H113" s="40" t="str">
        <x:f>'Evaluation Plan'!H113</x:f>
        <x:v>Cross-task matched control</x:v>
      </x:c>
      <x:c r="I113" s="32" t="str">
        <x:f>'Evaluation Plan'!I113</x:f>
        <x:v>XT-GH01</x:v>
      </x:c>
      <x:c r="J113" s="32" t="str">
        <x:f>'Evaluation Plan'!J113</x:f>
        <x:v>XT-GH01</x:v>
      </x:c>
      <x:c r="K113" s="34" t="n">
        <x:f>'Evaluation Plan'!K113</x:f>
        <x:v>1</x:v>
      </x:c>
      <x:c r="L113" s="34" t="n">
        <x:f>'Evaluation Plan'!L113</x:f>
        <x:v>0</x:v>
      </x:c>
      <x:c r="M113" s="34" t="str">
        <x:f>'Evaluation Plan'!M113</x:f>
        <x:v>REMOVE</x:v>
      </x:c>
      <x:c r="N113" s="32" t="str">
        <x:f>'Evaluation Plan'!N113</x:f>
        <x:v>Green-highlighter direct REMOVE control</x:v>
      </x:c>
      <x:c r="O113" s="34" t="n">
        <x:f>'Evaluation Plan'!O113</x:f>
        <x:v>5</x:v>
      </x:c>
      <x:c r="P113" s="32" t="str">
        <x:f>'Evaluation Plan'!P113</x:f>
        <x:v>Reset the exact scene; change only the prompt.</x:v>
      </x:c>
      <x:c r="Q113" s="32" t="str">
        <x:f>'Evaluation Plan'!Q113</x:f>
        <x:v>Directly identifies the same unique target in the same scene.</x:v>
      </x:c>
      <x:c r="R113" s="32" t="n">
        <x:f>'Evaluation Plan'!R113</x:f>
        <x:v>0</x:v>
      </x:c>
    </x:row>
    <x:row r="114" ht="46.5" customHeight="1">
      <x:c r="A114" s="31" t="str">
        <x:v>Not collected</x:v>
      </x:c>
      <x:c r="B114" s="33" t="n">
        <x:f>'Evaluation Plan'!B114</x:f>
        <x:v>112</x:v>
      </x:c>
      <x:c r="C114" s="31" t="str">
        <x:f>'Evaluation Plan'!C114</x:f>
        <x:v>Move the green highlighter into the bowl.</x:v>
      </x:c>
      <x:c r="D114" s="31" t="str">
        <x:f>'Evaluation Plan'!D114</x:f>
        <x:v>Bowl objects: [blue pen] | Table objects: [green highlighter]</x:v>
      </x:c>
      <x:c r="E114" s="33" t="str">
        <x:f>'Evaluation Plan'!E114</x:f>
      </x:c>
      <x:c r="F114" s="31" t="str">
        <x:f>'Evaluation Plan'!F114</x:f>
        <x:v>ADD green highlighter</x:v>
      </x:c>
      <x:c r="G114" s="31" t="str"/>
      <x:c r="H114" s="40" t="str">
        <x:f>'Evaluation Plan'!H114</x:f>
        <x:v>Cross-task matched control</x:v>
      </x:c>
      <x:c r="I114" s="31" t="str">
        <x:f>'Evaluation Plan'!I114</x:f>
        <x:v>XT-GH02</x:v>
      </x:c>
      <x:c r="J114" s="31" t="str">
        <x:f>'Evaluation Plan'!J114</x:f>
        <x:v>XT-GH02</x:v>
      </x:c>
      <x:c r="K114" s="33" t="n">
        <x:f>'Evaluation Plan'!K114</x:f>
        <x:v>1</x:v>
      </x:c>
      <x:c r="L114" s="33" t="n">
        <x:f>'Evaluation Plan'!L114</x:f>
        <x:v>2</x:v>
      </x:c>
      <x:c r="M114" s="33" t="str">
        <x:f>'Evaluation Plan'!M114</x:f>
        <x:v>ADD</x:v>
      </x:c>
      <x:c r="N114" s="31" t="str">
        <x:f>'Evaluation Plan'!N114</x:f>
        <x:v>Green-highlighter direct ADD control</x:v>
      </x:c>
      <x:c r="O114" s="33" t="n">
        <x:f>'Evaluation Plan'!O114</x:f>
        <x:v>5</x:v>
      </x:c>
      <x:c r="P114" s="31" t="str">
        <x:f>'Evaluation Plan'!P114</x:f>
        <x:v>Reset the exact scene; change only the prompt.</x:v>
      </x:c>
      <x:c r="Q114" s="31" t="str">
        <x:f>'Evaluation Plan'!Q114</x:f>
        <x:v>Directly identifies the same unique target in the same scene.</x:v>
      </x:c>
      <x:c r="R114" s="31" t="n">
        <x:f>'Evaluation Plan'!R114</x:f>
        <x:v>0</x:v>
      </x:c>
    </x:row>
    <x:row r="115" ht="46.5" customHeight="1">
      <x:c r="A115" s="32" t="str">
        <x:v>Not collected</x:v>
      </x:c>
      <x:c r="B115" s="34" t="n">
        <x:f>'Evaluation Plan'!B115</x:f>
        <x:v>113</x:v>
      </x:c>
      <x:c r="C115" s="32" t="str">
        <x:f>'Evaluation Plan'!C115</x:f>
        <x:v>Make the bowl contain exactly two objects.</x:v>
      </x:c>
      <x:c r="D115" s="32" t="str">
        <x:f>'Evaluation Plan'!D115</x:f>
        <x:v>Bowl objects: [blue pen] | Table objects: [green highlighter]</x:v>
      </x:c>
      <x:c r="E115" s="34" t="n">
        <x:f>'Evaluation Plan'!E115</x:f>
        <x:v>112</x:v>
      </x:c>
      <x:c r="F115" s="32" t="str">
        <x:f>'Evaluation Plan'!F115</x:f>
        <x:v>ADD green highlighter; finish with 2 objects in the bowl</x:v>
      </x:c>
      <x:c r="G115" s="32" t="str"/>
      <x:c r="H115" s="39" t="str">
        <x:f>'Evaluation Plan'!H115</x:f>
        <x:v>Cross-task object transfer</x:v>
      </x:c>
      <x:c r="I115" s="32" t="str">
        <x:f>'Evaluation Plan'!I115</x:f>
        <x:v>XT-GH02</x:v>
      </x:c>
      <x:c r="J115" s="32" t="str">
        <x:f>'Evaluation Plan'!J115</x:f>
        <x:v>XT-GH02</x:v>
      </x:c>
      <x:c r="K115" s="34" t="n">
        <x:f>'Evaluation Plan'!K115</x:f>
        <x:v>1</x:v>
      </x:c>
      <x:c r="L115" s="34" t="n">
        <x:f>'Evaluation Plan'!L115</x:f>
        <x:v>2</x:v>
      </x:c>
      <x:c r="M115" s="34" t="str">
        <x:f>'Evaluation Plan'!M115</x:f>
        <x:v>ADD</x:v>
      </x:c>
      <x:c r="N115" s="32" t="str">
        <x:f>'Evaluation Plan'!N115</x:f>
        <x:v>Green-highlighter familiar-count transfer: 1→2 addition</x:v>
      </x:c>
      <x:c r="O115" s="34" t="n">
        <x:f>'Evaluation Plan'!O115</x:f>
        <x:v>5</x:v>
      </x:c>
      <x:c r="P115" s="32" t="str">
        <x:f>'Evaluation Plan'!P115</x:f>
        <x:v>Build the listed green-highlighter scene.</x:v>
      </x:c>
      <x:c r="Q115" s="32" t="str">
        <x:f>'Evaluation Plan'!Q115</x:f>
        <x:v>The green highlighter appears elsewhere in training but not in Counting. The prompt uses a familiar count/transition and the highlighter is the only eligible object.</x:v>
      </x:c>
      <x:c r="R115" s="32" t="n">
        <x:f>'Evaluation Plan'!R115</x:f>
        <x:v>0</x:v>
      </x:c>
    </x:row>
    <x:row r="116" ht="46.5" customHeight="1">
      <x:c r="A116" s="31" t="str">
        <x:v>Not collected</x:v>
      </x:c>
      <x:c r="B116" s="33" t="n">
        <x:f>'Evaluation Plan'!B116</x:f>
        <x:v>114</x:v>
      </x:c>
      <x:c r="C116" s="31" t="str">
        <x:f>'Evaluation Plan'!C116</x:f>
        <x:v>Make the bowl contain exactly zero objects.</x:v>
      </x:c>
      <x:c r="D116" s="31" t="str">
        <x:f>'Evaluation Plan'!D116</x:f>
        <x:v>Bowl objects: [green highlighter] | Table objects: [blue pen, green pencil sharpener, airplane toy without propellers]</x:v>
      </x:c>
      <x:c r="E116" s="33" t="str">
        <x:f>'Evaluation Plan'!E116</x:f>
      </x:c>
      <x:c r="F116" s="31" t="str">
        <x:f>'Evaluation Plan'!F116</x:f>
        <x:v>REMOVE green highlighter; finish with 0 objects in the bowl</x:v>
      </x:c>
      <x:c r="G116" s="31" t="str"/>
      <x:c r="H116" s="39" t="str">
        <x:f>'Evaluation Plan'!H116</x:f>
        <x:v>Cross-task object transfer</x:v>
      </x:c>
      <x:c r="I116" s="31" t="str">
        <x:f>'Evaluation Plan'!I116</x:f>
        <x:v>XT-GH03</x:v>
      </x:c>
      <x:c r="J116" s="31" t="str">
        <x:f>'Evaluation Plan'!J116</x:f>
        <x:v>XT-GH03</x:v>
      </x:c>
      <x:c r="K116" s="33" t="n">
        <x:f>'Evaluation Plan'!K116</x:f>
        <x:v>1</x:v>
      </x:c>
      <x:c r="L116" s="33" t="n">
        <x:f>'Evaluation Plan'!L116</x:f>
        <x:v>0</x:v>
      </x:c>
      <x:c r="M116" s="33" t="str">
        <x:f>'Evaluation Plan'!M116</x:f>
        <x:v>REMOVE</x:v>
      </x:c>
      <x:c r="N116" s="31" t="str">
        <x:f>'Evaluation Plan'!N116</x:f>
        <x:v>Green-highlighter familiar-count transfer: 1→0 removal</x:v>
      </x:c>
      <x:c r="O116" s="33" t="n">
        <x:f>'Evaluation Plan'!O116</x:f>
        <x:v>5</x:v>
      </x:c>
      <x:c r="P116" s="31" t="str">
        <x:f>'Evaluation Plan'!P116</x:f>
        <x:v>Build the listed green-highlighter scene.</x:v>
      </x:c>
      <x:c r="Q116" s="31" t="str">
        <x:f>'Evaluation Plan'!Q116</x:f>
        <x:v>The green highlighter appears elsewhere in training but not in Counting. The prompt uses a familiar count/transition and the highlighter is the only eligible object.</x:v>
      </x:c>
      <x:c r="R116" s="31" t="n">
        <x:f>'Evaluation Plan'!R116</x:f>
        <x:v>0</x:v>
      </x:c>
    </x:row>
    <x:row r="117" ht="46.5" customHeight="1">
      <x:c r="A117" s="32" t="str">
        <x:v>Not collected</x:v>
      </x:c>
      <x:c r="B117" s="34" t="n">
        <x:f>'Evaluation Plan'!B117</x:f>
        <x:v>115</x:v>
      </x:c>
      <x:c r="C117" s="32" t="str">
        <x:f>'Evaluation Plan'!C117</x:f>
        <x:v>Move the green highlighter from the bowl to the table.</x:v>
      </x:c>
      <x:c r="D117" s="32" t="str">
        <x:f>'Evaluation Plan'!D117</x:f>
        <x:v>Bowl objects: [green highlighter] | Table objects: [blue pen, green pencil sharpener, airplane toy without propellers]</x:v>
      </x:c>
      <x:c r="E117" s="34" t="n">
        <x:f>'Evaluation Plan'!E117</x:f>
        <x:v>114</x:v>
      </x:c>
      <x:c r="F117" s="32" t="str">
        <x:f>'Evaluation Plan'!F117</x:f>
        <x:v>REMOVE green highlighter</x:v>
      </x:c>
      <x:c r="G117" s="32" t="str"/>
      <x:c r="H117" s="40" t="str">
        <x:f>'Evaluation Plan'!H117</x:f>
        <x:v>Cross-task matched control</x:v>
      </x:c>
      <x:c r="I117" s="32" t="str">
        <x:f>'Evaluation Plan'!I117</x:f>
        <x:v>XT-GH03</x:v>
      </x:c>
      <x:c r="J117" s="32" t="str">
        <x:f>'Evaluation Plan'!J117</x:f>
        <x:v>XT-GH03</x:v>
      </x:c>
      <x:c r="K117" s="34" t="n">
        <x:f>'Evaluation Plan'!K117</x:f>
        <x:v>1</x:v>
      </x:c>
      <x:c r="L117" s="34" t="n">
        <x:f>'Evaluation Plan'!L117</x:f>
        <x:v>0</x:v>
      </x:c>
      <x:c r="M117" s="34" t="str">
        <x:f>'Evaluation Plan'!M117</x:f>
        <x:v>REMOVE</x:v>
      </x:c>
      <x:c r="N117" s="32" t="str">
        <x:f>'Evaluation Plan'!N117</x:f>
        <x:v>Green-highlighter direct REMOVE control</x:v>
      </x:c>
      <x:c r="O117" s="34" t="n">
        <x:f>'Evaluation Plan'!O117</x:f>
        <x:v>5</x:v>
      </x:c>
      <x:c r="P117" s="32" t="str">
        <x:f>'Evaluation Plan'!P117</x:f>
        <x:v>Reset the exact scene; change only the prompt.</x:v>
      </x:c>
      <x:c r="Q117" s="32" t="str">
        <x:f>'Evaluation Plan'!Q117</x:f>
        <x:v>Directly identifies the same unique target in the same scene.</x:v>
      </x:c>
      <x:c r="R117" s="32" t="n">
        <x:f>'Evaluation Plan'!R117</x:f>
        <x:v>0</x:v>
      </x:c>
    </x:row>
    <x:row r="118" ht="46.5" customHeight="1">
      <x:c r="A118" s="31" t="str">
        <x:v>Not collected</x:v>
      </x:c>
      <x:c r="B118" s="33" t="n">
        <x:f>'Evaluation Plan'!B118</x:f>
        <x:v>116</x:v>
      </x:c>
      <x:c r="C118" s="31" t="str">
        <x:f>'Evaluation Plan'!C118</x:f>
        <x:v>Move the green highlighter into the bowl.</x:v>
      </x:c>
      <x:c r="D118" s="31" t="str">
        <x:f>'Evaluation Plan'!D118</x:f>
        <x:v>Bowl objects: [yellow block] | Table objects: [green highlighter]</x:v>
      </x:c>
      <x:c r="E118" s="33" t="str">
        <x:f>'Evaluation Plan'!E118</x:f>
      </x:c>
      <x:c r="F118" s="31" t="str">
        <x:f>'Evaluation Plan'!F118</x:f>
        <x:v>ADD green highlighter</x:v>
      </x:c>
      <x:c r="G118" s="31" t="str"/>
      <x:c r="H118" s="40" t="str">
        <x:f>'Evaluation Plan'!H118</x:f>
        <x:v>Cross-task matched control</x:v>
      </x:c>
      <x:c r="I118" s="31" t="str">
        <x:f>'Evaluation Plan'!I118</x:f>
        <x:v>XT-GH04</x:v>
      </x:c>
      <x:c r="J118" s="31" t="str">
        <x:f>'Evaluation Plan'!J118</x:f>
        <x:v>XT-GH04</x:v>
      </x:c>
      <x:c r="K118" s="33" t="n">
        <x:f>'Evaluation Plan'!K118</x:f>
        <x:v>1</x:v>
      </x:c>
      <x:c r="L118" s="33" t="n">
        <x:f>'Evaluation Plan'!L118</x:f>
        <x:v>2</x:v>
      </x:c>
      <x:c r="M118" s="33" t="str">
        <x:f>'Evaluation Plan'!M118</x:f>
        <x:v>ADD</x:v>
      </x:c>
      <x:c r="N118" s="31" t="str">
        <x:f>'Evaluation Plan'!N118</x:f>
        <x:v>Green-highlighter direct ADD control</x:v>
      </x:c>
      <x:c r="O118" s="33" t="n">
        <x:f>'Evaluation Plan'!O118</x:f>
        <x:v>5</x:v>
      </x:c>
      <x:c r="P118" s="31" t="str">
        <x:f>'Evaluation Plan'!P118</x:f>
        <x:v>Reset the exact scene; change only the prompt.</x:v>
      </x:c>
      <x:c r="Q118" s="31" t="str">
        <x:f>'Evaluation Plan'!Q118</x:f>
        <x:v>Directly identifies the same unique target in the same scene.</x:v>
      </x:c>
      <x:c r="R118" s="31" t="n">
        <x:f>'Evaluation Plan'!R118</x:f>
        <x:v>0</x:v>
      </x:c>
    </x:row>
    <x:row r="119" ht="46.5" customHeight="1">
      <x:c r="A119" s="32" t="str">
        <x:v>Not collected</x:v>
      </x:c>
      <x:c r="B119" s="34" t="n">
        <x:f>'Evaluation Plan'!B119</x:f>
        <x:v>117</x:v>
      </x:c>
      <x:c r="C119" s="32" t="str">
        <x:f>'Evaluation Plan'!C119</x:f>
        <x:v>Make the bowl contain exactly two objects.</x:v>
      </x:c>
      <x:c r="D119" s="32" t="str">
        <x:f>'Evaluation Plan'!D119</x:f>
        <x:v>Bowl objects: [yellow block] | Table objects: [green highlighter]</x:v>
      </x:c>
      <x:c r="E119" s="34" t="n">
        <x:f>'Evaluation Plan'!E119</x:f>
        <x:v>116</x:v>
      </x:c>
      <x:c r="F119" s="32" t="str">
        <x:f>'Evaluation Plan'!F119</x:f>
        <x:v>ADD green highlighter; finish with 2 objects in the bowl</x:v>
      </x:c>
      <x:c r="G119" s="32" t="str"/>
      <x:c r="H119" s="39" t="str">
        <x:f>'Evaluation Plan'!H119</x:f>
        <x:v>Cross-task object transfer</x:v>
      </x:c>
      <x:c r="I119" s="32" t="str">
        <x:f>'Evaluation Plan'!I119</x:f>
        <x:v>XT-GH04</x:v>
      </x:c>
      <x:c r="J119" s="32" t="str">
        <x:f>'Evaluation Plan'!J119</x:f>
        <x:v>XT-GH04</x:v>
      </x:c>
      <x:c r="K119" s="34" t="n">
        <x:f>'Evaluation Plan'!K119</x:f>
        <x:v>1</x:v>
      </x:c>
      <x:c r="L119" s="34" t="n">
        <x:f>'Evaluation Plan'!L119</x:f>
        <x:v>2</x:v>
      </x:c>
      <x:c r="M119" s="34" t="str">
        <x:f>'Evaluation Plan'!M119</x:f>
        <x:v>ADD</x:v>
      </x:c>
      <x:c r="N119" s="32" t="str">
        <x:f>'Evaluation Plan'!N119</x:f>
        <x:v>Green-highlighter familiar-count transfer: 1→2 addition</x:v>
      </x:c>
      <x:c r="O119" s="34" t="n">
        <x:f>'Evaluation Plan'!O119</x:f>
        <x:v>5</x:v>
      </x:c>
      <x:c r="P119" s="32" t="str">
        <x:f>'Evaluation Plan'!P119</x:f>
        <x:v>Build the listed green-highlighter scene.</x:v>
      </x:c>
      <x:c r="Q119" s="32" t="str">
        <x:f>'Evaluation Plan'!Q119</x:f>
        <x:v>The green highlighter appears elsewhere in training but not in Counting. The prompt uses a familiar count/transition and the highlighter is the only eligible object.</x:v>
      </x:c>
      <x:c r="R119" s="32" t="n">
        <x:f>'Evaluation Plan'!R119</x:f>
        <x:v>0</x:v>
      </x:c>
    </x:row>
    <x:row r="120" ht="46.5" customHeight="1">
      <x:c r="A120" s="31" t="str">
        <x:v>Not collected</x:v>
      </x:c>
      <x:c r="B120" s="33" t="n">
        <x:f>'Evaluation Plan'!B120</x:f>
        <x:v>118</x:v>
      </x:c>
      <x:c r="C120" s="31" t="str">
        <x:f>'Evaluation Plan'!C120</x:f>
        <x:v>Make the bowl contain exactly zero objects.</x:v>
      </x:c>
      <x:c r="D120" s="31" t="str">
        <x:f>'Evaluation Plan'!D120</x:f>
        <x:v>Bowl objects: [green highlighter] | Table objects: [blue pen, yellow block, airplane toy without propellers]</x:v>
      </x:c>
      <x:c r="E120" s="33" t="str">
        <x:f>'Evaluation Plan'!E120</x:f>
      </x:c>
      <x:c r="F120" s="31" t="str">
        <x:f>'Evaluation Plan'!F120</x:f>
        <x:v>REMOVE green highlighter; finish with 0 objects in the bowl</x:v>
      </x:c>
      <x:c r="G120" s="31" t="str"/>
      <x:c r="H120" s="39" t="str">
        <x:f>'Evaluation Plan'!H120</x:f>
        <x:v>Cross-task object transfer</x:v>
      </x:c>
      <x:c r="I120" s="31" t="str">
        <x:f>'Evaluation Plan'!I120</x:f>
        <x:v>XT-GH05</x:v>
      </x:c>
      <x:c r="J120" s="31" t="str">
        <x:f>'Evaluation Plan'!J120</x:f>
        <x:v>XT-GH05</x:v>
      </x:c>
      <x:c r="K120" s="33" t="n">
        <x:f>'Evaluation Plan'!K120</x:f>
        <x:v>1</x:v>
      </x:c>
      <x:c r="L120" s="33" t="n">
        <x:f>'Evaluation Plan'!L120</x:f>
        <x:v>0</x:v>
      </x:c>
      <x:c r="M120" s="33" t="str">
        <x:f>'Evaluation Plan'!M120</x:f>
        <x:v>REMOVE</x:v>
      </x:c>
      <x:c r="N120" s="31" t="str">
        <x:f>'Evaluation Plan'!N120</x:f>
        <x:v>Green-highlighter familiar-count transfer: 1→0 removal</x:v>
      </x:c>
      <x:c r="O120" s="33" t="n">
        <x:f>'Evaluation Plan'!O120</x:f>
        <x:v>5</x:v>
      </x:c>
      <x:c r="P120" s="31" t="str">
        <x:f>'Evaluation Plan'!P120</x:f>
        <x:v>Build the listed green-highlighter scene.</x:v>
      </x:c>
      <x:c r="Q120" s="31" t="str">
        <x:f>'Evaluation Plan'!Q120</x:f>
        <x:v>The green highlighter appears elsewhere in training but not in Counting. The prompt uses a familiar count/transition and the highlighter is the only eligible object.</x:v>
      </x:c>
      <x:c r="R120" s="31" t="n">
        <x:f>'Evaluation Plan'!R120</x:f>
        <x:v>0</x:v>
      </x:c>
    </x:row>
    <x:row r="121" ht="46.5" customHeight="1">
      <x:c r="A121" s="32" t="str">
        <x:v>Not collected</x:v>
      </x:c>
      <x:c r="B121" s="34" t="n">
        <x:f>'Evaluation Plan'!B121</x:f>
        <x:v>119</x:v>
      </x:c>
      <x:c r="C121" s="32" t="str">
        <x:f>'Evaluation Plan'!C121</x:f>
        <x:v>Move the green highlighter from the bowl to the table.</x:v>
      </x:c>
      <x:c r="D121" s="32" t="str">
        <x:f>'Evaluation Plan'!D121</x:f>
        <x:v>Bowl objects: [green highlighter] | Table objects: [blue pen, yellow block, airplane toy without propellers]</x:v>
      </x:c>
      <x:c r="E121" s="34" t="n">
        <x:f>'Evaluation Plan'!E121</x:f>
        <x:v>118</x:v>
      </x:c>
      <x:c r="F121" s="32" t="str">
        <x:f>'Evaluation Plan'!F121</x:f>
        <x:v>REMOVE green highlighter</x:v>
      </x:c>
      <x:c r="G121" s="32" t="str"/>
      <x:c r="H121" s="40" t="str">
        <x:f>'Evaluation Plan'!H121</x:f>
        <x:v>Cross-task matched control</x:v>
      </x:c>
      <x:c r="I121" s="32" t="str">
        <x:f>'Evaluation Plan'!I121</x:f>
        <x:v>XT-GH05</x:v>
      </x:c>
      <x:c r="J121" s="32" t="str">
        <x:f>'Evaluation Plan'!J121</x:f>
        <x:v>XT-GH05</x:v>
      </x:c>
      <x:c r="K121" s="34" t="n">
        <x:f>'Evaluation Plan'!K121</x:f>
        <x:v>1</x:v>
      </x:c>
      <x:c r="L121" s="34" t="n">
        <x:f>'Evaluation Plan'!L121</x:f>
        <x:v>0</x:v>
      </x:c>
      <x:c r="M121" s="34" t="str">
        <x:f>'Evaluation Plan'!M121</x:f>
        <x:v>REMOVE</x:v>
      </x:c>
      <x:c r="N121" s="32" t="str">
        <x:f>'Evaluation Plan'!N121</x:f>
        <x:v>Green-highlighter direct REMOVE control</x:v>
      </x:c>
      <x:c r="O121" s="34" t="n">
        <x:f>'Evaluation Plan'!O121</x:f>
        <x:v>5</x:v>
      </x:c>
      <x:c r="P121" s="32" t="str">
        <x:f>'Evaluation Plan'!P121</x:f>
        <x:v>Reset the exact scene; change only the prompt.</x:v>
      </x:c>
      <x:c r="Q121" s="32" t="str">
        <x:f>'Evaluation Plan'!Q121</x:f>
        <x:v>Directly identifies the same unique target in the same scene.</x:v>
      </x:c>
      <x:c r="R121" s="32" t="n">
        <x:f>'Evaluation Plan'!R121</x:f>
        <x:v>0</x:v>
      </x:c>
    </x:row>
    <x:row r="122" ht="46.5" customHeight="1">
      <x:c r="A122" s="31" t="str">
        <x:v>Not collected</x:v>
      </x:c>
      <x:c r="B122" s="33" t="n">
        <x:f>'Evaluation Plan'!B122</x:f>
        <x:v>120</x:v>
      </x:c>
      <x:c r="C122" s="31" t="str">
        <x:f>'Evaluation Plan'!C122</x:f>
        <x:v>Move the green highlighter into the bowl.</x:v>
      </x:c>
      <x:c r="D122" s="31" t="str">
        <x:f>'Evaluation Plan'!D122</x:f>
        <x:v>Bowl objects: [green pencil sharpener] | Table objects: [green highlighter]</x:v>
      </x:c>
      <x:c r="E122" s="33" t="str">
        <x:f>'Evaluation Plan'!E122</x:f>
      </x:c>
      <x:c r="F122" s="31" t="str">
        <x:f>'Evaluation Plan'!F122</x:f>
        <x:v>ADD green highlighter</x:v>
      </x:c>
      <x:c r="G122" s="31" t="str"/>
      <x:c r="H122" s="40" t="str">
        <x:f>'Evaluation Plan'!H122</x:f>
        <x:v>Cross-task matched control</x:v>
      </x:c>
      <x:c r="I122" s="31" t="str">
        <x:f>'Evaluation Plan'!I122</x:f>
        <x:v>XT-GH06</x:v>
      </x:c>
      <x:c r="J122" s="31" t="str">
        <x:f>'Evaluation Plan'!J122</x:f>
        <x:v>XT-GH06</x:v>
      </x:c>
      <x:c r="K122" s="33" t="n">
        <x:f>'Evaluation Plan'!K122</x:f>
        <x:v>1</x:v>
      </x:c>
      <x:c r="L122" s="33" t="n">
        <x:f>'Evaluation Plan'!L122</x:f>
        <x:v>2</x:v>
      </x:c>
      <x:c r="M122" s="33" t="str">
        <x:f>'Evaluation Plan'!M122</x:f>
        <x:v>ADD</x:v>
      </x:c>
      <x:c r="N122" s="31" t="str">
        <x:f>'Evaluation Plan'!N122</x:f>
        <x:v>Green-highlighter direct ADD control</x:v>
      </x:c>
      <x:c r="O122" s="33" t="n">
        <x:f>'Evaluation Plan'!O122</x:f>
        <x:v>5</x:v>
      </x:c>
      <x:c r="P122" s="31" t="str">
        <x:f>'Evaluation Plan'!P122</x:f>
        <x:v>Reset the exact scene; change only the prompt.</x:v>
      </x:c>
      <x:c r="Q122" s="31" t="str">
        <x:f>'Evaluation Plan'!Q122</x:f>
        <x:v>Directly identifies the same unique target in the same scene.</x:v>
      </x:c>
      <x:c r="R122" s="31" t="n">
        <x:f>'Evaluation Plan'!R122</x:f>
        <x:v>0</x:v>
      </x:c>
    </x:row>
    <x:row r="123" ht="46.5" customHeight="1">
      <x:c r="A123" s="32" t="str">
        <x:v>Not collected</x:v>
      </x:c>
      <x:c r="B123" s="34" t="n">
        <x:f>'Evaluation Plan'!B123</x:f>
        <x:v>121</x:v>
      </x:c>
      <x:c r="C123" s="32" t="str">
        <x:f>'Evaluation Plan'!C123</x:f>
        <x:v>Make the bowl contain exactly two objects.</x:v>
      </x:c>
      <x:c r="D123" s="32" t="str">
        <x:f>'Evaluation Plan'!D123</x:f>
        <x:v>Bowl objects: [green pencil sharpener] | Table objects: [green highlighter]</x:v>
      </x:c>
      <x:c r="E123" s="34" t="n">
        <x:f>'Evaluation Plan'!E123</x:f>
        <x:v>120</x:v>
      </x:c>
      <x:c r="F123" s="32" t="str">
        <x:f>'Evaluation Plan'!F123</x:f>
        <x:v>ADD green highlighter; finish with 2 objects in the bowl</x:v>
      </x:c>
      <x:c r="G123" s="32" t="str"/>
      <x:c r="H123" s="39" t="str">
        <x:f>'Evaluation Plan'!H123</x:f>
        <x:v>Cross-task object transfer</x:v>
      </x:c>
      <x:c r="I123" s="32" t="str">
        <x:f>'Evaluation Plan'!I123</x:f>
        <x:v>XT-GH06</x:v>
      </x:c>
      <x:c r="J123" s="32" t="str">
        <x:f>'Evaluation Plan'!J123</x:f>
        <x:v>XT-GH06</x:v>
      </x:c>
      <x:c r="K123" s="34" t="n">
        <x:f>'Evaluation Plan'!K123</x:f>
        <x:v>1</x:v>
      </x:c>
      <x:c r="L123" s="34" t="n">
        <x:f>'Evaluation Plan'!L123</x:f>
        <x:v>2</x:v>
      </x:c>
      <x:c r="M123" s="34" t="str">
        <x:f>'Evaluation Plan'!M123</x:f>
        <x:v>ADD</x:v>
      </x:c>
      <x:c r="N123" s="32" t="str">
        <x:f>'Evaluation Plan'!N123</x:f>
        <x:v>Green-highlighter familiar-count transfer: 1→2 addition</x:v>
      </x:c>
      <x:c r="O123" s="34" t="n">
        <x:f>'Evaluation Plan'!O123</x:f>
        <x:v>5</x:v>
      </x:c>
      <x:c r="P123" s="32" t="str">
        <x:f>'Evaluation Plan'!P123</x:f>
        <x:v>Build the listed green-highlighter scene.</x:v>
      </x:c>
      <x:c r="Q123" s="32" t="str">
        <x:f>'Evaluation Plan'!Q123</x:f>
        <x:v>The green highlighter appears elsewhere in training but not in Counting. The prompt uses a familiar count/transition and the highlighter is the only eligible object.</x:v>
      </x:c>
      <x:c r="R123" s="32" t="n">
        <x:f>'Evaluation Plan'!R123</x:f>
        <x:v>0</x:v>
      </x:c>
    </x:row>
    <x:row r="124" ht="46.5" customHeight="1">
      <x:c r="A124" s="31" t="str">
        <x:v>Not collected</x:v>
      </x:c>
      <x:c r="B124" s="33" t="n">
        <x:f>'Evaluation Plan'!B124</x:f>
        <x:v>122</x:v>
      </x:c>
      <x:c r="C124" s="31" t="str">
        <x:f>'Evaluation Plan'!C124</x:f>
        <x:v>Make the bowl contain exactly zero objects.</x:v>
      </x:c>
      <x:c r="D124" s="31" t="str">
        <x:f>'Evaluation Plan'!D124</x:f>
        <x:v>Bowl objects: [green highlighter] | Table objects: [blue pen, yellow block, green pencil sharpener]</x:v>
      </x:c>
      <x:c r="E124" s="33" t="str">
        <x:f>'Evaluation Plan'!E124</x:f>
      </x:c>
      <x:c r="F124" s="31" t="str">
        <x:f>'Evaluation Plan'!F124</x:f>
        <x:v>REMOVE green highlighter; finish with 0 objects in the bowl</x:v>
      </x:c>
      <x:c r="G124" s="31" t="str"/>
      <x:c r="H124" s="39" t="str">
        <x:f>'Evaluation Plan'!H124</x:f>
        <x:v>Cross-task object transfer</x:v>
      </x:c>
      <x:c r="I124" s="31" t="str">
        <x:f>'Evaluation Plan'!I124</x:f>
        <x:v>XT-GH07</x:v>
      </x:c>
      <x:c r="J124" s="31" t="str">
        <x:f>'Evaluation Plan'!J124</x:f>
        <x:v>XT-GH07</x:v>
      </x:c>
      <x:c r="K124" s="33" t="n">
        <x:f>'Evaluation Plan'!K124</x:f>
        <x:v>1</x:v>
      </x:c>
      <x:c r="L124" s="33" t="n">
        <x:f>'Evaluation Plan'!L124</x:f>
        <x:v>0</x:v>
      </x:c>
      <x:c r="M124" s="33" t="str">
        <x:f>'Evaluation Plan'!M124</x:f>
        <x:v>REMOVE</x:v>
      </x:c>
      <x:c r="N124" s="31" t="str">
        <x:f>'Evaluation Plan'!N124</x:f>
        <x:v>Green-highlighter familiar-count transfer: 1→0 removal</x:v>
      </x:c>
      <x:c r="O124" s="33" t="n">
        <x:f>'Evaluation Plan'!O124</x:f>
        <x:v>5</x:v>
      </x:c>
      <x:c r="P124" s="31" t="str">
        <x:f>'Evaluation Plan'!P124</x:f>
        <x:v>Build the listed green-highlighter scene.</x:v>
      </x:c>
      <x:c r="Q124" s="31" t="str">
        <x:f>'Evaluation Plan'!Q124</x:f>
        <x:v>The green highlighter appears elsewhere in training but not in Counting. The prompt uses a familiar count/transition and the highlighter is the only eligible object.</x:v>
      </x:c>
      <x:c r="R124" s="31" t="n">
        <x:f>'Evaluation Plan'!R124</x:f>
        <x:v>0</x:v>
      </x:c>
    </x:row>
    <x:row r="125" ht="46.5" customHeight="1">
      <x:c r="A125" s="32" t="str">
        <x:v>Not collected</x:v>
      </x:c>
      <x:c r="B125" s="34" t="n">
        <x:f>'Evaluation Plan'!B125</x:f>
        <x:v>123</x:v>
      </x:c>
      <x:c r="C125" s="32" t="str">
        <x:f>'Evaluation Plan'!C125</x:f>
        <x:v>Move the green highlighter from the bowl to the table.</x:v>
      </x:c>
      <x:c r="D125" s="32" t="str">
        <x:f>'Evaluation Plan'!D125</x:f>
        <x:v>Bowl objects: [green highlighter] | Table objects: [blue pen, yellow block, green pencil sharpener]</x:v>
      </x:c>
      <x:c r="E125" s="34" t="n">
        <x:f>'Evaluation Plan'!E125</x:f>
        <x:v>122</x:v>
      </x:c>
      <x:c r="F125" s="32" t="str">
        <x:f>'Evaluation Plan'!F125</x:f>
        <x:v>REMOVE green highlighter</x:v>
      </x:c>
      <x:c r="G125" s="32" t="str"/>
      <x:c r="H125" s="40" t="str">
        <x:f>'Evaluation Plan'!H125</x:f>
        <x:v>Cross-task matched control</x:v>
      </x:c>
      <x:c r="I125" s="32" t="str">
        <x:f>'Evaluation Plan'!I125</x:f>
        <x:v>XT-GH07</x:v>
      </x:c>
      <x:c r="J125" s="32" t="str">
        <x:f>'Evaluation Plan'!J125</x:f>
        <x:v>XT-GH07</x:v>
      </x:c>
      <x:c r="K125" s="34" t="n">
        <x:f>'Evaluation Plan'!K125</x:f>
        <x:v>1</x:v>
      </x:c>
      <x:c r="L125" s="34" t="n">
        <x:f>'Evaluation Plan'!L125</x:f>
        <x:v>0</x:v>
      </x:c>
      <x:c r="M125" s="34" t="str">
        <x:f>'Evaluation Plan'!M125</x:f>
        <x:v>REMOVE</x:v>
      </x:c>
      <x:c r="N125" s="32" t="str">
        <x:f>'Evaluation Plan'!N125</x:f>
        <x:v>Green-highlighter direct REMOVE control</x:v>
      </x:c>
      <x:c r="O125" s="34" t="n">
        <x:f>'Evaluation Plan'!O125</x:f>
        <x:v>5</x:v>
      </x:c>
      <x:c r="P125" s="32" t="str">
        <x:f>'Evaluation Plan'!P125</x:f>
        <x:v>Reset the exact scene; change only the prompt.</x:v>
      </x:c>
      <x:c r="Q125" s="32" t="str">
        <x:f>'Evaluation Plan'!Q125</x:f>
        <x:v>Directly identifies the same unique target in the same scene.</x:v>
      </x:c>
      <x:c r="R125" s="32" t="n">
        <x:f>'Evaluation Plan'!R125</x:f>
        <x:v>0</x:v>
      </x:c>
    </x:row>
    <x:row r="126" ht="46.5" customHeight="1">
      <x:c r="A126" s="31" t="str">
        <x:v>Not collected</x:v>
      </x:c>
      <x:c r="B126" s="33" t="n">
        <x:f>'Evaluation Plan'!B126</x:f>
        <x:v>124</x:v>
      </x:c>
      <x:c r="C126" s="31" t="str">
        <x:f>'Evaluation Plan'!C126</x:f>
        <x:v>Move the green highlighter into the bowl.</x:v>
      </x:c>
      <x:c r="D126" s="31" t="str">
        <x:f>'Evaluation Plan'!D126</x:f>
        <x:v>Bowl objects: [airplane toy without propellers] | Table objects: [green highlighter]</x:v>
      </x:c>
      <x:c r="E126" s="33" t="str">
        <x:f>'Evaluation Plan'!E126</x:f>
      </x:c>
      <x:c r="F126" s="31" t="str">
        <x:f>'Evaluation Plan'!F126</x:f>
        <x:v>ADD green highlighter</x:v>
      </x:c>
      <x:c r="G126" s="31" t="str"/>
      <x:c r="H126" s="40" t="str">
        <x:f>'Evaluation Plan'!H126</x:f>
        <x:v>Cross-task matched control</x:v>
      </x:c>
      <x:c r="I126" s="31" t="str">
        <x:f>'Evaluation Plan'!I126</x:f>
        <x:v>XT-GH08</x:v>
      </x:c>
      <x:c r="J126" s="31" t="str">
        <x:f>'Evaluation Plan'!J126</x:f>
        <x:v>XT-GH08</x:v>
      </x:c>
      <x:c r="K126" s="33" t="n">
        <x:f>'Evaluation Plan'!K126</x:f>
        <x:v>1</x:v>
      </x:c>
      <x:c r="L126" s="33" t="n">
        <x:f>'Evaluation Plan'!L126</x:f>
        <x:v>2</x:v>
      </x:c>
      <x:c r="M126" s="33" t="str">
        <x:f>'Evaluation Plan'!M126</x:f>
        <x:v>ADD</x:v>
      </x:c>
      <x:c r="N126" s="31" t="str">
        <x:f>'Evaluation Plan'!N126</x:f>
        <x:v>Green-highlighter direct ADD control</x:v>
      </x:c>
      <x:c r="O126" s="33" t="n">
        <x:f>'Evaluation Plan'!O126</x:f>
        <x:v>5</x:v>
      </x:c>
      <x:c r="P126" s="31" t="str">
        <x:f>'Evaluation Plan'!P126</x:f>
        <x:v>Reset the exact scene; change only the prompt.</x:v>
      </x:c>
      <x:c r="Q126" s="31" t="str">
        <x:f>'Evaluation Plan'!Q126</x:f>
        <x:v>Directly identifies the same unique target in the same scene.</x:v>
      </x:c>
      <x:c r="R126" s="31" t="n">
        <x:f>'Evaluation Plan'!R126</x:f>
        <x:v>0</x:v>
      </x:c>
    </x:row>
    <x:row r="127" ht="46.5" customHeight="1">
      <x:c r="A127" s="32" t="str">
        <x:v>Not collected</x:v>
      </x:c>
      <x:c r="B127" s="34" t="n">
        <x:f>'Evaluation Plan'!B127</x:f>
        <x:v>125</x:v>
      </x:c>
      <x:c r="C127" s="32" t="str">
        <x:f>'Evaluation Plan'!C127</x:f>
        <x:v>Make the bowl contain exactly two objects.</x:v>
      </x:c>
      <x:c r="D127" s="32" t="str">
        <x:f>'Evaluation Plan'!D127</x:f>
        <x:v>Bowl objects: [airplane toy without propellers] | Table objects: [green highlighter]</x:v>
      </x:c>
      <x:c r="E127" s="34" t="n">
        <x:f>'Evaluation Plan'!E127</x:f>
        <x:v>124</x:v>
      </x:c>
      <x:c r="F127" s="32" t="str">
        <x:f>'Evaluation Plan'!F127</x:f>
        <x:v>ADD green highlighter; finish with 2 objects in the bowl</x:v>
      </x:c>
      <x:c r="G127" s="32" t="str"/>
      <x:c r="H127" s="39" t="str">
        <x:f>'Evaluation Plan'!H127</x:f>
        <x:v>Cross-task object transfer</x:v>
      </x:c>
      <x:c r="I127" s="32" t="str">
        <x:f>'Evaluation Plan'!I127</x:f>
        <x:v>XT-GH08</x:v>
      </x:c>
      <x:c r="J127" s="32" t="str">
        <x:f>'Evaluation Plan'!J127</x:f>
        <x:v>XT-GH08</x:v>
      </x:c>
      <x:c r="K127" s="34" t="n">
        <x:f>'Evaluation Plan'!K127</x:f>
        <x:v>1</x:v>
      </x:c>
      <x:c r="L127" s="34" t="n">
        <x:f>'Evaluation Plan'!L127</x:f>
        <x:v>2</x:v>
      </x:c>
      <x:c r="M127" s="34" t="str">
        <x:f>'Evaluation Plan'!M127</x:f>
        <x:v>ADD</x:v>
      </x:c>
      <x:c r="N127" s="32" t="str">
        <x:f>'Evaluation Plan'!N127</x:f>
        <x:v>Green-highlighter familiar-count transfer: 1→2 addition</x:v>
      </x:c>
      <x:c r="O127" s="34" t="n">
        <x:f>'Evaluation Plan'!O127</x:f>
        <x:v>5</x:v>
      </x:c>
      <x:c r="P127" s="32" t="str">
        <x:f>'Evaluation Plan'!P127</x:f>
        <x:v>Build the listed green-highlighter scene.</x:v>
      </x:c>
      <x:c r="Q127" s="32" t="str">
        <x:f>'Evaluation Plan'!Q127</x:f>
        <x:v>The green highlighter appears elsewhere in training but not in Counting. The prompt uses a familiar count/transition and the highlighter is the only eligible object.</x:v>
      </x:c>
      <x:c r="R127" s="32" t="n">
        <x:f>'Evaluation Plan'!R127</x:f>
        <x:v>0</x:v>
      </x:c>
    </x:row>
    <x:row r="128" ht="46.5" customHeight="1">
      <x:c r="A128" s="31" t="str">
        <x:v>Not collected</x:v>
      </x:c>
      <x:c r="B128" s="33" t="n">
        <x:f>'Evaluation Plan'!B128</x:f>
        <x:v>126</x:v>
      </x:c>
      <x:c r="C128" s="31" t="str">
        <x:f>'Evaluation Plan'!C128</x:f>
        <x:v>Make the bowl contain exactly zero objects.</x:v>
      </x:c>
      <x:c r="D128" s="31" t="str">
        <x:f>'Evaluation Plan'!D128</x:f>
        <x:v>Bowl objects: [green highlighter] | Table objects: [yellow block, green pencil sharpener, airplane toy without propellers]</x:v>
      </x:c>
      <x:c r="E128" s="33" t="str">
        <x:f>'Evaluation Plan'!E128</x:f>
      </x:c>
      <x:c r="F128" s="31" t="str">
        <x:f>'Evaluation Plan'!F128</x:f>
        <x:v>REMOVE green highlighter; finish with 0 objects in the bowl</x:v>
      </x:c>
      <x:c r="G128" s="31" t="str"/>
      <x:c r="H128" s="39" t="str">
        <x:f>'Evaluation Plan'!H128</x:f>
        <x:v>Cross-task object transfer</x:v>
      </x:c>
      <x:c r="I128" s="31" t="str">
        <x:f>'Evaluation Plan'!I128</x:f>
        <x:v>XT-GH09</x:v>
      </x:c>
      <x:c r="J128" s="31" t="str">
        <x:f>'Evaluation Plan'!J128</x:f>
        <x:v>XT-GH09</x:v>
      </x:c>
      <x:c r="K128" s="33" t="n">
        <x:f>'Evaluation Plan'!K128</x:f>
        <x:v>1</x:v>
      </x:c>
      <x:c r="L128" s="33" t="n">
        <x:f>'Evaluation Plan'!L128</x:f>
        <x:v>0</x:v>
      </x:c>
      <x:c r="M128" s="33" t="str">
        <x:f>'Evaluation Plan'!M128</x:f>
        <x:v>REMOVE</x:v>
      </x:c>
      <x:c r="N128" s="31" t="str">
        <x:f>'Evaluation Plan'!N128</x:f>
        <x:v>Green-highlighter familiar-count transfer: 1→0 removal</x:v>
      </x:c>
      <x:c r="O128" s="33" t="n">
        <x:f>'Evaluation Plan'!O128</x:f>
        <x:v>5</x:v>
      </x:c>
      <x:c r="P128" s="31" t="str">
        <x:f>'Evaluation Plan'!P128</x:f>
        <x:v>Build the listed green-highlighter scene.</x:v>
      </x:c>
      <x:c r="Q128" s="31" t="str">
        <x:f>'Evaluation Plan'!Q128</x:f>
        <x:v>The green highlighter appears elsewhere in training but not in Counting. The prompt uses a familiar count/transition and the highlighter is the only eligible object.</x:v>
      </x:c>
      <x:c r="R128" s="31" t="n">
        <x:f>'Evaluation Plan'!R128</x:f>
        <x:v>0</x:v>
      </x:c>
    </x:row>
    <x:row r="129" ht="46.5" customHeight="1">
      <x:c r="A129" s="32" t="str">
        <x:v>Not collected</x:v>
      </x:c>
      <x:c r="B129" s="34" t="n">
        <x:f>'Evaluation Plan'!B129</x:f>
        <x:v>127</x:v>
      </x:c>
      <x:c r="C129" s="32" t="str">
        <x:f>'Evaluation Plan'!C129</x:f>
        <x:v>Move the green highlighter from the bowl to the table.</x:v>
      </x:c>
      <x:c r="D129" s="32" t="str">
        <x:f>'Evaluation Plan'!D129</x:f>
        <x:v>Bowl objects: [green highlighter] | Table objects: [yellow block, green pencil sharpener, airplane toy without propellers]</x:v>
      </x:c>
      <x:c r="E129" s="34" t="n">
        <x:f>'Evaluation Plan'!E129</x:f>
        <x:v>126</x:v>
      </x:c>
      <x:c r="F129" s="32" t="str">
        <x:f>'Evaluation Plan'!F129</x:f>
        <x:v>REMOVE green highlighter</x:v>
      </x:c>
      <x:c r="G129" s="32" t="str"/>
      <x:c r="H129" s="40" t="str">
        <x:f>'Evaluation Plan'!H129</x:f>
        <x:v>Cross-task matched control</x:v>
      </x:c>
      <x:c r="I129" s="32" t="str">
        <x:f>'Evaluation Plan'!I129</x:f>
        <x:v>XT-GH09</x:v>
      </x:c>
      <x:c r="J129" s="32" t="str">
        <x:f>'Evaluation Plan'!J129</x:f>
        <x:v>XT-GH09</x:v>
      </x:c>
      <x:c r="K129" s="34" t="n">
        <x:f>'Evaluation Plan'!K129</x:f>
        <x:v>1</x:v>
      </x:c>
      <x:c r="L129" s="34" t="n">
        <x:f>'Evaluation Plan'!L129</x:f>
        <x:v>0</x:v>
      </x:c>
      <x:c r="M129" s="34" t="str">
        <x:f>'Evaluation Plan'!M129</x:f>
        <x:v>REMOVE</x:v>
      </x:c>
      <x:c r="N129" s="32" t="str">
        <x:f>'Evaluation Plan'!N129</x:f>
        <x:v>Green-highlighter direct REMOVE control</x:v>
      </x:c>
      <x:c r="O129" s="34" t="n">
        <x:f>'Evaluation Plan'!O129</x:f>
        <x:v>5</x:v>
      </x:c>
      <x:c r="P129" s="32" t="str">
        <x:f>'Evaluation Plan'!P129</x:f>
        <x:v>Reset the exact scene; change only the prompt.</x:v>
      </x:c>
      <x:c r="Q129" s="32" t="str">
        <x:f>'Evaluation Plan'!Q129</x:f>
        <x:v>Directly identifies the same unique target in the same scene.</x:v>
      </x:c>
      <x:c r="R129" s="32" t="n">
        <x:f>'Evaluation Plan'!R129</x:f>
        <x:v>0</x:v>
      </x:c>
    </x:row>
    <x:row r="130" ht="46.5" customHeight="1">
      <x:c r="A130" s="31" t="str">
        <x:v>Not collected</x:v>
      </x:c>
      <x:c r="B130" s="33" t="n">
        <x:f>'Evaluation Plan'!B130</x:f>
        <x:v>128</x:v>
      </x:c>
      <x:c r="C130" s="31" t="str">
        <x:f>'Evaluation Plan'!C130</x:f>
        <x:v>Move the green highlighter into the bowl.</x:v>
      </x:c>
      <x:c r="D130" s="31" t="str">
        <x:f>'Evaluation Plan'!D130</x:f>
        <x:v>Bowl objects: [blue pen] | Table objects: [green highlighter]</x:v>
      </x:c>
      <x:c r="E130" s="33" t="str">
        <x:f>'Evaluation Plan'!E130</x:f>
      </x:c>
      <x:c r="F130" s="31" t="str">
        <x:f>'Evaluation Plan'!F130</x:f>
        <x:v>ADD green highlighter</x:v>
      </x:c>
      <x:c r="G130" s="31" t="str"/>
      <x:c r="H130" s="40" t="str">
        <x:f>'Evaluation Plan'!H130</x:f>
        <x:v>Cross-task matched control</x:v>
      </x:c>
      <x:c r="I130" s="31" t="str">
        <x:f>'Evaluation Plan'!I130</x:f>
        <x:v>XT-GH10</x:v>
      </x:c>
      <x:c r="J130" s="31" t="str">
        <x:f>'Evaluation Plan'!J130</x:f>
        <x:v>XT-GH10</x:v>
      </x:c>
      <x:c r="K130" s="33" t="n">
        <x:f>'Evaluation Plan'!K130</x:f>
        <x:v>1</x:v>
      </x:c>
      <x:c r="L130" s="33" t="n">
        <x:f>'Evaluation Plan'!L130</x:f>
        <x:v>2</x:v>
      </x:c>
      <x:c r="M130" s="33" t="str">
        <x:f>'Evaluation Plan'!M130</x:f>
        <x:v>ADD</x:v>
      </x:c>
      <x:c r="N130" s="31" t="str">
        <x:f>'Evaluation Plan'!N130</x:f>
        <x:v>Green-highlighter direct ADD control</x:v>
      </x:c>
      <x:c r="O130" s="33" t="n">
        <x:f>'Evaluation Plan'!O130</x:f>
        <x:v>5</x:v>
      </x:c>
      <x:c r="P130" s="31" t="str">
        <x:f>'Evaluation Plan'!P130</x:f>
        <x:v>Reset the exact scene; change only the prompt.</x:v>
      </x:c>
      <x:c r="Q130" s="31" t="str">
        <x:f>'Evaluation Plan'!Q130</x:f>
        <x:v>Directly identifies the same unique target in the same scene.</x:v>
      </x:c>
      <x:c r="R130" s="31" t="n">
        <x:f>'Evaluation Plan'!R130</x:f>
        <x:v>0</x:v>
      </x:c>
    </x:row>
    <x:row r="131" ht="46.5" customHeight="1">
      <x:c r="A131" s="32" t="str">
        <x:v>Not collected</x:v>
      </x:c>
      <x:c r="B131" s="34" t="n">
        <x:f>'Evaluation Plan'!B131</x:f>
        <x:v>129</x:v>
      </x:c>
      <x:c r="C131" s="32" t="str">
        <x:f>'Evaluation Plan'!C131</x:f>
        <x:v>Make the bowl contain exactly two objects.</x:v>
      </x:c>
      <x:c r="D131" s="32" t="str">
        <x:f>'Evaluation Plan'!D131</x:f>
        <x:v>Bowl objects: [blue pen] | Table objects: [green highlighter]</x:v>
      </x:c>
      <x:c r="E131" s="34" t="n">
        <x:f>'Evaluation Plan'!E131</x:f>
        <x:v>128</x:v>
      </x:c>
      <x:c r="F131" s="32" t="str">
        <x:f>'Evaluation Plan'!F131</x:f>
        <x:v>ADD green highlighter; finish with 2 objects in the bowl</x:v>
      </x:c>
      <x:c r="G131" s="32" t="str"/>
      <x:c r="H131" s="39" t="str">
        <x:f>'Evaluation Plan'!H131</x:f>
        <x:v>Cross-task object transfer</x:v>
      </x:c>
      <x:c r="I131" s="32" t="str">
        <x:f>'Evaluation Plan'!I131</x:f>
        <x:v>XT-GH10</x:v>
      </x:c>
      <x:c r="J131" s="32" t="str">
        <x:f>'Evaluation Plan'!J131</x:f>
        <x:v>XT-GH10</x:v>
      </x:c>
      <x:c r="K131" s="34" t="n">
        <x:f>'Evaluation Plan'!K131</x:f>
        <x:v>1</x:v>
      </x:c>
      <x:c r="L131" s="34" t="n">
        <x:f>'Evaluation Plan'!L131</x:f>
        <x:v>2</x:v>
      </x:c>
      <x:c r="M131" s="34" t="str">
        <x:f>'Evaluation Plan'!M131</x:f>
        <x:v>ADD</x:v>
      </x:c>
      <x:c r="N131" s="32" t="str">
        <x:f>'Evaluation Plan'!N131</x:f>
        <x:v>Green-highlighter familiar-count transfer: 1→2 addition</x:v>
      </x:c>
      <x:c r="O131" s="34" t="n">
        <x:f>'Evaluation Plan'!O131</x:f>
        <x:v>5</x:v>
      </x:c>
      <x:c r="P131" s="32" t="str">
        <x:f>'Evaluation Plan'!P131</x:f>
        <x:v>Build the listed green-highlighter scene.</x:v>
      </x:c>
      <x:c r="Q131" s="32" t="str">
        <x:f>'Evaluation Plan'!Q131</x:f>
        <x:v>The green highlighter appears elsewhere in training but not in Counting. The prompt uses a familiar count/transition and the highlighter is the only eligible object.</x:v>
      </x:c>
      <x:c r="R131" s="32" t="n">
        <x:f>'Evaluation Plan'!R131</x:f>
        <x:v>0</x:v>
      </x:c>
    </x:row>
    <x:row r="132" ht="46.5" customHeight="1">
      <x:c r="A132" s="31" t="str">
        <x:v>Not collected</x:v>
      </x:c>
      <x:c r="B132" s="33" t="n">
        <x:f>'Evaluation Plan'!B132</x:f>
        <x:v>130</x:v>
      </x:c>
      <x:c r="C132" s="31" t="str">
        <x:f>'Evaluation Plan'!C132</x:f>
        <x:v>Make the bowl contain exactly zero objects.</x:v>
      </x:c>
      <x:c r="D132" s="31" t="str">
        <x:f>'Evaluation Plan'!D132</x:f>
        <x:v>Bowl objects: [none] | Table objects: [blue pen, yellow block, green pencil sharpener, airplane toy without propellers]</x:v>
      </x:c>
      <x:c r="E132" s="33" t="str">
        <x:f>'Evaluation Plan'!E132</x:f>
      </x:c>
      <x:c r="F132" s="31" t="str">
        <x:f>'Evaluation Plan'!F132</x:f>
        <x:v>NO-OP; preserve 0 objects in the bowl and do not initiate a grasp</x:v>
      </x:c>
      <x:c r="G132" s="31" t="str"/>
      <x:c r="H132" s="35" t="str">
        <x:f>'Evaluation Plan'!H132</x:f>
        <x:v>Goal already satisfied / no movement</x:v>
      </x:c>
      <x:c r="I132" s="31" t="str">
        <x:f>'Evaluation Plan'!I132</x:f>
        <x:v>NOOP-01</x:v>
      </x:c>
      <x:c r="J132" s="31" t="str">
        <x:f>'Evaluation Plan'!J132</x:f>
        <x:v>NOOP-01</x:v>
      </x:c>
      <x:c r="K132" s="33" t="n">
        <x:f>'Evaluation Plan'!K132</x:f>
        <x:v>0</x:v>
      </x:c>
      <x:c r="L132" s="33" t="n">
        <x:f>'Evaluation Plan'!L132</x:f>
        <x:v>0</x:v>
      </x:c>
      <x:c r="M132" s="33" t="str">
        <x:f>'Evaluation Plan'!M132</x:f>
        <x:v>NO-OP</x:v>
      </x:c>
      <x:c r="N132" s="31" t="str">
        <x:f>'Evaluation Plan'!N132</x:f>
        <x:v>Goal already satisfied: 0→0</x:v>
      </x:c>
      <x:c r="O132" s="33" t="n">
        <x:f>'Evaluation Plan'!O132</x:f>
        <x:v>6</x:v>
      </x:c>
      <x:c r="P132" s="31" t="str">
        <x:f>'Evaluation Plan'!P132</x:f>
        <x:v>Build the first no-movement scene in this family.</x:v>
      </x:c>
      <x:c r="Q132" s="31" t="str">
        <x:f>'Evaluation Plan'!Q132</x:f>
        <x:v>All four same-task objects remain visible; table objects are distractors. Success requires leaving the satisfied scene unchanged.</x:v>
      </x:c>
      <x:c r="R132" s="31" t="n">
        <x:f>'Evaluation Plan'!R132</x:f>
        <x:v>0</x:v>
      </x:c>
    </x:row>
    <x:row r="133" ht="46.5" customHeight="1">
      <x:c r="A133" s="32" t="str">
        <x:v>Not collected</x:v>
      </x:c>
      <x:c r="B133" s="34" t="n">
        <x:f>'Evaluation Plan'!B133</x:f>
        <x:v>131</x:v>
      </x:c>
      <x:c r="C133" s="32" t="str">
        <x:f>'Evaluation Plan'!C133</x:f>
        <x:v>Leave exactly one object in the bowl.</x:v>
      </x:c>
      <x:c r="D133" s="32" t="str">
        <x:f>'Evaluation Plan'!D133</x:f>
        <x:v>Bowl objects: [blue pen] | Table objects: [yellow block, green pencil sharpener, airplane toy without propellers]</x:v>
      </x:c>
      <x:c r="E133" s="34" t="str">
        <x:f>'Evaluation Plan'!E133</x:f>
      </x:c>
      <x:c r="F133" s="32" t="str">
        <x:f>'Evaluation Plan'!F133</x:f>
        <x:v>NO-OP; preserve 1 object in the bowl and do not initiate a grasp</x:v>
      </x:c>
      <x:c r="G133" s="32" t="str"/>
      <x:c r="H133" s="35" t="str">
        <x:f>'Evaluation Plan'!H133</x:f>
        <x:v>Goal already satisfied / no movement</x:v>
      </x:c>
      <x:c r="I133" s="32" t="str">
        <x:f>'Evaluation Plan'!I133</x:f>
        <x:v>NOOP-01</x:v>
      </x:c>
      <x:c r="J133" s="32" t="str">
        <x:f>'Evaluation Plan'!J133</x:f>
        <x:v>NOOP-01</x:v>
      </x:c>
      <x:c r="K133" s="34" t="n">
        <x:f>'Evaluation Plan'!K133</x:f>
        <x:v>1</x:v>
      </x:c>
      <x:c r="L133" s="34" t="n">
        <x:f>'Evaluation Plan'!L133</x:f>
        <x:v>1</x:v>
      </x:c>
      <x:c r="M133" s="34" t="str">
        <x:f>'Evaluation Plan'!M133</x:f>
        <x:v>NO-OP</x:v>
      </x:c>
      <x:c r="N133" s="32" t="str">
        <x:f>'Evaluation Plan'!N133</x:f>
        <x:v>Goal already satisfied: 1→1</x:v>
      </x:c>
      <x:c r="O133" s="34" t="n">
        <x:f>'Evaluation Plan'!O133</x:f>
        <x:v>6</x:v>
      </x:c>
      <x:c r="P133" s="32" t="str">
        <x:f>'Evaluation Plan'!P133</x:f>
        <x:v>Move only the minimum listed objects between bowl and table for the next count.</x:v>
      </x:c>
      <x:c r="Q133" s="32" t="str">
        <x:f>'Evaluation Plan'!Q133</x:f>
        <x:v>All four same-task objects remain visible; table objects are distractors. Success requires leaving the satisfied scene unchanged.</x:v>
      </x:c>
      <x:c r="R133" s="32" t="n">
        <x:f>'Evaluation Plan'!R133</x:f>
        <x:v>0</x:v>
      </x:c>
    </x:row>
    <x:row r="134" ht="46.5" customHeight="1">
      <x:c r="A134" s="31" t="str">
        <x:v>Not collected</x:v>
      </x:c>
      <x:c r="B134" s="33" t="n">
        <x:f>'Evaluation Plan'!B134</x:f>
        <x:v>132</x:v>
      </x:c>
      <x:c r="C134" s="31" t="str">
        <x:f>'Evaluation Plan'!C134</x:f>
        <x:v>Make the bowl contain exactly two objects.</x:v>
      </x:c>
      <x:c r="D134" s="31" t="str">
        <x:f>'Evaluation Plan'!D134</x:f>
        <x:v>Bowl objects: [blue pen, yellow block] | Table objects: [green pencil sharpener, airplane toy without propellers]</x:v>
      </x:c>
      <x:c r="E134" s="33" t="str">
        <x:f>'Evaluation Plan'!E134</x:f>
      </x:c>
      <x:c r="F134" s="31" t="str">
        <x:f>'Evaluation Plan'!F134</x:f>
        <x:v>NO-OP; preserve 2 objects in the bowl and do not initiate a grasp</x:v>
      </x:c>
      <x:c r="G134" s="31" t="str"/>
      <x:c r="H134" s="35" t="str">
        <x:f>'Evaluation Plan'!H134</x:f>
        <x:v>Goal already satisfied / no movement</x:v>
      </x:c>
      <x:c r="I134" s="31" t="str">
        <x:f>'Evaluation Plan'!I134</x:f>
        <x:v>NOOP-01</x:v>
      </x:c>
      <x:c r="J134" s="31" t="str">
        <x:f>'Evaluation Plan'!J134</x:f>
        <x:v>NOOP-01</x:v>
      </x:c>
      <x:c r="K134" s="33" t="n">
        <x:f>'Evaluation Plan'!K134</x:f>
        <x:v>2</x:v>
      </x:c>
      <x:c r="L134" s="33" t="n">
        <x:f>'Evaluation Plan'!L134</x:f>
        <x:v>2</x:v>
      </x:c>
      <x:c r="M134" s="33" t="str">
        <x:f>'Evaluation Plan'!M134</x:f>
        <x:v>NO-OP</x:v>
      </x:c>
      <x:c r="N134" s="31" t="str">
        <x:f>'Evaluation Plan'!N134</x:f>
        <x:v>Goal already satisfied: 2→2</x:v>
      </x:c>
      <x:c r="O134" s="33" t="n">
        <x:f>'Evaluation Plan'!O134</x:f>
        <x:v>6</x:v>
      </x:c>
      <x:c r="P134" s="31" t="str">
        <x:f>'Evaluation Plan'!P134</x:f>
        <x:v>Move only the minimum listed objects between bowl and table for the next count.</x:v>
      </x:c>
      <x:c r="Q134" s="31" t="str">
        <x:f>'Evaluation Plan'!Q134</x:f>
        <x:v>All four same-task objects remain visible; table objects are distractors. Success requires leaving the satisfied scene unchanged.</x:v>
      </x:c>
      <x:c r="R134" s="31" t="n">
        <x:f>'Evaluation Plan'!R134</x:f>
        <x:v>0</x:v>
      </x:c>
    </x:row>
    <x:row r="135" ht="46.5" customHeight="1">
      <x:c r="A135" s="32" t="str">
        <x:v>Not collected</x:v>
      </x:c>
      <x:c r="B135" s="34" t="n">
        <x:f>'Evaluation Plan'!B135</x:f>
        <x:v>133</x:v>
      </x:c>
      <x:c r="C135" s="32" t="str">
        <x:f>'Evaluation Plan'!C135</x:f>
        <x:v>Leave exactly three objects in the bowl.</x:v>
      </x:c>
      <x:c r="D135" s="32" t="str">
        <x:f>'Evaluation Plan'!D135</x:f>
        <x:v>Bowl objects: [blue pen, yellow block, green pencil sharpener] | Table objects: [airplane toy without propellers]</x:v>
      </x:c>
      <x:c r="E135" s="34" t="str">
        <x:f>'Evaluation Plan'!E135</x:f>
      </x:c>
      <x:c r="F135" s="32" t="str">
        <x:f>'Evaluation Plan'!F135</x:f>
        <x:v>NO-OP; preserve 3 objects in the bowl and do not initiate a grasp</x:v>
      </x:c>
      <x:c r="G135" s="32" t="str"/>
      <x:c r="H135" s="35" t="str">
        <x:f>'Evaluation Plan'!H135</x:f>
        <x:v>Goal already satisfied / no movement</x:v>
      </x:c>
      <x:c r="I135" s="32" t="str">
        <x:f>'Evaluation Plan'!I135</x:f>
        <x:v>NOOP-01</x:v>
      </x:c>
      <x:c r="J135" s="32" t="str">
        <x:f>'Evaluation Plan'!J135</x:f>
        <x:v>NOOP-01</x:v>
      </x:c>
      <x:c r="K135" s="34" t="n">
        <x:f>'Evaluation Plan'!K135</x:f>
        <x:v>3</x:v>
      </x:c>
      <x:c r="L135" s="34" t="n">
        <x:f>'Evaluation Plan'!L135</x:f>
        <x:v>3</x:v>
      </x:c>
      <x:c r="M135" s="34" t="str">
        <x:f>'Evaluation Plan'!M135</x:f>
        <x:v>NO-OP</x:v>
      </x:c>
      <x:c r="N135" s="32" t="str">
        <x:f>'Evaluation Plan'!N135</x:f>
        <x:v>Goal already satisfied: 3→3</x:v>
      </x:c>
      <x:c r="O135" s="34" t="n">
        <x:f>'Evaluation Plan'!O135</x:f>
        <x:v>6</x:v>
      </x:c>
      <x:c r="P135" s="32" t="str">
        <x:f>'Evaluation Plan'!P135</x:f>
        <x:v>Move only the minimum listed objects between bowl and table for the next count.</x:v>
      </x:c>
      <x:c r="Q135" s="32" t="str">
        <x:f>'Evaluation Plan'!Q135</x:f>
        <x:v>All four same-task objects remain visible; table objects are distractors. Success requires leaving the satisfied scene unchanged.</x:v>
      </x:c>
      <x:c r="R135" s="32" t="n">
        <x:f>'Evaluation Plan'!R135</x:f>
        <x:v>0</x:v>
      </x:c>
    </x:row>
    <x:row r="136" ht="46.5" customHeight="1">
      <x:c r="A136" s="31" t="str">
        <x:v>Not collected</x:v>
      </x:c>
      <x:c r="B136" s="33" t="n">
        <x:f>'Evaluation Plan'!B136</x:f>
        <x:v>134</x:v>
      </x:c>
      <x:c r="C136" s="31" t="str">
        <x:f>'Evaluation Plan'!C136</x:f>
        <x:v>Leave exactly three objects in the bowl.</x:v>
      </x:c>
      <x:c r="D136" s="31" t="str">
        <x:f>'Evaluation Plan'!D136</x:f>
        <x:v>Bowl objects: [blue pen, yellow block, green pencil sharpener] | Table objects: [airplane toy without propellers]</x:v>
      </x:c>
      <x:c r="E136" s="33" t="str">
        <x:f>'Evaluation Plan'!E136</x:f>
      </x:c>
      <x:c r="F136" s="31" t="str">
        <x:f>'Evaluation Plan'!F136</x:f>
        <x:v>NO-OP; preserve 3 objects in the bowl and do not initiate a grasp</x:v>
      </x:c>
      <x:c r="G136" s="31" t="str"/>
      <x:c r="H136" s="35" t="str">
        <x:f>'Evaluation Plan'!H136</x:f>
        <x:v>Goal already satisfied / no movement</x:v>
      </x:c>
      <x:c r="I136" s="31" t="str">
        <x:f>'Evaluation Plan'!I136</x:f>
        <x:v>NOOP-02</x:v>
      </x:c>
      <x:c r="J136" s="31" t="str">
        <x:f>'Evaluation Plan'!J136</x:f>
        <x:v>NOOP-02</x:v>
      </x:c>
      <x:c r="K136" s="33" t="n">
        <x:f>'Evaluation Plan'!K136</x:f>
        <x:v>3</x:v>
      </x:c>
      <x:c r="L136" s="33" t="n">
        <x:f>'Evaluation Plan'!L136</x:f>
        <x:v>3</x:v>
      </x:c>
      <x:c r="M136" s="33" t="str">
        <x:f>'Evaluation Plan'!M136</x:f>
        <x:v>NO-OP</x:v>
      </x:c>
      <x:c r="N136" s="31" t="str">
        <x:f>'Evaluation Plan'!N136</x:f>
        <x:v>Goal already satisfied: 3→3</x:v>
      </x:c>
      <x:c r="O136" s="33" t="n">
        <x:f>'Evaluation Plan'!O136</x:f>
        <x:v>6</x:v>
      </x:c>
      <x:c r="P136" s="31" t="str">
        <x:f>'Evaluation Plan'!P136</x:f>
        <x:v>Build the first no-movement scene in this family.</x:v>
      </x:c>
      <x:c r="Q136" s="31" t="str">
        <x:f>'Evaluation Plan'!Q136</x:f>
        <x:v>All four same-task objects remain visible; table objects are distractors. Success requires leaving the satisfied scene unchanged.</x:v>
      </x:c>
      <x:c r="R136" s="31" t="n">
        <x:f>'Evaluation Plan'!R136</x:f>
        <x:v>0</x:v>
      </x:c>
    </x:row>
    <x:row r="137" ht="46.5" customHeight="1">
      <x:c r="A137" s="32" t="str">
        <x:v>Not collected</x:v>
      </x:c>
      <x:c r="B137" s="34" t="n">
        <x:f>'Evaluation Plan'!B137</x:f>
        <x:v>135</x:v>
      </x:c>
      <x:c r="C137" s="32" t="str">
        <x:f>'Evaluation Plan'!C137</x:f>
        <x:v>Make the bowl contain exactly two objects.</x:v>
      </x:c>
      <x:c r="D137" s="32" t="str">
        <x:f>'Evaluation Plan'!D137</x:f>
        <x:v>Bowl objects: [blue pen, yellow block] | Table objects: [green pencil sharpener, airplane toy without propellers]</x:v>
      </x:c>
      <x:c r="E137" s="34" t="str">
        <x:f>'Evaluation Plan'!E137</x:f>
      </x:c>
      <x:c r="F137" s="32" t="str">
        <x:f>'Evaluation Plan'!F137</x:f>
        <x:v>NO-OP; preserve 2 objects in the bowl and do not initiate a grasp</x:v>
      </x:c>
      <x:c r="G137" s="32" t="str"/>
      <x:c r="H137" s="35" t="str">
        <x:f>'Evaluation Plan'!H137</x:f>
        <x:v>Goal already satisfied / no movement</x:v>
      </x:c>
      <x:c r="I137" s="32" t="str">
        <x:f>'Evaluation Plan'!I137</x:f>
        <x:v>NOOP-02</x:v>
      </x:c>
      <x:c r="J137" s="32" t="str">
        <x:f>'Evaluation Plan'!J137</x:f>
        <x:v>NOOP-02</x:v>
      </x:c>
      <x:c r="K137" s="34" t="n">
        <x:f>'Evaluation Plan'!K137</x:f>
        <x:v>2</x:v>
      </x:c>
      <x:c r="L137" s="34" t="n">
        <x:f>'Evaluation Plan'!L137</x:f>
        <x:v>2</x:v>
      </x:c>
      <x:c r="M137" s="34" t="str">
        <x:f>'Evaluation Plan'!M137</x:f>
        <x:v>NO-OP</x:v>
      </x:c>
      <x:c r="N137" s="32" t="str">
        <x:f>'Evaluation Plan'!N137</x:f>
        <x:v>Goal already satisfied: 2→2</x:v>
      </x:c>
      <x:c r="O137" s="34" t="n">
        <x:f>'Evaluation Plan'!O137</x:f>
        <x:v>6</x:v>
      </x:c>
      <x:c r="P137" s="32" t="str">
        <x:f>'Evaluation Plan'!P137</x:f>
        <x:v>Move only the minimum listed objects between bowl and table for the next count.</x:v>
      </x:c>
      <x:c r="Q137" s="32" t="str">
        <x:f>'Evaluation Plan'!Q137</x:f>
        <x:v>All four same-task objects remain visible; table objects are distractors. Success requires leaving the satisfied scene unchanged.</x:v>
      </x:c>
      <x:c r="R137" s="32" t="n">
        <x:f>'Evaluation Plan'!R137</x:f>
        <x:v>0</x:v>
      </x:c>
    </x:row>
    <x:row r="138" ht="46.5" customHeight="1">
      <x:c r="A138" s="31" t="str">
        <x:v>Not collected</x:v>
      </x:c>
      <x:c r="B138" s="33" t="n">
        <x:f>'Evaluation Plan'!B138</x:f>
        <x:v>136</x:v>
      </x:c>
      <x:c r="C138" s="31" t="str">
        <x:f>'Evaluation Plan'!C138</x:f>
        <x:v>Leave exactly one object in the bowl.</x:v>
      </x:c>
      <x:c r="D138" s="31" t="str">
        <x:f>'Evaluation Plan'!D138</x:f>
        <x:v>Bowl objects: [blue pen] | Table objects: [yellow block, green pencil sharpener, airplane toy without propellers]</x:v>
      </x:c>
      <x:c r="E138" s="33" t="str">
        <x:f>'Evaluation Plan'!E138</x:f>
      </x:c>
      <x:c r="F138" s="31" t="str">
        <x:f>'Evaluation Plan'!F138</x:f>
        <x:v>NO-OP; preserve 1 object in the bowl and do not initiate a grasp</x:v>
      </x:c>
      <x:c r="G138" s="31" t="str"/>
      <x:c r="H138" s="35" t="str">
        <x:f>'Evaluation Plan'!H138</x:f>
        <x:v>Goal already satisfied / no movement</x:v>
      </x:c>
      <x:c r="I138" s="31" t="str">
        <x:f>'Evaluation Plan'!I138</x:f>
        <x:v>NOOP-02</x:v>
      </x:c>
      <x:c r="J138" s="31" t="str">
        <x:f>'Evaluation Plan'!J138</x:f>
        <x:v>NOOP-02</x:v>
      </x:c>
      <x:c r="K138" s="33" t="n">
        <x:f>'Evaluation Plan'!K138</x:f>
        <x:v>1</x:v>
      </x:c>
      <x:c r="L138" s="33" t="n">
        <x:f>'Evaluation Plan'!L138</x:f>
        <x:v>1</x:v>
      </x:c>
      <x:c r="M138" s="33" t="str">
        <x:f>'Evaluation Plan'!M138</x:f>
        <x:v>NO-OP</x:v>
      </x:c>
      <x:c r="N138" s="31" t="str">
        <x:f>'Evaluation Plan'!N138</x:f>
        <x:v>Goal already satisfied: 1→1</x:v>
      </x:c>
      <x:c r="O138" s="33" t="n">
        <x:f>'Evaluation Plan'!O138</x:f>
        <x:v>6</x:v>
      </x:c>
      <x:c r="P138" s="31" t="str">
        <x:f>'Evaluation Plan'!P138</x:f>
        <x:v>Move only the minimum listed objects between bowl and table for the next count.</x:v>
      </x:c>
      <x:c r="Q138" s="31" t="str">
        <x:f>'Evaluation Plan'!Q138</x:f>
        <x:v>All four same-task objects remain visible; table objects are distractors. Success requires leaving the satisfied scene unchanged.</x:v>
      </x:c>
      <x:c r="R138" s="31" t="n">
        <x:f>'Evaluation Plan'!R138</x:f>
        <x:v>0</x:v>
      </x:c>
    </x:row>
    <x:row r="139" ht="46.5" customHeight="1">
      <x:c r="A139" s="32" t="str">
        <x:v>Not collected</x:v>
      </x:c>
      <x:c r="B139" s="34" t="n">
        <x:f>'Evaluation Plan'!B139</x:f>
        <x:v>137</x:v>
      </x:c>
      <x:c r="C139" s="32" t="str">
        <x:f>'Evaluation Plan'!C139</x:f>
        <x:v>Make the bowl contain exactly zero objects.</x:v>
      </x:c>
      <x:c r="D139" s="32" t="str">
        <x:f>'Evaluation Plan'!D139</x:f>
        <x:v>Bowl objects: [none] | Table objects: [blue pen, yellow block, green pencil sharpener, airplane toy without propellers]</x:v>
      </x:c>
      <x:c r="E139" s="34" t="str">
        <x:f>'Evaluation Plan'!E139</x:f>
      </x:c>
      <x:c r="F139" s="32" t="str">
        <x:f>'Evaluation Plan'!F139</x:f>
        <x:v>NO-OP; preserve 0 objects in the bowl and do not initiate a grasp</x:v>
      </x:c>
      <x:c r="G139" s="32" t="str"/>
      <x:c r="H139" s="35" t="str">
        <x:f>'Evaluation Plan'!H139</x:f>
        <x:v>Goal already satisfied / no movement</x:v>
      </x:c>
      <x:c r="I139" s="32" t="str">
        <x:f>'Evaluation Plan'!I139</x:f>
        <x:v>NOOP-02</x:v>
      </x:c>
      <x:c r="J139" s="32" t="str">
        <x:f>'Evaluation Plan'!J139</x:f>
        <x:v>NOOP-02</x:v>
      </x:c>
      <x:c r="K139" s="34" t="n">
        <x:f>'Evaluation Plan'!K139</x:f>
        <x:v>0</x:v>
      </x:c>
      <x:c r="L139" s="34" t="n">
        <x:f>'Evaluation Plan'!L139</x:f>
        <x:v>0</x:v>
      </x:c>
      <x:c r="M139" s="34" t="str">
        <x:f>'Evaluation Plan'!M139</x:f>
        <x:v>NO-OP</x:v>
      </x:c>
      <x:c r="N139" s="32" t="str">
        <x:f>'Evaluation Plan'!N139</x:f>
        <x:v>Goal already satisfied: 0→0</x:v>
      </x:c>
      <x:c r="O139" s="34" t="n">
        <x:f>'Evaluation Plan'!O139</x:f>
        <x:v>6</x:v>
      </x:c>
      <x:c r="P139" s="32" t="str">
        <x:f>'Evaluation Plan'!P139</x:f>
        <x:v>Move only the minimum listed objects between bowl and table for the next count.</x:v>
      </x:c>
      <x:c r="Q139" s="32" t="str">
        <x:f>'Evaluation Plan'!Q139</x:f>
        <x:v>All four same-task objects remain visible; table objects are distractors. Success requires leaving the satisfied scene unchanged.</x:v>
      </x:c>
      <x:c r="R139" s="32" t="n">
        <x:f>'Evaluation Plan'!R139</x:f>
        <x:v>0</x:v>
      </x:c>
    </x:row>
    <x:row r="140" ht="46.5" customHeight="1">
      <x:c r="A140" s="31" t="str">
        <x:v>Not collected</x:v>
      </x:c>
      <x:c r="B140" s="33" t="n">
        <x:f>'Evaluation Plan'!B140</x:f>
        <x:v>138</x:v>
      </x:c>
      <x:c r="C140" s="31" t="str">
        <x:f>'Evaluation Plan'!C140</x:f>
        <x:v>Make the bowl contain exactly zero objects.</x:v>
      </x:c>
      <x:c r="D140" s="31" t="str">
        <x:f>'Evaluation Plan'!D140</x:f>
        <x:v>Bowl objects: [none] | Table objects: [yellow block, airplane toy without propellers, blue pen, green pencil sharpener]</x:v>
      </x:c>
      <x:c r="E140" s="33" t="str">
        <x:f>'Evaluation Plan'!E140</x:f>
      </x:c>
      <x:c r="F140" s="31" t="str">
        <x:f>'Evaluation Plan'!F140</x:f>
        <x:v>NO-OP; preserve 0 objects in the bowl and do not initiate a grasp</x:v>
      </x:c>
      <x:c r="G140" s="31" t="str"/>
      <x:c r="H140" s="35" t="str">
        <x:f>'Evaluation Plan'!H140</x:f>
        <x:v>Goal already satisfied / no movement</x:v>
      </x:c>
      <x:c r="I140" s="31" t="str">
        <x:f>'Evaluation Plan'!I140</x:f>
        <x:v>NOOP-03</x:v>
      </x:c>
      <x:c r="J140" s="31" t="str">
        <x:f>'Evaluation Plan'!J140</x:f>
        <x:v>NOOP-03</x:v>
      </x:c>
      <x:c r="K140" s="33" t="n">
        <x:f>'Evaluation Plan'!K140</x:f>
        <x:v>0</x:v>
      </x:c>
      <x:c r="L140" s="33" t="n">
        <x:f>'Evaluation Plan'!L140</x:f>
        <x:v>0</x:v>
      </x:c>
      <x:c r="M140" s="33" t="str">
        <x:f>'Evaluation Plan'!M140</x:f>
        <x:v>NO-OP</x:v>
      </x:c>
      <x:c r="N140" s="31" t="str">
        <x:f>'Evaluation Plan'!N140</x:f>
        <x:v>Goal already satisfied: 0→0</x:v>
      </x:c>
      <x:c r="O140" s="33" t="n">
        <x:f>'Evaluation Plan'!O140</x:f>
        <x:v>6</x:v>
      </x:c>
      <x:c r="P140" s="31" t="str">
        <x:f>'Evaluation Plan'!P140</x:f>
        <x:v>Build the first no-movement scene in this family.</x:v>
      </x:c>
      <x:c r="Q140" s="31" t="str">
        <x:f>'Evaluation Plan'!Q140</x:f>
        <x:v>All four same-task objects remain visible; table objects are distractors. Success requires leaving the satisfied scene unchanged.</x:v>
      </x:c>
      <x:c r="R140" s="31" t="n">
        <x:f>'Evaluation Plan'!R140</x:f>
        <x:v>0</x:v>
      </x:c>
    </x:row>
    <x:row r="141" ht="46.5" customHeight="1">
      <x:c r="A141" s="32" t="str">
        <x:v>Not collected</x:v>
      </x:c>
      <x:c r="B141" s="34" t="n">
        <x:f>'Evaluation Plan'!B141</x:f>
        <x:v>139</x:v>
      </x:c>
      <x:c r="C141" s="32" t="str">
        <x:f>'Evaluation Plan'!C141</x:f>
        <x:v>Leave exactly one object in the bowl.</x:v>
      </x:c>
      <x:c r="D141" s="32" t="str">
        <x:f>'Evaluation Plan'!D141</x:f>
        <x:v>Bowl objects: [yellow block] | Table objects: [airplane toy without propellers, blue pen, green pencil sharpener]</x:v>
      </x:c>
      <x:c r="E141" s="34" t="str">
        <x:f>'Evaluation Plan'!E141</x:f>
      </x:c>
      <x:c r="F141" s="32" t="str">
        <x:f>'Evaluation Plan'!F141</x:f>
        <x:v>NO-OP; preserve 1 object in the bowl and do not initiate a grasp</x:v>
      </x:c>
      <x:c r="G141" s="32" t="str"/>
      <x:c r="H141" s="35" t="str">
        <x:f>'Evaluation Plan'!H141</x:f>
        <x:v>Goal already satisfied / no movement</x:v>
      </x:c>
      <x:c r="I141" s="32" t="str">
        <x:f>'Evaluation Plan'!I141</x:f>
        <x:v>NOOP-03</x:v>
      </x:c>
      <x:c r="J141" s="32" t="str">
        <x:f>'Evaluation Plan'!J141</x:f>
        <x:v>NOOP-03</x:v>
      </x:c>
      <x:c r="K141" s="34" t="n">
        <x:f>'Evaluation Plan'!K141</x:f>
        <x:v>1</x:v>
      </x:c>
      <x:c r="L141" s="34" t="n">
        <x:f>'Evaluation Plan'!L141</x:f>
        <x:v>1</x:v>
      </x:c>
      <x:c r="M141" s="34" t="str">
        <x:f>'Evaluation Plan'!M141</x:f>
        <x:v>NO-OP</x:v>
      </x:c>
      <x:c r="N141" s="32" t="str">
        <x:f>'Evaluation Plan'!N141</x:f>
        <x:v>Goal already satisfied: 1→1</x:v>
      </x:c>
      <x:c r="O141" s="34" t="n">
        <x:f>'Evaluation Plan'!O141</x:f>
        <x:v>6</x:v>
      </x:c>
      <x:c r="P141" s="32" t="str">
        <x:f>'Evaluation Plan'!P141</x:f>
        <x:v>Move only the minimum listed objects between bowl and table for the next count.</x:v>
      </x:c>
      <x:c r="Q141" s="32" t="str">
        <x:f>'Evaluation Plan'!Q141</x:f>
        <x:v>All four same-task objects remain visible; table objects are distractors. Success requires leaving the satisfied scene unchanged.</x:v>
      </x:c>
      <x:c r="R141" s="32" t="n">
        <x:f>'Evaluation Plan'!R141</x:f>
        <x:v>0</x:v>
      </x:c>
    </x:row>
    <x:row r="142" ht="46.5" customHeight="1">
      <x:c r="A142" s="31" t="str">
        <x:v>Not collected</x:v>
      </x:c>
      <x:c r="B142" s="33" t="n">
        <x:f>'Evaluation Plan'!B142</x:f>
        <x:v>140</x:v>
      </x:c>
      <x:c r="C142" s="31" t="str">
        <x:f>'Evaluation Plan'!C142</x:f>
        <x:v>Make the bowl contain exactly two objects.</x:v>
      </x:c>
      <x:c r="D142" s="31" t="str">
        <x:f>'Evaluation Plan'!D142</x:f>
        <x:v>Bowl objects: [yellow block, airplane toy without propellers] | Table objects: [blue pen, green pencil sharpener]</x:v>
      </x:c>
      <x:c r="E142" s="33" t="str">
        <x:f>'Evaluation Plan'!E142</x:f>
      </x:c>
      <x:c r="F142" s="31" t="str">
        <x:f>'Evaluation Plan'!F142</x:f>
        <x:v>NO-OP; preserve 2 objects in the bowl and do not initiate a grasp</x:v>
      </x:c>
      <x:c r="G142" s="31" t="str"/>
      <x:c r="H142" s="35" t="str">
        <x:f>'Evaluation Plan'!H142</x:f>
        <x:v>Goal already satisfied / no movement</x:v>
      </x:c>
      <x:c r="I142" s="31" t="str">
        <x:f>'Evaluation Plan'!I142</x:f>
        <x:v>NOOP-03</x:v>
      </x:c>
      <x:c r="J142" s="31" t="str">
        <x:f>'Evaluation Plan'!J142</x:f>
        <x:v>NOOP-03</x:v>
      </x:c>
      <x:c r="K142" s="33" t="n">
        <x:f>'Evaluation Plan'!K142</x:f>
        <x:v>2</x:v>
      </x:c>
      <x:c r="L142" s="33" t="n">
        <x:f>'Evaluation Plan'!L142</x:f>
        <x:v>2</x:v>
      </x:c>
      <x:c r="M142" s="33" t="str">
        <x:f>'Evaluation Plan'!M142</x:f>
        <x:v>NO-OP</x:v>
      </x:c>
      <x:c r="N142" s="31" t="str">
        <x:f>'Evaluation Plan'!N142</x:f>
        <x:v>Goal already satisfied: 2→2</x:v>
      </x:c>
      <x:c r="O142" s="33" t="n">
        <x:f>'Evaluation Plan'!O142</x:f>
        <x:v>6</x:v>
      </x:c>
      <x:c r="P142" s="31" t="str">
        <x:f>'Evaluation Plan'!P142</x:f>
        <x:v>Move only the minimum listed objects between bowl and table for the next count.</x:v>
      </x:c>
      <x:c r="Q142" s="31" t="str">
        <x:f>'Evaluation Plan'!Q142</x:f>
        <x:v>All four same-task objects remain visible; table objects are distractors. Success requires leaving the satisfied scene unchanged.</x:v>
      </x:c>
      <x:c r="R142" s="31" t="n">
        <x:f>'Evaluation Plan'!R142</x:f>
        <x:v>0</x:v>
      </x:c>
    </x:row>
    <x:row r="143" ht="46.5" customHeight="1">
      <x:c r="A143" s="32" t="str">
        <x:v>Not collected</x:v>
      </x:c>
      <x:c r="B143" s="34" t="n">
        <x:f>'Evaluation Plan'!B143</x:f>
        <x:v>141</x:v>
      </x:c>
      <x:c r="C143" s="32" t="str">
        <x:f>'Evaluation Plan'!C143</x:f>
        <x:v>Leave exactly three objects in the bowl.</x:v>
      </x:c>
      <x:c r="D143" s="32" t="str">
        <x:f>'Evaluation Plan'!D143</x:f>
        <x:v>Bowl objects: [yellow block, airplane toy without propellers, blue pen] | Table objects: [green pencil sharpener]</x:v>
      </x:c>
      <x:c r="E143" s="34" t="str">
        <x:f>'Evaluation Plan'!E143</x:f>
      </x:c>
      <x:c r="F143" s="32" t="str">
        <x:f>'Evaluation Plan'!F143</x:f>
        <x:v>NO-OP; preserve 3 objects in the bowl and do not initiate a grasp</x:v>
      </x:c>
      <x:c r="G143" s="32" t="str"/>
      <x:c r="H143" s="35" t="str">
        <x:f>'Evaluation Plan'!H143</x:f>
        <x:v>Goal already satisfied / no movement</x:v>
      </x:c>
      <x:c r="I143" s="32" t="str">
        <x:f>'Evaluation Plan'!I143</x:f>
        <x:v>NOOP-03</x:v>
      </x:c>
      <x:c r="J143" s="32" t="str">
        <x:f>'Evaluation Plan'!J143</x:f>
        <x:v>NOOP-03</x:v>
      </x:c>
      <x:c r="K143" s="34" t="n">
        <x:f>'Evaluation Plan'!K143</x:f>
        <x:v>3</x:v>
      </x:c>
      <x:c r="L143" s="34" t="n">
        <x:f>'Evaluation Plan'!L143</x:f>
        <x:v>3</x:v>
      </x:c>
      <x:c r="M143" s="34" t="str">
        <x:f>'Evaluation Plan'!M143</x:f>
        <x:v>NO-OP</x:v>
      </x:c>
      <x:c r="N143" s="32" t="str">
        <x:f>'Evaluation Plan'!N143</x:f>
        <x:v>Goal already satisfied: 3→3</x:v>
      </x:c>
      <x:c r="O143" s="34" t="n">
        <x:f>'Evaluation Plan'!O143</x:f>
        <x:v>6</x:v>
      </x:c>
      <x:c r="P143" s="32" t="str">
        <x:f>'Evaluation Plan'!P143</x:f>
        <x:v>Move only the minimum listed objects between bowl and table for the next count.</x:v>
      </x:c>
      <x:c r="Q143" s="32" t="str">
        <x:f>'Evaluation Plan'!Q143</x:f>
        <x:v>All four same-task objects remain visible; table objects are distractors. Success requires leaving the satisfied scene unchanged.</x:v>
      </x:c>
      <x:c r="R143" s="32" t="n">
        <x:f>'Evaluation Plan'!R143</x:f>
        <x:v>0</x:v>
      </x:c>
    </x:row>
    <x:row r="144" ht="46.5" customHeight="1">
      <x:c r="A144" s="31" t="str">
        <x:v>Not collected</x:v>
      </x:c>
      <x:c r="B144" s="33" t="n">
        <x:f>'Evaluation Plan'!B144</x:f>
        <x:v>142</x:v>
      </x:c>
      <x:c r="C144" s="31" t="str">
        <x:f>'Evaluation Plan'!C144</x:f>
        <x:v>Leave exactly three objects in the bowl.</x:v>
      </x:c>
      <x:c r="D144" s="31" t="str">
        <x:f>'Evaluation Plan'!D144</x:f>
        <x:v>Bowl objects: [green pencil sharpener, airplane toy without propellers, blue pen] | Table objects: [yellow block]</x:v>
      </x:c>
      <x:c r="E144" s="33" t="str">
        <x:f>'Evaluation Plan'!E144</x:f>
      </x:c>
      <x:c r="F144" s="31" t="str">
        <x:f>'Evaluation Plan'!F144</x:f>
        <x:v>NO-OP; preserve 3 objects in the bowl and do not initiate a grasp</x:v>
      </x:c>
      <x:c r="G144" s="31" t="str"/>
      <x:c r="H144" s="35" t="str">
        <x:f>'Evaluation Plan'!H144</x:f>
        <x:v>Goal already satisfied / no movement</x:v>
      </x:c>
      <x:c r="I144" s="31" t="str">
        <x:f>'Evaluation Plan'!I144</x:f>
        <x:v>NOOP-04</x:v>
      </x:c>
      <x:c r="J144" s="31" t="str">
        <x:f>'Evaluation Plan'!J144</x:f>
        <x:v>NOOP-04</x:v>
      </x:c>
      <x:c r="K144" s="33" t="n">
        <x:f>'Evaluation Plan'!K144</x:f>
        <x:v>3</x:v>
      </x:c>
      <x:c r="L144" s="33" t="n">
        <x:f>'Evaluation Plan'!L144</x:f>
        <x:v>3</x:v>
      </x:c>
      <x:c r="M144" s="33" t="str">
        <x:f>'Evaluation Plan'!M144</x:f>
        <x:v>NO-OP</x:v>
      </x:c>
      <x:c r="N144" s="31" t="str">
        <x:f>'Evaluation Plan'!N144</x:f>
        <x:v>Goal already satisfied: 3→3</x:v>
      </x:c>
      <x:c r="O144" s="33" t="n">
        <x:f>'Evaluation Plan'!O144</x:f>
        <x:v>6</x:v>
      </x:c>
      <x:c r="P144" s="31" t="str">
        <x:f>'Evaluation Plan'!P144</x:f>
        <x:v>Build the first no-movement scene in this family.</x:v>
      </x:c>
      <x:c r="Q144" s="31" t="str">
        <x:f>'Evaluation Plan'!Q144</x:f>
        <x:v>All four same-task objects remain visible; table objects are distractors. Success requires leaving the satisfied scene unchanged.</x:v>
      </x:c>
      <x:c r="R144" s="31" t="n">
        <x:f>'Evaluation Plan'!R144</x:f>
        <x:v>0</x:v>
      </x:c>
    </x:row>
    <x:row r="145" ht="46.5" customHeight="1">
      <x:c r="A145" s="32" t="str">
        <x:v>Not collected</x:v>
      </x:c>
      <x:c r="B145" s="34" t="n">
        <x:f>'Evaluation Plan'!B145</x:f>
        <x:v>143</x:v>
      </x:c>
      <x:c r="C145" s="32" t="str">
        <x:f>'Evaluation Plan'!C145</x:f>
        <x:v>Make the bowl contain exactly two objects.</x:v>
      </x:c>
      <x:c r="D145" s="32" t="str">
        <x:f>'Evaluation Plan'!D145</x:f>
        <x:v>Bowl objects: [green pencil sharpener, airplane toy without propellers] | Table objects: [blue pen, yellow block]</x:v>
      </x:c>
      <x:c r="E145" s="34" t="str">
        <x:f>'Evaluation Plan'!E145</x:f>
      </x:c>
      <x:c r="F145" s="32" t="str">
        <x:f>'Evaluation Plan'!F145</x:f>
        <x:v>NO-OP; preserve 2 objects in the bowl and do not initiate a grasp</x:v>
      </x:c>
      <x:c r="G145" s="32" t="str"/>
      <x:c r="H145" s="35" t="str">
        <x:f>'Evaluation Plan'!H145</x:f>
        <x:v>Goal already satisfied / no movement</x:v>
      </x:c>
      <x:c r="I145" s="32" t="str">
        <x:f>'Evaluation Plan'!I145</x:f>
        <x:v>NOOP-04</x:v>
      </x:c>
      <x:c r="J145" s="32" t="str">
        <x:f>'Evaluation Plan'!J145</x:f>
        <x:v>NOOP-04</x:v>
      </x:c>
      <x:c r="K145" s="34" t="n">
        <x:f>'Evaluation Plan'!K145</x:f>
        <x:v>2</x:v>
      </x:c>
      <x:c r="L145" s="34" t="n">
        <x:f>'Evaluation Plan'!L145</x:f>
        <x:v>2</x:v>
      </x:c>
      <x:c r="M145" s="34" t="str">
        <x:f>'Evaluation Plan'!M145</x:f>
        <x:v>NO-OP</x:v>
      </x:c>
      <x:c r="N145" s="32" t="str">
        <x:f>'Evaluation Plan'!N145</x:f>
        <x:v>Goal already satisfied: 2→2</x:v>
      </x:c>
      <x:c r="O145" s="34" t="n">
        <x:f>'Evaluation Plan'!O145</x:f>
        <x:v>6</x:v>
      </x:c>
      <x:c r="P145" s="32" t="str">
        <x:f>'Evaluation Plan'!P145</x:f>
        <x:v>Move only the minimum listed objects between bowl and table for the next count.</x:v>
      </x:c>
      <x:c r="Q145" s="32" t="str">
        <x:f>'Evaluation Plan'!Q145</x:f>
        <x:v>All four same-task objects remain visible; table objects are distractors. Success requires leaving the satisfied scene unchanged.</x:v>
      </x:c>
      <x:c r="R145" s="32" t="n">
        <x:f>'Evaluation Plan'!R145</x:f>
        <x:v>0</x:v>
      </x:c>
    </x:row>
    <x:row r="146" ht="46.5" customHeight="1">
      <x:c r="A146" s="31" t="str">
        <x:v>Not collected</x:v>
      </x:c>
      <x:c r="B146" s="33" t="n">
        <x:f>'Evaluation Plan'!B146</x:f>
        <x:v>144</x:v>
      </x:c>
      <x:c r="C146" s="31" t="str">
        <x:f>'Evaluation Plan'!C146</x:f>
        <x:v>Leave exactly one object in the bowl.</x:v>
      </x:c>
      <x:c r="D146" s="31" t="str">
        <x:f>'Evaluation Plan'!D146</x:f>
        <x:v>Bowl objects: [green pencil sharpener] | Table objects: [airplane toy without propellers, blue pen, yellow block]</x:v>
      </x:c>
      <x:c r="E146" s="33" t="str">
        <x:f>'Evaluation Plan'!E146</x:f>
      </x:c>
      <x:c r="F146" s="31" t="str">
        <x:f>'Evaluation Plan'!F146</x:f>
        <x:v>NO-OP; preserve 1 object in the bowl and do not initiate a grasp</x:v>
      </x:c>
      <x:c r="G146" s="31" t="str"/>
      <x:c r="H146" s="35" t="str">
        <x:f>'Evaluation Plan'!H146</x:f>
        <x:v>Goal already satisfied / no movement</x:v>
      </x:c>
      <x:c r="I146" s="31" t="str">
        <x:f>'Evaluation Plan'!I146</x:f>
        <x:v>NOOP-04</x:v>
      </x:c>
      <x:c r="J146" s="31" t="str">
        <x:f>'Evaluation Plan'!J146</x:f>
        <x:v>NOOP-04</x:v>
      </x:c>
      <x:c r="K146" s="33" t="n">
        <x:f>'Evaluation Plan'!K146</x:f>
        <x:v>1</x:v>
      </x:c>
      <x:c r="L146" s="33" t="n">
        <x:f>'Evaluation Plan'!L146</x:f>
        <x:v>1</x:v>
      </x:c>
      <x:c r="M146" s="33" t="str">
        <x:f>'Evaluation Plan'!M146</x:f>
        <x:v>NO-OP</x:v>
      </x:c>
      <x:c r="N146" s="31" t="str">
        <x:f>'Evaluation Plan'!N146</x:f>
        <x:v>Goal already satisfied: 1→1</x:v>
      </x:c>
      <x:c r="O146" s="33" t="n">
        <x:f>'Evaluation Plan'!O146</x:f>
        <x:v>6</x:v>
      </x:c>
      <x:c r="P146" s="31" t="str">
        <x:f>'Evaluation Plan'!P146</x:f>
        <x:v>Move only the minimum listed objects between bowl and table for the next count.</x:v>
      </x:c>
      <x:c r="Q146" s="31" t="str">
        <x:f>'Evaluation Plan'!Q146</x:f>
        <x:v>All four same-task objects remain visible; table objects are distractors. Success requires leaving the satisfied scene unchanged.</x:v>
      </x:c>
      <x:c r="R146" s="31" t="n">
        <x:f>'Evaluation Plan'!R146</x:f>
        <x:v>0</x:v>
      </x:c>
    </x:row>
    <x:row r="147" ht="46.5" customHeight="1">
      <x:c r="A147" s="32" t="str">
        <x:v>Not collected</x:v>
      </x:c>
      <x:c r="B147" s="34" t="n">
        <x:f>'Evaluation Plan'!B147</x:f>
        <x:v>145</x:v>
      </x:c>
      <x:c r="C147" s="32" t="str">
        <x:f>'Evaluation Plan'!C147</x:f>
        <x:v>Make the bowl contain exactly zero objects.</x:v>
      </x:c>
      <x:c r="D147" s="32" t="str">
        <x:f>'Evaluation Plan'!D147</x:f>
        <x:v>Bowl objects: [none] | Table objects: [green pencil sharpener, airplane toy without propellers, blue pen, yellow block]</x:v>
      </x:c>
      <x:c r="E147" s="34" t="str">
        <x:f>'Evaluation Plan'!E147</x:f>
      </x:c>
      <x:c r="F147" s="32" t="str">
        <x:f>'Evaluation Plan'!F147</x:f>
        <x:v>NO-OP; preserve 0 objects in the bowl and do not initiate a grasp</x:v>
      </x:c>
      <x:c r="G147" s="32" t="str"/>
      <x:c r="H147" s="35" t="str">
        <x:f>'Evaluation Plan'!H147</x:f>
        <x:v>Goal already satisfied / no movement</x:v>
      </x:c>
      <x:c r="I147" s="32" t="str">
        <x:f>'Evaluation Plan'!I147</x:f>
        <x:v>NOOP-04</x:v>
      </x:c>
      <x:c r="J147" s="32" t="str">
        <x:f>'Evaluation Plan'!J147</x:f>
        <x:v>NOOP-04</x:v>
      </x:c>
      <x:c r="K147" s="34" t="n">
        <x:f>'Evaluation Plan'!K147</x:f>
        <x:v>0</x:v>
      </x:c>
      <x:c r="L147" s="34" t="n">
        <x:f>'Evaluation Plan'!L147</x:f>
        <x:v>0</x:v>
      </x:c>
      <x:c r="M147" s="34" t="str">
        <x:f>'Evaluation Plan'!M147</x:f>
        <x:v>NO-OP</x:v>
      </x:c>
      <x:c r="N147" s="32" t="str">
        <x:f>'Evaluation Plan'!N147</x:f>
        <x:v>Goal already satisfied: 0→0</x:v>
      </x:c>
      <x:c r="O147" s="34" t="n">
        <x:f>'Evaluation Plan'!O147</x:f>
        <x:v>6</x:v>
      </x:c>
      <x:c r="P147" s="32" t="str">
        <x:f>'Evaluation Plan'!P147</x:f>
        <x:v>Move only the minimum listed objects between bowl and table for the next count.</x:v>
      </x:c>
      <x:c r="Q147" s="32" t="str">
        <x:f>'Evaluation Plan'!Q147</x:f>
        <x:v>All four same-task objects remain visible; table objects are distractors. Success requires leaving the satisfied scene unchanged.</x:v>
      </x:c>
      <x:c r="R147" s="32" t="n">
        <x:f>'Evaluation Plan'!R147</x:f>
        <x:v>0</x:v>
      </x:c>
    </x:row>
    <x:row r="148" ht="46.5" customHeight="1">
      <x:c r="A148" s="31" t="str">
        <x:v>Not collected</x:v>
      </x:c>
      <x:c r="B148" s="33" t="n">
        <x:f>'Evaluation Plan'!B148</x:f>
        <x:v>146</x:v>
      </x:c>
      <x:c r="C148" s="31" t="str">
        <x:f>'Evaluation Plan'!C148</x:f>
        <x:v>Make the bowl contain exactly zero objects.</x:v>
      </x:c>
      <x:c r="D148" s="31" t="str">
        <x:f>'Evaluation Plan'!D148</x:f>
        <x:v>Bowl objects: [none] | Table objects: [airplane toy without propellers, green pencil sharpener, yellow block, blue pen]</x:v>
      </x:c>
      <x:c r="E148" s="33" t="str">
        <x:f>'Evaluation Plan'!E148</x:f>
      </x:c>
      <x:c r="F148" s="31" t="str">
        <x:f>'Evaluation Plan'!F148</x:f>
        <x:v>NO-OP; preserve 0 objects in the bowl and do not initiate a grasp</x:v>
      </x:c>
      <x:c r="G148" s="31" t="str"/>
      <x:c r="H148" s="35" t="str">
        <x:f>'Evaluation Plan'!H148</x:f>
        <x:v>Goal already satisfied / no movement</x:v>
      </x:c>
      <x:c r="I148" s="31" t="str">
        <x:f>'Evaluation Plan'!I148</x:f>
        <x:v>NOOP-05</x:v>
      </x:c>
      <x:c r="J148" s="31" t="str">
        <x:f>'Evaluation Plan'!J148</x:f>
        <x:v>NOOP-05</x:v>
      </x:c>
      <x:c r="K148" s="33" t="n">
        <x:f>'Evaluation Plan'!K148</x:f>
        <x:v>0</x:v>
      </x:c>
      <x:c r="L148" s="33" t="n">
        <x:f>'Evaluation Plan'!L148</x:f>
        <x:v>0</x:v>
      </x:c>
      <x:c r="M148" s="33" t="str">
        <x:f>'Evaluation Plan'!M148</x:f>
        <x:v>NO-OP</x:v>
      </x:c>
      <x:c r="N148" s="31" t="str">
        <x:f>'Evaluation Plan'!N148</x:f>
        <x:v>Goal already satisfied: 0→0</x:v>
      </x:c>
      <x:c r="O148" s="33" t="n">
        <x:f>'Evaluation Plan'!O148</x:f>
        <x:v>6</x:v>
      </x:c>
      <x:c r="P148" s="31" t="str">
        <x:f>'Evaluation Plan'!P148</x:f>
        <x:v>Build the first no-movement scene in this family.</x:v>
      </x:c>
      <x:c r="Q148" s="31" t="str">
        <x:f>'Evaluation Plan'!Q148</x:f>
        <x:v>All four same-task objects remain visible; table objects are distractors. Success requires leaving the satisfied scene unchanged.</x:v>
      </x:c>
      <x:c r="R148" s="31" t="n">
        <x:f>'Evaluation Plan'!R148</x:f>
        <x:v>0</x:v>
      </x:c>
    </x:row>
    <x:row r="149" ht="46.5" customHeight="1">
      <x:c r="A149" s="32" t="str">
        <x:v>Not collected</x:v>
      </x:c>
      <x:c r="B149" s="34" t="n">
        <x:f>'Evaluation Plan'!B149</x:f>
        <x:v>147</x:v>
      </x:c>
      <x:c r="C149" s="32" t="str">
        <x:f>'Evaluation Plan'!C149</x:f>
        <x:v>Leave exactly one object in the bowl.</x:v>
      </x:c>
      <x:c r="D149" s="32" t="str">
        <x:f>'Evaluation Plan'!D149</x:f>
        <x:v>Bowl objects: [airplane toy without propellers] | Table objects: [green pencil sharpener, yellow block, blue pen]</x:v>
      </x:c>
      <x:c r="E149" s="34" t="str">
        <x:f>'Evaluation Plan'!E149</x:f>
      </x:c>
      <x:c r="F149" s="32" t="str">
        <x:f>'Evaluation Plan'!F149</x:f>
        <x:v>NO-OP; preserve 1 object in the bowl and do not initiate a grasp</x:v>
      </x:c>
      <x:c r="G149" s="32" t="str"/>
      <x:c r="H149" s="35" t="str">
        <x:f>'Evaluation Plan'!H149</x:f>
        <x:v>Goal already satisfied / no movement</x:v>
      </x:c>
      <x:c r="I149" s="32" t="str">
        <x:f>'Evaluation Plan'!I149</x:f>
        <x:v>NOOP-05</x:v>
      </x:c>
      <x:c r="J149" s="32" t="str">
        <x:f>'Evaluation Plan'!J149</x:f>
        <x:v>NOOP-05</x:v>
      </x:c>
      <x:c r="K149" s="34" t="n">
        <x:f>'Evaluation Plan'!K149</x:f>
        <x:v>1</x:v>
      </x:c>
      <x:c r="L149" s="34" t="n">
        <x:f>'Evaluation Plan'!L149</x:f>
        <x:v>1</x:v>
      </x:c>
      <x:c r="M149" s="34" t="str">
        <x:f>'Evaluation Plan'!M149</x:f>
        <x:v>NO-OP</x:v>
      </x:c>
      <x:c r="N149" s="32" t="str">
        <x:f>'Evaluation Plan'!N149</x:f>
        <x:v>Goal already satisfied: 1→1</x:v>
      </x:c>
      <x:c r="O149" s="34" t="n">
        <x:f>'Evaluation Plan'!O149</x:f>
        <x:v>6</x:v>
      </x:c>
      <x:c r="P149" s="32" t="str">
        <x:f>'Evaluation Plan'!P149</x:f>
        <x:v>Move only the minimum listed objects between bowl and table for the next count.</x:v>
      </x:c>
      <x:c r="Q149" s="32" t="str">
        <x:f>'Evaluation Plan'!Q149</x:f>
        <x:v>All four same-task objects remain visible; table objects are distractors. Success requires leaving the satisfied scene unchanged.</x:v>
      </x:c>
      <x:c r="R149" s="32" t="n">
        <x:f>'Evaluation Plan'!R149</x:f>
        <x:v>0</x:v>
      </x:c>
    </x:row>
    <x:row r="150" ht="46.5" customHeight="1">
      <x:c r="A150" s="31" t="str">
        <x:v>Not collected</x:v>
      </x:c>
      <x:c r="B150" s="33" t="n">
        <x:f>'Evaluation Plan'!B150</x:f>
        <x:v>148</x:v>
      </x:c>
      <x:c r="C150" s="31" t="str">
        <x:f>'Evaluation Plan'!C150</x:f>
        <x:v>Make the bowl contain exactly two objects.</x:v>
      </x:c>
      <x:c r="D150" s="31" t="str">
        <x:f>'Evaluation Plan'!D150</x:f>
        <x:v>Bowl objects: [airplane toy without propellers, green pencil sharpener] | Table objects: [yellow block, blue pen]</x:v>
      </x:c>
      <x:c r="E150" s="33" t="str">
        <x:f>'Evaluation Plan'!E150</x:f>
      </x:c>
      <x:c r="F150" s="31" t="str">
        <x:f>'Evaluation Plan'!F150</x:f>
        <x:v>NO-OP; preserve 2 objects in the bowl and do not initiate a grasp</x:v>
      </x:c>
      <x:c r="G150" s="31" t="str"/>
      <x:c r="H150" s="35" t="str">
        <x:f>'Evaluation Plan'!H150</x:f>
        <x:v>Goal already satisfied / no movement</x:v>
      </x:c>
      <x:c r="I150" s="31" t="str">
        <x:f>'Evaluation Plan'!I150</x:f>
        <x:v>NOOP-05</x:v>
      </x:c>
      <x:c r="J150" s="31" t="str">
        <x:f>'Evaluation Plan'!J150</x:f>
        <x:v>NOOP-05</x:v>
      </x:c>
      <x:c r="K150" s="33" t="n">
        <x:f>'Evaluation Plan'!K150</x:f>
        <x:v>2</x:v>
      </x:c>
      <x:c r="L150" s="33" t="n">
        <x:f>'Evaluation Plan'!L150</x:f>
        <x:v>2</x:v>
      </x:c>
      <x:c r="M150" s="33" t="str">
        <x:f>'Evaluation Plan'!M150</x:f>
        <x:v>NO-OP</x:v>
      </x:c>
      <x:c r="N150" s="31" t="str">
        <x:f>'Evaluation Plan'!N150</x:f>
        <x:v>Goal already satisfied: 2→2</x:v>
      </x:c>
      <x:c r="O150" s="33" t="n">
        <x:f>'Evaluation Plan'!O150</x:f>
        <x:v>6</x:v>
      </x:c>
      <x:c r="P150" s="31" t="str">
        <x:f>'Evaluation Plan'!P150</x:f>
        <x:v>Move only the minimum listed objects between bowl and table for the next count.</x:v>
      </x:c>
      <x:c r="Q150" s="31" t="str">
        <x:f>'Evaluation Plan'!Q150</x:f>
        <x:v>All four same-task objects remain visible; table objects are distractors. Success requires leaving the satisfied scene unchanged.</x:v>
      </x:c>
      <x:c r="R150" s="31" t="n">
        <x:f>'Evaluation Plan'!R150</x:f>
        <x:v>0</x:v>
      </x:c>
    </x:row>
    <x:row r="151" ht="46.5" customHeight="1">
      <x:c r="A151" s="32" t="str">
        <x:v>Not collected</x:v>
      </x:c>
      <x:c r="B151" s="34" t="n">
        <x:f>'Evaluation Plan'!B151</x:f>
        <x:v>149</x:v>
      </x:c>
      <x:c r="C151" s="32" t="str">
        <x:f>'Evaluation Plan'!C151</x:f>
        <x:v>Leave exactly three objects in the bowl.</x:v>
      </x:c>
      <x:c r="D151" s="32" t="str">
        <x:f>'Evaluation Plan'!D151</x:f>
        <x:v>Bowl objects: [airplane toy without propellers, green pencil sharpener, yellow block] | Table objects: [blue pen]</x:v>
      </x:c>
      <x:c r="E151" s="34" t="n">
        <x:f>'Evaluation Plan'!E151</x:f>
        <x:v>0</x:v>
      </x:c>
      <x:c r="F151" s="32" t="str">
        <x:f>'Evaluation Plan'!F151</x:f>
        <x:v>NO-OP; preserve 3 objects in the bowl and do not initiate a grasp</x:v>
      </x:c>
      <x:c r="G151" s="32" t="str"/>
      <x:c r="H151" s="35" t="str">
        <x:f>'Evaluation Plan'!H151</x:f>
        <x:v>Goal already satisfied / no movement</x:v>
      </x:c>
      <x:c r="I151" s="32" t="str">
        <x:f>'Evaluation Plan'!I151</x:f>
        <x:v>NOOP-05</x:v>
      </x:c>
      <x:c r="J151" s="32" t="str">
        <x:f>'Evaluation Plan'!J151</x:f>
        <x:v>NOOP-05</x:v>
      </x:c>
      <x:c r="K151" s="34" t="n">
        <x:f>'Evaluation Plan'!K151</x:f>
        <x:v>3</x:v>
      </x:c>
      <x:c r="L151" s="34" t="n">
        <x:f>'Evaluation Plan'!L151</x:f>
        <x:v>3</x:v>
      </x:c>
      <x:c r="M151" s="34" t="str">
        <x:f>'Evaluation Plan'!M151</x:f>
        <x:v>NO-OP</x:v>
      </x:c>
      <x:c r="N151" s="32" t="str">
        <x:f>'Evaluation Plan'!N151</x:f>
        <x:v>Goal already satisfied: 3→3</x:v>
      </x:c>
      <x:c r="O151" s="34" t="n">
        <x:f>'Evaluation Plan'!O151</x:f>
        <x:v>6</x:v>
      </x:c>
      <x:c r="P151" s="32" t="str">
        <x:f>'Evaluation Plan'!P151</x:f>
        <x:v>Move only the minimum listed objects between bowl and table for the next count.</x:v>
      </x:c>
      <x:c r="Q151" s="32" t="str">
        <x:f>'Evaluation Plan'!Q151</x:f>
        <x:v>All four same-task objects remain visible; table objects are distractors. Success requires leaving the satisfied scene unchanged.</x:v>
      </x:c>
      <x:c r="R151" s="32" t="n">
        <x:f>'Evaluation Plan'!R151</x:f>
        <x:v>0</x:v>
      </x:c>
    </x:row>
  </x:sheetData>
  <x:conditionalFormatting sqref="A2:R131">
    <x:cfRule type="expression" dxfId="9" priority="1">
      <x:formula>$A2="Success"</x:formula>
    </x:cfRule>
    <x:cfRule type="expression" dxfId="10" priority="2">
      <x:formula>$A2="Failure"</x:formula>
    </x:cfRule>
  </x:conditionalFormatting>
  <x:conditionalFormatting sqref="H2:H131">
    <x:cfRule type="containsText" dxfId="11" priority="3" operator="containsText" text="Concept/compositional transfer"/>
    <x:cfRule type="containsText" dxfId="12" priority="4" operator="containsText" text="Matched action control"/>
    <x:cfRule type="containsText" dxfId="13" priority="5" operator="containsText" text="Language robustness"/>
    <x:cfRule type="containsText" dxfId="14" priority="6" operator="containsText" text="Seen-count baseline"/>
    <x:cfRule type="containsText" dxfId="15" priority="7" operator="containsText" text="Cross-task"/>
  </x:conditionalFormatting>
  <x:conditionalFormatting sqref="A2:R151">
    <x:cfRule type="expression" dxfId="32" priority="8">
      <x:formula>$A2="Success"</x:formula>
    </x:cfRule>
    <x:cfRule type="expression" dxfId="33" priority="9">
      <x:formula>$A2="Failure"</x:formula>
    </x:cfRule>
  </x:conditionalFormatting>
  <x:dataValidations count="2">
    <x:dataValidation type="list" sqref="A2:A131">
      <x:formula1>"Not collected,Success,Failure"</x:formula1>
    </x:dataValidation>
    <x:dataValidation type="list" sqref="A2:A151">
      <x:formula1>"Not collected,Success,Failure"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6.670000076293945" hidden="0" customWidth="1"/>
    <x:col min="3" max="3" width="28.889999389648438" hidden="0" customWidth="1"/>
    <x:col min="4" max="4" width="40" hidden="0" customWidth="1"/>
    <x:col min="5" max="5" width="9.4399995803833" hidden="0" customWidth="1"/>
    <x:col min="6" max="6" width="25" hidden="0" customWidth="1"/>
    <x:col min="7" max="7" width="28.889999389648438" hidden="0" customWidth="1"/>
    <x:col min="8" max="8" width="22.780000686645508" hidden="0" customWidth="1"/>
    <x:col min="9" max="9" width="10.5600004196167" hidden="0" customWidth="1"/>
    <x:col min="10" max="10" width="12.220000267028809" hidden="0" customWidth="1"/>
    <x:col min="11" max="11" width="8.890000343322754" hidden="0" customWidth="1"/>
    <x:col min="12" max="12" width="7.78000020980835" hidden="0" customWidth="1"/>
    <x:col min="13" max="13" width="10.5600004196167" hidden="0" customWidth="1"/>
    <x:col min="14" max="14" width="28.329999923706055" hidden="0" customWidth="1"/>
    <x:col min="15" max="15" width="9.4399995803833" hidden="0" customWidth="1"/>
    <x:col min="16" max="16" width="26.670000076293945" hidden="0" customWidth="1"/>
    <x:col min="17" max="17" width="34.439998626708984" hidden="0" customWidth="1"/>
    <x:col min="18" max="18" width="20.559999465942383" hidden="0" customWidth="1"/>
  </x:cols>
  <x:sheetData>
    <x:row r="1" ht="28.5" customHeight="1">
      <x:c r="A1" s="30" t="str">
        <x:v>Status</x:v>
      </x:c>
      <x:c r="B1" s="30" t="str">
        <x:v>Episode</x:v>
      </x:c>
      <x:c r="C1" s="30" t="str">
        <x:v>Prompt</x:v>
      </x:c>
      <x:c r="D1" s="30" t="str">
        <x:v>Scene Setup (Bowl / Table)</x:v>
      </x:c>
      <x:c r="E1" s="30" t="str">
        <x:v>Reference Episode</x:v>
      </x:c>
      <x:c r="F1" s="30" t="str">
        <x:v>Expected Target / Action</x:v>
      </x:c>
      <x:c r="G1" s="30" t="str">
        <x:v>Observations</x:v>
      </x:c>
      <x:c r="H1" s="30" t="str">
        <x:v>Condition</x:v>
      </x:c>
      <x:c r="I1" s="30" t="str">
        <x:v>Scene Family</x:v>
      </x:c>
      <x:c r="J1" s="30" t="str">
        <x:v>Contrast Pair</x:v>
      </x:c>
      <x:c r="K1" s="30" t="str">
        <x:v>Initial Bowl Count</x:v>
      </x:c>
      <x:c r="L1" s="30" t="str">
        <x:v>Goal Count</x:v>
      </x:c>
      <x:c r="M1" s="30" t="str">
        <x:v>Action Direction</x:v>
      </x:c>
      <x:c r="N1" s="30" t="str">
        <x:v>Comparison / Subtype</x:v>
      </x:c>
      <x:c r="O1" s="30" t="str">
        <x:v>Collection Block</x:v>
      </x:c>
      <x:c r="P1" s="30" t="str">
        <x:v>Setup Change from Previous</x:v>
      </x:c>
      <x:c r="Q1" s="30" t="str">
        <x:v>Design Note</x:v>
      </x:c>
      <x:c r="R1" s="30" t="str">
        <x:v>Reference Media Filename</x:v>
      </x:c>
    </x:row>
    <x:row r="2" ht="46.5" customHeight="1">
      <x:c r="A2" s="31" t="str">
        <x:v>Not collected</x:v>
      </x:c>
      <x:c r="B2" s="33" t="n">
        <x:f>'Evaluation Plan'!B2</x:f>
        <x:v>0</x:v>
      </x:c>
      <x:c r="C2" s="31" t="str">
        <x:f>'Evaluation Plan'!C2</x:f>
        <x:v>Leave exactly one object in the bowl.</x:v>
      </x:c>
      <x:c r="D2" s="31" t="str">
        <x:f>'Evaluation Plan'!D2</x:f>
        <x:v>Bowl objects: [none] | Table objects: [blue pen, yellow block, green pencil sharpener, airplane toy without propellers]</x:v>
      </x:c>
      <x:c r="E2" s="33" t="str">
        <x:f>'Evaluation Plan'!E2</x:f>
      </x:c>
      <x:c r="F2" s="31" t="str">
        <x:f>'Evaluation Plan'!F2</x:f>
        <x:v>ADD any one table object; finish with 1 object in the bowl</x:v>
      </x:c>
      <x:c r="G2" s="31" t="str"/>
      <x:c r="H2" s="35" t="str">
        <x:f>'Evaluation Plan'!H2</x:f>
        <x:v>In-distribution concept baseline</x:v>
      </x:c>
      <x:c r="I2" s="31" t="str">
        <x:f>'Evaluation Plan'!I2</x:f>
        <x:v>ID-CF01</x:v>
      </x:c>
      <x:c r="J2" s="31" t="str">
        <x:f>'Evaluation Plan'!J2</x:f>
        <x:v>ID-CF01</x:v>
      </x:c>
      <x:c r="K2" s="33" t="n">
        <x:f>'Evaluation Plan'!K2</x:f>
        <x:v>0</x:v>
      </x:c>
      <x:c r="L2" s="33" t="n">
        <x:f>'Evaluation Plan'!L2</x:f>
        <x:v>1</x:v>
      </x:c>
      <x:c r="M2" s="33" t="str">
        <x:f>'Evaluation Plan'!M2</x:f>
        <x:v>ADD</x:v>
      </x:c>
      <x:c r="N2" s="31" t="str">
        <x:f>'Evaluation Plan'!N2</x:f>
        <x:v>In-distribution: one via trained 0→1 addition</x:v>
      </x:c>
      <x:c r="O2" s="33" t="n">
        <x:f>'Evaluation Plan'!O2</x:f>
        <x:v>1</x:v>
      </x:c>
      <x:c r="P2" s="31" t="str">
        <x:f>'Evaluation Plan'!P2</x:f>
        <x:v>Build the empty-bowl scene.</x:v>
      </x:c>
      <x:c r="Q2" s="31" t="str">
        <x:f>'Evaluation Plan'!Q2</x:f>
        <x:v>The word one and the 0→1 addition transition are explicitly paired in training.</x:v>
      </x:c>
      <x:c r="R2" s="31" t="n">
        <x:f>'Evaluation Plan'!R2</x:f>
        <x:v>0</x:v>
      </x:c>
    </x:row>
    <x:row r="3" ht="46.5" customHeight="1">
      <x:c r="A3" s="32" t="str">
        <x:v>Not collected</x:v>
      </x:c>
      <x:c r="B3" s="34" t="n">
        <x:f>'Evaluation Plan'!B3</x:f>
        <x:v>1</x:v>
      </x:c>
      <x:c r="C3" s="32" t="str">
        <x:f>'Evaluation Plan'!C3</x:f>
        <x:v>Leave exactly three objects in the bowl.</x:v>
      </x:c>
      <x:c r="D3" s="32" t="str">
        <x:f>'Evaluation Plan'!D3</x:f>
        <x:v>Bowl objects: [blue pen, yellow block, green pencil sharpener, airplane toy without propellers] | Table objects: [none]</x:v>
      </x:c>
      <x:c r="E3" s="34" t="str">
        <x:f>'Evaluation Plan'!E3</x:f>
      </x:c>
      <x:c r="F3" s="32" t="str">
        <x:f>'Evaluation Plan'!F3</x:f>
        <x:v>REMOVE any one bowl object; finish with 3 objects in the bowl</x:v>
      </x:c>
      <x:c r="G3" s="32" t="str"/>
      <x:c r="H3" s="35" t="str">
        <x:f>'Evaluation Plan'!H3</x:f>
        <x:v>In-distribution concept baseline</x:v>
      </x:c>
      <x:c r="I3" s="32" t="str">
        <x:f>'Evaluation Plan'!I3</x:f>
        <x:v>ID-CF01</x:v>
      </x:c>
      <x:c r="J3" s="32" t="str">
        <x:f>'Evaluation Plan'!J3</x:f>
        <x:v>ID-CF01</x:v>
      </x:c>
      <x:c r="K3" s="34" t="n">
        <x:f>'Evaluation Plan'!K3</x:f>
        <x:v>4</x:v>
      </x:c>
      <x:c r="L3" s="34" t="n">
        <x:f>'Evaluation Plan'!L3</x:f>
        <x:v>3</x:v>
      </x:c>
      <x:c r="M3" s="34" t="str">
        <x:f>'Evaluation Plan'!M3</x:f>
        <x:v>REMOVE</x:v>
      </x:c>
      <x:c r="N3" s="32" t="str">
        <x:f>'Evaluation Plan'!N3</x:f>
        <x:v>In-distribution: three via trained 4→3 removal</x:v>
      </x:c>
      <x:c r="O3" s="34" t="n">
        <x:f>'Evaluation Plan'!O3</x:f>
        <x:v>1</x:v>
      </x:c>
      <x:c r="P3" s="32" t="str">
        <x:f>'Evaluation Plan'!P3</x:f>
        <x:v>Move all four objects into the bowl.</x:v>
      </x:c>
      <x:c r="Q3" s="32" t="str">
        <x:f>'Evaluation Plan'!Q3</x:f>
        <x:v>The word three and the 4→3 removal transition are explicitly paired in training.</x:v>
      </x:c>
      <x:c r="R3" s="32" t="n">
        <x:f>'Evaluation Plan'!R3</x:f>
        <x:v>0</x:v>
      </x:c>
    </x:row>
    <x:row r="4" ht="46.5" customHeight="1">
      <x:c r="A4" s="31" t="str">
        <x:v>Not collected</x:v>
      </x:c>
      <x:c r="B4" s="33" t="n">
        <x:f>'Evaluation Plan'!B4</x:f>
        <x:v>2</x:v>
      </x:c>
      <x:c r="C4" s="31" t="str">
        <x:f>'Evaluation Plan'!C4</x:f>
        <x:v>Leave exactly three objects in the bowl.</x:v>
      </x:c>
      <x:c r="D4" s="31" t="str">
        <x:f>'Evaluation Plan'!D4</x:f>
        <x:v>Bowl objects: [blue pen, yellow block, green pencil sharpener, airplane toy without propellers] | Table objects: [none]</x:v>
      </x:c>
      <x:c r="E4" s="33" t="str">
        <x:f>'Evaluation Plan'!E4</x:f>
      </x:c>
      <x:c r="F4" s="31" t="str">
        <x:f>'Evaluation Plan'!F4</x:f>
        <x:v>REMOVE any one bowl object; finish with 3 objects in the bowl</x:v>
      </x:c>
      <x:c r="G4" s="31" t="str"/>
      <x:c r="H4" s="35" t="str">
        <x:f>'Evaluation Plan'!H4</x:f>
        <x:v>In-distribution concept baseline</x:v>
      </x:c>
      <x:c r="I4" s="31" t="str">
        <x:f>'Evaluation Plan'!I4</x:f>
        <x:v>ID-CF02</x:v>
      </x:c>
      <x:c r="J4" s="31" t="str">
        <x:f>'Evaluation Plan'!J4</x:f>
        <x:v>ID-CF02</x:v>
      </x:c>
      <x:c r="K4" s="33" t="n">
        <x:f>'Evaluation Plan'!K4</x:f>
        <x:v>4</x:v>
      </x:c>
      <x:c r="L4" s="33" t="n">
        <x:f>'Evaluation Plan'!L4</x:f>
        <x:v>3</x:v>
      </x:c>
      <x:c r="M4" s="33" t="str">
        <x:f>'Evaluation Plan'!M4</x:f>
        <x:v>REMOVE</x:v>
      </x:c>
      <x:c r="N4" s="31" t="str">
        <x:f>'Evaluation Plan'!N4</x:f>
        <x:v>In-distribution: three via trained 4→3 removal</x:v>
      </x:c>
      <x:c r="O4" s="33" t="n">
        <x:f>'Evaluation Plan'!O4</x:f>
        <x:v>1</x:v>
      </x:c>
      <x:c r="P4" s="31" t="str">
        <x:f>'Evaluation Plan'!P4</x:f>
        <x:v>Move all four objects into the bowl.</x:v>
      </x:c>
      <x:c r="Q4" s="31" t="str">
        <x:f>'Evaluation Plan'!Q4</x:f>
        <x:v>The word three and the 4→3 removal transition are explicitly paired in training.</x:v>
      </x:c>
      <x:c r="R4" s="31" t="n">
        <x:f>'Evaluation Plan'!R4</x:f>
        <x:v>0</x:v>
      </x:c>
    </x:row>
    <x:row r="5" ht="46.5" customHeight="1">
      <x:c r="A5" s="32" t="str">
        <x:v>Not collected</x:v>
      </x:c>
      <x:c r="B5" s="34" t="n">
        <x:f>'Evaluation Plan'!B5</x:f>
        <x:v>3</x:v>
      </x:c>
      <x:c r="C5" s="32" t="str">
        <x:f>'Evaluation Plan'!C5</x:f>
        <x:v>Leave exactly one object in the bowl.</x:v>
      </x:c>
      <x:c r="D5" s="32" t="str">
        <x:f>'Evaluation Plan'!D5</x:f>
        <x:v>Bowl objects: [none] | Table objects: [blue pen, yellow block, green pencil sharpener, airplane toy without propellers]</x:v>
      </x:c>
      <x:c r="E5" s="34" t="str">
        <x:f>'Evaluation Plan'!E5</x:f>
      </x:c>
      <x:c r="F5" s="32" t="str">
        <x:f>'Evaluation Plan'!F5</x:f>
        <x:v>ADD any one table object; finish with 1 object in the bowl</x:v>
      </x:c>
      <x:c r="G5" s="32" t="str"/>
      <x:c r="H5" s="35" t="str">
        <x:f>'Evaluation Plan'!H5</x:f>
        <x:v>In-distribution concept baseline</x:v>
      </x:c>
      <x:c r="I5" s="32" t="str">
        <x:f>'Evaluation Plan'!I5</x:f>
        <x:v>ID-CF02</x:v>
      </x:c>
      <x:c r="J5" s="32" t="str">
        <x:f>'Evaluation Plan'!J5</x:f>
        <x:v>ID-CF02</x:v>
      </x:c>
      <x:c r="K5" s="34" t="n">
        <x:f>'Evaluation Plan'!K5</x:f>
        <x:v>0</x:v>
      </x:c>
      <x:c r="L5" s="34" t="n">
        <x:f>'Evaluation Plan'!L5</x:f>
        <x:v>1</x:v>
      </x:c>
      <x:c r="M5" s="34" t="str">
        <x:f>'Evaluation Plan'!M5</x:f>
        <x:v>ADD</x:v>
      </x:c>
      <x:c r="N5" s="32" t="str">
        <x:f>'Evaluation Plan'!N5</x:f>
        <x:v>In-distribution: one via trained 0→1 addition</x:v>
      </x:c>
      <x:c r="O5" s="34" t="n">
        <x:f>'Evaluation Plan'!O5</x:f>
        <x:v>1</x:v>
      </x:c>
      <x:c r="P5" s="32" t="str">
        <x:f>'Evaluation Plan'!P5</x:f>
        <x:v>Build the empty-bowl scene.</x:v>
      </x:c>
      <x:c r="Q5" s="32" t="str">
        <x:f>'Evaluation Plan'!Q5</x:f>
        <x:v>The word one and the 0→1 addition transition are explicitly paired in training.</x:v>
      </x:c>
      <x:c r="R5" s="32" t="n">
        <x:f>'Evaluation Plan'!R5</x:f>
        <x:v>0</x:v>
      </x:c>
    </x:row>
    <x:row r="6" ht="46.5" customHeight="1">
      <x:c r="A6" s="31" t="str">
        <x:v>Not collected</x:v>
      </x:c>
      <x:c r="B6" s="33" t="n">
        <x:f>'Evaluation Plan'!B6</x:f>
        <x:v>4</x:v>
      </x:c>
      <x:c r="C6" s="31" t="str">
        <x:f>'Evaluation Plan'!C6</x:f>
        <x:v>Leave exactly one object in the bowl.</x:v>
      </x:c>
      <x:c r="D6" s="31" t="str">
        <x:f>'Evaluation Plan'!D6</x:f>
        <x:v>Bowl objects: [none] | Table objects: [blue pen, yellow block, green pencil sharpener, airplane toy without propellers]</x:v>
      </x:c>
      <x:c r="E6" s="33" t="str">
        <x:f>'Evaluation Plan'!E6</x:f>
      </x:c>
      <x:c r="F6" s="31" t="str">
        <x:f>'Evaluation Plan'!F6</x:f>
        <x:v>ADD any one table object; finish with 1 object in the bowl</x:v>
      </x:c>
      <x:c r="G6" s="31" t="str"/>
      <x:c r="H6" s="35" t="str">
        <x:f>'Evaluation Plan'!H6</x:f>
        <x:v>In-distribution concept baseline</x:v>
      </x:c>
      <x:c r="I6" s="31" t="str">
        <x:f>'Evaluation Plan'!I6</x:f>
        <x:v>ID-CF03</x:v>
      </x:c>
      <x:c r="J6" s="31" t="str">
        <x:f>'Evaluation Plan'!J6</x:f>
        <x:v>ID-CF03</x:v>
      </x:c>
      <x:c r="K6" s="33" t="n">
        <x:f>'Evaluation Plan'!K6</x:f>
        <x:v>0</x:v>
      </x:c>
      <x:c r="L6" s="33" t="n">
        <x:f>'Evaluation Plan'!L6</x:f>
        <x:v>1</x:v>
      </x:c>
      <x:c r="M6" s="33" t="str">
        <x:f>'Evaluation Plan'!M6</x:f>
        <x:v>ADD</x:v>
      </x:c>
      <x:c r="N6" s="31" t="str">
        <x:f>'Evaluation Plan'!N6</x:f>
        <x:v>In-distribution: one via trained 0→1 addition</x:v>
      </x:c>
      <x:c r="O6" s="33" t="n">
        <x:f>'Evaluation Plan'!O6</x:f>
        <x:v>1</x:v>
      </x:c>
      <x:c r="P6" s="31" t="str">
        <x:f>'Evaluation Plan'!P6</x:f>
        <x:v>Build the empty-bowl scene.</x:v>
      </x:c>
      <x:c r="Q6" s="31" t="str">
        <x:f>'Evaluation Plan'!Q6</x:f>
        <x:v>The word one and the 0→1 addition transition are explicitly paired in training.</x:v>
      </x:c>
      <x:c r="R6" s="31" t="n">
        <x:f>'Evaluation Plan'!R6</x:f>
        <x:v>0</x:v>
      </x:c>
    </x:row>
    <x:row r="7" ht="46.5" customHeight="1">
      <x:c r="A7" s="32" t="str">
        <x:v>Not collected</x:v>
      </x:c>
      <x:c r="B7" s="34" t="n">
        <x:f>'Evaluation Plan'!B7</x:f>
        <x:v>5</x:v>
      </x:c>
      <x:c r="C7" s="32" t="str">
        <x:f>'Evaluation Plan'!C7</x:f>
        <x:v>Leave exactly three objects in the bowl.</x:v>
      </x:c>
      <x:c r="D7" s="32" t="str">
        <x:f>'Evaluation Plan'!D7</x:f>
        <x:v>Bowl objects: [blue pen, yellow block, green pencil sharpener, airplane toy without propellers] | Table objects: [none]</x:v>
      </x:c>
      <x:c r="E7" s="34" t="str">
        <x:f>'Evaluation Plan'!E7</x:f>
      </x:c>
      <x:c r="F7" s="32" t="str">
        <x:f>'Evaluation Plan'!F7</x:f>
        <x:v>REMOVE any one bowl object; finish with 3 objects in the bowl</x:v>
      </x:c>
      <x:c r="G7" s="32" t="str"/>
      <x:c r="H7" s="35" t="str">
        <x:f>'Evaluation Plan'!H7</x:f>
        <x:v>In-distribution concept baseline</x:v>
      </x:c>
      <x:c r="I7" s="32" t="str">
        <x:f>'Evaluation Plan'!I7</x:f>
        <x:v>ID-CF03</x:v>
      </x:c>
      <x:c r="J7" s="32" t="str">
        <x:f>'Evaluation Plan'!J7</x:f>
        <x:v>ID-CF03</x:v>
      </x:c>
      <x:c r="K7" s="34" t="n">
        <x:f>'Evaluation Plan'!K7</x:f>
        <x:v>4</x:v>
      </x:c>
      <x:c r="L7" s="34" t="n">
        <x:f>'Evaluation Plan'!L7</x:f>
        <x:v>3</x:v>
      </x:c>
      <x:c r="M7" s="34" t="str">
        <x:f>'Evaluation Plan'!M7</x:f>
        <x:v>REMOVE</x:v>
      </x:c>
      <x:c r="N7" s="32" t="str">
        <x:f>'Evaluation Plan'!N7</x:f>
        <x:v>In-distribution: three via trained 4→3 removal</x:v>
      </x:c>
      <x:c r="O7" s="34" t="n">
        <x:f>'Evaluation Plan'!O7</x:f>
        <x:v>1</x:v>
      </x:c>
      <x:c r="P7" s="32" t="str">
        <x:f>'Evaluation Plan'!P7</x:f>
        <x:v>Move all four objects into the bowl.</x:v>
      </x:c>
      <x:c r="Q7" s="32" t="str">
        <x:f>'Evaluation Plan'!Q7</x:f>
        <x:v>The word three and the 4→3 removal transition are explicitly paired in training.</x:v>
      </x:c>
      <x:c r="R7" s="32" t="n">
        <x:f>'Evaluation Plan'!R7</x:f>
        <x:v>0</x:v>
      </x:c>
    </x:row>
    <x:row r="8" ht="46.5" customHeight="1">
      <x:c r="A8" s="31" t="str">
        <x:v>Not collected</x:v>
      </x:c>
      <x:c r="B8" s="33" t="n">
        <x:f>'Evaluation Plan'!B8</x:f>
        <x:v>6</x:v>
      </x:c>
      <x:c r="C8" s="31" t="str">
        <x:f>'Evaluation Plan'!C8</x:f>
        <x:v>Leave exactly three objects in the bowl.</x:v>
      </x:c>
      <x:c r="D8" s="31" t="str">
        <x:f>'Evaluation Plan'!D8</x:f>
        <x:v>Bowl objects: [blue pen, yellow block, green pencil sharpener, airplane toy without propellers] | Table objects: [none]</x:v>
      </x:c>
      <x:c r="E8" s="33" t="str">
        <x:f>'Evaluation Plan'!E8</x:f>
      </x:c>
      <x:c r="F8" s="31" t="str">
        <x:f>'Evaluation Plan'!F8</x:f>
        <x:v>REMOVE any one bowl object; finish with 3 objects in the bowl</x:v>
      </x:c>
      <x:c r="G8" s="31" t="str"/>
      <x:c r="H8" s="35" t="str">
        <x:f>'Evaluation Plan'!H8</x:f>
        <x:v>In-distribution concept baseline</x:v>
      </x:c>
      <x:c r="I8" s="31" t="str">
        <x:f>'Evaluation Plan'!I8</x:f>
        <x:v>ID-CF04</x:v>
      </x:c>
      <x:c r="J8" s="31" t="str">
        <x:f>'Evaluation Plan'!J8</x:f>
        <x:v>ID-CF04</x:v>
      </x:c>
      <x:c r="K8" s="33" t="n">
        <x:f>'Evaluation Plan'!K8</x:f>
        <x:v>4</x:v>
      </x:c>
      <x:c r="L8" s="33" t="n">
        <x:f>'Evaluation Plan'!L8</x:f>
        <x:v>3</x:v>
      </x:c>
      <x:c r="M8" s="33" t="str">
        <x:f>'Evaluation Plan'!M8</x:f>
        <x:v>REMOVE</x:v>
      </x:c>
      <x:c r="N8" s="31" t="str">
        <x:f>'Evaluation Plan'!N8</x:f>
        <x:v>In-distribution: three via trained 4→3 removal</x:v>
      </x:c>
      <x:c r="O8" s="33" t="n">
        <x:f>'Evaluation Plan'!O8</x:f>
        <x:v>1</x:v>
      </x:c>
      <x:c r="P8" s="31" t="str">
        <x:f>'Evaluation Plan'!P8</x:f>
        <x:v>Move all four objects into the bowl.</x:v>
      </x:c>
      <x:c r="Q8" s="31" t="str">
        <x:f>'Evaluation Plan'!Q8</x:f>
        <x:v>The word three and the 4→3 removal transition are explicitly paired in training.</x:v>
      </x:c>
      <x:c r="R8" s="31" t="n">
        <x:f>'Evaluation Plan'!R8</x:f>
        <x:v>0</x:v>
      </x:c>
    </x:row>
    <x:row r="9" ht="46.5" customHeight="1">
      <x:c r="A9" s="32" t="str">
        <x:v>Not collected</x:v>
      </x:c>
      <x:c r="B9" s="34" t="n">
        <x:f>'Evaluation Plan'!B9</x:f>
        <x:v>7</x:v>
      </x:c>
      <x:c r="C9" s="32" t="str">
        <x:f>'Evaluation Plan'!C9</x:f>
        <x:v>Leave exactly one object in the bowl.</x:v>
      </x:c>
      <x:c r="D9" s="32" t="str">
        <x:f>'Evaluation Plan'!D9</x:f>
        <x:v>Bowl objects: [none] | Table objects: [blue pen, yellow block, green pencil sharpener, airplane toy without propellers]</x:v>
      </x:c>
      <x:c r="E9" s="34" t="str">
        <x:f>'Evaluation Plan'!E9</x:f>
      </x:c>
      <x:c r="F9" s="32" t="str">
        <x:f>'Evaluation Plan'!F9</x:f>
        <x:v>ADD any one table object; finish with 1 object in the bowl</x:v>
      </x:c>
      <x:c r="G9" s="32" t="str"/>
      <x:c r="H9" s="35" t="str">
        <x:f>'Evaluation Plan'!H9</x:f>
        <x:v>In-distribution concept baseline</x:v>
      </x:c>
      <x:c r="I9" s="32" t="str">
        <x:f>'Evaluation Plan'!I9</x:f>
        <x:v>ID-CF04</x:v>
      </x:c>
      <x:c r="J9" s="32" t="str">
        <x:f>'Evaluation Plan'!J9</x:f>
        <x:v>ID-CF04</x:v>
      </x:c>
      <x:c r="K9" s="34" t="n">
        <x:f>'Evaluation Plan'!K9</x:f>
        <x:v>0</x:v>
      </x:c>
      <x:c r="L9" s="34" t="n">
        <x:f>'Evaluation Plan'!L9</x:f>
        <x:v>1</x:v>
      </x:c>
      <x:c r="M9" s="34" t="str">
        <x:f>'Evaluation Plan'!M9</x:f>
        <x:v>ADD</x:v>
      </x:c>
      <x:c r="N9" s="32" t="str">
        <x:f>'Evaluation Plan'!N9</x:f>
        <x:v>In-distribution: one via trained 0→1 addition</x:v>
      </x:c>
      <x:c r="O9" s="34" t="n">
        <x:f>'Evaluation Plan'!O9</x:f>
        <x:v>1</x:v>
      </x:c>
      <x:c r="P9" s="32" t="str">
        <x:f>'Evaluation Plan'!P9</x:f>
        <x:v>Build the empty-bowl scene.</x:v>
      </x:c>
      <x:c r="Q9" s="32" t="str">
        <x:f>'Evaluation Plan'!Q9</x:f>
        <x:v>The word one and the 0→1 addition transition are explicitly paired in training.</x:v>
      </x:c>
      <x:c r="R9" s="32" t="n">
        <x:f>'Evaluation Plan'!R9</x:f>
        <x:v>0</x:v>
      </x:c>
    </x:row>
    <x:row r="10" ht="46.5" customHeight="1">
      <x:c r="A10" s="31" t="str">
        <x:v>Not collected</x:v>
      </x:c>
      <x:c r="B10" s="33" t="n">
        <x:f>'Evaluation Plan'!B10</x:f>
        <x:v>8</x:v>
      </x:c>
      <x:c r="C10" s="31" t="str">
        <x:f>'Evaluation Plan'!C10</x:f>
        <x:v>Leave exactly one object in the bowl.</x:v>
      </x:c>
      <x:c r="D10" s="31" t="str">
        <x:f>'Evaluation Plan'!D10</x:f>
        <x:v>Bowl objects: [none] | Table objects: [blue pen, yellow block, green pencil sharpener, airplane toy without propellers]</x:v>
      </x:c>
      <x:c r="E10" s="33" t="str">
        <x:f>'Evaluation Plan'!E10</x:f>
      </x:c>
      <x:c r="F10" s="31" t="str">
        <x:f>'Evaluation Plan'!F10</x:f>
        <x:v>ADD any one table object; finish with 1 object in the bowl</x:v>
      </x:c>
      <x:c r="G10" s="31" t="str"/>
      <x:c r="H10" s="35" t="str">
        <x:f>'Evaluation Plan'!H10</x:f>
        <x:v>In-distribution concept baseline</x:v>
      </x:c>
      <x:c r="I10" s="31" t="str">
        <x:f>'Evaluation Plan'!I10</x:f>
        <x:v>ID-CF05</x:v>
      </x:c>
      <x:c r="J10" s="31" t="str">
        <x:f>'Evaluation Plan'!J10</x:f>
        <x:v>ID-CF05</x:v>
      </x:c>
      <x:c r="K10" s="33" t="n">
        <x:f>'Evaluation Plan'!K10</x:f>
        <x:v>0</x:v>
      </x:c>
      <x:c r="L10" s="33" t="n">
        <x:f>'Evaluation Plan'!L10</x:f>
        <x:v>1</x:v>
      </x:c>
      <x:c r="M10" s="33" t="str">
        <x:f>'Evaluation Plan'!M10</x:f>
        <x:v>ADD</x:v>
      </x:c>
      <x:c r="N10" s="31" t="str">
        <x:f>'Evaluation Plan'!N10</x:f>
        <x:v>In-distribution: one via trained 0→1 addition</x:v>
      </x:c>
      <x:c r="O10" s="33" t="n">
        <x:f>'Evaluation Plan'!O10</x:f>
        <x:v>1</x:v>
      </x:c>
      <x:c r="P10" s="31" t="str">
        <x:f>'Evaluation Plan'!P10</x:f>
        <x:v>Build the empty-bowl scene.</x:v>
      </x:c>
      <x:c r="Q10" s="31" t="str">
        <x:f>'Evaluation Plan'!Q10</x:f>
        <x:v>The word one and the 0→1 addition transition are explicitly paired in training.</x:v>
      </x:c>
      <x:c r="R10" s="31" t="n">
        <x:f>'Evaluation Plan'!R10</x:f>
        <x:v>0</x:v>
      </x:c>
    </x:row>
    <x:row r="11" ht="46.5" customHeight="1">
      <x:c r="A11" s="32" t="str">
        <x:v>Not collected</x:v>
      </x:c>
      <x:c r="B11" s="34" t="n">
        <x:f>'Evaluation Plan'!B11</x:f>
        <x:v>9</x:v>
      </x:c>
      <x:c r="C11" s="32" t="str">
        <x:f>'Evaluation Plan'!C11</x:f>
        <x:v>Leave exactly three objects in the bowl.</x:v>
      </x:c>
      <x:c r="D11" s="32" t="str">
        <x:f>'Evaluation Plan'!D11</x:f>
        <x:v>Bowl objects: [blue pen, yellow block, green pencil sharpener, airplane toy without propellers] | Table objects: [none]</x:v>
      </x:c>
      <x:c r="E11" s="34" t="str">
        <x:f>'Evaluation Plan'!E11</x:f>
      </x:c>
      <x:c r="F11" s="32" t="str">
        <x:f>'Evaluation Plan'!F11</x:f>
        <x:v>REMOVE any one bowl object; finish with 3 objects in the bowl</x:v>
      </x:c>
      <x:c r="G11" s="32" t="str"/>
      <x:c r="H11" s="35" t="str">
        <x:f>'Evaluation Plan'!H11</x:f>
        <x:v>In-distribution concept baseline</x:v>
      </x:c>
      <x:c r="I11" s="32" t="str">
        <x:f>'Evaluation Plan'!I11</x:f>
        <x:v>ID-CF05</x:v>
      </x:c>
      <x:c r="J11" s="32" t="str">
        <x:f>'Evaluation Plan'!J11</x:f>
        <x:v>ID-CF05</x:v>
      </x:c>
      <x:c r="K11" s="34" t="n">
        <x:f>'Evaluation Plan'!K11</x:f>
        <x:v>4</x:v>
      </x:c>
      <x:c r="L11" s="34" t="n">
        <x:f>'Evaluation Plan'!L11</x:f>
        <x:v>3</x:v>
      </x:c>
      <x:c r="M11" s="34" t="str">
        <x:f>'Evaluation Plan'!M11</x:f>
        <x:v>REMOVE</x:v>
      </x:c>
      <x:c r="N11" s="32" t="str">
        <x:f>'Evaluation Plan'!N11</x:f>
        <x:v>In-distribution: three via trained 4→3 removal</x:v>
      </x:c>
      <x:c r="O11" s="34" t="n">
        <x:f>'Evaluation Plan'!O11</x:f>
        <x:v>1</x:v>
      </x:c>
      <x:c r="P11" s="32" t="str">
        <x:f>'Evaluation Plan'!P11</x:f>
        <x:v>Move all four objects into the bowl.</x:v>
      </x:c>
      <x:c r="Q11" s="32" t="str">
        <x:f>'Evaluation Plan'!Q11</x:f>
        <x:v>The word three and the 4→3 removal transition are explicitly paired in training.</x:v>
      </x:c>
      <x:c r="R11" s="32" t="n">
        <x:f>'Evaluation Plan'!R11</x:f>
        <x:v>0</x:v>
      </x:c>
    </x:row>
    <x:row r="12" ht="46.5" customHeight="1">
      <x:c r="A12" s="31" t="str">
        <x:v>Not collected</x:v>
      </x:c>
      <x:c r="B12" s="33" t="n">
        <x:f>'Evaluation Plan'!B12</x:f>
        <x:v>10</x:v>
      </x:c>
      <x:c r="C12" s="31" t="str">
        <x:f>'Evaluation Plan'!C12</x:f>
        <x:v>Leave exactly three objects in the bowl.</x:v>
      </x:c>
      <x:c r="D12" s="31" t="str">
        <x:f>'Evaluation Plan'!D12</x:f>
        <x:v>Bowl objects: [blue pen, yellow block, green pencil sharpener, airplane toy without propellers] | Table objects: [none]</x:v>
      </x:c>
      <x:c r="E12" s="33" t="str">
        <x:f>'Evaluation Plan'!E12</x:f>
      </x:c>
      <x:c r="F12" s="31" t="str">
        <x:f>'Evaluation Plan'!F12</x:f>
        <x:v>REMOVE any one bowl object; finish with 3 objects in the bowl</x:v>
      </x:c>
      <x:c r="G12" s="31" t="str"/>
      <x:c r="H12" s="35" t="str">
        <x:f>'Evaluation Plan'!H12</x:f>
        <x:v>In-distribution concept baseline</x:v>
      </x:c>
      <x:c r="I12" s="31" t="str">
        <x:f>'Evaluation Plan'!I12</x:f>
        <x:v>ID-CF06</x:v>
      </x:c>
      <x:c r="J12" s="31" t="str">
        <x:f>'Evaluation Plan'!J12</x:f>
        <x:v>ID-CF06</x:v>
      </x:c>
      <x:c r="K12" s="33" t="n">
        <x:f>'Evaluation Plan'!K12</x:f>
        <x:v>4</x:v>
      </x:c>
      <x:c r="L12" s="33" t="n">
        <x:f>'Evaluation Plan'!L12</x:f>
        <x:v>3</x:v>
      </x:c>
      <x:c r="M12" s="33" t="str">
        <x:f>'Evaluation Plan'!M12</x:f>
        <x:v>REMOVE</x:v>
      </x:c>
      <x:c r="N12" s="31" t="str">
        <x:f>'Evaluation Plan'!N12</x:f>
        <x:v>In-distribution: three via trained 4→3 removal</x:v>
      </x:c>
      <x:c r="O12" s="33" t="n">
        <x:f>'Evaluation Plan'!O12</x:f>
        <x:v>1</x:v>
      </x:c>
      <x:c r="P12" s="31" t="str">
        <x:f>'Evaluation Plan'!P12</x:f>
        <x:v>Move all four objects into the bowl.</x:v>
      </x:c>
      <x:c r="Q12" s="31" t="str">
        <x:f>'Evaluation Plan'!Q12</x:f>
        <x:v>The word three and the 4→3 removal transition are explicitly paired in training.</x:v>
      </x:c>
      <x:c r="R12" s="31" t="n">
        <x:f>'Evaluation Plan'!R12</x:f>
        <x:v>0</x:v>
      </x:c>
    </x:row>
    <x:row r="13" ht="46.5" customHeight="1">
      <x:c r="A13" s="32" t="str">
        <x:v>Not collected</x:v>
      </x:c>
      <x:c r="B13" s="34" t="n">
        <x:f>'Evaluation Plan'!B13</x:f>
        <x:v>11</x:v>
      </x:c>
      <x:c r="C13" s="32" t="str">
        <x:f>'Evaluation Plan'!C13</x:f>
        <x:v>Leave exactly one object in the bowl.</x:v>
      </x:c>
      <x:c r="D13" s="32" t="str">
        <x:f>'Evaluation Plan'!D13</x:f>
        <x:v>Bowl objects: [none] | Table objects: [blue pen, yellow block, green pencil sharpener, airplane toy without propellers]</x:v>
      </x:c>
      <x:c r="E13" s="34" t="str">
        <x:f>'Evaluation Plan'!E13</x:f>
      </x:c>
      <x:c r="F13" s="32" t="str">
        <x:f>'Evaluation Plan'!F13</x:f>
        <x:v>ADD any one table object; finish with 1 object in the bowl</x:v>
      </x:c>
      <x:c r="G13" s="32" t="str"/>
      <x:c r="H13" s="35" t="str">
        <x:f>'Evaluation Plan'!H13</x:f>
        <x:v>In-distribution concept baseline</x:v>
      </x:c>
      <x:c r="I13" s="32" t="str">
        <x:f>'Evaluation Plan'!I13</x:f>
        <x:v>ID-CF06</x:v>
      </x:c>
      <x:c r="J13" s="32" t="str">
        <x:f>'Evaluation Plan'!J13</x:f>
        <x:v>ID-CF06</x:v>
      </x:c>
      <x:c r="K13" s="34" t="n">
        <x:f>'Evaluation Plan'!K13</x:f>
        <x:v>0</x:v>
      </x:c>
      <x:c r="L13" s="34" t="n">
        <x:f>'Evaluation Plan'!L13</x:f>
        <x:v>1</x:v>
      </x:c>
      <x:c r="M13" s="34" t="str">
        <x:f>'Evaluation Plan'!M13</x:f>
        <x:v>ADD</x:v>
      </x:c>
      <x:c r="N13" s="32" t="str">
        <x:f>'Evaluation Plan'!N13</x:f>
        <x:v>In-distribution: one via trained 0→1 addition</x:v>
      </x:c>
      <x:c r="O13" s="34" t="n">
        <x:f>'Evaluation Plan'!O13</x:f>
        <x:v>1</x:v>
      </x:c>
      <x:c r="P13" s="32" t="str">
        <x:f>'Evaluation Plan'!P13</x:f>
        <x:v>Build the empty-bowl scene.</x:v>
      </x:c>
      <x:c r="Q13" s="32" t="str">
        <x:f>'Evaluation Plan'!Q13</x:f>
        <x:v>The word one and the 0→1 addition transition are explicitly paired in training.</x:v>
      </x:c>
      <x:c r="R13" s="32" t="n">
        <x:f>'Evaluation Plan'!R13</x:f>
        <x:v>0</x:v>
      </x:c>
    </x:row>
    <x:row r="14" ht="46.5" customHeight="1">
      <x:c r="A14" s="31" t="str">
        <x:v>Not collected</x:v>
      </x:c>
      <x:c r="B14" s="33" t="n">
        <x:f>'Evaluation Plan'!B14</x:f>
        <x:v>12</x:v>
      </x:c>
      <x:c r="C14" s="31" t="str">
        <x:f>'Evaluation Plan'!C14</x:f>
        <x:v>Leave exactly one object in the bowl.</x:v>
      </x:c>
      <x:c r="D14" s="31" t="str">
        <x:f>'Evaluation Plan'!D14</x:f>
        <x:v>Bowl objects: [none] | Table objects: [blue pen, yellow block, green pencil sharpener, airplane toy without propellers]</x:v>
      </x:c>
      <x:c r="E14" s="33" t="str">
        <x:f>'Evaluation Plan'!E14</x:f>
      </x:c>
      <x:c r="F14" s="31" t="str">
        <x:f>'Evaluation Plan'!F14</x:f>
        <x:v>ADD any one table object; finish with 1 object in the bowl</x:v>
      </x:c>
      <x:c r="G14" s="31" t="str"/>
      <x:c r="H14" s="35" t="str">
        <x:f>'Evaluation Plan'!H14</x:f>
        <x:v>In-distribution concept baseline</x:v>
      </x:c>
      <x:c r="I14" s="31" t="str">
        <x:f>'Evaluation Plan'!I14</x:f>
        <x:v>ID-CF07</x:v>
      </x:c>
      <x:c r="J14" s="31" t="str">
        <x:f>'Evaluation Plan'!J14</x:f>
        <x:v>ID-CF07</x:v>
      </x:c>
      <x:c r="K14" s="33" t="n">
        <x:f>'Evaluation Plan'!K14</x:f>
        <x:v>0</x:v>
      </x:c>
      <x:c r="L14" s="33" t="n">
        <x:f>'Evaluation Plan'!L14</x:f>
        <x:v>1</x:v>
      </x:c>
      <x:c r="M14" s="33" t="str">
        <x:f>'Evaluation Plan'!M14</x:f>
        <x:v>ADD</x:v>
      </x:c>
      <x:c r="N14" s="31" t="str">
        <x:f>'Evaluation Plan'!N14</x:f>
        <x:v>In-distribution: one via trained 0→1 addition</x:v>
      </x:c>
      <x:c r="O14" s="33" t="n">
        <x:f>'Evaluation Plan'!O14</x:f>
        <x:v>1</x:v>
      </x:c>
      <x:c r="P14" s="31" t="str">
        <x:f>'Evaluation Plan'!P14</x:f>
        <x:v>Build the empty-bowl scene.</x:v>
      </x:c>
      <x:c r="Q14" s="31" t="str">
        <x:f>'Evaluation Plan'!Q14</x:f>
        <x:v>The word one and the 0→1 addition transition are explicitly paired in training.</x:v>
      </x:c>
      <x:c r="R14" s="31" t="n">
        <x:f>'Evaluation Plan'!R14</x:f>
        <x:v>0</x:v>
      </x:c>
    </x:row>
    <x:row r="15" ht="46.5" customHeight="1">
      <x:c r="A15" s="32" t="str">
        <x:v>Not collected</x:v>
      </x:c>
      <x:c r="B15" s="34" t="n">
        <x:f>'Evaluation Plan'!B15</x:f>
        <x:v>13</x:v>
      </x:c>
      <x:c r="C15" s="32" t="str">
        <x:f>'Evaluation Plan'!C15</x:f>
        <x:v>Leave exactly three objects in the bowl.</x:v>
      </x:c>
      <x:c r="D15" s="32" t="str">
        <x:f>'Evaluation Plan'!D15</x:f>
        <x:v>Bowl objects: [blue pen, yellow block, green pencil sharpener, airplane toy without propellers] | Table objects: [none]</x:v>
      </x:c>
      <x:c r="E15" s="34" t="str">
        <x:f>'Evaluation Plan'!E15</x:f>
      </x:c>
      <x:c r="F15" s="32" t="str">
        <x:f>'Evaluation Plan'!F15</x:f>
        <x:v>REMOVE any one bowl object; finish with 3 objects in the bowl</x:v>
      </x:c>
      <x:c r="G15" s="32" t="str"/>
      <x:c r="H15" s="35" t="str">
        <x:f>'Evaluation Plan'!H15</x:f>
        <x:v>In-distribution concept baseline</x:v>
      </x:c>
      <x:c r="I15" s="32" t="str">
        <x:f>'Evaluation Plan'!I15</x:f>
        <x:v>ID-CF07</x:v>
      </x:c>
      <x:c r="J15" s="32" t="str">
        <x:f>'Evaluation Plan'!J15</x:f>
        <x:v>ID-CF07</x:v>
      </x:c>
      <x:c r="K15" s="34" t="n">
        <x:f>'Evaluation Plan'!K15</x:f>
        <x:v>4</x:v>
      </x:c>
      <x:c r="L15" s="34" t="n">
        <x:f>'Evaluation Plan'!L15</x:f>
        <x:v>3</x:v>
      </x:c>
      <x:c r="M15" s="34" t="str">
        <x:f>'Evaluation Plan'!M15</x:f>
        <x:v>REMOVE</x:v>
      </x:c>
      <x:c r="N15" s="32" t="str">
        <x:f>'Evaluation Plan'!N15</x:f>
        <x:v>In-distribution: three via trained 4→3 removal</x:v>
      </x:c>
      <x:c r="O15" s="34" t="n">
        <x:f>'Evaluation Plan'!O15</x:f>
        <x:v>1</x:v>
      </x:c>
      <x:c r="P15" s="32" t="str">
        <x:f>'Evaluation Plan'!P15</x:f>
        <x:v>Move all four objects into the bowl.</x:v>
      </x:c>
      <x:c r="Q15" s="32" t="str">
        <x:f>'Evaluation Plan'!Q15</x:f>
        <x:v>The word three and the 4→3 removal transition are explicitly paired in training.</x:v>
      </x:c>
      <x:c r="R15" s="32" t="n">
        <x:f>'Evaluation Plan'!R15</x:f>
        <x:v>0</x:v>
      </x:c>
    </x:row>
    <x:row r="16" ht="46.5" customHeight="1">
      <x:c r="A16" s="31" t="str">
        <x:v>Not collected</x:v>
      </x:c>
      <x:c r="B16" s="33" t="n">
        <x:f>'Evaluation Plan'!B16</x:f>
        <x:v>14</x:v>
      </x:c>
      <x:c r="C16" s="31" t="str">
        <x:f>'Evaluation Plan'!C16</x:f>
        <x:v>Leave exactly three objects in the bowl.</x:v>
      </x:c>
      <x:c r="D16" s="31" t="str">
        <x:f>'Evaluation Plan'!D16</x:f>
        <x:v>Bowl objects: [blue pen, yellow block, green pencil sharpener, airplane toy without propellers] | Table objects: [none]</x:v>
      </x:c>
      <x:c r="E16" s="33" t="str">
        <x:f>'Evaluation Plan'!E16</x:f>
      </x:c>
      <x:c r="F16" s="31" t="str">
        <x:f>'Evaluation Plan'!F16</x:f>
        <x:v>REMOVE any one bowl object; finish with 3 objects in the bowl</x:v>
      </x:c>
      <x:c r="G16" s="31" t="str"/>
      <x:c r="H16" s="35" t="str">
        <x:f>'Evaluation Plan'!H16</x:f>
        <x:v>In-distribution concept baseline</x:v>
      </x:c>
      <x:c r="I16" s="31" t="str">
        <x:f>'Evaluation Plan'!I16</x:f>
        <x:v>ID-CF08</x:v>
      </x:c>
      <x:c r="J16" s="31" t="str">
        <x:f>'Evaluation Plan'!J16</x:f>
        <x:v>ID-CF08</x:v>
      </x:c>
      <x:c r="K16" s="33" t="n">
        <x:f>'Evaluation Plan'!K16</x:f>
        <x:v>4</x:v>
      </x:c>
      <x:c r="L16" s="33" t="n">
        <x:f>'Evaluation Plan'!L16</x:f>
        <x:v>3</x:v>
      </x:c>
      <x:c r="M16" s="33" t="str">
        <x:f>'Evaluation Plan'!M16</x:f>
        <x:v>REMOVE</x:v>
      </x:c>
      <x:c r="N16" s="31" t="str">
        <x:f>'Evaluation Plan'!N16</x:f>
        <x:v>In-distribution: three via trained 4→3 removal</x:v>
      </x:c>
      <x:c r="O16" s="33" t="n">
        <x:f>'Evaluation Plan'!O16</x:f>
        <x:v>1</x:v>
      </x:c>
      <x:c r="P16" s="31" t="str">
        <x:f>'Evaluation Plan'!P16</x:f>
        <x:v>Move all four objects into the bowl.</x:v>
      </x:c>
      <x:c r="Q16" s="31" t="str">
        <x:f>'Evaluation Plan'!Q16</x:f>
        <x:v>The word three and the 4→3 removal transition are explicitly paired in training.</x:v>
      </x:c>
      <x:c r="R16" s="31" t="n">
        <x:f>'Evaluation Plan'!R16</x:f>
        <x:v>0</x:v>
      </x:c>
    </x:row>
    <x:row r="17" ht="46.5" customHeight="1">
      <x:c r="A17" s="32" t="str">
        <x:v>Not collected</x:v>
      </x:c>
      <x:c r="B17" s="34" t="n">
        <x:f>'Evaluation Plan'!B17</x:f>
        <x:v>15</x:v>
      </x:c>
      <x:c r="C17" s="32" t="str">
        <x:f>'Evaluation Plan'!C17</x:f>
        <x:v>Leave exactly one object in the bowl.</x:v>
      </x:c>
      <x:c r="D17" s="32" t="str">
        <x:f>'Evaluation Plan'!D17</x:f>
        <x:v>Bowl objects: [none] | Table objects: [blue pen, yellow block, green pencil sharpener, airplane toy without propellers]</x:v>
      </x:c>
      <x:c r="E17" s="34" t="str">
        <x:f>'Evaluation Plan'!E17</x:f>
      </x:c>
      <x:c r="F17" s="32" t="str">
        <x:f>'Evaluation Plan'!F17</x:f>
        <x:v>ADD any one table object; finish with 1 object in the bowl</x:v>
      </x:c>
      <x:c r="G17" s="32" t="str"/>
      <x:c r="H17" s="35" t="str">
        <x:f>'Evaluation Plan'!H17</x:f>
        <x:v>In-distribution concept baseline</x:v>
      </x:c>
      <x:c r="I17" s="32" t="str">
        <x:f>'Evaluation Plan'!I17</x:f>
        <x:v>ID-CF08</x:v>
      </x:c>
      <x:c r="J17" s="32" t="str">
        <x:f>'Evaluation Plan'!J17</x:f>
        <x:v>ID-CF08</x:v>
      </x:c>
      <x:c r="K17" s="34" t="n">
        <x:f>'Evaluation Plan'!K17</x:f>
        <x:v>0</x:v>
      </x:c>
      <x:c r="L17" s="34" t="n">
        <x:f>'Evaluation Plan'!L17</x:f>
        <x:v>1</x:v>
      </x:c>
      <x:c r="M17" s="34" t="str">
        <x:f>'Evaluation Plan'!M17</x:f>
        <x:v>ADD</x:v>
      </x:c>
      <x:c r="N17" s="32" t="str">
        <x:f>'Evaluation Plan'!N17</x:f>
        <x:v>In-distribution: one via trained 0→1 addition</x:v>
      </x:c>
      <x:c r="O17" s="34" t="n">
        <x:f>'Evaluation Plan'!O17</x:f>
        <x:v>1</x:v>
      </x:c>
      <x:c r="P17" s="32" t="str">
        <x:f>'Evaluation Plan'!P17</x:f>
        <x:v>Build the empty-bowl scene.</x:v>
      </x:c>
      <x:c r="Q17" s="32" t="str">
        <x:f>'Evaluation Plan'!Q17</x:f>
        <x:v>The word one and the 0→1 addition transition are explicitly paired in training.</x:v>
      </x:c>
      <x:c r="R17" s="32" t="n">
        <x:f>'Evaluation Plan'!R17</x:f>
        <x:v>0</x:v>
      </x:c>
    </x:row>
    <x:row r="18" ht="46.5" customHeight="1">
      <x:c r="A18" s="31" t="str">
        <x:v>Not collected</x:v>
      </x:c>
      <x:c r="B18" s="33" t="n">
        <x:f>'Evaluation Plan'!B18</x:f>
        <x:v>16</x:v>
      </x:c>
      <x:c r="C18" s="31" t="str">
        <x:f>'Evaluation Plan'!C18</x:f>
        <x:v>Leave exactly one object in the bowl.</x:v>
      </x:c>
      <x:c r="D18" s="31" t="str">
        <x:f>'Evaluation Plan'!D18</x:f>
        <x:v>Bowl objects: [none] | Table objects: [blue pen, yellow block, green pencil sharpener, airplane toy without propellers]</x:v>
      </x:c>
      <x:c r="E18" s="33" t="str">
        <x:f>'Evaluation Plan'!E18</x:f>
      </x:c>
      <x:c r="F18" s="31" t="str">
        <x:f>'Evaluation Plan'!F18</x:f>
        <x:v>ADD any one table object; finish with 1 object in the bowl</x:v>
      </x:c>
      <x:c r="G18" s="31" t="str"/>
      <x:c r="H18" s="35" t="str">
        <x:f>'Evaluation Plan'!H18</x:f>
        <x:v>In-distribution concept baseline</x:v>
      </x:c>
      <x:c r="I18" s="31" t="str">
        <x:f>'Evaluation Plan'!I18</x:f>
        <x:v>ID-CF09</x:v>
      </x:c>
      <x:c r="J18" s="31" t="str">
        <x:f>'Evaluation Plan'!J18</x:f>
        <x:v>ID-CF09</x:v>
      </x:c>
      <x:c r="K18" s="33" t="n">
        <x:f>'Evaluation Plan'!K18</x:f>
        <x:v>0</x:v>
      </x:c>
      <x:c r="L18" s="33" t="n">
        <x:f>'Evaluation Plan'!L18</x:f>
        <x:v>1</x:v>
      </x:c>
      <x:c r="M18" s="33" t="str">
        <x:f>'Evaluation Plan'!M18</x:f>
        <x:v>ADD</x:v>
      </x:c>
      <x:c r="N18" s="31" t="str">
        <x:f>'Evaluation Plan'!N18</x:f>
        <x:v>In-distribution: one via trained 0→1 addition</x:v>
      </x:c>
      <x:c r="O18" s="33" t="n">
        <x:f>'Evaluation Plan'!O18</x:f>
        <x:v>1</x:v>
      </x:c>
      <x:c r="P18" s="31" t="str">
        <x:f>'Evaluation Plan'!P18</x:f>
        <x:v>Build the empty-bowl scene.</x:v>
      </x:c>
      <x:c r="Q18" s="31" t="str">
        <x:f>'Evaluation Plan'!Q18</x:f>
        <x:v>The word one and the 0→1 addition transition are explicitly paired in training.</x:v>
      </x:c>
      <x:c r="R18" s="31" t="n">
        <x:f>'Evaluation Plan'!R18</x:f>
        <x:v>0</x:v>
      </x:c>
    </x:row>
    <x:row r="19" ht="46.5" customHeight="1">
      <x:c r="A19" s="32" t="str">
        <x:v>Not collected</x:v>
      </x:c>
      <x:c r="B19" s="34" t="n">
        <x:f>'Evaluation Plan'!B19</x:f>
        <x:v>17</x:v>
      </x:c>
      <x:c r="C19" s="32" t="str">
        <x:f>'Evaluation Plan'!C19</x:f>
        <x:v>Leave exactly three objects in the bowl.</x:v>
      </x:c>
      <x:c r="D19" s="32" t="str">
        <x:f>'Evaluation Plan'!D19</x:f>
        <x:v>Bowl objects: [blue pen, yellow block, green pencil sharpener, airplane toy without propellers] | Table objects: [none]</x:v>
      </x:c>
      <x:c r="E19" s="34" t="str">
        <x:f>'Evaluation Plan'!E19</x:f>
      </x:c>
      <x:c r="F19" s="32" t="str">
        <x:f>'Evaluation Plan'!F19</x:f>
        <x:v>REMOVE any one bowl object; finish with 3 objects in the bowl</x:v>
      </x:c>
      <x:c r="G19" s="32" t="str"/>
      <x:c r="H19" s="35" t="str">
        <x:f>'Evaluation Plan'!H19</x:f>
        <x:v>In-distribution concept baseline</x:v>
      </x:c>
      <x:c r="I19" s="32" t="str">
        <x:f>'Evaluation Plan'!I19</x:f>
        <x:v>ID-CF09</x:v>
      </x:c>
      <x:c r="J19" s="32" t="str">
        <x:f>'Evaluation Plan'!J19</x:f>
        <x:v>ID-CF09</x:v>
      </x:c>
      <x:c r="K19" s="34" t="n">
        <x:f>'Evaluation Plan'!K19</x:f>
        <x:v>4</x:v>
      </x:c>
      <x:c r="L19" s="34" t="n">
        <x:f>'Evaluation Plan'!L19</x:f>
        <x:v>3</x:v>
      </x:c>
      <x:c r="M19" s="34" t="str">
        <x:f>'Evaluation Plan'!M19</x:f>
        <x:v>REMOVE</x:v>
      </x:c>
      <x:c r="N19" s="32" t="str">
        <x:f>'Evaluation Plan'!N19</x:f>
        <x:v>In-distribution: three via trained 4→3 removal</x:v>
      </x:c>
      <x:c r="O19" s="34" t="n">
        <x:f>'Evaluation Plan'!O19</x:f>
        <x:v>1</x:v>
      </x:c>
      <x:c r="P19" s="32" t="str">
        <x:f>'Evaluation Plan'!P19</x:f>
        <x:v>Move all four objects into the bowl.</x:v>
      </x:c>
      <x:c r="Q19" s="32" t="str">
        <x:f>'Evaluation Plan'!Q19</x:f>
        <x:v>The word three and the 4→3 removal transition are explicitly paired in training.</x:v>
      </x:c>
      <x:c r="R19" s="32" t="n">
        <x:f>'Evaluation Plan'!R19</x:f>
        <x:v>0</x:v>
      </x:c>
    </x:row>
    <x:row r="20" ht="46.5" customHeight="1">
      <x:c r="A20" s="31" t="str">
        <x:v>Not collected</x:v>
      </x:c>
      <x:c r="B20" s="33" t="n">
        <x:f>'Evaluation Plan'!B20</x:f>
        <x:v>18</x:v>
      </x:c>
      <x:c r="C20" s="31" t="str">
        <x:f>'Evaluation Plan'!C20</x:f>
        <x:v>Leave exactly three objects in the bowl.</x:v>
      </x:c>
      <x:c r="D20" s="31" t="str">
        <x:f>'Evaluation Plan'!D20</x:f>
        <x:v>Bowl objects: [blue pen, yellow block, green pencil sharpener, airplane toy without propellers] | Table objects: [none]</x:v>
      </x:c>
      <x:c r="E20" s="33" t="str">
        <x:f>'Evaluation Plan'!E20</x:f>
      </x:c>
      <x:c r="F20" s="31" t="str">
        <x:f>'Evaluation Plan'!F20</x:f>
        <x:v>REMOVE any one bowl object; finish with 3 objects in the bowl</x:v>
      </x:c>
      <x:c r="G20" s="31" t="str"/>
      <x:c r="H20" s="35" t="str">
        <x:f>'Evaluation Plan'!H20</x:f>
        <x:v>In-distribution concept baseline</x:v>
      </x:c>
      <x:c r="I20" s="31" t="str">
        <x:f>'Evaluation Plan'!I20</x:f>
        <x:v>ID-CF10</x:v>
      </x:c>
      <x:c r="J20" s="31" t="str">
        <x:f>'Evaluation Plan'!J20</x:f>
        <x:v>ID-CF10</x:v>
      </x:c>
      <x:c r="K20" s="33" t="n">
        <x:f>'Evaluation Plan'!K20</x:f>
        <x:v>4</x:v>
      </x:c>
      <x:c r="L20" s="33" t="n">
        <x:f>'Evaluation Plan'!L20</x:f>
        <x:v>3</x:v>
      </x:c>
      <x:c r="M20" s="33" t="str">
        <x:f>'Evaluation Plan'!M20</x:f>
        <x:v>REMOVE</x:v>
      </x:c>
      <x:c r="N20" s="31" t="str">
        <x:f>'Evaluation Plan'!N20</x:f>
        <x:v>In-distribution: three via trained 4→3 removal</x:v>
      </x:c>
      <x:c r="O20" s="33" t="n">
        <x:f>'Evaluation Plan'!O20</x:f>
        <x:v>1</x:v>
      </x:c>
      <x:c r="P20" s="31" t="str">
        <x:f>'Evaluation Plan'!P20</x:f>
        <x:v>Move all four objects into the bowl.</x:v>
      </x:c>
      <x:c r="Q20" s="31" t="str">
        <x:f>'Evaluation Plan'!Q20</x:f>
        <x:v>The word three and the 4→3 removal transition are explicitly paired in training.</x:v>
      </x:c>
      <x:c r="R20" s="31" t="n">
        <x:f>'Evaluation Plan'!R20</x:f>
        <x:v>0</x:v>
      </x:c>
    </x:row>
    <x:row r="21" ht="46.5" customHeight="1">
      <x:c r="A21" s="32" t="str">
        <x:v>Not collected</x:v>
      </x:c>
      <x:c r="B21" s="34" t="n">
        <x:f>'Evaluation Plan'!B21</x:f>
        <x:v>19</x:v>
      </x:c>
      <x:c r="C21" s="32" t="str">
        <x:f>'Evaluation Plan'!C21</x:f>
        <x:v>Leave exactly one object in the bowl.</x:v>
      </x:c>
      <x:c r="D21" s="32" t="str">
        <x:f>'Evaluation Plan'!D21</x:f>
        <x:v>Bowl objects: [none] | Table objects: [blue pen, yellow block, green pencil sharpener, airplane toy without propellers]</x:v>
      </x:c>
      <x:c r="E21" s="34" t="str">
        <x:f>'Evaluation Plan'!E21</x:f>
      </x:c>
      <x:c r="F21" s="32" t="str">
        <x:f>'Evaluation Plan'!F21</x:f>
        <x:v>ADD any one table object; finish with 1 object in the bowl</x:v>
      </x:c>
      <x:c r="G21" s="32" t="str"/>
      <x:c r="H21" s="35" t="str">
        <x:f>'Evaluation Plan'!H21</x:f>
        <x:v>In-distribution concept baseline</x:v>
      </x:c>
      <x:c r="I21" s="32" t="str">
        <x:f>'Evaluation Plan'!I21</x:f>
        <x:v>ID-CF10</x:v>
      </x:c>
      <x:c r="J21" s="32" t="str">
        <x:f>'Evaluation Plan'!J21</x:f>
        <x:v>ID-CF10</x:v>
      </x:c>
      <x:c r="K21" s="34" t="n">
        <x:f>'Evaluation Plan'!K21</x:f>
        <x:v>0</x:v>
      </x:c>
      <x:c r="L21" s="34" t="n">
        <x:f>'Evaluation Plan'!L21</x:f>
        <x:v>1</x:v>
      </x:c>
      <x:c r="M21" s="34" t="str">
        <x:f>'Evaluation Plan'!M21</x:f>
        <x:v>ADD</x:v>
      </x:c>
      <x:c r="N21" s="32" t="str">
        <x:f>'Evaluation Plan'!N21</x:f>
        <x:v>In-distribution: one via trained 0→1 addition</x:v>
      </x:c>
      <x:c r="O21" s="34" t="n">
        <x:f>'Evaluation Plan'!O21</x:f>
        <x:v>1</x:v>
      </x:c>
      <x:c r="P21" s="32" t="str">
        <x:f>'Evaluation Plan'!P21</x:f>
        <x:v>Build the empty-bowl scene.</x:v>
      </x:c>
      <x:c r="Q21" s="32" t="str">
        <x:f>'Evaluation Plan'!Q21</x:f>
        <x:v>The word one and the 0→1 addition transition are explicitly paired in training.</x:v>
      </x:c>
      <x:c r="R21" s="32" t="n">
        <x:f>'Evaluation Plan'!R21</x:f>
        <x:v>0</x:v>
      </x:c>
    </x:row>
    <x:row r="22" ht="46.5" customHeight="1">
      <x:c r="A22" s="31" t="str">
        <x:v>Not collected</x:v>
      </x:c>
      <x:c r="B22" s="33" t="n">
        <x:f>'Evaluation Plan'!B22</x:f>
        <x:v>20</x:v>
      </x:c>
      <x:c r="C22" s="31" t="str">
        <x:f>'Evaluation Plan'!C22</x:f>
        <x:v>Leave exactly one object in the bowl.</x:v>
      </x:c>
      <x:c r="D22" s="31" t="str">
        <x:f>'Evaluation Plan'!D22</x:f>
        <x:v>Bowl objects: [blue pen, airplane toy without propellers] | Table objects: [yellow block, green pencil sharpener]</x:v>
      </x:c>
      <x:c r="E22" s="33" t="str">
        <x:f>'Evaluation Plan'!E22</x:f>
      </x:c>
      <x:c r="F22" s="31" t="str">
        <x:f>'Evaluation Plan'!F22</x:f>
        <x:v>REMOVE any one bowl object; finish with 1 object in the bowl</x:v>
      </x:c>
      <x:c r="G22" s="31" t="str"/>
      <x:c r="H22" s="36" t="str">
        <x:f>'Evaluation Plan'!H22</x:f>
        <x:v>Concept/compositional transfer</x:v>
      </x:c>
      <x:c r="I22" s="31" t="str">
        <x:f>'Evaluation Plan'!I22</x:f>
        <x:v>CT-CF01</x:v>
      </x:c>
      <x:c r="J22" s="31" t="str">
        <x:f>'Evaluation Plan'!J22</x:f>
        <x:v>CT-CF01-REMOVE</x:v>
      </x:c>
      <x:c r="K22" s="33" t="n">
        <x:f>'Evaluation Plan'!K22</x:f>
        <x:v>2</x:v>
      </x:c>
      <x:c r="L22" s="33" t="n">
        <x:f>'Evaluation Plan'!L22</x:f>
        <x:v>1</x:v>
      </x:c>
      <x:c r="M22" s="33" t="str">
        <x:f>'Evaluation Plan'!M22</x:f>
        <x:v>REMOVE</x:v>
      </x:c>
      <x:c r="N22" s="31" t="str">
        <x:f>'Evaluation Plan'!N22</x:f>
        <x:v>Primary: one via held-out 2→1 removal</x:v>
      </x:c>
      <x:c r="O22" s="33" t="n">
        <x:f>'Evaluation Plan'!O22</x:f>
        <x:v>2</x:v>
      </x:c>
      <x:c r="P22" s="31" t="str">
        <x:f>'Evaluation Plan'!P22</x:f>
        <x:v>Build the listed count-2 scene.</x:v>
      </x:c>
      <x:c r="Q22" s="31" t="str">
        <x:f>'Evaluation Plan'!Q22</x:f>
        <x:v>The goal word one is trained, and this 2→1 trajectory is trained under a direct instruction, but the combination is withheld.</x:v>
      </x:c>
      <x:c r="R22" s="31" t="n">
        <x:f>'Evaluation Plan'!R22</x:f>
        <x:v>0</x:v>
      </x:c>
    </x:row>
    <x:row r="23" ht="46.5" customHeight="1">
      <x:c r="A23" s="32" t="str">
        <x:v>Not collected</x:v>
      </x:c>
      <x:c r="B23" s="34" t="n">
        <x:f>'Evaluation Plan'!B23</x:f>
        <x:v>21</x:v>
      </x:c>
      <x:c r="C23" s="32" t="str">
        <x:f>'Evaluation Plan'!C23</x:f>
        <x:v>Move the blue pen from the bowl to the table.</x:v>
      </x:c>
      <x:c r="D23" s="32" t="str">
        <x:f>'Evaluation Plan'!D23</x:f>
        <x:v>Bowl objects: [blue pen, airplane toy without propellers] | Table objects: [yellow block, green pencil sharpener]</x:v>
      </x:c>
      <x:c r="E23" s="34" t="n">
        <x:f>'Evaluation Plan'!E23</x:f>
        <x:v>20</x:v>
      </x:c>
      <x:c r="F23" s="32" t="str">
        <x:f>'Evaluation Plan'!F23</x:f>
        <x:v>REMOVE blue pen</x:v>
      </x:c>
      <x:c r="G23" s="32" t="str"/>
      <x:c r="H23" s="37" t="str">
        <x:f>'Evaluation Plan'!H23</x:f>
        <x:v>Matched manipulation control</x:v>
      </x:c>
      <x:c r="I23" s="32" t="str">
        <x:f>'Evaluation Plan'!I23</x:f>
        <x:v>CT-CF01</x:v>
      </x:c>
      <x:c r="J23" s="32" t="str">
        <x:f>'Evaluation Plan'!J23</x:f>
        <x:v>CT-CF01-REMOVE</x:v>
      </x:c>
      <x:c r="K23" s="34" t="n">
        <x:f>'Evaluation Plan'!K23</x:f>
        <x:v>2</x:v>
      </x:c>
      <x:c r="L23" s="34" t="n">
        <x:f>'Evaluation Plan'!L23</x:f>
        <x:v>1</x:v>
      </x:c>
      <x:c r="M23" s="34" t="str">
        <x:f>'Evaluation Plan'!M23</x:f>
        <x:v>REMOVE</x:v>
      </x:c>
      <x:c r="N23" s="32" t="str">
        <x:f>'Evaluation Plan'!N23</x:f>
        <x:v>Matched direct REMOVE control</x:v>
      </x:c>
      <x:c r="O23" s="34" t="n">
        <x:f>'Evaluation Plan'!O23</x:f>
        <x:v>2</x:v>
      </x:c>
      <x:c r="P23" s="32" t="str">
        <x:f>'Evaluation Plan'!P23</x:f>
        <x:v>Reset the exact count-2 scene; change only the prompt.</x:v>
      </x:c>
      <x:c r="Q23" s="32" t="str">
        <x:f>'Evaluation Plan'!Q23</x:f>
        <x:v>The direct prompt is present in Counting training for this same-task object and action direction.</x:v>
      </x:c>
      <x:c r="R23" s="32" t="n">
        <x:f>'Evaluation Plan'!R23</x:f>
        <x:v>0</x:v>
      </x:c>
    </x:row>
    <x:row r="24" ht="46.5" customHeight="1">
      <x:c r="A24" s="31" t="str">
        <x:v>Not collected</x:v>
      </x:c>
      <x:c r="B24" s="33" t="n">
        <x:f>'Evaluation Plan'!B24</x:f>
        <x:v>22</x:v>
      </x:c>
      <x:c r="C24" s="31" t="str">
        <x:f>'Evaluation Plan'!C24</x:f>
        <x:v>Finish with one object in the bowl.</x:v>
      </x:c>
      <x:c r="D24" s="31" t="str">
        <x:f>'Evaluation Plan'!D24</x:f>
        <x:v>Bowl objects: [blue pen, airplane toy without propellers] | Table objects: [yellow block, green pencil sharpener]</x:v>
      </x:c>
      <x:c r="E24" s="33" t="n">
        <x:f>'Evaluation Plan'!E24</x:f>
        <x:v>20</x:v>
      </x:c>
      <x:c r="F24" s="31" t="str">
        <x:f>'Evaluation Plan'!F24</x:f>
        <x:v>REMOVE any one bowl object; finish with 1 object in the bowl</x:v>
      </x:c>
      <x:c r="G24" s="31" t="str"/>
      <x:c r="H24" s="38" t="str">
        <x:f>'Evaluation Plan'!H24</x:f>
        <x:v>Language robustness</x:v>
      </x:c>
      <x:c r="I24" s="31" t="str">
        <x:f>'Evaluation Plan'!I24</x:f>
        <x:v>CT-CF01</x:v>
      </x:c>
      <x:c r="J24" s="31" t="str">
        <x:f>'Evaluation Plan'!J24</x:f>
        <x:v>CT-CF01-REMOVE</x:v>
      </x:c>
      <x:c r="K24" s="33" t="n">
        <x:f>'Evaluation Plan'!K24</x:f>
        <x:v>2</x:v>
      </x:c>
      <x:c r="L24" s="33" t="n">
        <x:f>'Evaluation Plan'!L24</x:f>
        <x:v>1</x:v>
      </x:c>
      <x:c r="M24" s="33" t="str">
        <x:f>'Evaluation Plan'!M24</x:f>
        <x:v>REMOVE</x:v>
      </x:c>
      <x:c r="N24" s="31" t="str">
        <x:f>'Evaluation Plan'!N24</x:f>
        <x:v>Primary compositional paraphrase: one via 2→1 removal</x:v>
      </x:c>
      <x:c r="O24" s="33" t="n">
        <x:f>'Evaluation Plan'!O24</x:f>
        <x:v>2</x:v>
      </x:c>
      <x:c r="P24" s="31" t="str">
        <x:f>'Evaluation Plan'!P24</x:f>
        <x:v>Build the listed count-2 scene.</x:v>
      </x:c>
      <x:c r="Q24" s="31" t="str">
        <x:f>'Evaluation Plan'!Q24</x:f>
        <x:v>Exact-scene paraphrase of the canonical held-out composition.</x:v>
      </x:c>
      <x:c r="R24" s="31" t="n">
        <x:f>'Evaluation Plan'!R24</x:f>
        <x:v>0</x:v>
      </x:c>
    </x:row>
    <x:row r="25" ht="46.5" customHeight="1">
      <x:c r="A25" s="32" t="str">
        <x:v>Not collected</x:v>
      </x:c>
      <x:c r="B25" s="34" t="n">
        <x:f>'Evaluation Plan'!B25</x:f>
        <x:v>23</x:v>
      </x:c>
      <x:c r="C25" s="32" t="str">
        <x:f>'Evaluation Plan'!C25</x:f>
        <x:v>Lift the blue pen out of the bowl and set it on the table.</x:v>
      </x:c>
      <x:c r="D25" s="32" t="str">
        <x:f>'Evaluation Plan'!D25</x:f>
        <x:v>Bowl objects: [blue pen, airplane toy without propellers] | Table objects: [yellow block, green pencil sharpener]</x:v>
      </x:c>
      <x:c r="E25" s="34" t="n">
        <x:f>'Evaluation Plan'!E25</x:f>
        <x:v>21</x:v>
      </x:c>
      <x:c r="F25" s="32" t="str">
        <x:f>'Evaluation Plan'!F25</x:f>
        <x:v>REMOVE blue pen</x:v>
      </x:c>
      <x:c r="G25" s="32" t="str"/>
      <x:c r="H25" s="38" t="str">
        <x:f>'Evaluation Plan'!H25</x:f>
        <x:v>Language robustness</x:v>
      </x:c>
      <x:c r="I25" s="32" t="str">
        <x:f>'Evaluation Plan'!I25</x:f>
        <x:v>CT-CF01</x:v>
      </x:c>
      <x:c r="J25" s="32" t="str">
        <x:f>'Evaluation Plan'!J25</x:f>
        <x:v>CT-CF01-REMOVE</x:v>
      </x:c>
      <x:c r="K25" s="34" t="n">
        <x:f>'Evaluation Plan'!K25</x:f>
        <x:v>2</x:v>
      </x:c>
      <x:c r="L25" s="34" t="n">
        <x:f>'Evaluation Plan'!L25</x:f>
        <x:v>1</x:v>
      </x:c>
      <x:c r="M25" s="34" t="str">
        <x:f>'Evaluation Plan'!M25</x:f>
        <x:v>REMOVE</x:v>
      </x:c>
      <x:c r="N25" s="32" t="str">
        <x:f>'Evaluation Plan'!N25</x:f>
        <x:v>Matched-control paraphrase: REMOVE</x:v>
      </x:c>
      <x:c r="O25" s="34" t="n">
        <x:f>'Evaluation Plan'!O25</x:f>
        <x:v>2</x:v>
      </x:c>
      <x:c r="P25" s="32" t="str">
        <x:f>'Evaluation Plan'!P25</x:f>
        <x:v>Reset the exact count-2 scene; change only the prompt.</x:v>
      </x:c>
      <x:c r="Q25" s="32" t="str">
        <x:f>'Evaluation Plan'!Q25</x:f>
        <x:v>Exact-scene paraphrase of the direct manipulation control.</x:v>
      </x:c>
      <x:c r="R25" s="32" t="n">
        <x:f>'Evaluation Plan'!R25</x:f>
        <x:v>0</x:v>
      </x:c>
    </x:row>
    <x:row r="26" ht="46.5" customHeight="1">
      <x:c r="A26" s="31" t="str">
        <x:v>Not collected</x:v>
      </x:c>
      <x:c r="B26" s="33" t="n">
        <x:f>'Evaluation Plan'!B26</x:f>
        <x:v>24</x:v>
      </x:c>
      <x:c r="C26" s="31" t="str">
        <x:f>'Evaluation Plan'!C26</x:f>
        <x:v>Move the green pencil sharpener into the bowl.</x:v>
      </x:c>
      <x:c r="D26" s="31" t="str">
        <x:f>'Evaluation Plan'!D26</x:f>
        <x:v>Bowl objects: [blue pen, airplane toy without propellers] | Table objects: [yellow block, green pencil sharpener]</x:v>
      </x:c>
      <x:c r="E26" s="33" t="str">
        <x:f>'Evaluation Plan'!E26</x:f>
      </x:c>
      <x:c r="F26" s="31" t="str">
        <x:f>'Evaluation Plan'!F26</x:f>
        <x:v>ADD green pencil sharpener</x:v>
      </x:c>
      <x:c r="G26" s="31" t="str"/>
      <x:c r="H26" s="37" t="str">
        <x:f>'Evaluation Plan'!H26</x:f>
        <x:v>Matched manipulation control</x:v>
      </x:c>
      <x:c r="I26" s="31" t="str">
        <x:f>'Evaluation Plan'!I26</x:f>
        <x:v>CT-CF01</x:v>
      </x:c>
      <x:c r="J26" s="31" t="str">
        <x:f>'Evaluation Plan'!J26</x:f>
        <x:v>CT-CF01-ADD</x:v>
      </x:c>
      <x:c r="K26" s="33" t="n">
        <x:f>'Evaluation Plan'!K26</x:f>
        <x:v>2</x:v>
      </x:c>
      <x:c r="L26" s="33" t="n">
        <x:f>'Evaluation Plan'!L26</x:f>
        <x:v>3</x:v>
      </x:c>
      <x:c r="M26" s="33" t="str">
        <x:f>'Evaluation Plan'!M26</x:f>
        <x:v>ADD</x:v>
      </x:c>
      <x:c r="N26" s="31" t="str">
        <x:f>'Evaluation Plan'!N26</x:f>
        <x:v>Matched direct ADD control</x:v>
      </x:c>
      <x:c r="O26" s="33" t="n">
        <x:f>'Evaluation Plan'!O26</x:f>
        <x:v>2</x:v>
      </x:c>
      <x:c r="P26" s="31" t="str">
        <x:f>'Evaluation Plan'!P26</x:f>
        <x:v>Reset the exact count-2 scene; change only the prompt.</x:v>
      </x:c>
      <x:c r="Q26" s="31" t="str">
        <x:f>'Evaluation Plan'!Q26</x:f>
        <x:v>The direct prompt is present in Counting training for this same-task object and action direction.</x:v>
      </x:c>
      <x:c r="R26" s="31" t="n">
        <x:f>'Evaluation Plan'!R26</x:f>
        <x:v>0</x:v>
      </x:c>
    </x:row>
    <x:row r="27" ht="46.5" customHeight="1">
      <x:c r="A27" s="32" t="str">
        <x:v>Not collected</x:v>
      </x:c>
      <x:c r="B27" s="34" t="n">
        <x:f>'Evaluation Plan'!B27</x:f>
        <x:v>25</x:v>
      </x:c>
      <x:c r="C27" s="32" t="str">
        <x:f>'Evaluation Plan'!C27</x:f>
        <x:v>Leave exactly three objects in the bowl.</x:v>
      </x:c>
      <x:c r="D27" s="32" t="str">
        <x:f>'Evaluation Plan'!D27</x:f>
        <x:v>Bowl objects: [blue pen, airplane toy without propellers] | Table objects: [yellow block, green pencil sharpener]</x:v>
      </x:c>
      <x:c r="E27" s="34" t="n">
        <x:f>'Evaluation Plan'!E27</x:f>
        <x:v>24</x:v>
      </x:c>
      <x:c r="F27" s="32" t="str">
        <x:f>'Evaluation Plan'!F27</x:f>
        <x:v>ADD any one table object; finish with 3 objects in the bowl</x:v>
      </x:c>
      <x:c r="G27" s="32" t="str"/>
      <x:c r="H27" s="36" t="str">
        <x:f>'Evaluation Plan'!H27</x:f>
        <x:v>Concept/compositional transfer</x:v>
      </x:c>
      <x:c r="I27" s="32" t="str">
        <x:f>'Evaluation Plan'!I27</x:f>
        <x:v>CT-CF01</x:v>
      </x:c>
      <x:c r="J27" s="32" t="str">
        <x:f>'Evaluation Plan'!J27</x:f>
        <x:v>CT-CF01-ADD</x:v>
      </x:c>
      <x:c r="K27" s="34" t="n">
        <x:f>'Evaluation Plan'!K27</x:f>
        <x:v>2</x:v>
      </x:c>
      <x:c r="L27" s="34" t="n">
        <x:f>'Evaluation Plan'!L27</x:f>
        <x:v>3</x:v>
      </x:c>
      <x:c r="M27" s="34" t="str">
        <x:f>'Evaluation Plan'!M27</x:f>
        <x:v>ADD</x:v>
      </x:c>
      <x:c r="N27" s="32" t="str">
        <x:f>'Evaluation Plan'!N27</x:f>
        <x:v>Primary: three via held-out 2→3 addition</x:v>
      </x:c>
      <x:c r="O27" s="34" t="n">
        <x:f>'Evaluation Plan'!O27</x:f>
        <x:v>2</x:v>
      </x:c>
      <x:c r="P27" s="32" t="str">
        <x:f>'Evaluation Plan'!P27</x:f>
        <x:v>Reset the exact count-2 scene; change only the prompt.</x:v>
      </x:c>
      <x:c r="Q27" s="32" t="str">
        <x:f>'Evaluation Plan'!Q27</x:f>
        <x:v>The goal word three is trained, and this 2→3 trajectory is trained under a direct instruction, but the combination is withheld.</x:v>
      </x:c>
      <x:c r="R27" s="32" t="n">
        <x:f>'Evaluation Plan'!R27</x:f>
        <x:v>0</x:v>
      </x:c>
    </x:row>
    <x:row r="28" ht="46.5" customHeight="1">
      <x:c r="A28" s="31" t="str">
        <x:v>Not collected</x:v>
      </x:c>
      <x:c r="B28" s="33" t="n">
        <x:f>'Evaluation Plan'!B28</x:f>
        <x:v>26</x:v>
      </x:c>
      <x:c r="C28" s="31" t="str">
        <x:f>'Evaluation Plan'!C28</x:f>
        <x:v>Lift the green pencil sharpener from the table and set it inside the bowl.</x:v>
      </x:c>
      <x:c r="D28" s="31" t="str">
        <x:f>'Evaluation Plan'!D28</x:f>
        <x:v>Bowl objects: [blue pen, airplane toy without propellers] | Table objects: [yellow block, green pencil sharpener]</x:v>
      </x:c>
      <x:c r="E28" s="33" t="n">
        <x:f>'Evaluation Plan'!E28</x:f>
        <x:v>24</x:v>
      </x:c>
      <x:c r="F28" s="31" t="str">
        <x:f>'Evaluation Plan'!F28</x:f>
        <x:v>ADD green pencil sharpener</x:v>
      </x:c>
      <x:c r="G28" s="31" t="str"/>
      <x:c r="H28" s="38" t="str">
        <x:f>'Evaluation Plan'!H28</x:f>
        <x:v>Language robustness</x:v>
      </x:c>
      <x:c r="I28" s="31" t="str">
        <x:f>'Evaluation Plan'!I28</x:f>
        <x:v>CT-CF01</x:v>
      </x:c>
      <x:c r="J28" s="31" t="str">
        <x:f>'Evaluation Plan'!J28</x:f>
        <x:v>CT-CF01-ADD</x:v>
      </x:c>
      <x:c r="K28" s="33" t="n">
        <x:f>'Evaluation Plan'!K28</x:f>
        <x:v>2</x:v>
      </x:c>
      <x:c r="L28" s="33" t="n">
        <x:f>'Evaluation Plan'!L28</x:f>
        <x:v>3</x:v>
      </x:c>
      <x:c r="M28" s="33" t="str">
        <x:f>'Evaluation Plan'!M28</x:f>
        <x:v>ADD</x:v>
      </x:c>
      <x:c r="N28" s="31" t="str">
        <x:f>'Evaluation Plan'!N28</x:f>
        <x:v>Matched-control paraphrase: ADD</x:v>
      </x:c>
      <x:c r="O28" s="33" t="n">
        <x:f>'Evaluation Plan'!O28</x:f>
        <x:v>2</x:v>
      </x:c>
      <x:c r="P28" s="31" t="str">
        <x:f>'Evaluation Plan'!P28</x:f>
        <x:v>Reset the exact count-2 scene; change only the prompt.</x:v>
      </x:c>
      <x:c r="Q28" s="31" t="str">
        <x:f>'Evaluation Plan'!Q28</x:f>
        <x:v>Exact-scene paraphrase of the direct manipulation control.</x:v>
      </x:c>
      <x:c r="R28" s="31" t="n">
        <x:f>'Evaluation Plan'!R28</x:f>
        <x:v>0</x:v>
      </x:c>
    </x:row>
    <x:row r="29" ht="46.5" customHeight="1">
      <x:c r="A29" s="32" t="str">
        <x:v>Not collected</x:v>
      </x:c>
      <x:c r="B29" s="34" t="n">
        <x:f>'Evaluation Plan'!B29</x:f>
        <x:v>27</x:v>
      </x:c>
      <x:c r="C29" s="32" t="str">
        <x:f>'Evaluation Plan'!C29</x:f>
        <x:v>Finish with three objects in the bowl.</x:v>
      </x:c>
      <x:c r="D29" s="32" t="str">
        <x:f>'Evaluation Plan'!D29</x:f>
        <x:v>Bowl objects: [blue pen, airplane toy without propellers] | Table objects: [yellow block, green pencil sharpener]</x:v>
      </x:c>
      <x:c r="E29" s="34" t="n">
        <x:f>'Evaluation Plan'!E29</x:f>
        <x:v>25</x:v>
      </x:c>
      <x:c r="F29" s="32" t="str">
        <x:f>'Evaluation Plan'!F29</x:f>
        <x:v>ADD any one table object; finish with 3 objects in the bowl</x:v>
      </x:c>
      <x:c r="G29" s="32" t="str"/>
      <x:c r="H29" s="38" t="str">
        <x:f>'Evaluation Plan'!H29</x:f>
        <x:v>Language robustness</x:v>
      </x:c>
      <x:c r="I29" s="32" t="str">
        <x:f>'Evaluation Plan'!I29</x:f>
        <x:v>CT-CF01</x:v>
      </x:c>
      <x:c r="J29" s="32" t="str">
        <x:f>'Evaluation Plan'!J29</x:f>
        <x:v>CT-CF01-ADD</x:v>
      </x:c>
      <x:c r="K29" s="34" t="n">
        <x:f>'Evaluation Plan'!K29</x:f>
        <x:v>2</x:v>
      </x:c>
      <x:c r="L29" s="34" t="n">
        <x:f>'Evaluation Plan'!L29</x:f>
        <x:v>3</x:v>
      </x:c>
      <x:c r="M29" s="34" t="str">
        <x:f>'Evaluation Plan'!M29</x:f>
        <x:v>ADD</x:v>
      </x:c>
      <x:c r="N29" s="32" t="str">
        <x:f>'Evaluation Plan'!N29</x:f>
        <x:v>Primary compositional paraphrase: three via 2→3 addition</x:v>
      </x:c>
      <x:c r="O29" s="34" t="n">
        <x:f>'Evaluation Plan'!O29</x:f>
        <x:v>2</x:v>
      </x:c>
      <x:c r="P29" s="32" t="str">
        <x:f>'Evaluation Plan'!P29</x:f>
        <x:v>Reset the exact count-2 scene; change only the prompt.</x:v>
      </x:c>
      <x:c r="Q29" s="32" t="str">
        <x:f>'Evaluation Plan'!Q29</x:f>
        <x:v>Exact-scene paraphrase of the canonical held-out composition.</x:v>
      </x:c>
      <x:c r="R29" s="32" t="n">
        <x:f>'Evaluation Plan'!R29</x:f>
        <x:v>0</x:v>
      </x:c>
    </x:row>
    <x:row r="30" ht="46.5" customHeight="1">
      <x:c r="A30" s="31" t="str">
        <x:v>Not collected</x:v>
      </x:c>
      <x:c r="B30" s="33" t="n">
        <x:f>'Evaluation Plan'!B30</x:f>
        <x:v>28</x:v>
      </x:c>
      <x:c r="C30" s="31" t="str">
        <x:f>'Evaluation Plan'!C30</x:f>
        <x:v>Leave exactly three objects in the bowl.</x:v>
      </x:c>
      <x:c r="D30" s="31" t="str">
        <x:f>'Evaluation Plan'!D30</x:f>
        <x:v>Bowl objects: [yellow block, blue pen] | Table objects: [green pencil sharpener, airplane toy without propellers]</x:v>
      </x:c>
      <x:c r="E30" s="33" t="str">
        <x:f>'Evaluation Plan'!E30</x:f>
      </x:c>
      <x:c r="F30" s="31" t="str">
        <x:f>'Evaluation Plan'!F30</x:f>
        <x:v>ADD any one table object; finish with 3 objects in the bowl</x:v>
      </x:c>
      <x:c r="G30" s="31" t="str"/>
      <x:c r="H30" s="36" t="str">
        <x:f>'Evaluation Plan'!H30</x:f>
        <x:v>Concept/compositional transfer</x:v>
      </x:c>
      <x:c r="I30" s="31" t="str">
        <x:f>'Evaluation Plan'!I30</x:f>
        <x:v>CT-CF02</x:v>
      </x:c>
      <x:c r="J30" s="31" t="str">
        <x:f>'Evaluation Plan'!J30</x:f>
        <x:v>CT-CF02-ADD</x:v>
      </x:c>
      <x:c r="K30" s="33" t="n">
        <x:f>'Evaluation Plan'!K30</x:f>
        <x:v>2</x:v>
      </x:c>
      <x:c r="L30" s="33" t="n">
        <x:f>'Evaluation Plan'!L30</x:f>
        <x:v>3</x:v>
      </x:c>
      <x:c r="M30" s="33" t="str">
        <x:f>'Evaluation Plan'!M30</x:f>
        <x:v>ADD</x:v>
      </x:c>
      <x:c r="N30" s="31" t="str">
        <x:f>'Evaluation Plan'!N30</x:f>
        <x:v>Primary: three via held-out 2→3 addition</x:v>
      </x:c>
      <x:c r="O30" s="33" t="n">
        <x:f>'Evaluation Plan'!O30</x:f>
        <x:v>2</x:v>
      </x:c>
      <x:c r="P30" s="31" t="str">
        <x:f>'Evaluation Plan'!P30</x:f>
        <x:v>Reset the exact count-2 scene; change only the prompt.</x:v>
      </x:c>
      <x:c r="Q30" s="31" t="str">
        <x:f>'Evaluation Plan'!Q30</x:f>
        <x:v>The goal word three is trained, and this 2→3 trajectory is trained under a direct instruction, but the combination is withheld.</x:v>
      </x:c>
      <x:c r="R30" s="31" t="n">
        <x:f>'Evaluation Plan'!R30</x:f>
        <x:v>0</x:v>
      </x:c>
    </x:row>
    <x:row r="31" ht="46.5" customHeight="1">
      <x:c r="A31" s="32" t="str">
        <x:v>Not collected</x:v>
      </x:c>
      <x:c r="B31" s="34" t="n">
        <x:f>'Evaluation Plan'!B31</x:f>
        <x:v>29</x:v>
      </x:c>
      <x:c r="C31" s="32" t="str">
        <x:f>'Evaluation Plan'!C31</x:f>
        <x:v>Move the airplane toy without propellers into the bowl.</x:v>
      </x:c>
      <x:c r="D31" s="32" t="str">
        <x:f>'Evaluation Plan'!D31</x:f>
        <x:v>Bowl objects: [yellow block, blue pen] | Table objects: [green pencil sharpener, airplane toy without propellers]</x:v>
      </x:c>
      <x:c r="E31" s="34" t="n">
        <x:f>'Evaluation Plan'!E31</x:f>
        <x:v>28</x:v>
      </x:c>
      <x:c r="F31" s="32" t="str">
        <x:f>'Evaluation Plan'!F31</x:f>
        <x:v>ADD airplane toy without propellers</x:v>
      </x:c>
      <x:c r="G31" s="32" t="str"/>
      <x:c r="H31" s="37" t="str">
        <x:f>'Evaluation Plan'!H31</x:f>
        <x:v>Matched manipulation control</x:v>
      </x:c>
      <x:c r="I31" s="32" t="str">
        <x:f>'Evaluation Plan'!I31</x:f>
        <x:v>CT-CF02</x:v>
      </x:c>
      <x:c r="J31" s="32" t="str">
        <x:f>'Evaluation Plan'!J31</x:f>
        <x:v>CT-CF02-ADD</x:v>
      </x:c>
      <x:c r="K31" s="34" t="n">
        <x:f>'Evaluation Plan'!K31</x:f>
        <x:v>2</x:v>
      </x:c>
      <x:c r="L31" s="34" t="n">
        <x:f>'Evaluation Plan'!L31</x:f>
        <x:v>3</x:v>
      </x:c>
      <x:c r="M31" s="34" t="str">
        <x:f>'Evaluation Plan'!M31</x:f>
        <x:v>ADD</x:v>
      </x:c>
      <x:c r="N31" s="32" t="str">
        <x:f>'Evaluation Plan'!N31</x:f>
        <x:v>Matched direct ADD control</x:v>
      </x:c>
      <x:c r="O31" s="34" t="n">
        <x:f>'Evaluation Plan'!O31</x:f>
        <x:v>2</x:v>
      </x:c>
      <x:c r="P31" s="32" t="str">
        <x:f>'Evaluation Plan'!P31</x:f>
        <x:v>Reset the exact count-2 scene; change only the prompt.</x:v>
      </x:c>
      <x:c r="Q31" s="32" t="str">
        <x:f>'Evaluation Plan'!Q31</x:f>
        <x:v>The direct prompt is present in Counting training for this same-task object and action direction.</x:v>
      </x:c>
      <x:c r="R31" s="32" t="n">
        <x:f>'Evaluation Plan'!R31</x:f>
        <x:v>0</x:v>
      </x:c>
    </x:row>
    <x:row r="32" ht="46.5" customHeight="1">
      <x:c r="A32" s="31" t="str">
        <x:v>Not collected</x:v>
      </x:c>
      <x:c r="B32" s="33" t="n">
        <x:f>'Evaluation Plan'!B32</x:f>
        <x:v>30</x:v>
      </x:c>
      <x:c r="C32" s="31" t="str">
        <x:f>'Evaluation Plan'!C32</x:f>
        <x:v>Set the bowl's final object count to three.</x:v>
      </x:c>
      <x:c r="D32" s="31" t="str">
        <x:f>'Evaluation Plan'!D32</x:f>
        <x:v>Bowl objects: [yellow block, blue pen] | Table objects: [green pencil sharpener, airplane toy without propellers]</x:v>
      </x:c>
      <x:c r="E32" s="33" t="n">
        <x:f>'Evaluation Plan'!E32</x:f>
        <x:v>28</x:v>
      </x:c>
      <x:c r="F32" s="31" t="str">
        <x:f>'Evaluation Plan'!F32</x:f>
        <x:v>ADD any one table object; finish with 3 objects in the bowl</x:v>
      </x:c>
      <x:c r="G32" s="31" t="str"/>
      <x:c r="H32" s="38" t="str">
        <x:f>'Evaluation Plan'!H32</x:f>
        <x:v>Language robustness</x:v>
      </x:c>
      <x:c r="I32" s="31" t="str">
        <x:f>'Evaluation Plan'!I32</x:f>
        <x:v>CT-CF02</x:v>
      </x:c>
      <x:c r="J32" s="31" t="str">
        <x:f>'Evaluation Plan'!J32</x:f>
        <x:v>CT-CF02-ADD</x:v>
      </x:c>
      <x:c r="K32" s="33" t="n">
        <x:f>'Evaluation Plan'!K32</x:f>
        <x:v>2</x:v>
      </x:c>
      <x:c r="L32" s="33" t="n">
        <x:f>'Evaluation Plan'!L32</x:f>
        <x:v>3</x:v>
      </x:c>
      <x:c r="M32" s="33" t="str">
        <x:f>'Evaluation Plan'!M32</x:f>
        <x:v>ADD</x:v>
      </x:c>
      <x:c r="N32" s="31" t="str">
        <x:f>'Evaluation Plan'!N32</x:f>
        <x:v>Primary compositional paraphrase: three via 2→3 addition</x:v>
      </x:c>
      <x:c r="O32" s="33" t="n">
        <x:f>'Evaluation Plan'!O32</x:f>
        <x:v>2</x:v>
      </x:c>
      <x:c r="P32" s="31" t="str">
        <x:f>'Evaluation Plan'!P32</x:f>
        <x:v>Reset the exact count-2 scene; change only the prompt.</x:v>
      </x:c>
      <x:c r="Q32" s="31" t="str">
        <x:f>'Evaluation Plan'!Q32</x:f>
        <x:v>Exact-scene paraphrase of the canonical held-out composition.</x:v>
      </x:c>
      <x:c r="R32" s="31" t="n">
        <x:f>'Evaluation Plan'!R32</x:f>
        <x:v>0</x:v>
      </x:c>
    </x:row>
    <x:row r="33" ht="46.5" customHeight="1">
      <x:c r="A33" s="32" t="str">
        <x:v>Not collected</x:v>
      </x:c>
      <x:c r="B33" s="34" t="n">
        <x:f>'Evaluation Plan'!B33</x:f>
        <x:v>31</x:v>
      </x:c>
      <x:c r="C33" s="32" t="str">
        <x:f>'Evaluation Plan'!C33</x:f>
        <x:v>Lift the airplane toy without propellers from the table and set it inside the bowl.</x:v>
      </x:c>
      <x:c r="D33" s="32" t="str">
        <x:f>'Evaluation Plan'!D33</x:f>
        <x:v>Bowl objects: [yellow block, blue pen] | Table objects: [green pencil sharpener, airplane toy without propellers]</x:v>
      </x:c>
      <x:c r="E33" s="34" t="n">
        <x:f>'Evaluation Plan'!E33</x:f>
        <x:v>29</x:v>
      </x:c>
      <x:c r="F33" s="32" t="str">
        <x:f>'Evaluation Plan'!F33</x:f>
        <x:v>ADD airplane toy without propellers</x:v>
      </x:c>
      <x:c r="G33" s="32" t="str"/>
      <x:c r="H33" s="38" t="str">
        <x:f>'Evaluation Plan'!H33</x:f>
        <x:v>Language robustness</x:v>
      </x:c>
      <x:c r="I33" s="32" t="str">
        <x:f>'Evaluation Plan'!I33</x:f>
        <x:v>CT-CF02</x:v>
      </x:c>
      <x:c r="J33" s="32" t="str">
        <x:f>'Evaluation Plan'!J33</x:f>
        <x:v>CT-CF02-ADD</x:v>
      </x:c>
      <x:c r="K33" s="34" t="n">
        <x:f>'Evaluation Plan'!K33</x:f>
        <x:v>2</x:v>
      </x:c>
      <x:c r="L33" s="34" t="n">
        <x:f>'Evaluation Plan'!L33</x:f>
        <x:v>3</x:v>
      </x:c>
      <x:c r="M33" s="34" t="str">
        <x:f>'Evaluation Plan'!M33</x:f>
        <x:v>ADD</x:v>
      </x:c>
      <x:c r="N33" s="32" t="str">
        <x:f>'Evaluation Plan'!N33</x:f>
        <x:v>Matched-control paraphrase: ADD</x:v>
      </x:c>
      <x:c r="O33" s="34" t="n">
        <x:f>'Evaluation Plan'!O33</x:f>
        <x:v>2</x:v>
      </x:c>
      <x:c r="P33" s="32" t="str">
        <x:f>'Evaluation Plan'!P33</x:f>
        <x:v>Reset the exact count-2 scene; change only the prompt.</x:v>
      </x:c>
      <x:c r="Q33" s="32" t="str">
        <x:f>'Evaluation Plan'!Q33</x:f>
        <x:v>Exact-scene paraphrase of the direct manipulation control.</x:v>
      </x:c>
      <x:c r="R33" s="32" t="n">
        <x:f>'Evaluation Plan'!R33</x:f>
        <x:v>0</x:v>
      </x:c>
    </x:row>
    <x:row r="34" ht="46.5" customHeight="1">
      <x:c r="A34" s="31" t="str">
        <x:v>Not collected</x:v>
      </x:c>
      <x:c r="B34" s="33" t="n">
        <x:f>'Evaluation Plan'!B34</x:f>
        <x:v>32</x:v>
      </x:c>
      <x:c r="C34" s="31" t="str">
        <x:f>'Evaluation Plan'!C34</x:f>
        <x:v>Move the yellow block from the bowl to the table.</x:v>
      </x:c>
      <x:c r="D34" s="31" t="str">
        <x:f>'Evaluation Plan'!D34</x:f>
        <x:v>Bowl objects: [yellow block, blue pen] | Table objects: [green pencil sharpener, airplane toy without propellers]</x:v>
      </x:c>
      <x:c r="E34" s="33" t="str">
        <x:f>'Evaluation Plan'!E34</x:f>
      </x:c>
      <x:c r="F34" s="31" t="str">
        <x:f>'Evaluation Plan'!F34</x:f>
        <x:v>REMOVE yellow block</x:v>
      </x:c>
      <x:c r="G34" s="31" t="str"/>
      <x:c r="H34" s="37" t="str">
        <x:f>'Evaluation Plan'!H34</x:f>
        <x:v>Matched manipulation control</x:v>
      </x:c>
      <x:c r="I34" s="31" t="str">
        <x:f>'Evaluation Plan'!I34</x:f>
        <x:v>CT-CF02</x:v>
      </x:c>
      <x:c r="J34" s="31" t="str">
        <x:f>'Evaluation Plan'!J34</x:f>
        <x:v>CT-CF02-REMOVE</x:v>
      </x:c>
      <x:c r="K34" s="33" t="n">
        <x:f>'Evaluation Plan'!K34</x:f>
        <x:v>2</x:v>
      </x:c>
      <x:c r="L34" s="33" t="n">
        <x:f>'Evaluation Plan'!L34</x:f>
        <x:v>1</x:v>
      </x:c>
      <x:c r="M34" s="33" t="str">
        <x:f>'Evaluation Plan'!M34</x:f>
        <x:v>REMOVE</x:v>
      </x:c>
      <x:c r="N34" s="31" t="str">
        <x:f>'Evaluation Plan'!N34</x:f>
        <x:v>Matched direct REMOVE control</x:v>
      </x:c>
      <x:c r="O34" s="33" t="n">
        <x:f>'Evaluation Plan'!O34</x:f>
        <x:v>2</x:v>
      </x:c>
      <x:c r="P34" s="31" t="str">
        <x:f>'Evaluation Plan'!P34</x:f>
        <x:v>Reset the exact count-2 scene; change only the prompt.</x:v>
      </x:c>
      <x:c r="Q34" s="31" t="str">
        <x:f>'Evaluation Plan'!Q34</x:f>
        <x:v>The direct prompt is present in Counting training for this same-task object and action direction.</x:v>
      </x:c>
      <x:c r="R34" s="31" t="n">
        <x:f>'Evaluation Plan'!R34</x:f>
        <x:v>0</x:v>
      </x:c>
    </x:row>
    <x:row r="35" ht="46.5" customHeight="1">
      <x:c r="A35" s="32" t="str">
        <x:v>Not collected</x:v>
      </x:c>
      <x:c r="B35" s="34" t="n">
        <x:f>'Evaluation Plan'!B35</x:f>
        <x:v>33</x:v>
      </x:c>
      <x:c r="C35" s="32" t="str">
        <x:f>'Evaluation Plan'!C35</x:f>
        <x:v>Leave exactly one object in the bowl.</x:v>
      </x:c>
      <x:c r="D35" s="32" t="str">
        <x:f>'Evaluation Plan'!D35</x:f>
        <x:v>Bowl objects: [yellow block, blue pen] | Table objects: [green pencil sharpener, airplane toy without propellers]</x:v>
      </x:c>
      <x:c r="E35" s="34" t="n">
        <x:f>'Evaluation Plan'!E35</x:f>
        <x:v>32</x:v>
      </x:c>
      <x:c r="F35" s="32" t="str">
        <x:f>'Evaluation Plan'!F35</x:f>
        <x:v>REMOVE any one bowl object; finish with 1 object in the bowl</x:v>
      </x:c>
      <x:c r="G35" s="32" t="str"/>
      <x:c r="H35" s="36" t="str">
        <x:f>'Evaluation Plan'!H35</x:f>
        <x:v>Concept/compositional transfer</x:v>
      </x:c>
      <x:c r="I35" s="32" t="str">
        <x:f>'Evaluation Plan'!I35</x:f>
        <x:v>CT-CF02</x:v>
      </x:c>
      <x:c r="J35" s="32" t="str">
        <x:f>'Evaluation Plan'!J35</x:f>
        <x:v>CT-CF02-REMOVE</x:v>
      </x:c>
      <x:c r="K35" s="34" t="n">
        <x:f>'Evaluation Plan'!K35</x:f>
        <x:v>2</x:v>
      </x:c>
      <x:c r="L35" s="34" t="n">
        <x:f>'Evaluation Plan'!L35</x:f>
        <x:v>1</x:v>
      </x:c>
      <x:c r="M35" s="34" t="str">
        <x:f>'Evaluation Plan'!M35</x:f>
        <x:v>REMOVE</x:v>
      </x:c>
      <x:c r="N35" s="32" t="str">
        <x:f>'Evaluation Plan'!N35</x:f>
        <x:v>Primary: one via held-out 2→1 removal</x:v>
      </x:c>
      <x:c r="O35" s="34" t="n">
        <x:f>'Evaluation Plan'!O35</x:f>
        <x:v>2</x:v>
      </x:c>
      <x:c r="P35" s="32" t="str">
        <x:f>'Evaluation Plan'!P35</x:f>
        <x:v>Build the listed count-2 scene.</x:v>
      </x:c>
      <x:c r="Q35" s="32" t="str">
        <x:f>'Evaluation Plan'!Q35</x:f>
        <x:v>The goal word one is trained, and this 2→1 trajectory is trained under a direct instruction, but the combination is withheld.</x:v>
      </x:c>
      <x:c r="R35" s="32" t="n">
        <x:f>'Evaluation Plan'!R35</x:f>
        <x:v>0</x:v>
      </x:c>
    </x:row>
    <x:row r="36" ht="46.5" customHeight="1">
      <x:c r="A36" s="31" t="str">
        <x:v>Not collected</x:v>
      </x:c>
      <x:c r="B36" s="33" t="n">
        <x:f>'Evaluation Plan'!B36</x:f>
        <x:v>34</x:v>
      </x:c>
      <x:c r="C36" s="31" t="str">
        <x:f>'Evaluation Plan'!C36</x:f>
        <x:v>Lift the yellow block out of the bowl and set it on the table.</x:v>
      </x:c>
      <x:c r="D36" s="31" t="str">
        <x:f>'Evaluation Plan'!D36</x:f>
        <x:v>Bowl objects: [yellow block, blue pen] | Table objects: [green pencil sharpener, airplane toy without propellers]</x:v>
      </x:c>
      <x:c r="E36" s="33" t="n">
        <x:f>'Evaluation Plan'!E36</x:f>
        <x:v>32</x:v>
      </x:c>
      <x:c r="F36" s="31" t="str">
        <x:f>'Evaluation Plan'!F36</x:f>
        <x:v>REMOVE yellow block</x:v>
      </x:c>
      <x:c r="G36" s="31" t="str"/>
      <x:c r="H36" s="38" t="str">
        <x:f>'Evaluation Plan'!H36</x:f>
        <x:v>Language robustness</x:v>
      </x:c>
      <x:c r="I36" s="31" t="str">
        <x:f>'Evaluation Plan'!I36</x:f>
        <x:v>CT-CF02</x:v>
      </x:c>
      <x:c r="J36" s="31" t="str">
        <x:f>'Evaluation Plan'!J36</x:f>
        <x:v>CT-CF02-REMOVE</x:v>
      </x:c>
      <x:c r="K36" s="33" t="n">
        <x:f>'Evaluation Plan'!K36</x:f>
        <x:v>2</x:v>
      </x:c>
      <x:c r="L36" s="33" t="n">
        <x:f>'Evaluation Plan'!L36</x:f>
        <x:v>1</x:v>
      </x:c>
      <x:c r="M36" s="33" t="str">
        <x:f>'Evaluation Plan'!M36</x:f>
        <x:v>REMOVE</x:v>
      </x:c>
      <x:c r="N36" s="31" t="str">
        <x:f>'Evaluation Plan'!N36</x:f>
        <x:v>Matched-control paraphrase: REMOVE</x:v>
      </x:c>
      <x:c r="O36" s="33" t="n">
        <x:f>'Evaluation Plan'!O36</x:f>
        <x:v>2</x:v>
      </x:c>
      <x:c r="P36" s="31" t="str">
        <x:f>'Evaluation Plan'!P36</x:f>
        <x:v>Reset the exact count-2 scene; change only the prompt.</x:v>
      </x:c>
      <x:c r="Q36" s="31" t="str">
        <x:f>'Evaluation Plan'!Q36</x:f>
        <x:v>Exact-scene paraphrase of the direct manipulation control.</x:v>
      </x:c>
      <x:c r="R36" s="31" t="n">
        <x:f>'Evaluation Plan'!R36</x:f>
        <x:v>0</x:v>
      </x:c>
    </x:row>
    <x:row r="37" ht="46.5" customHeight="1">
      <x:c r="A37" s="32" t="str">
        <x:v>Not collected</x:v>
      </x:c>
      <x:c r="B37" s="34" t="n">
        <x:f>'Evaluation Plan'!B37</x:f>
        <x:v>35</x:v>
      </x:c>
      <x:c r="C37" s="32" t="str">
        <x:f>'Evaluation Plan'!C37</x:f>
        <x:v>Set the bowl's final object count to one.</x:v>
      </x:c>
      <x:c r="D37" s="32" t="str">
        <x:f>'Evaluation Plan'!D37</x:f>
        <x:v>Bowl objects: [yellow block, blue pen] | Table objects: [green pencil sharpener, airplane toy without propellers]</x:v>
      </x:c>
      <x:c r="E37" s="34" t="n">
        <x:f>'Evaluation Plan'!E37</x:f>
        <x:v>33</x:v>
      </x:c>
      <x:c r="F37" s="32" t="str">
        <x:f>'Evaluation Plan'!F37</x:f>
        <x:v>REMOVE any one bowl object; finish with 1 object in the bowl</x:v>
      </x:c>
      <x:c r="G37" s="32" t="str"/>
      <x:c r="H37" s="38" t="str">
        <x:f>'Evaluation Plan'!H37</x:f>
        <x:v>Language robustness</x:v>
      </x:c>
      <x:c r="I37" s="32" t="str">
        <x:f>'Evaluation Plan'!I37</x:f>
        <x:v>CT-CF02</x:v>
      </x:c>
      <x:c r="J37" s="32" t="str">
        <x:f>'Evaluation Plan'!J37</x:f>
        <x:v>CT-CF02-REMOVE</x:v>
      </x:c>
      <x:c r="K37" s="34" t="n">
        <x:f>'Evaluation Plan'!K37</x:f>
        <x:v>2</x:v>
      </x:c>
      <x:c r="L37" s="34" t="n">
        <x:f>'Evaluation Plan'!L37</x:f>
        <x:v>1</x:v>
      </x:c>
      <x:c r="M37" s="34" t="str">
        <x:f>'Evaluation Plan'!M37</x:f>
        <x:v>REMOVE</x:v>
      </x:c>
      <x:c r="N37" s="32" t="str">
        <x:f>'Evaluation Plan'!N37</x:f>
        <x:v>Primary compositional paraphrase: one via 2→1 removal</x:v>
      </x:c>
      <x:c r="O37" s="34" t="n">
        <x:f>'Evaluation Plan'!O37</x:f>
        <x:v>2</x:v>
      </x:c>
      <x:c r="P37" s="32" t="str">
        <x:f>'Evaluation Plan'!P37</x:f>
        <x:v>Build the listed count-2 scene.</x:v>
      </x:c>
      <x:c r="Q37" s="32" t="str">
        <x:f>'Evaluation Plan'!Q37</x:f>
        <x:v>Exact-scene paraphrase of the canonical held-out composition.</x:v>
      </x:c>
      <x:c r="R37" s="32" t="n">
        <x:f>'Evaluation Plan'!R37</x:f>
        <x:v>0</x:v>
      </x:c>
    </x:row>
    <x:row r="38" ht="46.5" customHeight="1">
      <x:c r="A38" s="31" t="str">
        <x:v>Not collected</x:v>
      </x:c>
      <x:c r="B38" s="33" t="n">
        <x:f>'Evaluation Plan'!B38</x:f>
        <x:v>36</x:v>
      </x:c>
      <x:c r="C38" s="31" t="str">
        <x:f>'Evaluation Plan'!C38</x:f>
        <x:v>Leave exactly one object in the bowl.</x:v>
      </x:c>
      <x:c r="D38" s="31" t="str">
        <x:f>'Evaluation Plan'!D38</x:f>
        <x:v>Bowl objects: [green pencil sharpener, airplane toy without propellers] | Table objects: [blue pen, yellow block]</x:v>
      </x:c>
      <x:c r="E38" s="33" t="str">
        <x:f>'Evaluation Plan'!E38</x:f>
      </x:c>
      <x:c r="F38" s="31" t="str">
        <x:f>'Evaluation Plan'!F38</x:f>
        <x:v>REMOVE any one bowl object; finish with 1 object in the bowl</x:v>
      </x:c>
      <x:c r="G38" s="31" t="str"/>
      <x:c r="H38" s="36" t="str">
        <x:f>'Evaluation Plan'!H38</x:f>
        <x:v>Concept/compositional transfer</x:v>
      </x:c>
      <x:c r="I38" s="31" t="str">
        <x:f>'Evaluation Plan'!I38</x:f>
        <x:v>CT-CF03</x:v>
      </x:c>
      <x:c r="J38" s="31" t="str">
        <x:f>'Evaluation Plan'!J38</x:f>
        <x:v>CT-CF03-REMOVE</x:v>
      </x:c>
      <x:c r="K38" s="33" t="n">
        <x:f>'Evaluation Plan'!K38</x:f>
        <x:v>2</x:v>
      </x:c>
      <x:c r="L38" s="33" t="n">
        <x:f>'Evaluation Plan'!L38</x:f>
        <x:v>1</x:v>
      </x:c>
      <x:c r="M38" s="33" t="str">
        <x:f>'Evaluation Plan'!M38</x:f>
        <x:v>REMOVE</x:v>
      </x:c>
      <x:c r="N38" s="31" t="str">
        <x:f>'Evaluation Plan'!N38</x:f>
        <x:v>Primary: one via held-out 2→1 removal</x:v>
      </x:c>
      <x:c r="O38" s="33" t="n">
        <x:f>'Evaluation Plan'!O38</x:f>
        <x:v>2</x:v>
      </x:c>
      <x:c r="P38" s="31" t="str">
        <x:f>'Evaluation Plan'!P38</x:f>
        <x:v>Build the listed count-2 scene.</x:v>
      </x:c>
      <x:c r="Q38" s="31" t="str">
        <x:f>'Evaluation Plan'!Q38</x:f>
        <x:v>The goal word one is trained, and this 2→1 trajectory is trained under a direct instruction, but the combination is withheld.</x:v>
      </x:c>
      <x:c r="R38" s="31" t="n">
        <x:f>'Evaluation Plan'!R38</x:f>
        <x:v>0</x:v>
      </x:c>
    </x:row>
    <x:row r="39" ht="46.5" customHeight="1">
      <x:c r="A39" s="32" t="str">
        <x:v>Not collected</x:v>
      </x:c>
      <x:c r="B39" s="34" t="n">
        <x:f>'Evaluation Plan'!B39</x:f>
        <x:v>37</x:v>
      </x:c>
      <x:c r="C39" s="32" t="str">
        <x:f>'Evaluation Plan'!C39</x:f>
        <x:v>Move the green pencil sharpener from the bowl to the table.</x:v>
      </x:c>
      <x:c r="D39" s="32" t="str">
        <x:f>'Evaluation Plan'!D39</x:f>
        <x:v>Bowl objects: [green pencil sharpener, airplane toy without propellers] | Table objects: [blue pen, yellow block]</x:v>
      </x:c>
      <x:c r="E39" s="34" t="n">
        <x:f>'Evaluation Plan'!E39</x:f>
        <x:v>36</x:v>
      </x:c>
      <x:c r="F39" s="32" t="str">
        <x:f>'Evaluation Plan'!F39</x:f>
        <x:v>REMOVE green pencil sharpener</x:v>
      </x:c>
      <x:c r="G39" s="32" t="str"/>
      <x:c r="H39" s="37" t="str">
        <x:f>'Evaluation Plan'!H39</x:f>
        <x:v>Matched manipulation control</x:v>
      </x:c>
      <x:c r="I39" s="32" t="str">
        <x:f>'Evaluation Plan'!I39</x:f>
        <x:v>CT-CF03</x:v>
      </x:c>
      <x:c r="J39" s="32" t="str">
        <x:f>'Evaluation Plan'!J39</x:f>
        <x:v>CT-CF03-REMOVE</x:v>
      </x:c>
      <x:c r="K39" s="34" t="n">
        <x:f>'Evaluation Plan'!K39</x:f>
        <x:v>2</x:v>
      </x:c>
      <x:c r="L39" s="34" t="n">
        <x:f>'Evaluation Plan'!L39</x:f>
        <x:v>1</x:v>
      </x:c>
      <x:c r="M39" s="34" t="str">
        <x:f>'Evaluation Plan'!M39</x:f>
        <x:v>REMOVE</x:v>
      </x:c>
      <x:c r="N39" s="32" t="str">
        <x:f>'Evaluation Plan'!N39</x:f>
        <x:v>Matched direct REMOVE control</x:v>
      </x:c>
      <x:c r="O39" s="34" t="n">
        <x:f>'Evaluation Plan'!O39</x:f>
        <x:v>2</x:v>
      </x:c>
      <x:c r="P39" s="32" t="str">
        <x:f>'Evaluation Plan'!P39</x:f>
        <x:v>Reset the exact count-2 scene; change only the prompt.</x:v>
      </x:c>
      <x:c r="Q39" s="32" t="str">
        <x:f>'Evaluation Plan'!Q39</x:f>
        <x:v>The direct prompt is present in Counting training for this same-task object and action direction.</x:v>
      </x:c>
      <x:c r="R39" s="32" t="n">
        <x:f>'Evaluation Plan'!R39</x:f>
        <x:v>0</x:v>
      </x:c>
    </x:row>
    <x:row r="40" ht="46.5" customHeight="1">
      <x:c r="A40" s="31" t="str">
        <x:v>Not collected</x:v>
      </x:c>
      <x:c r="B40" s="33" t="n">
        <x:f>'Evaluation Plan'!B40</x:f>
        <x:v>38</x:v>
      </x:c>
      <x:c r="C40" s="31" t="str">
        <x:f>'Evaluation Plan'!C40</x:f>
        <x:v>Change the contents so the bowl ends up holding one item.</x:v>
      </x:c>
      <x:c r="D40" s="31" t="str">
        <x:f>'Evaluation Plan'!D40</x:f>
        <x:v>Bowl objects: [green pencil sharpener, airplane toy without propellers] | Table objects: [blue pen, yellow block]</x:v>
      </x:c>
      <x:c r="E40" s="33" t="n">
        <x:f>'Evaluation Plan'!E40</x:f>
        <x:v>36</x:v>
      </x:c>
      <x:c r="F40" s="31" t="str">
        <x:f>'Evaluation Plan'!F40</x:f>
        <x:v>REMOVE any one bowl object; finish with 1 object in the bowl</x:v>
      </x:c>
      <x:c r="G40" s="31" t="str"/>
      <x:c r="H40" s="38" t="str">
        <x:f>'Evaluation Plan'!H40</x:f>
        <x:v>Language robustness</x:v>
      </x:c>
      <x:c r="I40" s="31" t="str">
        <x:f>'Evaluation Plan'!I40</x:f>
        <x:v>CT-CF03</x:v>
      </x:c>
      <x:c r="J40" s="31" t="str">
        <x:f>'Evaluation Plan'!J40</x:f>
        <x:v>CT-CF03-REMOVE</x:v>
      </x:c>
      <x:c r="K40" s="33" t="n">
        <x:f>'Evaluation Plan'!K40</x:f>
        <x:v>2</x:v>
      </x:c>
      <x:c r="L40" s="33" t="n">
        <x:f>'Evaluation Plan'!L40</x:f>
        <x:v>1</x:v>
      </x:c>
      <x:c r="M40" s="33" t="str">
        <x:f>'Evaluation Plan'!M40</x:f>
        <x:v>REMOVE</x:v>
      </x:c>
      <x:c r="N40" s="31" t="str">
        <x:f>'Evaluation Plan'!N40</x:f>
        <x:v>Primary compositional paraphrase: one via 2→1 removal</x:v>
      </x:c>
      <x:c r="O40" s="33" t="n">
        <x:f>'Evaluation Plan'!O40</x:f>
        <x:v>2</x:v>
      </x:c>
      <x:c r="P40" s="31" t="str">
        <x:f>'Evaluation Plan'!P40</x:f>
        <x:v>Build the listed count-2 scene.</x:v>
      </x:c>
      <x:c r="Q40" s="31" t="str">
        <x:f>'Evaluation Plan'!Q40</x:f>
        <x:v>Exact-scene paraphrase of the canonical held-out composition.</x:v>
      </x:c>
      <x:c r="R40" s="31" t="n">
        <x:f>'Evaluation Plan'!R40</x:f>
        <x:v>0</x:v>
      </x:c>
    </x:row>
    <x:row r="41" ht="46.5" customHeight="1">
      <x:c r="A41" s="32" t="str">
        <x:v>Not collected</x:v>
      </x:c>
      <x:c r="B41" s="34" t="n">
        <x:f>'Evaluation Plan'!B41</x:f>
        <x:v>39</x:v>
      </x:c>
      <x:c r="C41" s="32" t="str">
        <x:f>'Evaluation Plan'!C41</x:f>
        <x:v>Lift the green pencil sharpener out of the bowl and set it on the table.</x:v>
      </x:c>
      <x:c r="D41" s="32" t="str">
        <x:f>'Evaluation Plan'!D41</x:f>
        <x:v>Bowl objects: [green pencil sharpener, airplane toy without propellers] | Table objects: [blue pen, yellow block]</x:v>
      </x:c>
      <x:c r="E41" s="34" t="n">
        <x:f>'Evaluation Plan'!E41</x:f>
        <x:v>37</x:v>
      </x:c>
      <x:c r="F41" s="32" t="str">
        <x:f>'Evaluation Plan'!F41</x:f>
        <x:v>REMOVE green pencil sharpener</x:v>
      </x:c>
      <x:c r="G41" s="32" t="str"/>
      <x:c r="H41" s="38" t="str">
        <x:f>'Evaluation Plan'!H41</x:f>
        <x:v>Language robustness</x:v>
      </x:c>
      <x:c r="I41" s="32" t="str">
        <x:f>'Evaluation Plan'!I41</x:f>
        <x:v>CT-CF03</x:v>
      </x:c>
      <x:c r="J41" s="32" t="str">
        <x:f>'Evaluation Plan'!J41</x:f>
        <x:v>CT-CF03-REMOVE</x:v>
      </x:c>
      <x:c r="K41" s="34" t="n">
        <x:f>'Evaluation Plan'!K41</x:f>
        <x:v>2</x:v>
      </x:c>
      <x:c r="L41" s="34" t="n">
        <x:f>'Evaluation Plan'!L41</x:f>
        <x:v>1</x:v>
      </x:c>
      <x:c r="M41" s="34" t="str">
        <x:f>'Evaluation Plan'!M41</x:f>
        <x:v>REMOVE</x:v>
      </x:c>
      <x:c r="N41" s="32" t="str">
        <x:f>'Evaluation Plan'!N41</x:f>
        <x:v>Matched-control paraphrase: REMOVE</x:v>
      </x:c>
      <x:c r="O41" s="34" t="n">
        <x:f>'Evaluation Plan'!O41</x:f>
        <x:v>2</x:v>
      </x:c>
      <x:c r="P41" s="32" t="str">
        <x:f>'Evaluation Plan'!P41</x:f>
        <x:v>Reset the exact count-2 scene; change only the prompt.</x:v>
      </x:c>
      <x:c r="Q41" s="32" t="str">
        <x:f>'Evaluation Plan'!Q41</x:f>
        <x:v>Exact-scene paraphrase of the direct manipulation control.</x:v>
      </x:c>
      <x:c r="R41" s="32" t="n">
        <x:f>'Evaluation Plan'!R41</x:f>
        <x:v>0</x:v>
      </x:c>
    </x:row>
    <x:row r="42" ht="46.5" customHeight="1">
      <x:c r="A42" s="31" t="str">
        <x:v>Not collected</x:v>
      </x:c>
      <x:c r="B42" s="33" t="n">
        <x:f>'Evaluation Plan'!B42</x:f>
        <x:v>40</x:v>
      </x:c>
      <x:c r="C42" s="31" t="str">
        <x:f>'Evaluation Plan'!C42</x:f>
        <x:v>Move the blue pen into the bowl.</x:v>
      </x:c>
      <x:c r="D42" s="31" t="str">
        <x:f>'Evaluation Plan'!D42</x:f>
        <x:v>Bowl objects: [green pencil sharpener, airplane toy without propellers] | Table objects: [blue pen, yellow block]</x:v>
      </x:c>
      <x:c r="E42" s="33" t="str">
        <x:f>'Evaluation Plan'!E42</x:f>
      </x:c>
      <x:c r="F42" s="31" t="str">
        <x:f>'Evaluation Plan'!F42</x:f>
        <x:v>ADD blue pen</x:v>
      </x:c>
      <x:c r="G42" s="31" t="str"/>
      <x:c r="H42" s="37" t="str">
        <x:f>'Evaluation Plan'!H42</x:f>
        <x:v>Matched manipulation control</x:v>
      </x:c>
      <x:c r="I42" s="31" t="str">
        <x:f>'Evaluation Plan'!I42</x:f>
        <x:v>CT-CF03</x:v>
      </x:c>
      <x:c r="J42" s="31" t="str">
        <x:f>'Evaluation Plan'!J42</x:f>
        <x:v>CT-CF03-ADD</x:v>
      </x:c>
      <x:c r="K42" s="33" t="n">
        <x:f>'Evaluation Plan'!K42</x:f>
        <x:v>2</x:v>
      </x:c>
      <x:c r="L42" s="33" t="n">
        <x:f>'Evaluation Plan'!L42</x:f>
        <x:v>3</x:v>
      </x:c>
      <x:c r="M42" s="33" t="str">
        <x:f>'Evaluation Plan'!M42</x:f>
        <x:v>ADD</x:v>
      </x:c>
      <x:c r="N42" s="31" t="str">
        <x:f>'Evaluation Plan'!N42</x:f>
        <x:v>Matched direct ADD control</x:v>
      </x:c>
      <x:c r="O42" s="33" t="n">
        <x:f>'Evaluation Plan'!O42</x:f>
        <x:v>2</x:v>
      </x:c>
      <x:c r="P42" s="31" t="str">
        <x:f>'Evaluation Plan'!P42</x:f>
        <x:v>Reset the exact count-2 scene; change only the prompt.</x:v>
      </x:c>
      <x:c r="Q42" s="31" t="str">
        <x:f>'Evaluation Plan'!Q42</x:f>
        <x:v>The direct prompt is present in Counting training for this same-task object and action direction.</x:v>
      </x:c>
      <x:c r="R42" s="31" t="n">
        <x:f>'Evaluation Plan'!R42</x:f>
        <x:v>0</x:v>
      </x:c>
    </x:row>
    <x:row r="43" ht="46.5" customHeight="1">
      <x:c r="A43" s="32" t="str">
        <x:v>Not collected</x:v>
      </x:c>
      <x:c r="B43" s="34" t="n">
        <x:f>'Evaluation Plan'!B43</x:f>
        <x:v>41</x:v>
      </x:c>
      <x:c r="C43" s="32" t="str">
        <x:f>'Evaluation Plan'!C43</x:f>
        <x:v>Leave exactly three objects in the bowl.</x:v>
      </x:c>
      <x:c r="D43" s="32" t="str">
        <x:f>'Evaluation Plan'!D43</x:f>
        <x:v>Bowl objects: [green pencil sharpener, airplane toy without propellers] | Table objects: [blue pen, yellow block]</x:v>
      </x:c>
      <x:c r="E43" s="34" t="n">
        <x:f>'Evaluation Plan'!E43</x:f>
        <x:v>40</x:v>
      </x:c>
      <x:c r="F43" s="32" t="str">
        <x:f>'Evaluation Plan'!F43</x:f>
        <x:v>ADD any one table object; finish with 3 objects in the bowl</x:v>
      </x:c>
      <x:c r="G43" s="32" t="str"/>
      <x:c r="H43" s="36" t="str">
        <x:f>'Evaluation Plan'!H43</x:f>
        <x:v>Concept/compositional transfer</x:v>
      </x:c>
      <x:c r="I43" s="32" t="str">
        <x:f>'Evaluation Plan'!I43</x:f>
        <x:v>CT-CF03</x:v>
      </x:c>
      <x:c r="J43" s="32" t="str">
        <x:f>'Evaluation Plan'!J43</x:f>
        <x:v>CT-CF03-ADD</x:v>
      </x:c>
      <x:c r="K43" s="34" t="n">
        <x:f>'Evaluation Plan'!K43</x:f>
        <x:v>2</x:v>
      </x:c>
      <x:c r="L43" s="34" t="n">
        <x:f>'Evaluation Plan'!L43</x:f>
        <x:v>3</x:v>
      </x:c>
      <x:c r="M43" s="34" t="str">
        <x:f>'Evaluation Plan'!M43</x:f>
        <x:v>ADD</x:v>
      </x:c>
      <x:c r="N43" s="32" t="str">
        <x:f>'Evaluation Plan'!N43</x:f>
        <x:v>Primary: three via held-out 2→3 addition</x:v>
      </x:c>
      <x:c r="O43" s="34" t="n">
        <x:f>'Evaluation Plan'!O43</x:f>
        <x:v>2</x:v>
      </x:c>
      <x:c r="P43" s="32" t="str">
        <x:f>'Evaluation Plan'!P43</x:f>
        <x:v>Reset the exact count-2 scene; change only the prompt.</x:v>
      </x:c>
      <x:c r="Q43" s="32" t="str">
        <x:f>'Evaluation Plan'!Q43</x:f>
        <x:v>The goal word three is trained, and this 2→3 trajectory is trained under a direct instruction, but the combination is withheld.</x:v>
      </x:c>
      <x:c r="R43" s="32" t="n">
        <x:f>'Evaluation Plan'!R43</x:f>
        <x:v>0</x:v>
      </x:c>
    </x:row>
    <x:row r="44" ht="46.5" customHeight="1">
      <x:c r="A44" s="31" t="str">
        <x:v>Not collected</x:v>
      </x:c>
      <x:c r="B44" s="33" t="n">
        <x:f>'Evaluation Plan'!B44</x:f>
        <x:v>42</x:v>
      </x:c>
      <x:c r="C44" s="31" t="str">
        <x:f>'Evaluation Plan'!C44</x:f>
        <x:v>Lift the blue pen from the table and set it inside the bowl.</x:v>
      </x:c>
      <x:c r="D44" s="31" t="str">
        <x:f>'Evaluation Plan'!D44</x:f>
        <x:v>Bowl objects: [green pencil sharpener, airplane toy without propellers] | Table objects: [blue pen, yellow block]</x:v>
      </x:c>
      <x:c r="E44" s="33" t="n">
        <x:f>'Evaluation Plan'!E44</x:f>
        <x:v>40</x:v>
      </x:c>
      <x:c r="F44" s="31" t="str">
        <x:f>'Evaluation Plan'!F44</x:f>
        <x:v>ADD blue pen</x:v>
      </x:c>
      <x:c r="G44" s="31" t="str"/>
      <x:c r="H44" s="38" t="str">
        <x:f>'Evaluation Plan'!H44</x:f>
        <x:v>Language robustness</x:v>
      </x:c>
      <x:c r="I44" s="31" t="str">
        <x:f>'Evaluation Plan'!I44</x:f>
        <x:v>CT-CF03</x:v>
      </x:c>
      <x:c r="J44" s="31" t="str">
        <x:f>'Evaluation Plan'!J44</x:f>
        <x:v>CT-CF03-ADD</x:v>
      </x:c>
      <x:c r="K44" s="33" t="n">
        <x:f>'Evaluation Plan'!K44</x:f>
        <x:v>2</x:v>
      </x:c>
      <x:c r="L44" s="33" t="n">
        <x:f>'Evaluation Plan'!L44</x:f>
        <x:v>3</x:v>
      </x:c>
      <x:c r="M44" s="33" t="str">
        <x:f>'Evaluation Plan'!M44</x:f>
        <x:v>ADD</x:v>
      </x:c>
      <x:c r="N44" s="31" t="str">
        <x:f>'Evaluation Plan'!N44</x:f>
        <x:v>Matched-control paraphrase: ADD</x:v>
      </x:c>
      <x:c r="O44" s="33" t="n">
        <x:f>'Evaluation Plan'!O44</x:f>
        <x:v>2</x:v>
      </x:c>
      <x:c r="P44" s="31" t="str">
        <x:f>'Evaluation Plan'!P44</x:f>
        <x:v>Reset the exact count-2 scene; change only the prompt.</x:v>
      </x:c>
      <x:c r="Q44" s="31" t="str">
        <x:f>'Evaluation Plan'!Q44</x:f>
        <x:v>Exact-scene paraphrase of the direct manipulation control.</x:v>
      </x:c>
      <x:c r="R44" s="31" t="n">
        <x:f>'Evaluation Plan'!R44</x:f>
        <x:v>0</x:v>
      </x:c>
    </x:row>
    <x:row r="45" ht="46.5" customHeight="1">
      <x:c r="A45" s="32" t="str">
        <x:v>Not collected</x:v>
      </x:c>
      <x:c r="B45" s="34" t="n">
        <x:f>'Evaluation Plan'!B45</x:f>
        <x:v>43</x:v>
      </x:c>
      <x:c r="C45" s="32" t="str">
        <x:f>'Evaluation Plan'!C45</x:f>
        <x:v>Change the contents so the bowl ends up holding three items.</x:v>
      </x:c>
      <x:c r="D45" s="32" t="str">
        <x:f>'Evaluation Plan'!D45</x:f>
        <x:v>Bowl objects: [green pencil sharpener, airplane toy without propellers] | Table objects: [blue pen, yellow block]</x:v>
      </x:c>
      <x:c r="E45" s="34" t="n">
        <x:f>'Evaluation Plan'!E45</x:f>
        <x:v>41</x:v>
      </x:c>
      <x:c r="F45" s="32" t="str">
        <x:f>'Evaluation Plan'!F45</x:f>
        <x:v>ADD any one table object; finish with 3 objects in the bowl</x:v>
      </x:c>
      <x:c r="G45" s="32" t="str"/>
      <x:c r="H45" s="38" t="str">
        <x:f>'Evaluation Plan'!H45</x:f>
        <x:v>Language robustness</x:v>
      </x:c>
      <x:c r="I45" s="32" t="str">
        <x:f>'Evaluation Plan'!I45</x:f>
        <x:v>CT-CF03</x:v>
      </x:c>
      <x:c r="J45" s="32" t="str">
        <x:f>'Evaluation Plan'!J45</x:f>
        <x:v>CT-CF03-ADD</x:v>
      </x:c>
      <x:c r="K45" s="34" t="n">
        <x:f>'Evaluation Plan'!K45</x:f>
        <x:v>2</x:v>
      </x:c>
      <x:c r="L45" s="34" t="n">
        <x:f>'Evaluation Plan'!L45</x:f>
        <x:v>3</x:v>
      </x:c>
      <x:c r="M45" s="34" t="str">
        <x:f>'Evaluation Plan'!M45</x:f>
        <x:v>ADD</x:v>
      </x:c>
      <x:c r="N45" s="32" t="str">
        <x:f>'Evaluation Plan'!N45</x:f>
        <x:v>Primary compositional paraphrase: three via 2→3 addition</x:v>
      </x:c>
      <x:c r="O45" s="34" t="n">
        <x:f>'Evaluation Plan'!O45</x:f>
        <x:v>2</x:v>
      </x:c>
      <x:c r="P45" s="32" t="str">
        <x:f>'Evaluation Plan'!P45</x:f>
        <x:v>Reset the exact count-2 scene; change only the prompt.</x:v>
      </x:c>
      <x:c r="Q45" s="32" t="str">
        <x:f>'Evaluation Plan'!Q45</x:f>
        <x:v>Exact-scene paraphrase of the canonical held-out composition.</x:v>
      </x:c>
      <x:c r="R45" s="32" t="n">
        <x:f>'Evaluation Plan'!R45</x:f>
        <x:v>0</x:v>
      </x:c>
    </x:row>
    <x:row r="46" ht="46.5" customHeight="1">
      <x:c r="A46" s="31" t="str">
        <x:v>Not collected</x:v>
      </x:c>
      <x:c r="B46" s="33" t="n">
        <x:f>'Evaluation Plan'!B46</x:f>
        <x:v>44</x:v>
      </x:c>
      <x:c r="C46" s="31" t="str">
        <x:f>'Evaluation Plan'!C46</x:f>
        <x:v>Leave exactly three objects in the bowl.</x:v>
      </x:c>
      <x:c r="D46" s="31" t="str">
        <x:f>'Evaluation Plan'!D46</x:f>
        <x:v>Bowl objects: [airplane toy without propellers, blue pen] | Table objects: [yellow block, green pencil sharpener]</x:v>
      </x:c>
      <x:c r="E46" s="33" t="str">
        <x:f>'Evaluation Plan'!E46</x:f>
      </x:c>
      <x:c r="F46" s="31" t="str">
        <x:f>'Evaluation Plan'!F46</x:f>
        <x:v>ADD any one table object; finish with 3 objects in the bowl</x:v>
      </x:c>
      <x:c r="G46" s="31" t="str"/>
      <x:c r="H46" s="36" t="str">
        <x:f>'Evaluation Plan'!H46</x:f>
        <x:v>Concept/compositional transfer</x:v>
      </x:c>
      <x:c r="I46" s="31" t="str">
        <x:f>'Evaluation Plan'!I46</x:f>
        <x:v>CT-CF04</x:v>
      </x:c>
      <x:c r="J46" s="31" t="str">
        <x:f>'Evaluation Plan'!J46</x:f>
        <x:v>CT-CF04-ADD</x:v>
      </x:c>
      <x:c r="K46" s="33" t="n">
        <x:f>'Evaluation Plan'!K46</x:f>
        <x:v>2</x:v>
      </x:c>
      <x:c r="L46" s="33" t="n">
        <x:f>'Evaluation Plan'!L46</x:f>
        <x:v>3</x:v>
      </x:c>
      <x:c r="M46" s="33" t="str">
        <x:f>'Evaluation Plan'!M46</x:f>
        <x:v>ADD</x:v>
      </x:c>
      <x:c r="N46" s="31" t="str">
        <x:f>'Evaluation Plan'!N46</x:f>
        <x:v>Primary: three via held-out 2→3 addition</x:v>
      </x:c>
      <x:c r="O46" s="33" t="n">
        <x:f>'Evaluation Plan'!O46</x:f>
        <x:v>2</x:v>
      </x:c>
      <x:c r="P46" s="31" t="str">
        <x:f>'Evaluation Plan'!P46</x:f>
        <x:v>Reset the exact count-2 scene; change only the prompt.</x:v>
      </x:c>
      <x:c r="Q46" s="31" t="str">
        <x:f>'Evaluation Plan'!Q46</x:f>
        <x:v>The goal word three is trained, and this 2→3 trajectory is trained under a direct instruction, but the combination is withheld.</x:v>
      </x:c>
      <x:c r="R46" s="31" t="n">
        <x:f>'Evaluation Plan'!R46</x:f>
        <x:v>0</x:v>
      </x:c>
    </x:row>
    <x:row r="47" ht="46.5" customHeight="1">
      <x:c r="A47" s="32" t="str">
        <x:v>Not collected</x:v>
      </x:c>
      <x:c r="B47" s="34" t="n">
        <x:f>'Evaluation Plan'!B47</x:f>
        <x:v>45</x:v>
      </x:c>
      <x:c r="C47" s="32" t="str">
        <x:f>'Evaluation Plan'!C47</x:f>
        <x:v>Move the yellow block into the bowl.</x:v>
      </x:c>
      <x:c r="D47" s="32" t="str">
        <x:f>'Evaluation Plan'!D47</x:f>
        <x:v>Bowl objects: [airplane toy without propellers, blue pen] | Table objects: [yellow block, green pencil sharpener]</x:v>
      </x:c>
      <x:c r="E47" s="34" t="n">
        <x:f>'Evaluation Plan'!E47</x:f>
        <x:v>44</x:v>
      </x:c>
      <x:c r="F47" s="32" t="str">
        <x:f>'Evaluation Plan'!F47</x:f>
        <x:v>ADD yellow block</x:v>
      </x:c>
      <x:c r="G47" s="32" t="str"/>
      <x:c r="H47" s="37" t="str">
        <x:f>'Evaluation Plan'!H47</x:f>
        <x:v>Matched manipulation control</x:v>
      </x:c>
      <x:c r="I47" s="32" t="str">
        <x:f>'Evaluation Plan'!I47</x:f>
        <x:v>CT-CF04</x:v>
      </x:c>
      <x:c r="J47" s="32" t="str">
        <x:f>'Evaluation Plan'!J47</x:f>
        <x:v>CT-CF04-ADD</x:v>
      </x:c>
      <x:c r="K47" s="34" t="n">
        <x:f>'Evaluation Plan'!K47</x:f>
        <x:v>2</x:v>
      </x:c>
      <x:c r="L47" s="34" t="n">
        <x:f>'Evaluation Plan'!L47</x:f>
        <x:v>3</x:v>
      </x:c>
      <x:c r="M47" s="34" t="str">
        <x:f>'Evaluation Plan'!M47</x:f>
        <x:v>ADD</x:v>
      </x:c>
      <x:c r="N47" s="32" t="str">
        <x:f>'Evaluation Plan'!N47</x:f>
        <x:v>Matched direct ADD control</x:v>
      </x:c>
      <x:c r="O47" s="34" t="n">
        <x:f>'Evaluation Plan'!O47</x:f>
        <x:v>2</x:v>
      </x:c>
      <x:c r="P47" s="32" t="str">
        <x:f>'Evaluation Plan'!P47</x:f>
        <x:v>Reset the exact count-2 scene; change only the prompt.</x:v>
      </x:c>
      <x:c r="Q47" s="32" t="str">
        <x:f>'Evaluation Plan'!Q47</x:f>
        <x:v>The direct prompt is present in Counting training for this same-task object and action direction.</x:v>
      </x:c>
      <x:c r="R47" s="32" t="n">
        <x:f>'Evaluation Plan'!R47</x:f>
        <x:v>0</x:v>
      </x:c>
    </x:row>
    <x:row r="48" ht="46.5" customHeight="1">
      <x:c r="A48" s="31" t="str">
        <x:v>Not collected</x:v>
      </x:c>
      <x:c r="B48" s="33" t="n">
        <x:f>'Evaluation Plan'!B48</x:f>
        <x:v>46</x:v>
      </x:c>
      <x:c r="C48" s="31" t="str">
        <x:f>'Evaluation Plan'!C48</x:f>
        <x:v>End with three items inside the bowl.</x:v>
      </x:c>
      <x:c r="D48" s="31" t="str">
        <x:f>'Evaluation Plan'!D48</x:f>
        <x:v>Bowl objects: [airplane toy without propellers, blue pen] | Table objects: [yellow block, green pencil sharpener]</x:v>
      </x:c>
      <x:c r="E48" s="33" t="n">
        <x:f>'Evaluation Plan'!E48</x:f>
        <x:v>44</x:v>
      </x:c>
      <x:c r="F48" s="31" t="str">
        <x:f>'Evaluation Plan'!F48</x:f>
        <x:v>ADD any one table object; finish with 3 objects in the bowl</x:v>
      </x:c>
      <x:c r="G48" s="31" t="str"/>
      <x:c r="H48" s="38" t="str">
        <x:f>'Evaluation Plan'!H48</x:f>
        <x:v>Language robustness</x:v>
      </x:c>
      <x:c r="I48" s="31" t="str">
        <x:f>'Evaluation Plan'!I48</x:f>
        <x:v>CT-CF04</x:v>
      </x:c>
      <x:c r="J48" s="31" t="str">
        <x:f>'Evaluation Plan'!J48</x:f>
        <x:v>CT-CF04-ADD</x:v>
      </x:c>
      <x:c r="K48" s="33" t="n">
        <x:f>'Evaluation Plan'!K48</x:f>
        <x:v>2</x:v>
      </x:c>
      <x:c r="L48" s="33" t="n">
        <x:f>'Evaluation Plan'!L48</x:f>
        <x:v>3</x:v>
      </x:c>
      <x:c r="M48" s="33" t="str">
        <x:f>'Evaluation Plan'!M48</x:f>
        <x:v>ADD</x:v>
      </x:c>
      <x:c r="N48" s="31" t="str">
        <x:f>'Evaluation Plan'!N48</x:f>
        <x:v>Primary compositional paraphrase: three via 2→3 addition</x:v>
      </x:c>
      <x:c r="O48" s="33" t="n">
        <x:f>'Evaluation Plan'!O48</x:f>
        <x:v>2</x:v>
      </x:c>
      <x:c r="P48" s="31" t="str">
        <x:f>'Evaluation Plan'!P48</x:f>
        <x:v>Reset the exact count-2 scene; change only the prompt.</x:v>
      </x:c>
      <x:c r="Q48" s="31" t="str">
        <x:f>'Evaluation Plan'!Q48</x:f>
        <x:v>Exact-scene paraphrase of the canonical held-out composition.</x:v>
      </x:c>
      <x:c r="R48" s="31" t="n">
        <x:f>'Evaluation Plan'!R48</x:f>
        <x:v>0</x:v>
      </x:c>
    </x:row>
    <x:row r="49" ht="46.5" customHeight="1">
      <x:c r="A49" s="32" t="str">
        <x:v>Not collected</x:v>
      </x:c>
      <x:c r="B49" s="34" t="n">
        <x:f>'Evaluation Plan'!B49</x:f>
        <x:v>47</x:v>
      </x:c>
      <x:c r="C49" s="32" t="str">
        <x:f>'Evaluation Plan'!C49</x:f>
        <x:v>Lift the yellow block from the table and set it inside the bowl.</x:v>
      </x:c>
      <x:c r="D49" s="32" t="str">
        <x:f>'Evaluation Plan'!D49</x:f>
        <x:v>Bowl objects: [airplane toy without propellers, blue pen] | Table objects: [yellow block, green pencil sharpener]</x:v>
      </x:c>
      <x:c r="E49" s="34" t="n">
        <x:f>'Evaluation Plan'!E49</x:f>
        <x:v>45</x:v>
      </x:c>
      <x:c r="F49" s="32" t="str">
        <x:f>'Evaluation Plan'!F49</x:f>
        <x:v>ADD yellow block</x:v>
      </x:c>
      <x:c r="G49" s="32" t="str"/>
      <x:c r="H49" s="38" t="str">
        <x:f>'Evaluation Plan'!H49</x:f>
        <x:v>Language robustness</x:v>
      </x:c>
      <x:c r="I49" s="32" t="str">
        <x:f>'Evaluation Plan'!I49</x:f>
        <x:v>CT-CF04</x:v>
      </x:c>
      <x:c r="J49" s="32" t="str">
        <x:f>'Evaluation Plan'!J49</x:f>
        <x:v>CT-CF04-ADD</x:v>
      </x:c>
      <x:c r="K49" s="34" t="n">
        <x:f>'Evaluation Plan'!K49</x:f>
        <x:v>2</x:v>
      </x:c>
      <x:c r="L49" s="34" t="n">
        <x:f>'Evaluation Plan'!L49</x:f>
        <x:v>3</x:v>
      </x:c>
      <x:c r="M49" s="34" t="str">
        <x:f>'Evaluation Plan'!M49</x:f>
        <x:v>ADD</x:v>
      </x:c>
      <x:c r="N49" s="32" t="str">
        <x:f>'Evaluation Plan'!N49</x:f>
        <x:v>Matched-control paraphrase: ADD</x:v>
      </x:c>
      <x:c r="O49" s="34" t="n">
        <x:f>'Evaluation Plan'!O49</x:f>
        <x:v>2</x:v>
      </x:c>
      <x:c r="P49" s="32" t="str">
        <x:f>'Evaluation Plan'!P49</x:f>
        <x:v>Reset the exact count-2 scene; change only the prompt.</x:v>
      </x:c>
      <x:c r="Q49" s="32" t="str">
        <x:f>'Evaluation Plan'!Q49</x:f>
        <x:v>Exact-scene paraphrase of the direct manipulation control.</x:v>
      </x:c>
      <x:c r="R49" s="32" t="n">
        <x:f>'Evaluation Plan'!R49</x:f>
        <x:v>0</x:v>
      </x:c>
    </x:row>
    <x:row r="50" ht="46.5" customHeight="1">
      <x:c r="A50" s="31" t="str">
        <x:v>Not collected</x:v>
      </x:c>
      <x:c r="B50" s="33" t="n">
        <x:f>'Evaluation Plan'!B50</x:f>
        <x:v>48</x:v>
      </x:c>
      <x:c r="C50" s="31" t="str">
        <x:f>'Evaluation Plan'!C50</x:f>
        <x:v>Move the airplane toy without propellers from the bowl to the table.</x:v>
      </x:c>
      <x:c r="D50" s="31" t="str">
        <x:f>'Evaluation Plan'!D50</x:f>
        <x:v>Bowl objects: [airplane toy without propellers, blue pen] | Table objects: [yellow block, green pencil sharpener]</x:v>
      </x:c>
      <x:c r="E50" s="33" t="str">
        <x:f>'Evaluation Plan'!E50</x:f>
      </x:c>
      <x:c r="F50" s="31" t="str">
        <x:f>'Evaluation Plan'!F50</x:f>
        <x:v>REMOVE airplane toy without propellers</x:v>
      </x:c>
      <x:c r="G50" s="31" t="str"/>
      <x:c r="H50" s="37" t="str">
        <x:f>'Evaluation Plan'!H50</x:f>
        <x:v>Matched manipulation control</x:v>
      </x:c>
      <x:c r="I50" s="31" t="str">
        <x:f>'Evaluation Plan'!I50</x:f>
        <x:v>CT-CF04</x:v>
      </x:c>
      <x:c r="J50" s="31" t="str">
        <x:f>'Evaluation Plan'!J50</x:f>
        <x:v>CT-CF04-REMOVE</x:v>
      </x:c>
      <x:c r="K50" s="33" t="n">
        <x:f>'Evaluation Plan'!K50</x:f>
        <x:v>2</x:v>
      </x:c>
      <x:c r="L50" s="33" t="n">
        <x:f>'Evaluation Plan'!L50</x:f>
        <x:v>1</x:v>
      </x:c>
      <x:c r="M50" s="33" t="str">
        <x:f>'Evaluation Plan'!M50</x:f>
        <x:v>REMOVE</x:v>
      </x:c>
      <x:c r="N50" s="31" t="str">
        <x:f>'Evaluation Plan'!N50</x:f>
        <x:v>Matched direct REMOVE control</x:v>
      </x:c>
      <x:c r="O50" s="33" t="n">
        <x:f>'Evaluation Plan'!O50</x:f>
        <x:v>2</x:v>
      </x:c>
      <x:c r="P50" s="31" t="str">
        <x:f>'Evaluation Plan'!P50</x:f>
        <x:v>Reset the exact count-2 scene; change only the prompt.</x:v>
      </x:c>
      <x:c r="Q50" s="31" t="str">
        <x:f>'Evaluation Plan'!Q50</x:f>
        <x:v>The direct prompt is present in Counting training for this same-task object and action direction.</x:v>
      </x:c>
      <x:c r="R50" s="31" t="n">
        <x:f>'Evaluation Plan'!R50</x:f>
        <x:v>0</x:v>
      </x:c>
    </x:row>
    <x:row r="51" ht="46.5" customHeight="1">
      <x:c r="A51" s="32" t="str">
        <x:v>Not collected</x:v>
      </x:c>
      <x:c r="B51" s="34" t="n">
        <x:f>'Evaluation Plan'!B51</x:f>
        <x:v>49</x:v>
      </x:c>
      <x:c r="C51" s="32" t="str">
        <x:f>'Evaluation Plan'!C51</x:f>
        <x:v>Leave exactly one object in the bowl.</x:v>
      </x:c>
      <x:c r="D51" s="32" t="str">
        <x:f>'Evaluation Plan'!D51</x:f>
        <x:v>Bowl objects: [airplane toy without propellers, blue pen] | Table objects: [yellow block, green pencil sharpener]</x:v>
      </x:c>
      <x:c r="E51" s="34" t="n">
        <x:f>'Evaluation Plan'!E51</x:f>
        <x:v>48</x:v>
      </x:c>
      <x:c r="F51" s="32" t="str">
        <x:f>'Evaluation Plan'!F51</x:f>
        <x:v>REMOVE any one bowl object; finish with 1 object in the bowl</x:v>
      </x:c>
      <x:c r="G51" s="32" t="str"/>
      <x:c r="H51" s="36" t="str">
        <x:f>'Evaluation Plan'!H51</x:f>
        <x:v>Concept/compositional transfer</x:v>
      </x:c>
      <x:c r="I51" s="32" t="str">
        <x:f>'Evaluation Plan'!I51</x:f>
        <x:v>CT-CF04</x:v>
      </x:c>
      <x:c r="J51" s="32" t="str">
        <x:f>'Evaluation Plan'!J51</x:f>
        <x:v>CT-CF04-REMOVE</x:v>
      </x:c>
      <x:c r="K51" s="34" t="n">
        <x:f>'Evaluation Plan'!K51</x:f>
        <x:v>2</x:v>
      </x:c>
      <x:c r="L51" s="34" t="n">
        <x:f>'Evaluation Plan'!L51</x:f>
        <x:v>1</x:v>
      </x:c>
      <x:c r="M51" s="34" t="str">
        <x:f>'Evaluation Plan'!M51</x:f>
        <x:v>REMOVE</x:v>
      </x:c>
      <x:c r="N51" s="32" t="str">
        <x:f>'Evaluation Plan'!N51</x:f>
        <x:v>Primary: one via held-out 2→1 removal</x:v>
      </x:c>
      <x:c r="O51" s="34" t="n">
        <x:f>'Evaluation Plan'!O51</x:f>
        <x:v>2</x:v>
      </x:c>
      <x:c r="P51" s="32" t="str">
        <x:f>'Evaluation Plan'!P51</x:f>
        <x:v>Build the listed count-2 scene.</x:v>
      </x:c>
      <x:c r="Q51" s="32" t="str">
        <x:f>'Evaluation Plan'!Q51</x:f>
        <x:v>The goal word one is trained, and this 2→1 trajectory is trained under a direct instruction, but the combination is withheld.</x:v>
      </x:c>
      <x:c r="R51" s="32" t="n">
        <x:f>'Evaluation Plan'!R51</x:f>
        <x:v>0</x:v>
      </x:c>
    </x:row>
    <x:row r="52" ht="46.5" customHeight="1">
      <x:c r="A52" s="31" t="str">
        <x:v>Not collected</x:v>
      </x:c>
      <x:c r="B52" s="33" t="n">
        <x:f>'Evaluation Plan'!B52</x:f>
        <x:v>50</x:v>
      </x:c>
      <x:c r="C52" s="31" t="str">
        <x:f>'Evaluation Plan'!C52</x:f>
        <x:v>Lift the airplane toy without propellers out of the bowl and set it on the table.</x:v>
      </x:c>
      <x:c r="D52" s="31" t="str">
        <x:f>'Evaluation Plan'!D52</x:f>
        <x:v>Bowl objects: [airplane toy without propellers, blue pen] | Table objects: [yellow block, green pencil sharpener]</x:v>
      </x:c>
      <x:c r="E52" s="33" t="n">
        <x:f>'Evaluation Plan'!E52</x:f>
        <x:v>48</x:v>
      </x:c>
      <x:c r="F52" s="31" t="str">
        <x:f>'Evaluation Plan'!F52</x:f>
        <x:v>REMOVE airplane toy without propellers</x:v>
      </x:c>
      <x:c r="G52" s="31" t="str"/>
      <x:c r="H52" s="38" t="str">
        <x:f>'Evaluation Plan'!H52</x:f>
        <x:v>Language robustness</x:v>
      </x:c>
      <x:c r="I52" s="31" t="str">
        <x:f>'Evaluation Plan'!I52</x:f>
        <x:v>CT-CF04</x:v>
      </x:c>
      <x:c r="J52" s="31" t="str">
        <x:f>'Evaluation Plan'!J52</x:f>
        <x:v>CT-CF04-REMOVE</x:v>
      </x:c>
      <x:c r="K52" s="33" t="n">
        <x:f>'Evaluation Plan'!K52</x:f>
        <x:v>2</x:v>
      </x:c>
      <x:c r="L52" s="33" t="n">
        <x:f>'Evaluation Plan'!L52</x:f>
        <x:v>1</x:v>
      </x:c>
      <x:c r="M52" s="33" t="str">
        <x:f>'Evaluation Plan'!M52</x:f>
        <x:v>REMOVE</x:v>
      </x:c>
      <x:c r="N52" s="31" t="str">
        <x:f>'Evaluation Plan'!N52</x:f>
        <x:v>Matched-control paraphrase: REMOVE</x:v>
      </x:c>
      <x:c r="O52" s="33" t="n">
        <x:f>'Evaluation Plan'!O52</x:f>
        <x:v>2</x:v>
      </x:c>
      <x:c r="P52" s="31" t="str">
        <x:f>'Evaluation Plan'!P52</x:f>
        <x:v>Reset the exact count-2 scene; change only the prompt.</x:v>
      </x:c>
      <x:c r="Q52" s="31" t="str">
        <x:f>'Evaluation Plan'!Q52</x:f>
        <x:v>Exact-scene paraphrase of the direct manipulation control.</x:v>
      </x:c>
      <x:c r="R52" s="31" t="n">
        <x:f>'Evaluation Plan'!R52</x:f>
        <x:v>0</x:v>
      </x:c>
    </x:row>
    <x:row r="53" ht="46.5" customHeight="1">
      <x:c r="A53" s="32" t="str">
        <x:v>Not collected</x:v>
      </x:c>
      <x:c r="B53" s="34" t="n">
        <x:f>'Evaluation Plan'!B53</x:f>
        <x:v>51</x:v>
      </x:c>
      <x:c r="C53" s="32" t="str">
        <x:f>'Evaluation Plan'!C53</x:f>
        <x:v>End with a single object in the bowl.</x:v>
      </x:c>
      <x:c r="D53" s="32" t="str">
        <x:f>'Evaluation Plan'!D53</x:f>
        <x:v>Bowl objects: [airplane toy without propellers, blue pen] | Table objects: [yellow block, green pencil sharpener]</x:v>
      </x:c>
      <x:c r="E53" s="34" t="n">
        <x:f>'Evaluation Plan'!E53</x:f>
        <x:v>49</x:v>
      </x:c>
      <x:c r="F53" s="32" t="str">
        <x:f>'Evaluation Plan'!F53</x:f>
        <x:v>REMOVE any one bowl object; finish with 1 object in the bowl</x:v>
      </x:c>
      <x:c r="G53" s="32" t="str"/>
      <x:c r="H53" s="38" t="str">
        <x:f>'Evaluation Plan'!H53</x:f>
        <x:v>Language robustness</x:v>
      </x:c>
      <x:c r="I53" s="32" t="str">
        <x:f>'Evaluation Plan'!I53</x:f>
        <x:v>CT-CF04</x:v>
      </x:c>
      <x:c r="J53" s="32" t="str">
        <x:f>'Evaluation Plan'!J53</x:f>
        <x:v>CT-CF04-REMOVE</x:v>
      </x:c>
      <x:c r="K53" s="34" t="n">
        <x:f>'Evaluation Plan'!K53</x:f>
        <x:v>2</x:v>
      </x:c>
      <x:c r="L53" s="34" t="n">
        <x:f>'Evaluation Plan'!L53</x:f>
        <x:v>1</x:v>
      </x:c>
      <x:c r="M53" s="34" t="str">
        <x:f>'Evaluation Plan'!M53</x:f>
        <x:v>REMOVE</x:v>
      </x:c>
      <x:c r="N53" s="32" t="str">
        <x:f>'Evaluation Plan'!N53</x:f>
        <x:v>Primary compositional paraphrase: one via 2→1 removal</x:v>
      </x:c>
      <x:c r="O53" s="34" t="n">
        <x:f>'Evaluation Plan'!O53</x:f>
        <x:v>2</x:v>
      </x:c>
      <x:c r="P53" s="32" t="str">
        <x:f>'Evaluation Plan'!P53</x:f>
        <x:v>Build the listed count-2 scene.</x:v>
      </x:c>
      <x:c r="Q53" s="32" t="str">
        <x:f>'Evaluation Plan'!Q53</x:f>
        <x:v>Exact-scene paraphrase of the canonical held-out composition.</x:v>
      </x:c>
      <x:c r="R53" s="32" t="n">
        <x:f>'Evaluation Plan'!R53</x:f>
        <x:v>0</x:v>
      </x:c>
    </x:row>
    <x:row r="54" ht="46.5" customHeight="1">
      <x:c r="A54" s="31" t="str">
        <x:v>Not collected</x:v>
      </x:c>
      <x:c r="B54" s="33" t="n">
        <x:f>'Evaluation Plan'!B54</x:f>
        <x:v>52</x:v>
      </x:c>
      <x:c r="C54" s="31" t="str">
        <x:f>'Evaluation Plan'!C54</x:f>
        <x:v>Leave exactly one object in the bowl.</x:v>
      </x:c>
      <x:c r="D54" s="31" t="str">
        <x:f>'Evaluation Plan'!D54</x:f>
        <x:v>Bowl objects: [blue pen, yellow block] | Table objects: [green pencil sharpener, airplane toy without propellers]</x:v>
      </x:c>
      <x:c r="E54" s="33" t="str">
        <x:f>'Evaluation Plan'!E54</x:f>
      </x:c>
      <x:c r="F54" s="31" t="str">
        <x:f>'Evaluation Plan'!F54</x:f>
        <x:v>REMOVE any one bowl object; finish with 1 object in the bowl</x:v>
      </x:c>
      <x:c r="G54" s="31" t="str"/>
      <x:c r="H54" s="36" t="str">
        <x:f>'Evaluation Plan'!H54</x:f>
        <x:v>Concept/compositional transfer</x:v>
      </x:c>
      <x:c r="I54" s="31" t="str">
        <x:f>'Evaluation Plan'!I54</x:f>
        <x:v>CT-CF05</x:v>
      </x:c>
      <x:c r="J54" s="31" t="str">
        <x:f>'Evaluation Plan'!J54</x:f>
        <x:v>CT-CF05-REMOVE</x:v>
      </x:c>
      <x:c r="K54" s="33" t="n">
        <x:f>'Evaluation Plan'!K54</x:f>
        <x:v>2</x:v>
      </x:c>
      <x:c r="L54" s="33" t="n">
        <x:f>'Evaluation Plan'!L54</x:f>
        <x:v>1</x:v>
      </x:c>
      <x:c r="M54" s="33" t="str">
        <x:f>'Evaluation Plan'!M54</x:f>
        <x:v>REMOVE</x:v>
      </x:c>
      <x:c r="N54" s="31" t="str">
        <x:f>'Evaluation Plan'!N54</x:f>
        <x:v>Primary: one via held-out 2→1 removal</x:v>
      </x:c>
      <x:c r="O54" s="33" t="n">
        <x:f>'Evaluation Plan'!O54</x:f>
        <x:v>2</x:v>
      </x:c>
      <x:c r="P54" s="31" t="str">
        <x:f>'Evaluation Plan'!P54</x:f>
        <x:v>Build the listed count-2 scene.</x:v>
      </x:c>
      <x:c r="Q54" s="31" t="str">
        <x:f>'Evaluation Plan'!Q54</x:f>
        <x:v>The goal word one is trained, and this 2→1 trajectory is trained under a direct instruction, but the combination is withheld.</x:v>
      </x:c>
      <x:c r="R54" s="31" t="n">
        <x:f>'Evaluation Plan'!R54</x:f>
        <x:v>0</x:v>
      </x:c>
    </x:row>
    <x:row r="55" ht="46.5" customHeight="1">
      <x:c r="A55" s="32" t="str">
        <x:v>Not collected</x:v>
      </x:c>
      <x:c r="B55" s="34" t="n">
        <x:f>'Evaluation Plan'!B55</x:f>
        <x:v>53</x:v>
      </x:c>
      <x:c r="C55" s="32" t="str">
        <x:f>'Evaluation Plan'!C55</x:f>
        <x:v>Move the blue pen from the bowl to the table.</x:v>
      </x:c>
      <x:c r="D55" s="32" t="str">
        <x:f>'Evaluation Plan'!D55</x:f>
        <x:v>Bowl objects: [blue pen, yellow block] | Table objects: [green pencil sharpener, airplane toy without propellers]</x:v>
      </x:c>
      <x:c r="E55" s="34" t="n">
        <x:f>'Evaluation Plan'!E55</x:f>
        <x:v>52</x:v>
      </x:c>
      <x:c r="F55" s="32" t="str">
        <x:f>'Evaluation Plan'!F55</x:f>
        <x:v>REMOVE blue pen</x:v>
      </x:c>
      <x:c r="G55" s="32" t="str"/>
      <x:c r="H55" s="37" t="str">
        <x:f>'Evaluation Plan'!H55</x:f>
        <x:v>Matched manipulation control</x:v>
      </x:c>
      <x:c r="I55" s="32" t="str">
        <x:f>'Evaluation Plan'!I55</x:f>
        <x:v>CT-CF05</x:v>
      </x:c>
      <x:c r="J55" s="32" t="str">
        <x:f>'Evaluation Plan'!J55</x:f>
        <x:v>CT-CF05-REMOVE</x:v>
      </x:c>
      <x:c r="K55" s="34" t="n">
        <x:f>'Evaluation Plan'!K55</x:f>
        <x:v>2</x:v>
      </x:c>
      <x:c r="L55" s="34" t="n">
        <x:f>'Evaluation Plan'!L55</x:f>
        <x:v>1</x:v>
      </x:c>
      <x:c r="M55" s="34" t="str">
        <x:f>'Evaluation Plan'!M55</x:f>
        <x:v>REMOVE</x:v>
      </x:c>
      <x:c r="N55" s="32" t="str">
        <x:f>'Evaluation Plan'!N55</x:f>
        <x:v>Matched direct REMOVE control</x:v>
      </x:c>
      <x:c r="O55" s="34" t="n">
        <x:f>'Evaluation Plan'!O55</x:f>
        <x:v>2</x:v>
      </x:c>
      <x:c r="P55" s="32" t="str">
        <x:f>'Evaluation Plan'!P55</x:f>
        <x:v>Reset the exact count-2 scene; change only the prompt.</x:v>
      </x:c>
      <x:c r="Q55" s="32" t="str">
        <x:f>'Evaluation Plan'!Q55</x:f>
        <x:v>The direct prompt is present in Counting training for this same-task object and action direction.</x:v>
      </x:c>
      <x:c r="R55" s="32" t="n">
        <x:f>'Evaluation Plan'!R55</x:f>
        <x:v>0</x:v>
      </x:c>
    </x:row>
    <x:row r="56" ht="46.5" customHeight="1">
      <x:c r="A56" s="31" t="str">
        <x:v>Not collected</x:v>
      </x:c>
      <x:c r="B56" s="33" t="n">
        <x:f>'Evaluation Plan'!B56</x:f>
        <x:v>54</x:v>
      </x:c>
      <x:c r="C56" s="31" t="str">
        <x:f>'Evaluation Plan'!C56</x:f>
        <x:v>Adjust the contents until only one object remains in the bowl.</x:v>
      </x:c>
      <x:c r="D56" s="31" t="str">
        <x:f>'Evaluation Plan'!D56</x:f>
        <x:v>Bowl objects: [blue pen, yellow block] | Table objects: [green pencil sharpener, airplane toy without propellers]</x:v>
      </x:c>
      <x:c r="E56" s="33" t="n">
        <x:f>'Evaluation Plan'!E56</x:f>
        <x:v>52</x:v>
      </x:c>
      <x:c r="F56" s="31" t="str">
        <x:f>'Evaluation Plan'!F56</x:f>
        <x:v>REMOVE any one bowl object; finish with 1 object in the bowl</x:v>
      </x:c>
      <x:c r="G56" s="31" t="str"/>
      <x:c r="H56" s="38" t="str">
        <x:f>'Evaluation Plan'!H56</x:f>
        <x:v>Language robustness</x:v>
      </x:c>
      <x:c r="I56" s="31" t="str">
        <x:f>'Evaluation Plan'!I56</x:f>
        <x:v>CT-CF05</x:v>
      </x:c>
      <x:c r="J56" s="31" t="str">
        <x:f>'Evaluation Plan'!J56</x:f>
        <x:v>CT-CF05-REMOVE</x:v>
      </x:c>
      <x:c r="K56" s="33" t="n">
        <x:f>'Evaluation Plan'!K56</x:f>
        <x:v>2</x:v>
      </x:c>
      <x:c r="L56" s="33" t="n">
        <x:f>'Evaluation Plan'!L56</x:f>
        <x:v>1</x:v>
      </x:c>
      <x:c r="M56" s="33" t="str">
        <x:f>'Evaluation Plan'!M56</x:f>
        <x:v>REMOVE</x:v>
      </x:c>
      <x:c r="N56" s="31" t="str">
        <x:f>'Evaluation Plan'!N56</x:f>
        <x:v>Primary compositional paraphrase: one via 2→1 removal</x:v>
      </x:c>
      <x:c r="O56" s="33" t="n">
        <x:f>'Evaluation Plan'!O56</x:f>
        <x:v>2</x:v>
      </x:c>
      <x:c r="P56" s="31" t="str">
        <x:f>'Evaluation Plan'!P56</x:f>
        <x:v>Build the listed count-2 scene.</x:v>
      </x:c>
      <x:c r="Q56" s="31" t="str">
        <x:f>'Evaluation Plan'!Q56</x:f>
        <x:v>Exact-scene paraphrase of the canonical held-out composition.</x:v>
      </x:c>
      <x:c r="R56" s="31" t="n">
        <x:f>'Evaluation Plan'!R56</x:f>
        <x:v>0</x:v>
      </x:c>
    </x:row>
    <x:row r="57" ht="46.5" customHeight="1">
      <x:c r="A57" s="32" t="str">
        <x:v>Not collected</x:v>
      </x:c>
      <x:c r="B57" s="34" t="n">
        <x:f>'Evaluation Plan'!B57</x:f>
        <x:v>55</x:v>
      </x:c>
      <x:c r="C57" s="32" t="str">
        <x:f>'Evaluation Plan'!C57</x:f>
        <x:v>Lift the blue pen out of the bowl and set it on the table.</x:v>
      </x:c>
      <x:c r="D57" s="32" t="str">
        <x:f>'Evaluation Plan'!D57</x:f>
        <x:v>Bowl objects: [blue pen, yellow block] | Table objects: [green pencil sharpener, airplane toy without propellers]</x:v>
      </x:c>
      <x:c r="E57" s="34" t="n">
        <x:f>'Evaluation Plan'!E57</x:f>
        <x:v>53</x:v>
      </x:c>
      <x:c r="F57" s="32" t="str">
        <x:f>'Evaluation Plan'!F57</x:f>
        <x:v>REMOVE blue pen</x:v>
      </x:c>
      <x:c r="G57" s="32" t="str"/>
      <x:c r="H57" s="38" t="str">
        <x:f>'Evaluation Plan'!H57</x:f>
        <x:v>Language robustness</x:v>
      </x:c>
      <x:c r="I57" s="32" t="str">
        <x:f>'Evaluation Plan'!I57</x:f>
        <x:v>CT-CF05</x:v>
      </x:c>
      <x:c r="J57" s="32" t="str">
        <x:f>'Evaluation Plan'!J57</x:f>
        <x:v>CT-CF05-REMOVE</x:v>
      </x:c>
      <x:c r="K57" s="34" t="n">
        <x:f>'Evaluation Plan'!K57</x:f>
        <x:v>2</x:v>
      </x:c>
      <x:c r="L57" s="34" t="n">
        <x:f>'Evaluation Plan'!L57</x:f>
        <x:v>1</x:v>
      </x:c>
      <x:c r="M57" s="34" t="str">
        <x:f>'Evaluation Plan'!M57</x:f>
        <x:v>REMOVE</x:v>
      </x:c>
      <x:c r="N57" s="32" t="str">
        <x:f>'Evaluation Plan'!N57</x:f>
        <x:v>Matched-control paraphrase: REMOVE</x:v>
      </x:c>
      <x:c r="O57" s="34" t="n">
        <x:f>'Evaluation Plan'!O57</x:f>
        <x:v>2</x:v>
      </x:c>
      <x:c r="P57" s="32" t="str">
        <x:f>'Evaluation Plan'!P57</x:f>
        <x:v>Reset the exact count-2 scene; change only the prompt.</x:v>
      </x:c>
      <x:c r="Q57" s="32" t="str">
        <x:f>'Evaluation Plan'!Q57</x:f>
        <x:v>Exact-scene paraphrase of the direct manipulation control.</x:v>
      </x:c>
      <x:c r="R57" s="32" t="n">
        <x:f>'Evaluation Plan'!R57</x:f>
        <x:v>0</x:v>
      </x:c>
    </x:row>
    <x:row r="58" ht="46.5" customHeight="1">
      <x:c r="A58" s="31" t="str">
        <x:v>Not collected</x:v>
      </x:c>
      <x:c r="B58" s="33" t="n">
        <x:f>'Evaluation Plan'!B58</x:f>
        <x:v>56</x:v>
      </x:c>
      <x:c r="C58" s="31" t="str">
        <x:f>'Evaluation Plan'!C58</x:f>
        <x:v>Move the green pencil sharpener into the bowl.</x:v>
      </x:c>
      <x:c r="D58" s="31" t="str">
        <x:f>'Evaluation Plan'!D58</x:f>
        <x:v>Bowl objects: [blue pen, yellow block] | Table objects: [green pencil sharpener, airplane toy without propellers]</x:v>
      </x:c>
      <x:c r="E58" s="33" t="str">
        <x:f>'Evaluation Plan'!E58</x:f>
      </x:c>
      <x:c r="F58" s="31" t="str">
        <x:f>'Evaluation Plan'!F58</x:f>
        <x:v>ADD green pencil sharpener</x:v>
      </x:c>
      <x:c r="G58" s="31" t="str"/>
      <x:c r="H58" s="37" t="str">
        <x:f>'Evaluation Plan'!H58</x:f>
        <x:v>Matched manipulation control</x:v>
      </x:c>
      <x:c r="I58" s="31" t="str">
        <x:f>'Evaluation Plan'!I58</x:f>
        <x:v>CT-CF05</x:v>
      </x:c>
      <x:c r="J58" s="31" t="str">
        <x:f>'Evaluation Plan'!J58</x:f>
        <x:v>CT-CF05-ADD</x:v>
      </x:c>
      <x:c r="K58" s="33" t="n">
        <x:f>'Evaluation Plan'!K58</x:f>
        <x:v>2</x:v>
      </x:c>
      <x:c r="L58" s="33" t="n">
        <x:f>'Evaluation Plan'!L58</x:f>
        <x:v>3</x:v>
      </x:c>
      <x:c r="M58" s="33" t="str">
        <x:f>'Evaluation Plan'!M58</x:f>
        <x:v>ADD</x:v>
      </x:c>
      <x:c r="N58" s="31" t="str">
        <x:f>'Evaluation Plan'!N58</x:f>
        <x:v>Matched direct ADD control</x:v>
      </x:c>
      <x:c r="O58" s="33" t="n">
        <x:f>'Evaluation Plan'!O58</x:f>
        <x:v>2</x:v>
      </x:c>
      <x:c r="P58" s="31" t="str">
        <x:f>'Evaluation Plan'!P58</x:f>
        <x:v>Reset the exact count-2 scene; change only the prompt.</x:v>
      </x:c>
      <x:c r="Q58" s="31" t="str">
        <x:f>'Evaluation Plan'!Q58</x:f>
        <x:v>The direct prompt is present in Counting training for this same-task object and action direction.</x:v>
      </x:c>
      <x:c r="R58" s="31" t="n">
        <x:f>'Evaluation Plan'!R58</x:f>
        <x:v>0</x:v>
      </x:c>
    </x:row>
    <x:row r="59" ht="46.5" customHeight="1">
      <x:c r="A59" s="32" t="str">
        <x:v>Not collected</x:v>
      </x:c>
      <x:c r="B59" s="34" t="n">
        <x:f>'Evaluation Plan'!B59</x:f>
        <x:v>57</x:v>
      </x:c>
      <x:c r="C59" s="32" t="str">
        <x:f>'Evaluation Plan'!C59</x:f>
        <x:v>Leave exactly three objects in the bowl.</x:v>
      </x:c>
      <x:c r="D59" s="32" t="str">
        <x:f>'Evaluation Plan'!D59</x:f>
        <x:v>Bowl objects: [blue pen, yellow block] | Table objects: [green pencil sharpener, airplane toy without propellers]</x:v>
      </x:c>
      <x:c r="E59" s="34" t="n">
        <x:f>'Evaluation Plan'!E59</x:f>
        <x:v>56</x:v>
      </x:c>
      <x:c r="F59" s="32" t="str">
        <x:f>'Evaluation Plan'!F59</x:f>
        <x:v>ADD any one table object; finish with 3 objects in the bowl</x:v>
      </x:c>
      <x:c r="G59" s="32" t="str"/>
      <x:c r="H59" s="36" t="str">
        <x:f>'Evaluation Plan'!H59</x:f>
        <x:v>Concept/compositional transfer</x:v>
      </x:c>
      <x:c r="I59" s="32" t="str">
        <x:f>'Evaluation Plan'!I59</x:f>
        <x:v>CT-CF05</x:v>
      </x:c>
      <x:c r="J59" s="32" t="str">
        <x:f>'Evaluation Plan'!J59</x:f>
        <x:v>CT-CF05-ADD</x:v>
      </x:c>
      <x:c r="K59" s="34" t="n">
        <x:f>'Evaluation Plan'!K59</x:f>
        <x:v>2</x:v>
      </x:c>
      <x:c r="L59" s="34" t="n">
        <x:f>'Evaluation Plan'!L59</x:f>
        <x:v>3</x:v>
      </x:c>
      <x:c r="M59" s="34" t="str">
        <x:f>'Evaluation Plan'!M59</x:f>
        <x:v>ADD</x:v>
      </x:c>
      <x:c r="N59" s="32" t="str">
        <x:f>'Evaluation Plan'!N59</x:f>
        <x:v>Primary: three via held-out 2→3 addition</x:v>
      </x:c>
      <x:c r="O59" s="34" t="n">
        <x:f>'Evaluation Plan'!O59</x:f>
        <x:v>2</x:v>
      </x:c>
      <x:c r="P59" s="32" t="str">
        <x:f>'Evaluation Plan'!P59</x:f>
        <x:v>Reset the exact count-2 scene; change only the prompt.</x:v>
      </x:c>
      <x:c r="Q59" s="32" t="str">
        <x:f>'Evaluation Plan'!Q59</x:f>
        <x:v>The goal word three is trained, and this 2→3 trajectory is trained under a direct instruction, but the combination is withheld.</x:v>
      </x:c>
      <x:c r="R59" s="32" t="n">
        <x:f>'Evaluation Plan'!R59</x:f>
        <x:v>0</x:v>
      </x:c>
    </x:row>
    <x:row r="60" ht="46.5" customHeight="1">
      <x:c r="A60" s="31" t="str">
        <x:v>Not collected</x:v>
      </x:c>
      <x:c r="B60" s="33" t="n">
        <x:f>'Evaluation Plan'!B60</x:f>
        <x:v>58</x:v>
      </x:c>
      <x:c r="C60" s="31" t="str">
        <x:f>'Evaluation Plan'!C60</x:f>
        <x:v>Lift the green pencil sharpener from the table and set it inside the bowl.</x:v>
      </x:c>
      <x:c r="D60" s="31" t="str">
        <x:f>'Evaluation Plan'!D60</x:f>
        <x:v>Bowl objects: [blue pen, yellow block] | Table objects: [green pencil sharpener, airplane toy without propellers]</x:v>
      </x:c>
      <x:c r="E60" s="33" t="n">
        <x:f>'Evaluation Plan'!E60</x:f>
        <x:v>56</x:v>
      </x:c>
      <x:c r="F60" s="31" t="str">
        <x:f>'Evaluation Plan'!F60</x:f>
        <x:v>ADD green pencil sharpener</x:v>
      </x:c>
      <x:c r="G60" s="31" t="str"/>
      <x:c r="H60" s="38" t="str">
        <x:f>'Evaluation Plan'!H60</x:f>
        <x:v>Language robustness</x:v>
      </x:c>
      <x:c r="I60" s="31" t="str">
        <x:f>'Evaluation Plan'!I60</x:f>
        <x:v>CT-CF05</x:v>
      </x:c>
      <x:c r="J60" s="31" t="str">
        <x:f>'Evaluation Plan'!J60</x:f>
        <x:v>CT-CF05-ADD</x:v>
      </x:c>
      <x:c r="K60" s="33" t="n">
        <x:f>'Evaluation Plan'!K60</x:f>
        <x:v>2</x:v>
      </x:c>
      <x:c r="L60" s="33" t="n">
        <x:f>'Evaluation Plan'!L60</x:f>
        <x:v>3</x:v>
      </x:c>
      <x:c r="M60" s="33" t="str">
        <x:f>'Evaluation Plan'!M60</x:f>
        <x:v>ADD</x:v>
      </x:c>
      <x:c r="N60" s="31" t="str">
        <x:f>'Evaluation Plan'!N60</x:f>
        <x:v>Matched-control paraphrase: ADD</x:v>
      </x:c>
      <x:c r="O60" s="33" t="n">
        <x:f>'Evaluation Plan'!O60</x:f>
        <x:v>2</x:v>
      </x:c>
      <x:c r="P60" s="31" t="str">
        <x:f>'Evaluation Plan'!P60</x:f>
        <x:v>Reset the exact count-2 scene; change only the prompt.</x:v>
      </x:c>
      <x:c r="Q60" s="31" t="str">
        <x:f>'Evaluation Plan'!Q60</x:f>
        <x:v>Exact-scene paraphrase of the direct manipulation control.</x:v>
      </x:c>
      <x:c r="R60" s="31" t="n">
        <x:f>'Evaluation Plan'!R60</x:f>
        <x:v>0</x:v>
      </x:c>
    </x:row>
    <x:row r="61" ht="46.5" customHeight="1">
      <x:c r="A61" s="32" t="str">
        <x:v>Not collected</x:v>
      </x:c>
      <x:c r="B61" s="34" t="n">
        <x:f>'Evaluation Plan'!B61</x:f>
        <x:v>59</x:v>
      </x:c>
      <x:c r="C61" s="32" t="str">
        <x:f>'Evaluation Plan'!C61</x:f>
        <x:v>Adjust the contents until three objects remain in the bowl.</x:v>
      </x:c>
      <x:c r="D61" s="32" t="str">
        <x:f>'Evaluation Plan'!D61</x:f>
        <x:v>Bowl objects: [blue pen, yellow block] | Table objects: [green pencil sharpener, airplane toy without propellers]</x:v>
      </x:c>
      <x:c r="E61" s="34" t="n">
        <x:f>'Evaluation Plan'!E61</x:f>
        <x:v>57</x:v>
      </x:c>
      <x:c r="F61" s="32" t="str">
        <x:f>'Evaluation Plan'!F61</x:f>
        <x:v>ADD any one table object; finish with 3 objects in the bowl</x:v>
      </x:c>
      <x:c r="G61" s="32" t="str"/>
      <x:c r="H61" s="38" t="str">
        <x:f>'Evaluation Plan'!H61</x:f>
        <x:v>Language robustness</x:v>
      </x:c>
      <x:c r="I61" s="32" t="str">
        <x:f>'Evaluation Plan'!I61</x:f>
        <x:v>CT-CF05</x:v>
      </x:c>
      <x:c r="J61" s="32" t="str">
        <x:f>'Evaluation Plan'!J61</x:f>
        <x:v>CT-CF05-ADD</x:v>
      </x:c>
      <x:c r="K61" s="34" t="n">
        <x:f>'Evaluation Plan'!K61</x:f>
        <x:v>2</x:v>
      </x:c>
      <x:c r="L61" s="34" t="n">
        <x:f>'Evaluation Plan'!L61</x:f>
        <x:v>3</x:v>
      </x:c>
      <x:c r="M61" s="34" t="str">
        <x:f>'Evaluation Plan'!M61</x:f>
        <x:v>ADD</x:v>
      </x:c>
      <x:c r="N61" s="32" t="str">
        <x:f>'Evaluation Plan'!N61</x:f>
        <x:v>Primary compositional paraphrase: three via 2→3 addition</x:v>
      </x:c>
      <x:c r="O61" s="34" t="n">
        <x:f>'Evaluation Plan'!O61</x:f>
        <x:v>2</x:v>
      </x:c>
      <x:c r="P61" s="32" t="str">
        <x:f>'Evaluation Plan'!P61</x:f>
        <x:v>Reset the exact count-2 scene; change only the prompt.</x:v>
      </x:c>
      <x:c r="Q61" s="32" t="str">
        <x:f>'Evaluation Plan'!Q61</x:f>
        <x:v>Exact-scene paraphrase of the canonical held-out composition.</x:v>
      </x:c>
      <x:c r="R61" s="32" t="n">
        <x:f>'Evaluation Plan'!R61</x:f>
        <x:v>0</x:v>
      </x:c>
    </x:row>
    <x:row r="62" ht="46.5" customHeight="1">
      <x:c r="A62" s="31" t="str">
        <x:v>Not collected</x:v>
      </x:c>
      <x:c r="B62" s="33" t="n">
        <x:f>'Evaluation Plan'!B62</x:f>
        <x:v>60</x:v>
      </x:c>
      <x:c r="C62" s="31" t="str">
        <x:f>'Evaluation Plan'!C62</x:f>
        <x:v>Leave exactly three objects in the bowl.</x:v>
      </x:c>
      <x:c r="D62" s="31" t="str">
        <x:f>'Evaluation Plan'!D62</x:f>
        <x:v>Bowl objects: [yellow block, blue pen] | Table objects: [green pencil sharpener, airplane toy without propellers]</x:v>
      </x:c>
      <x:c r="E62" s="33" t="str">
        <x:f>'Evaluation Plan'!E62</x:f>
      </x:c>
      <x:c r="F62" s="31" t="str">
        <x:f>'Evaluation Plan'!F62</x:f>
        <x:v>ADD any one table object; finish with 3 objects in the bowl</x:v>
      </x:c>
      <x:c r="G62" s="31" t="str"/>
      <x:c r="H62" s="36" t="str">
        <x:f>'Evaluation Plan'!H62</x:f>
        <x:v>Concept/compositional transfer</x:v>
      </x:c>
      <x:c r="I62" s="31" t="str">
        <x:f>'Evaluation Plan'!I62</x:f>
        <x:v>CT-CF06</x:v>
      </x:c>
      <x:c r="J62" s="31" t="str">
        <x:f>'Evaluation Plan'!J62</x:f>
        <x:v>CT-CF06-ADD</x:v>
      </x:c>
      <x:c r="K62" s="33" t="n">
        <x:f>'Evaluation Plan'!K62</x:f>
        <x:v>2</x:v>
      </x:c>
      <x:c r="L62" s="33" t="n">
        <x:f>'Evaluation Plan'!L62</x:f>
        <x:v>3</x:v>
      </x:c>
      <x:c r="M62" s="33" t="str">
        <x:f>'Evaluation Plan'!M62</x:f>
        <x:v>ADD</x:v>
      </x:c>
      <x:c r="N62" s="31" t="str">
        <x:f>'Evaluation Plan'!N62</x:f>
        <x:v>Primary: three via held-out 2→3 addition</x:v>
      </x:c>
      <x:c r="O62" s="33" t="n">
        <x:f>'Evaluation Plan'!O62</x:f>
        <x:v>3</x:v>
      </x:c>
      <x:c r="P62" s="31" t="str">
        <x:f>'Evaluation Plan'!P62</x:f>
        <x:v>Reset the exact count-2 scene; change only the prompt.</x:v>
      </x:c>
      <x:c r="Q62" s="31" t="str">
        <x:f>'Evaluation Plan'!Q62</x:f>
        <x:v>The goal word three is trained, and this 2→3 trajectory is trained under a direct instruction, but the combination is withheld.</x:v>
      </x:c>
      <x:c r="R62" s="31" t="n">
        <x:f>'Evaluation Plan'!R62</x:f>
        <x:v>0</x:v>
      </x:c>
    </x:row>
    <x:row r="63" ht="46.5" customHeight="1">
      <x:c r="A63" s="32" t="str">
        <x:v>Not collected</x:v>
      </x:c>
      <x:c r="B63" s="34" t="n">
        <x:f>'Evaluation Plan'!B63</x:f>
        <x:v>61</x:v>
      </x:c>
      <x:c r="C63" s="32" t="str">
        <x:f>'Evaluation Plan'!C63</x:f>
        <x:v>Move the airplane toy without propellers into the bowl.</x:v>
      </x:c>
      <x:c r="D63" s="32" t="str">
        <x:f>'Evaluation Plan'!D63</x:f>
        <x:v>Bowl objects: [yellow block, blue pen] | Table objects: [green pencil sharpener, airplane toy without propellers]</x:v>
      </x:c>
      <x:c r="E63" s="34" t="n">
        <x:f>'Evaluation Plan'!E63</x:f>
        <x:v>60</x:v>
      </x:c>
      <x:c r="F63" s="32" t="str">
        <x:f>'Evaluation Plan'!F63</x:f>
        <x:v>ADD airplane toy without propellers</x:v>
      </x:c>
      <x:c r="G63" s="32" t="str"/>
      <x:c r="H63" s="37" t="str">
        <x:f>'Evaluation Plan'!H63</x:f>
        <x:v>Matched manipulation control</x:v>
      </x:c>
      <x:c r="I63" s="32" t="str">
        <x:f>'Evaluation Plan'!I63</x:f>
        <x:v>CT-CF06</x:v>
      </x:c>
      <x:c r="J63" s="32" t="str">
        <x:f>'Evaluation Plan'!J63</x:f>
        <x:v>CT-CF06-ADD</x:v>
      </x:c>
      <x:c r="K63" s="34" t="n">
        <x:f>'Evaluation Plan'!K63</x:f>
        <x:v>2</x:v>
      </x:c>
      <x:c r="L63" s="34" t="n">
        <x:f>'Evaluation Plan'!L63</x:f>
        <x:v>3</x:v>
      </x:c>
      <x:c r="M63" s="34" t="str">
        <x:f>'Evaluation Plan'!M63</x:f>
        <x:v>ADD</x:v>
      </x:c>
      <x:c r="N63" s="32" t="str">
        <x:f>'Evaluation Plan'!N63</x:f>
        <x:v>Matched direct ADD control</x:v>
      </x:c>
      <x:c r="O63" s="34" t="n">
        <x:f>'Evaluation Plan'!O63</x:f>
        <x:v>3</x:v>
      </x:c>
      <x:c r="P63" s="32" t="str">
        <x:f>'Evaluation Plan'!P63</x:f>
        <x:v>Reset the exact count-2 scene; change only the prompt.</x:v>
      </x:c>
      <x:c r="Q63" s="32" t="str">
        <x:f>'Evaluation Plan'!Q63</x:f>
        <x:v>The direct prompt is present in Counting training for this same-task object and action direction.</x:v>
      </x:c>
      <x:c r="R63" s="32" t="n">
        <x:f>'Evaluation Plan'!R63</x:f>
        <x:v>0</x:v>
      </x:c>
    </x:row>
    <x:row r="64" ht="46.5" customHeight="1">
      <x:c r="A64" s="31" t="str">
        <x:v>Not collected</x:v>
      </x:c>
      <x:c r="B64" s="33" t="n">
        <x:f>'Evaluation Plan'!B64</x:f>
        <x:v>62</x:v>
      </x:c>
      <x:c r="C64" s="31" t="str">
        <x:f>'Evaluation Plan'!C64</x:f>
        <x:v>Move the yellow block from the bowl to the table.</x:v>
      </x:c>
      <x:c r="D64" s="31" t="str">
        <x:f>'Evaluation Plan'!D64</x:f>
        <x:v>Bowl objects: [yellow block, blue pen] | Table objects: [green pencil sharpener, airplane toy without propellers]</x:v>
      </x:c>
      <x:c r="E64" s="33" t="str">
        <x:f>'Evaluation Plan'!E64</x:f>
      </x:c>
      <x:c r="F64" s="31" t="str">
        <x:f>'Evaluation Plan'!F64</x:f>
        <x:v>REMOVE yellow block</x:v>
      </x:c>
      <x:c r="G64" s="31" t="str"/>
      <x:c r="H64" s="37" t="str">
        <x:f>'Evaluation Plan'!H64</x:f>
        <x:v>Matched manipulation control</x:v>
      </x:c>
      <x:c r="I64" s="31" t="str">
        <x:f>'Evaluation Plan'!I64</x:f>
        <x:v>CT-CF06</x:v>
      </x:c>
      <x:c r="J64" s="31" t="str">
        <x:f>'Evaluation Plan'!J64</x:f>
        <x:v>CT-CF06-REMOVE</x:v>
      </x:c>
      <x:c r="K64" s="33" t="n">
        <x:f>'Evaluation Plan'!K64</x:f>
        <x:v>2</x:v>
      </x:c>
      <x:c r="L64" s="33" t="n">
        <x:f>'Evaluation Plan'!L64</x:f>
        <x:v>1</x:v>
      </x:c>
      <x:c r="M64" s="33" t="str">
        <x:f>'Evaluation Plan'!M64</x:f>
        <x:v>REMOVE</x:v>
      </x:c>
      <x:c r="N64" s="31" t="str">
        <x:f>'Evaluation Plan'!N64</x:f>
        <x:v>Matched direct REMOVE control</x:v>
      </x:c>
      <x:c r="O64" s="33" t="n">
        <x:f>'Evaluation Plan'!O64</x:f>
        <x:v>3</x:v>
      </x:c>
      <x:c r="P64" s="31" t="str">
        <x:f>'Evaluation Plan'!P64</x:f>
        <x:v>Reset the exact count-2 scene; change only the prompt.</x:v>
      </x:c>
      <x:c r="Q64" s="31" t="str">
        <x:f>'Evaluation Plan'!Q64</x:f>
        <x:v>The direct prompt is present in Counting training for this same-task object and action direction.</x:v>
      </x:c>
      <x:c r="R64" s="31" t="n">
        <x:f>'Evaluation Plan'!R64</x:f>
        <x:v>0</x:v>
      </x:c>
    </x:row>
    <x:row r="65" ht="46.5" customHeight="1">
      <x:c r="A65" s="32" t="str">
        <x:v>Not collected</x:v>
      </x:c>
      <x:c r="B65" s="34" t="n">
        <x:f>'Evaluation Plan'!B65</x:f>
        <x:v>63</x:v>
      </x:c>
      <x:c r="C65" s="32" t="str">
        <x:f>'Evaluation Plan'!C65</x:f>
        <x:v>Leave exactly one object in the bowl.</x:v>
      </x:c>
      <x:c r="D65" s="32" t="str">
        <x:f>'Evaluation Plan'!D65</x:f>
        <x:v>Bowl objects: [yellow block, blue pen] | Table objects: [green pencil sharpener, airplane toy without propellers]</x:v>
      </x:c>
      <x:c r="E65" s="34" t="n">
        <x:f>'Evaluation Plan'!E65</x:f>
        <x:v>62</x:v>
      </x:c>
      <x:c r="F65" s="32" t="str">
        <x:f>'Evaluation Plan'!F65</x:f>
        <x:v>REMOVE any one bowl object; finish with 1 object in the bowl</x:v>
      </x:c>
      <x:c r="G65" s="32" t="str"/>
      <x:c r="H65" s="36" t="str">
        <x:f>'Evaluation Plan'!H65</x:f>
        <x:v>Concept/compositional transfer</x:v>
      </x:c>
      <x:c r="I65" s="32" t="str">
        <x:f>'Evaluation Plan'!I65</x:f>
        <x:v>CT-CF06</x:v>
      </x:c>
      <x:c r="J65" s="32" t="str">
        <x:f>'Evaluation Plan'!J65</x:f>
        <x:v>CT-CF06-REMOVE</x:v>
      </x:c>
      <x:c r="K65" s="34" t="n">
        <x:f>'Evaluation Plan'!K65</x:f>
        <x:v>2</x:v>
      </x:c>
      <x:c r="L65" s="34" t="n">
        <x:f>'Evaluation Plan'!L65</x:f>
        <x:v>1</x:v>
      </x:c>
      <x:c r="M65" s="34" t="str">
        <x:f>'Evaluation Plan'!M65</x:f>
        <x:v>REMOVE</x:v>
      </x:c>
      <x:c r="N65" s="32" t="str">
        <x:f>'Evaluation Plan'!N65</x:f>
        <x:v>Primary: one via held-out 2→1 removal</x:v>
      </x:c>
      <x:c r="O65" s="34" t="n">
        <x:f>'Evaluation Plan'!O65</x:f>
        <x:v>3</x:v>
      </x:c>
      <x:c r="P65" s="32" t="str">
        <x:f>'Evaluation Plan'!P65</x:f>
        <x:v>Build the listed count-2 scene.</x:v>
      </x:c>
      <x:c r="Q65" s="32" t="str">
        <x:f>'Evaluation Plan'!Q65</x:f>
        <x:v>The goal word one is trained, and this 2→1 trajectory is trained under a direct instruction, but the combination is withheld.</x:v>
      </x:c>
      <x:c r="R65" s="32" t="n">
        <x:f>'Evaluation Plan'!R65</x:f>
        <x:v>0</x:v>
      </x:c>
    </x:row>
    <x:row r="66" ht="46.5" customHeight="1">
      <x:c r="A66" s="31" t="str">
        <x:v>Not collected</x:v>
      </x:c>
      <x:c r="B66" s="33" t="n">
        <x:f>'Evaluation Plan'!B66</x:f>
        <x:v>64</x:v>
      </x:c>
      <x:c r="C66" s="31" t="str">
        <x:f>'Evaluation Plan'!C66</x:f>
        <x:v>Leave exactly one object in the bowl.</x:v>
      </x:c>
      <x:c r="D66" s="31" t="str">
        <x:f>'Evaluation Plan'!D66</x:f>
        <x:v>Bowl objects: [green pencil sharpener, airplane toy without propellers] | Table objects: [blue pen, yellow block]</x:v>
      </x:c>
      <x:c r="E66" s="33" t="str">
        <x:f>'Evaluation Plan'!E66</x:f>
      </x:c>
      <x:c r="F66" s="31" t="str">
        <x:f>'Evaluation Plan'!F66</x:f>
        <x:v>REMOVE any one bowl object; finish with 1 object in the bowl</x:v>
      </x:c>
      <x:c r="G66" s="31" t="str"/>
      <x:c r="H66" s="36" t="str">
        <x:f>'Evaluation Plan'!H66</x:f>
        <x:v>Concept/compositional transfer</x:v>
      </x:c>
      <x:c r="I66" s="31" t="str">
        <x:f>'Evaluation Plan'!I66</x:f>
        <x:v>CT-CF07</x:v>
      </x:c>
      <x:c r="J66" s="31" t="str">
        <x:f>'Evaluation Plan'!J66</x:f>
        <x:v>CT-CF07-REMOVE</x:v>
      </x:c>
      <x:c r="K66" s="33" t="n">
        <x:f>'Evaluation Plan'!K66</x:f>
        <x:v>2</x:v>
      </x:c>
      <x:c r="L66" s="33" t="n">
        <x:f>'Evaluation Plan'!L66</x:f>
        <x:v>1</x:v>
      </x:c>
      <x:c r="M66" s="33" t="str">
        <x:f>'Evaluation Plan'!M66</x:f>
        <x:v>REMOVE</x:v>
      </x:c>
      <x:c r="N66" s="31" t="str">
        <x:f>'Evaluation Plan'!N66</x:f>
        <x:v>Primary: one via held-out 2→1 removal</x:v>
      </x:c>
      <x:c r="O66" s="33" t="n">
        <x:f>'Evaluation Plan'!O66</x:f>
        <x:v>3</x:v>
      </x:c>
      <x:c r="P66" s="31" t="str">
        <x:f>'Evaluation Plan'!P66</x:f>
        <x:v>Build the listed count-2 scene.</x:v>
      </x:c>
      <x:c r="Q66" s="31" t="str">
        <x:f>'Evaluation Plan'!Q66</x:f>
        <x:v>The goal word one is trained, and this 2→1 trajectory is trained under a direct instruction, but the combination is withheld.</x:v>
      </x:c>
      <x:c r="R66" s="31" t="n">
        <x:f>'Evaluation Plan'!R66</x:f>
        <x:v>0</x:v>
      </x:c>
    </x:row>
    <x:row r="67" ht="46.5" customHeight="1">
      <x:c r="A67" s="32" t="str">
        <x:v>Not collected</x:v>
      </x:c>
      <x:c r="B67" s="34" t="n">
        <x:f>'Evaluation Plan'!B67</x:f>
        <x:v>65</x:v>
      </x:c>
      <x:c r="C67" s="32" t="str">
        <x:f>'Evaluation Plan'!C67</x:f>
        <x:v>Move the green pencil sharpener from the bowl to the table.</x:v>
      </x:c>
      <x:c r="D67" s="32" t="str">
        <x:f>'Evaluation Plan'!D67</x:f>
        <x:v>Bowl objects: [green pencil sharpener, airplane toy without propellers] | Table objects: [blue pen, yellow block]</x:v>
      </x:c>
      <x:c r="E67" s="34" t="n">
        <x:f>'Evaluation Plan'!E67</x:f>
        <x:v>64</x:v>
      </x:c>
      <x:c r="F67" s="32" t="str">
        <x:f>'Evaluation Plan'!F67</x:f>
        <x:v>REMOVE green pencil sharpener</x:v>
      </x:c>
      <x:c r="G67" s="32" t="str"/>
      <x:c r="H67" s="37" t="str">
        <x:f>'Evaluation Plan'!H67</x:f>
        <x:v>Matched manipulation control</x:v>
      </x:c>
      <x:c r="I67" s="32" t="str">
        <x:f>'Evaluation Plan'!I67</x:f>
        <x:v>CT-CF07</x:v>
      </x:c>
      <x:c r="J67" s="32" t="str">
        <x:f>'Evaluation Plan'!J67</x:f>
        <x:v>CT-CF07-REMOVE</x:v>
      </x:c>
      <x:c r="K67" s="34" t="n">
        <x:f>'Evaluation Plan'!K67</x:f>
        <x:v>2</x:v>
      </x:c>
      <x:c r="L67" s="34" t="n">
        <x:f>'Evaluation Plan'!L67</x:f>
        <x:v>1</x:v>
      </x:c>
      <x:c r="M67" s="34" t="str">
        <x:f>'Evaluation Plan'!M67</x:f>
        <x:v>REMOVE</x:v>
      </x:c>
      <x:c r="N67" s="32" t="str">
        <x:f>'Evaluation Plan'!N67</x:f>
        <x:v>Matched direct REMOVE control</x:v>
      </x:c>
      <x:c r="O67" s="34" t="n">
        <x:f>'Evaluation Plan'!O67</x:f>
        <x:v>3</x:v>
      </x:c>
      <x:c r="P67" s="32" t="str">
        <x:f>'Evaluation Plan'!P67</x:f>
        <x:v>Reset the exact count-2 scene; change only the prompt.</x:v>
      </x:c>
      <x:c r="Q67" s="32" t="str">
        <x:f>'Evaluation Plan'!Q67</x:f>
        <x:v>The direct prompt is present in Counting training for this same-task object and action direction.</x:v>
      </x:c>
      <x:c r="R67" s="32" t="n">
        <x:f>'Evaluation Plan'!R67</x:f>
        <x:v>0</x:v>
      </x:c>
    </x:row>
    <x:row r="68" ht="46.5" customHeight="1">
      <x:c r="A68" s="31" t="str">
        <x:v>Not collected</x:v>
      </x:c>
      <x:c r="B68" s="33" t="n">
        <x:f>'Evaluation Plan'!B68</x:f>
        <x:v>66</x:v>
      </x:c>
      <x:c r="C68" s="31" t="str">
        <x:f>'Evaluation Plan'!C68</x:f>
        <x:v>Move the blue pen into the bowl.</x:v>
      </x:c>
      <x:c r="D68" s="31" t="str">
        <x:f>'Evaluation Plan'!D68</x:f>
        <x:v>Bowl objects: [green pencil sharpener, airplane toy without propellers] | Table objects: [blue pen, yellow block]</x:v>
      </x:c>
      <x:c r="E68" s="33" t="str">
        <x:f>'Evaluation Plan'!E68</x:f>
      </x:c>
      <x:c r="F68" s="31" t="str">
        <x:f>'Evaluation Plan'!F68</x:f>
        <x:v>ADD blue pen</x:v>
      </x:c>
      <x:c r="G68" s="31" t="str"/>
      <x:c r="H68" s="37" t="str">
        <x:f>'Evaluation Plan'!H68</x:f>
        <x:v>Matched manipulation control</x:v>
      </x:c>
      <x:c r="I68" s="31" t="str">
        <x:f>'Evaluation Plan'!I68</x:f>
        <x:v>CT-CF07</x:v>
      </x:c>
      <x:c r="J68" s="31" t="str">
        <x:f>'Evaluation Plan'!J68</x:f>
        <x:v>CT-CF07-ADD</x:v>
      </x:c>
      <x:c r="K68" s="33" t="n">
        <x:f>'Evaluation Plan'!K68</x:f>
        <x:v>2</x:v>
      </x:c>
      <x:c r="L68" s="33" t="n">
        <x:f>'Evaluation Plan'!L68</x:f>
        <x:v>3</x:v>
      </x:c>
      <x:c r="M68" s="33" t="str">
        <x:f>'Evaluation Plan'!M68</x:f>
        <x:v>ADD</x:v>
      </x:c>
      <x:c r="N68" s="31" t="str">
        <x:f>'Evaluation Plan'!N68</x:f>
        <x:v>Matched direct ADD control</x:v>
      </x:c>
      <x:c r="O68" s="33" t="n">
        <x:f>'Evaluation Plan'!O68</x:f>
        <x:v>3</x:v>
      </x:c>
      <x:c r="P68" s="31" t="str">
        <x:f>'Evaluation Plan'!P68</x:f>
        <x:v>Reset the exact count-2 scene; change only the prompt.</x:v>
      </x:c>
      <x:c r="Q68" s="31" t="str">
        <x:f>'Evaluation Plan'!Q68</x:f>
        <x:v>The direct prompt is present in Counting training for this same-task object and action direction.</x:v>
      </x:c>
      <x:c r="R68" s="31" t="n">
        <x:f>'Evaluation Plan'!R68</x:f>
        <x:v>0</x:v>
      </x:c>
    </x:row>
    <x:row r="69" ht="46.5" customHeight="1">
      <x:c r="A69" s="32" t="str">
        <x:v>Not collected</x:v>
      </x:c>
      <x:c r="B69" s="34" t="n">
        <x:f>'Evaluation Plan'!B69</x:f>
        <x:v>67</x:v>
      </x:c>
      <x:c r="C69" s="32" t="str">
        <x:f>'Evaluation Plan'!C69</x:f>
        <x:v>Leave exactly three objects in the bowl.</x:v>
      </x:c>
      <x:c r="D69" s="32" t="str">
        <x:f>'Evaluation Plan'!D69</x:f>
        <x:v>Bowl objects: [green pencil sharpener, airplane toy without propellers] | Table objects: [blue pen, yellow block]</x:v>
      </x:c>
      <x:c r="E69" s="34" t="n">
        <x:f>'Evaluation Plan'!E69</x:f>
        <x:v>66</x:v>
      </x:c>
      <x:c r="F69" s="32" t="str">
        <x:f>'Evaluation Plan'!F69</x:f>
        <x:v>ADD any one table object; finish with 3 objects in the bowl</x:v>
      </x:c>
      <x:c r="G69" s="32" t="str"/>
      <x:c r="H69" s="36" t="str">
        <x:f>'Evaluation Plan'!H69</x:f>
        <x:v>Concept/compositional transfer</x:v>
      </x:c>
      <x:c r="I69" s="32" t="str">
        <x:f>'Evaluation Plan'!I69</x:f>
        <x:v>CT-CF07</x:v>
      </x:c>
      <x:c r="J69" s="32" t="str">
        <x:f>'Evaluation Plan'!J69</x:f>
        <x:v>CT-CF07-ADD</x:v>
      </x:c>
      <x:c r="K69" s="34" t="n">
        <x:f>'Evaluation Plan'!K69</x:f>
        <x:v>2</x:v>
      </x:c>
      <x:c r="L69" s="34" t="n">
        <x:f>'Evaluation Plan'!L69</x:f>
        <x:v>3</x:v>
      </x:c>
      <x:c r="M69" s="34" t="str">
        <x:f>'Evaluation Plan'!M69</x:f>
        <x:v>ADD</x:v>
      </x:c>
      <x:c r="N69" s="32" t="str">
        <x:f>'Evaluation Plan'!N69</x:f>
        <x:v>Primary: three via held-out 2→3 addition</x:v>
      </x:c>
      <x:c r="O69" s="34" t="n">
        <x:f>'Evaluation Plan'!O69</x:f>
        <x:v>3</x:v>
      </x:c>
      <x:c r="P69" s="32" t="str">
        <x:f>'Evaluation Plan'!P69</x:f>
        <x:v>Reset the exact count-2 scene; change only the prompt.</x:v>
      </x:c>
      <x:c r="Q69" s="32" t="str">
        <x:f>'Evaluation Plan'!Q69</x:f>
        <x:v>The goal word three is trained, and this 2→3 trajectory is trained under a direct instruction, but the combination is withheld.</x:v>
      </x:c>
      <x:c r="R69" s="32" t="n">
        <x:f>'Evaluation Plan'!R69</x:f>
        <x:v>0</x:v>
      </x:c>
    </x:row>
    <x:row r="70" ht="46.5" customHeight="1">
      <x:c r="A70" s="31" t="str">
        <x:v>Not collected</x:v>
      </x:c>
      <x:c r="B70" s="33" t="n">
        <x:f>'Evaluation Plan'!B70</x:f>
        <x:v>68</x:v>
      </x:c>
      <x:c r="C70" s="31" t="str">
        <x:f>'Evaluation Plan'!C70</x:f>
        <x:v>Leave exactly three objects in the bowl.</x:v>
      </x:c>
      <x:c r="D70" s="31" t="str">
        <x:f>'Evaluation Plan'!D70</x:f>
        <x:v>Bowl objects: [airplane toy without propellers, blue pen] | Table objects: [yellow block, green pencil sharpener]</x:v>
      </x:c>
      <x:c r="E70" s="33" t="str">
        <x:f>'Evaluation Plan'!E70</x:f>
      </x:c>
      <x:c r="F70" s="31" t="str">
        <x:f>'Evaluation Plan'!F70</x:f>
        <x:v>ADD any one table object; finish with 3 objects in the bowl</x:v>
      </x:c>
      <x:c r="G70" s="31" t="str"/>
      <x:c r="H70" s="36" t="str">
        <x:f>'Evaluation Plan'!H70</x:f>
        <x:v>Concept/compositional transfer</x:v>
      </x:c>
      <x:c r="I70" s="31" t="str">
        <x:f>'Evaluation Plan'!I70</x:f>
        <x:v>CT-CF08</x:v>
      </x:c>
      <x:c r="J70" s="31" t="str">
        <x:f>'Evaluation Plan'!J70</x:f>
        <x:v>CT-CF08-ADD</x:v>
      </x:c>
      <x:c r="K70" s="33" t="n">
        <x:f>'Evaluation Plan'!K70</x:f>
        <x:v>2</x:v>
      </x:c>
      <x:c r="L70" s="33" t="n">
        <x:f>'Evaluation Plan'!L70</x:f>
        <x:v>3</x:v>
      </x:c>
      <x:c r="M70" s="33" t="str">
        <x:f>'Evaluation Plan'!M70</x:f>
        <x:v>ADD</x:v>
      </x:c>
      <x:c r="N70" s="31" t="str">
        <x:f>'Evaluation Plan'!N70</x:f>
        <x:v>Primary: three via held-out 2→3 addition</x:v>
      </x:c>
      <x:c r="O70" s="33" t="n">
        <x:f>'Evaluation Plan'!O70</x:f>
        <x:v>3</x:v>
      </x:c>
      <x:c r="P70" s="31" t="str">
        <x:f>'Evaluation Plan'!P70</x:f>
        <x:v>Reset the exact count-2 scene; change only the prompt.</x:v>
      </x:c>
      <x:c r="Q70" s="31" t="str">
        <x:f>'Evaluation Plan'!Q70</x:f>
        <x:v>The goal word three is trained, and this 2→3 trajectory is trained under a direct instruction, but the combination is withheld.</x:v>
      </x:c>
      <x:c r="R70" s="31" t="n">
        <x:f>'Evaluation Plan'!R70</x:f>
        <x:v>0</x:v>
      </x:c>
    </x:row>
    <x:row r="71" ht="46.5" customHeight="1">
      <x:c r="A71" s="32" t="str">
        <x:v>Not collected</x:v>
      </x:c>
      <x:c r="B71" s="34" t="n">
        <x:f>'Evaluation Plan'!B71</x:f>
        <x:v>69</x:v>
      </x:c>
      <x:c r="C71" s="32" t="str">
        <x:f>'Evaluation Plan'!C71</x:f>
        <x:v>Move the yellow block into the bowl.</x:v>
      </x:c>
      <x:c r="D71" s="32" t="str">
        <x:f>'Evaluation Plan'!D71</x:f>
        <x:v>Bowl objects: [airplane toy without propellers, blue pen] | Table objects: [yellow block, green pencil sharpener]</x:v>
      </x:c>
      <x:c r="E71" s="34" t="n">
        <x:f>'Evaluation Plan'!E71</x:f>
        <x:v>68</x:v>
      </x:c>
      <x:c r="F71" s="32" t="str">
        <x:f>'Evaluation Plan'!F71</x:f>
        <x:v>ADD yellow block</x:v>
      </x:c>
      <x:c r="G71" s="32" t="str"/>
      <x:c r="H71" s="37" t="str">
        <x:f>'Evaluation Plan'!H71</x:f>
        <x:v>Matched manipulation control</x:v>
      </x:c>
      <x:c r="I71" s="32" t="str">
        <x:f>'Evaluation Plan'!I71</x:f>
        <x:v>CT-CF08</x:v>
      </x:c>
      <x:c r="J71" s="32" t="str">
        <x:f>'Evaluation Plan'!J71</x:f>
        <x:v>CT-CF08-ADD</x:v>
      </x:c>
      <x:c r="K71" s="34" t="n">
        <x:f>'Evaluation Plan'!K71</x:f>
        <x:v>2</x:v>
      </x:c>
      <x:c r="L71" s="34" t="n">
        <x:f>'Evaluation Plan'!L71</x:f>
        <x:v>3</x:v>
      </x:c>
      <x:c r="M71" s="34" t="str">
        <x:f>'Evaluation Plan'!M71</x:f>
        <x:v>ADD</x:v>
      </x:c>
      <x:c r="N71" s="32" t="str">
        <x:f>'Evaluation Plan'!N71</x:f>
        <x:v>Matched direct ADD control</x:v>
      </x:c>
      <x:c r="O71" s="34" t="n">
        <x:f>'Evaluation Plan'!O71</x:f>
        <x:v>3</x:v>
      </x:c>
      <x:c r="P71" s="32" t="str">
        <x:f>'Evaluation Plan'!P71</x:f>
        <x:v>Reset the exact count-2 scene; change only the prompt.</x:v>
      </x:c>
      <x:c r="Q71" s="32" t="str">
        <x:f>'Evaluation Plan'!Q71</x:f>
        <x:v>The direct prompt is present in Counting training for this same-task object and action direction.</x:v>
      </x:c>
      <x:c r="R71" s="32" t="n">
        <x:f>'Evaluation Plan'!R71</x:f>
        <x:v>0</x:v>
      </x:c>
    </x:row>
    <x:row r="72" ht="46.5" customHeight="1">
      <x:c r="A72" s="31" t="str">
        <x:v>Not collected</x:v>
      </x:c>
      <x:c r="B72" s="33" t="n">
        <x:f>'Evaluation Plan'!B72</x:f>
        <x:v>70</x:v>
      </x:c>
      <x:c r="C72" s="31" t="str">
        <x:f>'Evaluation Plan'!C72</x:f>
        <x:v>Move the airplane toy without propellers from the bowl to the table.</x:v>
      </x:c>
      <x:c r="D72" s="31" t="str">
        <x:f>'Evaluation Plan'!D72</x:f>
        <x:v>Bowl objects: [airplane toy without propellers, blue pen] | Table objects: [yellow block, green pencil sharpener]</x:v>
      </x:c>
      <x:c r="E72" s="33" t="str">
        <x:f>'Evaluation Plan'!E72</x:f>
      </x:c>
      <x:c r="F72" s="31" t="str">
        <x:f>'Evaluation Plan'!F72</x:f>
        <x:v>REMOVE airplane toy without propellers</x:v>
      </x:c>
      <x:c r="G72" s="31" t="str"/>
      <x:c r="H72" s="37" t="str">
        <x:f>'Evaluation Plan'!H72</x:f>
        <x:v>Matched manipulation control</x:v>
      </x:c>
      <x:c r="I72" s="31" t="str">
        <x:f>'Evaluation Plan'!I72</x:f>
        <x:v>CT-CF08</x:v>
      </x:c>
      <x:c r="J72" s="31" t="str">
        <x:f>'Evaluation Plan'!J72</x:f>
        <x:v>CT-CF08-REMOVE</x:v>
      </x:c>
      <x:c r="K72" s="33" t="n">
        <x:f>'Evaluation Plan'!K72</x:f>
        <x:v>2</x:v>
      </x:c>
      <x:c r="L72" s="33" t="n">
        <x:f>'Evaluation Plan'!L72</x:f>
        <x:v>1</x:v>
      </x:c>
      <x:c r="M72" s="33" t="str">
        <x:f>'Evaluation Plan'!M72</x:f>
        <x:v>REMOVE</x:v>
      </x:c>
      <x:c r="N72" s="31" t="str">
        <x:f>'Evaluation Plan'!N72</x:f>
        <x:v>Matched direct REMOVE control</x:v>
      </x:c>
      <x:c r="O72" s="33" t="n">
        <x:f>'Evaluation Plan'!O72</x:f>
        <x:v>3</x:v>
      </x:c>
      <x:c r="P72" s="31" t="str">
        <x:f>'Evaluation Plan'!P72</x:f>
        <x:v>Reset the exact count-2 scene; change only the prompt.</x:v>
      </x:c>
      <x:c r="Q72" s="31" t="str">
        <x:f>'Evaluation Plan'!Q72</x:f>
        <x:v>The direct prompt is present in Counting training for this same-task object and action direction.</x:v>
      </x:c>
      <x:c r="R72" s="31" t="n">
        <x:f>'Evaluation Plan'!R72</x:f>
        <x:v>0</x:v>
      </x:c>
    </x:row>
    <x:row r="73" ht="46.5" customHeight="1">
      <x:c r="A73" s="32" t="str">
        <x:v>Not collected</x:v>
      </x:c>
      <x:c r="B73" s="34" t="n">
        <x:f>'Evaluation Plan'!B73</x:f>
        <x:v>71</x:v>
      </x:c>
      <x:c r="C73" s="32" t="str">
        <x:f>'Evaluation Plan'!C73</x:f>
        <x:v>Leave exactly one object in the bowl.</x:v>
      </x:c>
      <x:c r="D73" s="32" t="str">
        <x:f>'Evaluation Plan'!D73</x:f>
        <x:v>Bowl objects: [airplane toy without propellers, blue pen] | Table objects: [yellow block, green pencil sharpener]</x:v>
      </x:c>
      <x:c r="E73" s="34" t="n">
        <x:f>'Evaluation Plan'!E73</x:f>
        <x:v>70</x:v>
      </x:c>
      <x:c r="F73" s="32" t="str">
        <x:f>'Evaluation Plan'!F73</x:f>
        <x:v>REMOVE any one bowl object; finish with 1 object in the bowl</x:v>
      </x:c>
      <x:c r="G73" s="32" t="str"/>
      <x:c r="H73" s="36" t="str">
        <x:f>'Evaluation Plan'!H73</x:f>
        <x:v>Concept/compositional transfer</x:v>
      </x:c>
      <x:c r="I73" s="32" t="str">
        <x:f>'Evaluation Plan'!I73</x:f>
        <x:v>CT-CF08</x:v>
      </x:c>
      <x:c r="J73" s="32" t="str">
        <x:f>'Evaluation Plan'!J73</x:f>
        <x:v>CT-CF08-REMOVE</x:v>
      </x:c>
      <x:c r="K73" s="34" t="n">
        <x:f>'Evaluation Plan'!K73</x:f>
        <x:v>2</x:v>
      </x:c>
      <x:c r="L73" s="34" t="n">
        <x:f>'Evaluation Plan'!L73</x:f>
        <x:v>1</x:v>
      </x:c>
      <x:c r="M73" s="34" t="str">
        <x:f>'Evaluation Plan'!M73</x:f>
        <x:v>REMOVE</x:v>
      </x:c>
      <x:c r="N73" s="32" t="str">
        <x:f>'Evaluation Plan'!N73</x:f>
        <x:v>Primary: one via held-out 2→1 removal</x:v>
      </x:c>
      <x:c r="O73" s="34" t="n">
        <x:f>'Evaluation Plan'!O73</x:f>
        <x:v>3</x:v>
      </x:c>
      <x:c r="P73" s="32" t="str">
        <x:f>'Evaluation Plan'!P73</x:f>
        <x:v>Build the listed count-2 scene.</x:v>
      </x:c>
      <x:c r="Q73" s="32" t="str">
        <x:f>'Evaluation Plan'!Q73</x:f>
        <x:v>The goal word one is trained, and this 2→1 trajectory is trained under a direct instruction, but the combination is withheld.</x:v>
      </x:c>
      <x:c r="R73" s="32" t="n">
        <x:f>'Evaluation Plan'!R73</x:f>
        <x:v>0</x:v>
      </x:c>
    </x:row>
    <x:row r="74" ht="46.5" customHeight="1">
      <x:c r="A74" s="31" t="str">
        <x:v>Not collected</x:v>
      </x:c>
      <x:c r="B74" s="33" t="n">
        <x:f>'Evaluation Plan'!B74</x:f>
        <x:v>72</x:v>
      </x:c>
      <x:c r="C74" s="31" t="str">
        <x:f>'Evaluation Plan'!C74</x:f>
        <x:v>Leave exactly one object in the bowl.</x:v>
      </x:c>
      <x:c r="D74" s="31" t="str">
        <x:f>'Evaluation Plan'!D74</x:f>
        <x:v>Bowl objects: [blue pen, yellow block] | Table objects: [green pencil sharpener, airplane toy without propellers]</x:v>
      </x:c>
      <x:c r="E74" s="33" t="str">
        <x:f>'Evaluation Plan'!E74</x:f>
      </x:c>
      <x:c r="F74" s="31" t="str">
        <x:f>'Evaluation Plan'!F74</x:f>
        <x:v>REMOVE any one bowl object; finish with 1 object in the bowl</x:v>
      </x:c>
      <x:c r="G74" s="31" t="str"/>
      <x:c r="H74" s="36" t="str">
        <x:f>'Evaluation Plan'!H74</x:f>
        <x:v>Concept/compositional transfer</x:v>
      </x:c>
      <x:c r="I74" s="31" t="str">
        <x:f>'Evaluation Plan'!I74</x:f>
        <x:v>CT-CF09</x:v>
      </x:c>
      <x:c r="J74" s="31" t="str">
        <x:f>'Evaluation Plan'!J74</x:f>
        <x:v>CT-CF09-REMOVE</x:v>
      </x:c>
      <x:c r="K74" s="33" t="n">
        <x:f>'Evaluation Plan'!K74</x:f>
        <x:v>2</x:v>
      </x:c>
      <x:c r="L74" s="33" t="n">
        <x:f>'Evaluation Plan'!L74</x:f>
        <x:v>1</x:v>
      </x:c>
      <x:c r="M74" s="33" t="str">
        <x:f>'Evaluation Plan'!M74</x:f>
        <x:v>REMOVE</x:v>
      </x:c>
      <x:c r="N74" s="31" t="str">
        <x:f>'Evaluation Plan'!N74</x:f>
        <x:v>Primary: one via held-out 2→1 removal</x:v>
      </x:c>
      <x:c r="O74" s="33" t="n">
        <x:f>'Evaluation Plan'!O74</x:f>
        <x:v>3</x:v>
      </x:c>
      <x:c r="P74" s="31" t="str">
        <x:f>'Evaluation Plan'!P74</x:f>
        <x:v>Build the listed count-2 scene.</x:v>
      </x:c>
      <x:c r="Q74" s="31" t="str">
        <x:f>'Evaluation Plan'!Q74</x:f>
        <x:v>The goal word one is trained, and this 2→1 trajectory is trained under a direct instruction, but the combination is withheld.</x:v>
      </x:c>
      <x:c r="R74" s="31" t="n">
        <x:f>'Evaluation Plan'!R74</x:f>
        <x:v>0</x:v>
      </x:c>
    </x:row>
    <x:row r="75" ht="46.5" customHeight="1">
      <x:c r="A75" s="32" t="str">
        <x:v>Not collected</x:v>
      </x:c>
      <x:c r="B75" s="34" t="n">
        <x:f>'Evaluation Plan'!B75</x:f>
        <x:v>73</x:v>
      </x:c>
      <x:c r="C75" s="32" t="str">
        <x:f>'Evaluation Plan'!C75</x:f>
        <x:v>Move the blue pen from the bowl to the table.</x:v>
      </x:c>
      <x:c r="D75" s="32" t="str">
        <x:f>'Evaluation Plan'!D75</x:f>
        <x:v>Bowl objects: [blue pen, yellow block] | Table objects: [green pencil sharpener, airplane toy without propellers]</x:v>
      </x:c>
      <x:c r="E75" s="34" t="n">
        <x:f>'Evaluation Plan'!E75</x:f>
        <x:v>72</x:v>
      </x:c>
      <x:c r="F75" s="32" t="str">
        <x:f>'Evaluation Plan'!F75</x:f>
        <x:v>REMOVE blue pen</x:v>
      </x:c>
      <x:c r="G75" s="32" t="str"/>
      <x:c r="H75" s="37" t="str">
        <x:f>'Evaluation Plan'!H75</x:f>
        <x:v>Matched manipulation control</x:v>
      </x:c>
      <x:c r="I75" s="32" t="str">
        <x:f>'Evaluation Plan'!I75</x:f>
        <x:v>CT-CF09</x:v>
      </x:c>
      <x:c r="J75" s="32" t="str">
        <x:f>'Evaluation Plan'!J75</x:f>
        <x:v>CT-CF09-REMOVE</x:v>
      </x:c>
      <x:c r="K75" s="34" t="n">
        <x:f>'Evaluation Plan'!K75</x:f>
        <x:v>2</x:v>
      </x:c>
      <x:c r="L75" s="34" t="n">
        <x:f>'Evaluation Plan'!L75</x:f>
        <x:v>1</x:v>
      </x:c>
      <x:c r="M75" s="34" t="str">
        <x:f>'Evaluation Plan'!M75</x:f>
        <x:v>REMOVE</x:v>
      </x:c>
      <x:c r="N75" s="32" t="str">
        <x:f>'Evaluation Plan'!N75</x:f>
        <x:v>Matched direct REMOVE control</x:v>
      </x:c>
      <x:c r="O75" s="34" t="n">
        <x:f>'Evaluation Plan'!O75</x:f>
        <x:v>3</x:v>
      </x:c>
      <x:c r="P75" s="32" t="str">
        <x:f>'Evaluation Plan'!P75</x:f>
        <x:v>Reset the exact count-2 scene; change only the prompt.</x:v>
      </x:c>
      <x:c r="Q75" s="32" t="str">
        <x:f>'Evaluation Plan'!Q75</x:f>
        <x:v>The direct prompt is present in Counting training for this same-task object and action direction.</x:v>
      </x:c>
      <x:c r="R75" s="32" t="n">
        <x:f>'Evaluation Plan'!R75</x:f>
        <x:v>0</x:v>
      </x:c>
    </x:row>
    <x:row r="76" ht="46.5" customHeight="1">
      <x:c r="A76" s="31" t="str">
        <x:v>Not collected</x:v>
      </x:c>
      <x:c r="B76" s="33" t="n">
        <x:f>'Evaluation Plan'!B76</x:f>
        <x:v>74</x:v>
      </x:c>
      <x:c r="C76" s="31" t="str">
        <x:f>'Evaluation Plan'!C76</x:f>
        <x:v>Move the green pencil sharpener into the bowl.</x:v>
      </x:c>
      <x:c r="D76" s="31" t="str">
        <x:f>'Evaluation Plan'!D76</x:f>
        <x:v>Bowl objects: [blue pen, yellow block] | Table objects: [green pencil sharpener, airplane toy without propellers]</x:v>
      </x:c>
      <x:c r="E76" s="33" t="str">
        <x:f>'Evaluation Plan'!E76</x:f>
      </x:c>
      <x:c r="F76" s="31" t="str">
        <x:f>'Evaluation Plan'!F76</x:f>
        <x:v>ADD green pencil sharpener</x:v>
      </x:c>
      <x:c r="G76" s="31" t="str"/>
      <x:c r="H76" s="37" t="str">
        <x:f>'Evaluation Plan'!H76</x:f>
        <x:v>Matched manipulation control</x:v>
      </x:c>
      <x:c r="I76" s="31" t="str">
        <x:f>'Evaluation Plan'!I76</x:f>
        <x:v>CT-CF09</x:v>
      </x:c>
      <x:c r="J76" s="31" t="str">
        <x:f>'Evaluation Plan'!J76</x:f>
        <x:v>CT-CF09-ADD</x:v>
      </x:c>
      <x:c r="K76" s="33" t="n">
        <x:f>'Evaluation Plan'!K76</x:f>
        <x:v>2</x:v>
      </x:c>
      <x:c r="L76" s="33" t="n">
        <x:f>'Evaluation Plan'!L76</x:f>
        <x:v>3</x:v>
      </x:c>
      <x:c r="M76" s="33" t="str">
        <x:f>'Evaluation Plan'!M76</x:f>
        <x:v>ADD</x:v>
      </x:c>
      <x:c r="N76" s="31" t="str">
        <x:f>'Evaluation Plan'!N76</x:f>
        <x:v>Matched direct ADD control</x:v>
      </x:c>
      <x:c r="O76" s="33" t="n">
        <x:f>'Evaluation Plan'!O76</x:f>
        <x:v>3</x:v>
      </x:c>
      <x:c r="P76" s="31" t="str">
        <x:f>'Evaluation Plan'!P76</x:f>
        <x:v>Reset the exact count-2 scene; change only the prompt.</x:v>
      </x:c>
      <x:c r="Q76" s="31" t="str">
        <x:f>'Evaluation Plan'!Q76</x:f>
        <x:v>The direct prompt is present in Counting training for this same-task object and action direction.</x:v>
      </x:c>
      <x:c r="R76" s="31" t="n">
        <x:f>'Evaluation Plan'!R76</x:f>
        <x:v>0</x:v>
      </x:c>
    </x:row>
    <x:row r="77" ht="46.5" customHeight="1">
      <x:c r="A77" s="32" t="str">
        <x:v>Not collected</x:v>
      </x:c>
      <x:c r="B77" s="34" t="n">
        <x:f>'Evaluation Plan'!B77</x:f>
        <x:v>75</x:v>
      </x:c>
      <x:c r="C77" s="32" t="str">
        <x:f>'Evaluation Plan'!C77</x:f>
        <x:v>Leave exactly three objects in the bowl.</x:v>
      </x:c>
      <x:c r="D77" s="32" t="str">
        <x:f>'Evaluation Plan'!D77</x:f>
        <x:v>Bowl objects: [blue pen, yellow block] | Table objects: [green pencil sharpener, airplane toy without propellers]</x:v>
      </x:c>
      <x:c r="E77" s="34" t="n">
        <x:f>'Evaluation Plan'!E77</x:f>
        <x:v>74</x:v>
      </x:c>
      <x:c r="F77" s="32" t="str">
        <x:f>'Evaluation Plan'!F77</x:f>
        <x:v>ADD any one table object; finish with 3 objects in the bowl</x:v>
      </x:c>
      <x:c r="G77" s="32" t="str"/>
      <x:c r="H77" s="36" t="str">
        <x:f>'Evaluation Plan'!H77</x:f>
        <x:v>Concept/compositional transfer</x:v>
      </x:c>
      <x:c r="I77" s="32" t="str">
        <x:f>'Evaluation Plan'!I77</x:f>
        <x:v>CT-CF09</x:v>
      </x:c>
      <x:c r="J77" s="32" t="str">
        <x:f>'Evaluation Plan'!J77</x:f>
        <x:v>CT-CF09-ADD</x:v>
      </x:c>
      <x:c r="K77" s="34" t="n">
        <x:f>'Evaluation Plan'!K77</x:f>
        <x:v>2</x:v>
      </x:c>
      <x:c r="L77" s="34" t="n">
        <x:f>'Evaluation Plan'!L77</x:f>
        <x:v>3</x:v>
      </x:c>
      <x:c r="M77" s="34" t="str">
        <x:f>'Evaluation Plan'!M77</x:f>
        <x:v>ADD</x:v>
      </x:c>
      <x:c r="N77" s="32" t="str">
        <x:f>'Evaluation Plan'!N77</x:f>
        <x:v>Primary: three via held-out 2→3 addition</x:v>
      </x:c>
      <x:c r="O77" s="34" t="n">
        <x:f>'Evaluation Plan'!O77</x:f>
        <x:v>3</x:v>
      </x:c>
      <x:c r="P77" s="32" t="str">
        <x:f>'Evaluation Plan'!P77</x:f>
        <x:v>Reset the exact count-2 scene; change only the prompt.</x:v>
      </x:c>
      <x:c r="Q77" s="32" t="str">
        <x:f>'Evaluation Plan'!Q77</x:f>
        <x:v>The goal word three is trained, and this 2→3 trajectory is trained under a direct instruction, but the combination is withheld.</x:v>
      </x:c>
      <x:c r="R77" s="32" t="n">
        <x:f>'Evaluation Plan'!R77</x:f>
        <x:v>0</x:v>
      </x:c>
    </x:row>
    <x:row r="78" ht="46.5" customHeight="1">
      <x:c r="A78" s="31" t="str">
        <x:v>Not collected</x:v>
      </x:c>
      <x:c r="B78" s="33" t="n">
        <x:f>'Evaluation Plan'!B78</x:f>
        <x:v>76</x:v>
      </x:c>
      <x:c r="C78" s="31" t="str">
        <x:f>'Evaluation Plan'!C78</x:f>
        <x:v>Leave exactly three objects in the bowl.</x:v>
      </x:c>
      <x:c r="D78" s="31" t="str">
        <x:f>'Evaluation Plan'!D78</x:f>
        <x:v>Bowl objects: [yellow block, blue pen] | Table objects: [green pencil sharpener, airplane toy without propellers]</x:v>
      </x:c>
      <x:c r="E78" s="33" t="str">
        <x:f>'Evaluation Plan'!E78</x:f>
      </x:c>
      <x:c r="F78" s="31" t="str">
        <x:f>'Evaluation Plan'!F78</x:f>
        <x:v>ADD any one table object; finish with 3 objects in the bowl</x:v>
      </x:c>
      <x:c r="G78" s="31" t="str"/>
      <x:c r="H78" s="36" t="str">
        <x:f>'Evaluation Plan'!H78</x:f>
        <x:v>Concept/compositional transfer</x:v>
      </x:c>
      <x:c r="I78" s="31" t="str">
        <x:f>'Evaluation Plan'!I78</x:f>
        <x:v>CT-CF10</x:v>
      </x:c>
      <x:c r="J78" s="31" t="str">
        <x:f>'Evaluation Plan'!J78</x:f>
        <x:v>CT-CF10-ADD</x:v>
      </x:c>
      <x:c r="K78" s="33" t="n">
        <x:f>'Evaluation Plan'!K78</x:f>
        <x:v>2</x:v>
      </x:c>
      <x:c r="L78" s="33" t="n">
        <x:f>'Evaluation Plan'!L78</x:f>
        <x:v>3</x:v>
      </x:c>
      <x:c r="M78" s="33" t="str">
        <x:f>'Evaluation Plan'!M78</x:f>
        <x:v>ADD</x:v>
      </x:c>
      <x:c r="N78" s="31" t="str">
        <x:f>'Evaluation Plan'!N78</x:f>
        <x:v>Primary: three via held-out 2→3 addition</x:v>
      </x:c>
      <x:c r="O78" s="33" t="n">
        <x:f>'Evaluation Plan'!O78</x:f>
        <x:v>3</x:v>
      </x:c>
      <x:c r="P78" s="31" t="str">
        <x:f>'Evaluation Plan'!P78</x:f>
        <x:v>Reset the exact count-2 scene; change only the prompt.</x:v>
      </x:c>
      <x:c r="Q78" s="31" t="str">
        <x:f>'Evaluation Plan'!Q78</x:f>
        <x:v>The goal word three is trained, and this 2→3 trajectory is trained under a direct instruction, but the combination is withheld.</x:v>
      </x:c>
      <x:c r="R78" s="31" t="n">
        <x:f>'Evaluation Plan'!R78</x:f>
        <x:v>0</x:v>
      </x:c>
    </x:row>
    <x:row r="79" ht="46.5" customHeight="1">
      <x:c r="A79" s="32" t="str">
        <x:v>Not collected</x:v>
      </x:c>
      <x:c r="B79" s="34" t="n">
        <x:f>'Evaluation Plan'!B79</x:f>
        <x:v>77</x:v>
      </x:c>
      <x:c r="C79" s="32" t="str">
        <x:f>'Evaluation Plan'!C79</x:f>
        <x:v>Move the airplane toy without propellers into the bowl.</x:v>
      </x:c>
      <x:c r="D79" s="32" t="str">
        <x:f>'Evaluation Plan'!D79</x:f>
        <x:v>Bowl objects: [yellow block, blue pen] | Table objects: [green pencil sharpener, airplane toy without propellers]</x:v>
      </x:c>
      <x:c r="E79" s="34" t="n">
        <x:f>'Evaluation Plan'!E79</x:f>
        <x:v>76</x:v>
      </x:c>
      <x:c r="F79" s="32" t="str">
        <x:f>'Evaluation Plan'!F79</x:f>
        <x:v>ADD airplane toy without propellers</x:v>
      </x:c>
      <x:c r="G79" s="32" t="str"/>
      <x:c r="H79" s="37" t="str">
        <x:f>'Evaluation Plan'!H79</x:f>
        <x:v>Matched manipulation control</x:v>
      </x:c>
      <x:c r="I79" s="32" t="str">
        <x:f>'Evaluation Plan'!I79</x:f>
        <x:v>CT-CF10</x:v>
      </x:c>
      <x:c r="J79" s="32" t="str">
        <x:f>'Evaluation Plan'!J79</x:f>
        <x:v>CT-CF10-ADD</x:v>
      </x:c>
      <x:c r="K79" s="34" t="n">
        <x:f>'Evaluation Plan'!K79</x:f>
        <x:v>2</x:v>
      </x:c>
      <x:c r="L79" s="34" t="n">
        <x:f>'Evaluation Plan'!L79</x:f>
        <x:v>3</x:v>
      </x:c>
      <x:c r="M79" s="34" t="str">
        <x:f>'Evaluation Plan'!M79</x:f>
        <x:v>ADD</x:v>
      </x:c>
      <x:c r="N79" s="32" t="str">
        <x:f>'Evaluation Plan'!N79</x:f>
        <x:v>Matched direct ADD control</x:v>
      </x:c>
      <x:c r="O79" s="34" t="n">
        <x:f>'Evaluation Plan'!O79</x:f>
        <x:v>3</x:v>
      </x:c>
      <x:c r="P79" s="32" t="str">
        <x:f>'Evaluation Plan'!P79</x:f>
        <x:v>Reset the exact count-2 scene; change only the prompt.</x:v>
      </x:c>
      <x:c r="Q79" s="32" t="str">
        <x:f>'Evaluation Plan'!Q79</x:f>
        <x:v>The direct prompt is present in Counting training for this same-task object and action direction.</x:v>
      </x:c>
      <x:c r="R79" s="32" t="n">
        <x:f>'Evaluation Plan'!R79</x:f>
        <x:v>0</x:v>
      </x:c>
    </x:row>
    <x:row r="80" ht="46.5" customHeight="1">
      <x:c r="A80" s="31" t="str">
        <x:v>Not collected</x:v>
      </x:c>
      <x:c r="B80" s="33" t="n">
        <x:f>'Evaluation Plan'!B80</x:f>
        <x:v>78</x:v>
      </x:c>
      <x:c r="C80" s="31" t="str">
        <x:f>'Evaluation Plan'!C80</x:f>
        <x:v>Move the yellow block from the bowl to the table.</x:v>
      </x:c>
      <x:c r="D80" s="31" t="str">
        <x:f>'Evaluation Plan'!D80</x:f>
        <x:v>Bowl objects: [yellow block, blue pen] | Table objects: [green pencil sharpener, airplane toy without propellers]</x:v>
      </x:c>
      <x:c r="E80" s="33" t="str">
        <x:f>'Evaluation Plan'!E80</x:f>
      </x:c>
      <x:c r="F80" s="31" t="str">
        <x:f>'Evaluation Plan'!F80</x:f>
        <x:v>REMOVE yellow block</x:v>
      </x:c>
      <x:c r="G80" s="31" t="str"/>
      <x:c r="H80" s="37" t="str">
        <x:f>'Evaluation Plan'!H80</x:f>
        <x:v>Matched manipulation control</x:v>
      </x:c>
      <x:c r="I80" s="31" t="str">
        <x:f>'Evaluation Plan'!I80</x:f>
        <x:v>CT-CF10</x:v>
      </x:c>
      <x:c r="J80" s="31" t="str">
        <x:f>'Evaluation Plan'!J80</x:f>
        <x:v>CT-CF10-REMOVE</x:v>
      </x:c>
      <x:c r="K80" s="33" t="n">
        <x:f>'Evaluation Plan'!K80</x:f>
        <x:v>2</x:v>
      </x:c>
      <x:c r="L80" s="33" t="n">
        <x:f>'Evaluation Plan'!L80</x:f>
        <x:v>1</x:v>
      </x:c>
      <x:c r="M80" s="33" t="str">
        <x:f>'Evaluation Plan'!M80</x:f>
        <x:v>REMOVE</x:v>
      </x:c>
      <x:c r="N80" s="31" t="str">
        <x:f>'Evaluation Plan'!N80</x:f>
        <x:v>Matched direct REMOVE control</x:v>
      </x:c>
      <x:c r="O80" s="33" t="n">
        <x:f>'Evaluation Plan'!O80</x:f>
        <x:v>3</x:v>
      </x:c>
      <x:c r="P80" s="31" t="str">
        <x:f>'Evaluation Plan'!P80</x:f>
        <x:v>Reset the exact count-2 scene; change only the prompt.</x:v>
      </x:c>
      <x:c r="Q80" s="31" t="str">
        <x:f>'Evaluation Plan'!Q80</x:f>
        <x:v>The direct prompt is present in Counting training for this same-task object and action direction.</x:v>
      </x:c>
      <x:c r="R80" s="31" t="n">
        <x:f>'Evaluation Plan'!R80</x:f>
        <x:v>0</x:v>
      </x:c>
    </x:row>
    <x:row r="81" ht="46.5" customHeight="1">
      <x:c r="A81" s="32" t="str">
        <x:v>Not collected</x:v>
      </x:c>
      <x:c r="B81" s="34" t="n">
        <x:f>'Evaluation Plan'!B81</x:f>
        <x:v>79</x:v>
      </x:c>
      <x:c r="C81" s="32" t="str">
        <x:f>'Evaluation Plan'!C81</x:f>
        <x:v>Leave exactly one object in the bowl.</x:v>
      </x:c>
      <x:c r="D81" s="32" t="str">
        <x:f>'Evaluation Plan'!D81</x:f>
        <x:v>Bowl objects: [yellow block, blue pen] | Table objects: [green pencil sharpener, airplane toy without propellers]</x:v>
      </x:c>
      <x:c r="E81" s="34" t="n">
        <x:f>'Evaluation Plan'!E81</x:f>
        <x:v>78</x:v>
      </x:c>
      <x:c r="F81" s="32" t="str">
        <x:f>'Evaluation Plan'!F81</x:f>
        <x:v>REMOVE any one bowl object; finish with 1 object in the bowl</x:v>
      </x:c>
      <x:c r="G81" s="32" t="str"/>
      <x:c r="H81" s="36" t="str">
        <x:f>'Evaluation Plan'!H81</x:f>
        <x:v>Concept/compositional transfer</x:v>
      </x:c>
      <x:c r="I81" s="32" t="str">
        <x:f>'Evaluation Plan'!I81</x:f>
        <x:v>CT-CF10</x:v>
      </x:c>
      <x:c r="J81" s="32" t="str">
        <x:f>'Evaluation Plan'!J81</x:f>
        <x:v>CT-CF10-REMOVE</x:v>
      </x:c>
      <x:c r="K81" s="34" t="n">
        <x:f>'Evaluation Plan'!K81</x:f>
        <x:v>2</x:v>
      </x:c>
      <x:c r="L81" s="34" t="n">
        <x:f>'Evaluation Plan'!L81</x:f>
        <x:v>1</x:v>
      </x:c>
      <x:c r="M81" s="34" t="str">
        <x:f>'Evaluation Plan'!M81</x:f>
        <x:v>REMOVE</x:v>
      </x:c>
      <x:c r="N81" s="32" t="str">
        <x:f>'Evaluation Plan'!N81</x:f>
        <x:v>Primary: one via held-out 2→1 removal</x:v>
      </x:c>
      <x:c r="O81" s="34" t="n">
        <x:f>'Evaluation Plan'!O81</x:f>
        <x:v>3</x:v>
      </x:c>
      <x:c r="P81" s="32" t="str">
        <x:f>'Evaluation Plan'!P81</x:f>
        <x:v>Build the listed count-2 scene.</x:v>
      </x:c>
      <x:c r="Q81" s="32" t="str">
        <x:f>'Evaluation Plan'!Q81</x:f>
        <x:v>The goal word one is trained, and this 2→1 trajectory is trained under a direct instruction, but the combination is withheld.</x:v>
      </x:c>
      <x:c r="R81" s="32" t="n">
        <x:f>'Evaluation Plan'!R81</x:f>
        <x:v>0</x:v>
      </x:c>
    </x:row>
    <x:row r="82" ht="46.5" customHeight="1">
      <x:c r="A82" s="31" t="str">
        <x:v>Not collected</x:v>
      </x:c>
      <x:c r="B82" s="33" t="n">
        <x:f>'Evaluation Plan'!B82</x:f>
        <x:v>80</x:v>
      </x:c>
      <x:c r="C82" s="31" t="str">
        <x:f>'Evaluation Plan'!C82</x:f>
        <x:v>Leave exactly one object in the bowl.</x:v>
      </x:c>
      <x:c r="D82" s="31" t="str">
        <x:f>'Evaluation Plan'!D82</x:f>
        <x:v>Bowl objects: [green pencil sharpener, airplane toy without propellers] | Table objects: [blue pen, yellow block]</x:v>
      </x:c>
      <x:c r="E82" s="33" t="str">
        <x:f>'Evaluation Plan'!E82</x:f>
      </x:c>
      <x:c r="F82" s="31" t="str">
        <x:f>'Evaluation Plan'!F82</x:f>
        <x:v>REMOVE any one bowl object; finish with 1 object in the bowl</x:v>
      </x:c>
      <x:c r="G82" s="31" t="str"/>
      <x:c r="H82" s="36" t="str">
        <x:f>'Evaluation Plan'!H82</x:f>
        <x:v>Concept/compositional transfer</x:v>
      </x:c>
      <x:c r="I82" s="31" t="str">
        <x:f>'Evaluation Plan'!I82</x:f>
        <x:v>CT-CF11</x:v>
      </x:c>
      <x:c r="J82" s="31" t="str">
        <x:f>'Evaluation Plan'!J82</x:f>
        <x:v>CT-CF11-REMOVE</x:v>
      </x:c>
      <x:c r="K82" s="33" t="n">
        <x:f>'Evaluation Plan'!K82</x:f>
        <x:v>2</x:v>
      </x:c>
      <x:c r="L82" s="33" t="n">
        <x:f>'Evaluation Plan'!L82</x:f>
        <x:v>1</x:v>
      </x:c>
      <x:c r="M82" s="33" t="str">
        <x:f>'Evaluation Plan'!M82</x:f>
        <x:v>REMOVE</x:v>
      </x:c>
      <x:c r="N82" s="31" t="str">
        <x:f>'Evaluation Plan'!N82</x:f>
        <x:v>Primary: one via held-out 2→1 removal</x:v>
      </x:c>
      <x:c r="O82" s="33" t="n">
        <x:f>'Evaluation Plan'!O82</x:f>
        <x:v>4</x:v>
      </x:c>
      <x:c r="P82" s="31" t="str">
        <x:f>'Evaluation Plan'!P82</x:f>
        <x:v>Build the listed count-2 scene.</x:v>
      </x:c>
      <x:c r="Q82" s="31" t="str">
        <x:f>'Evaluation Plan'!Q82</x:f>
        <x:v>The goal word one is trained, and this 2→1 trajectory is trained under a direct instruction, but the combination is withheld.</x:v>
      </x:c>
      <x:c r="R82" s="31" t="n">
        <x:f>'Evaluation Plan'!R82</x:f>
        <x:v>0</x:v>
      </x:c>
    </x:row>
    <x:row r="83" ht="46.5" customHeight="1">
      <x:c r="A83" s="32" t="str">
        <x:v>Not collected</x:v>
      </x:c>
      <x:c r="B83" s="34" t="n">
        <x:f>'Evaluation Plan'!B83</x:f>
        <x:v>81</x:v>
      </x:c>
      <x:c r="C83" s="32" t="str">
        <x:f>'Evaluation Plan'!C83</x:f>
        <x:v>Leave exactly three objects in the bowl.</x:v>
      </x:c>
      <x:c r="D83" s="32" t="str">
        <x:f>'Evaluation Plan'!D83</x:f>
        <x:v>Bowl objects: [green pencil sharpener, airplane toy without propellers] | Table objects: [blue pen, yellow block]</x:v>
      </x:c>
      <x:c r="E83" s="34" t="n">
        <x:f>'Evaluation Plan'!E83</x:f>
        <x:v>80</x:v>
      </x:c>
      <x:c r="F83" s="32" t="str">
        <x:f>'Evaluation Plan'!F83</x:f>
        <x:v>ADD any one table object; finish with 3 objects in the bowl</x:v>
      </x:c>
      <x:c r="G83" s="32" t="str"/>
      <x:c r="H83" s="36" t="str">
        <x:f>'Evaluation Plan'!H83</x:f>
        <x:v>Concept/compositional transfer</x:v>
      </x:c>
      <x:c r="I83" s="32" t="str">
        <x:f>'Evaluation Plan'!I83</x:f>
        <x:v>CT-CF11</x:v>
      </x:c>
      <x:c r="J83" s="32" t="str">
        <x:f>'Evaluation Plan'!J83</x:f>
        <x:v>CT-CF11-ADD</x:v>
      </x:c>
      <x:c r="K83" s="34" t="n">
        <x:f>'Evaluation Plan'!K83</x:f>
        <x:v>2</x:v>
      </x:c>
      <x:c r="L83" s="34" t="n">
        <x:f>'Evaluation Plan'!L83</x:f>
        <x:v>3</x:v>
      </x:c>
      <x:c r="M83" s="34" t="str">
        <x:f>'Evaluation Plan'!M83</x:f>
        <x:v>ADD</x:v>
      </x:c>
      <x:c r="N83" s="32" t="str">
        <x:f>'Evaluation Plan'!N83</x:f>
        <x:v>Primary: three via held-out 2→3 addition</x:v>
      </x:c>
      <x:c r="O83" s="34" t="n">
        <x:f>'Evaluation Plan'!O83</x:f>
        <x:v>4</x:v>
      </x:c>
      <x:c r="P83" s="32" t="str">
        <x:f>'Evaluation Plan'!P83</x:f>
        <x:v>Reset the exact count-2 scene; change only the prompt.</x:v>
      </x:c>
      <x:c r="Q83" s="32" t="str">
        <x:f>'Evaluation Plan'!Q83</x:f>
        <x:v>The goal word three is trained, and this 2→3 trajectory is trained under a direct instruction, but the combination is withheld.</x:v>
      </x:c>
      <x:c r="R83" s="32" t="n">
        <x:f>'Evaluation Plan'!R83</x:f>
        <x:v>0</x:v>
      </x:c>
    </x:row>
    <x:row r="84" ht="46.5" customHeight="1">
      <x:c r="A84" s="31" t="str">
        <x:v>Not collected</x:v>
      </x:c>
      <x:c r="B84" s="33" t="n">
        <x:f>'Evaluation Plan'!B84</x:f>
        <x:v>82</x:v>
      </x:c>
      <x:c r="C84" s="31" t="str">
        <x:f>'Evaluation Plan'!C84</x:f>
        <x:v>Leave exactly three objects in the bowl.</x:v>
      </x:c>
      <x:c r="D84" s="31" t="str">
        <x:f>'Evaluation Plan'!D84</x:f>
        <x:v>Bowl objects: [yellow block, green pencil sharpener] | Table objects: [blue pen, airplane toy without propellers]</x:v>
      </x:c>
      <x:c r="E84" s="33" t="str">
        <x:f>'Evaluation Plan'!E84</x:f>
      </x:c>
      <x:c r="F84" s="31" t="str">
        <x:f>'Evaluation Plan'!F84</x:f>
        <x:v>ADD any one table object; finish with 3 objects in the bowl</x:v>
      </x:c>
      <x:c r="G84" s="31" t="str"/>
      <x:c r="H84" s="36" t="str">
        <x:f>'Evaluation Plan'!H84</x:f>
        <x:v>Concept/compositional transfer</x:v>
      </x:c>
      <x:c r="I84" s="31" t="str">
        <x:f>'Evaluation Plan'!I84</x:f>
        <x:v>CT-CF12</x:v>
      </x:c>
      <x:c r="J84" s="31" t="str">
        <x:f>'Evaluation Plan'!J84</x:f>
        <x:v>CT-CF12-ADD</x:v>
      </x:c>
      <x:c r="K84" s="33" t="n">
        <x:f>'Evaluation Plan'!K84</x:f>
        <x:v>2</x:v>
      </x:c>
      <x:c r="L84" s="33" t="n">
        <x:f>'Evaluation Plan'!L84</x:f>
        <x:v>3</x:v>
      </x:c>
      <x:c r="M84" s="33" t="str">
        <x:f>'Evaluation Plan'!M84</x:f>
        <x:v>ADD</x:v>
      </x:c>
      <x:c r="N84" s="31" t="str">
        <x:f>'Evaluation Plan'!N84</x:f>
        <x:v>Primary: three via held-out 2→3 addition</x:v>
      </x:c>
      <x:c r="O84" s="33" t="n">
        <x:f>'Evaluation Plan'!O84</x:f>
        <x:v>4</x:v>
      </x:c>
      <x:c r="P84" s="31" t="str">
        <x:f>'Evaluation Plan'!P84</x:f>
        <x:v>Reset the exact count-2 scene; change only the prompt.</x:v>
      </x:c>
      <x:c r="Q84" s="31" t="str">
        <x:f>'Evaluation Plan'!Q84</x:f>
        <x:v>The goal word three is trained, and this 2→3 trajectory is trained under a direct instruction, but the combination is withheld.</x:v>
      </x:c>
      <x:c r="R84" s="31" t="n">
        <x:f>'Evaluation Plan'!R84</x:f>
        <x:v>0</x:v>
      </x:c>
    </x:row>
    <x:row r="85" ht="46.5" customHeight="1">
      <x:c r="A85" s="32" t="str">
        <x:v>Not collected</x:v>
      </x:c>
      <x:c r="B85" s="34" t="n">
        <x:f>'Evaluation Plan'!B85</x:f>
        <x:v>83</x:v>
      </x:c>
      <x:c r="C85" s="32" t="str">
        <x:f>'Evaluation Plan'!C85</x:f>
        <x:v>Leave exactly one object in the bowl.</x:v>
      </x:c>
      <x:c r="D85" s="32" t="str">
        <x:f>'Evaluation Plan'!D85</x:f>
        <x:v>Bowl objects: [yellow block, green pencil sharpener] | Table objects: [blue pen, airplane toy without propellers]</x:v>
      </x:c>
      <x:c r="E85" s="34" t="n">
        <x:f>'Evaluation Plan'!E85</x:f>
        <x:v>82</x:v>
      </x:c>
      <x:c r="F85" s="32" t="str">
        <x:f>'Evaluation Plan'!F85</x:f>
        <x:v>REMOVE any one bowl object; finish with 1 object in the bowl</x:v>
      </x:c>
      <x:c r="G85" s="32" t="str"/>
      <x:c r="H85" s="36" t="str">
        <x:f>'Evaluation Plan'!H85</x:f>
        <x:v>Concept/compositional transfer</x:v>
      </x:c>
      <x:c r="I85" s="32" t="str">
        <x:f>'Evaluation Plan'!I85</x:f>
        <x:v>CT-CF12</x:v>
      </x:c>
      <x:c r="J85" s="32" t="str">
        <x:f>'Evaluation Plan'!J85</x:f>
        <x:v>CT-CF12-REMOVE</x:v>
      </x:c>
      <x:c r="K85" s="34" t="n">
        <x:f>'Evaluation Plan'!K85</x:f>
        <x:v>2</x:v>
      </x:c>
      <x:c r="L85" s="34" t="n">
        <x:f>'Evaluation Plan'!L85</x:f>
        <x:v>1</x:v>
      </x:c>
      <x:c r="M85" s="34" t="str">
        <x:f>'Evaluation Plan'!M85</x:f>
        <x:v>REMOVE</x:v>
      </x:c>
      <x:c r="N85" s="32" t="str">
        <x:f>'Evaluation Plan'!N85</x:f>
        <x:v>Primary: one via held-out 2→1 removal</x:v>
      </x:c>
      <x:c r="O85" s="34" t="n">
        <x:f>'Evaluation Plan'!O85</x:f>
        <x:v>4</x:v>
      </x:c>
      <x:c r="P85" s="32" t="str">
        <x:f>'Evaluation Plan'!P85</x:f>
        <x:v>Build the listed count-2 scene.</x:v>
      </x:c>
      <x:c r="Q85" s="32" t="str">
        <x:f>'Evaluation Plan'!Q85</x:f>
        <x:v>The goal word one is trained, and this 2→1 trajectory is trained under a direct instruction, but the combination is withheld.</x:v>
      </x:c>
      <x:c r="R85" s="32" t="n">
        <x:f>'Evaluation Plan'!R85</x:f>
        <x:v>0</x:v>
      </x:c>
    </x:row>
    <x:row r="86" ht="46.5" customHeight="1">
      <x:c r="A86" s="31" t="str">
        <x:v>Not collected</x:v>
      </x:c>
      <x:c r="B86" s="33" t="n">
        <x:f>'Evaluation Plan'!B86</x:f>
        <x:v>84</x:v>
      </x:c>
      <x:c r="C86" s="31" t="str">
        <x:f>'Evaluation Plan'!C86</x:f>
        <x:v>Leave exactly one object in the bowl.</x:v>
      </x:c>
      <x:c r="D86" s="31" t="str">
        <x:f>'Evaluation Plan'!D86</x:f>
        <x:v>Bowl objects: [green pencil sharpener, airplane toy without propellers] | Table objects: [blue pen, yellow block]</x:v>
      </x:c>
      <x:c r="E86" s="33" t="str">
        <x:f>'Evaluation Plan'!E86</x:f>
      </x:c>
      <x:c r="F86" s="31" t="str">
        <x:f>'Evaluation Plan'!F86</x:f>
        <x:v>REMOVE any one bowl object; finish with 1 object in the bowl</x:v>
      </x:c>
      <x:c r="G86" s="31" t="str"/>
      <x:c r="H86" s="36" t="str">
        <x:f>'Evaluation Plan'!H86</x:f>
        <x:v>Concept/compositional transfer</x:v>
      </x:c>
      <x:c r="I86" s="31" t="str">
        <x:f>'Evaluation Plan'!I86</x:f>
        <x:v>CT-CF13</x:v>
      </x:c>
      <x:c r="J86" s="31" t="str">
        <x:f>'Evaluation Plan'!J86</x:f>
        <x:v>CT-CF13-REMOVE</x:v>
      </x:c>
      <x:c r="K86" s="33" t="n">
        <x:f>'Evaluation Plan'!K86</x:f>
        <x:v>2</x:v>
      </x:c>
      <x:c r="L86" s="33" t="n">
        <x:f>'Evaluation Plan'!L86</x:f>
        <x:v>1</x:v>
      </x:c>
      <x:c r="M86" s="33" t="str">
        <x:f>'Evaluation Plan'!M86</x:f>
        <x:v>REMOVE</x:v>
      </x:c>
      <x:c r="N86" s="31" t="str">
        <x:f>'Evaluation Plan'!N86</x:f>
        <x:v>Primary: one via held-out 2→1 removal</x:v>
      </x:c>
      <x:c r="O86" s="33" t="n">
        <x:f>'Evaluation Plan'!O86</x:f>
        <x:v>4</x:v>
      </x:c>
      <x:c r="P86" s="31" t="str">
        <x:f>'Evaluation Plan'!P86</x:f>
        <x:v>Build the listed count-2 scene.</x:v>
      </x:c>
      <x:c r="Q86" s="31" t="str">
        <x:f>'Evaluation Plan'!Q86</x:f>
        <x:v>The goal word one is trained, and this 2→1 trajectory is trained under a direct instruction, but the combination is withheld.</x:v>
      </x:c>
      <x:c r="R86" s="31" t="n">
        <x:f>'Evaluation Plan'!R86</x:f>
        <x:v>0</x:v>
      </x:c>
    </x:row>
    <x:row r="87" ht="46.5" customHeight="1">
      <x:c r="A87" s="32" t="str">
        <x:v>Not collected</x:v>
      </x:c>
      <x:c r="B87" s="34" t="n">
        <x:f>'Evaluation Plan'!B87</x:f>
        <x:v>85</x:v>
      </x:c>
      <x:c r="C87" s="32" t="str">
        <x:f>'Evaluation Plan'!C87</x:f>
        <x:v>Leave exactly three objects in the bowl.</x:v>
      </x:c>
      <x:c r="D87" s="32" t="str">
        <x:f>'Evaluation Plan'!D87</x:f>
        <x:v>Bowl objects: [green pencil sharpener, airplane toy without propellers] | Table objects: [blue pen, yellow block]</x:v>
      </x:c>
      <x:c r="E87" s="34" t="n">
        <x:f>'Evaluation Plan'!E87</x:f>
        <x:v>84</x:v>
      </x:c>
      <x:c r="F87" s="32" t="str">
        <x:f>'Evaluation Plan'!F87</x:f>
        <x:v>ADD any one table object; finish with 3 objects in the bowl</x:v>
      </x:c>
      <x:c r="G87" s="32" t="str"/>
      <x:c r="H87" s="36" t="str">
        <x:f>'Evaluation Plan'!H87</x:f>
        <x:v>Concept/compositional transfer</x:v>
      </x:c>
      <x:c r="I87" s="32" t="str">
        <x:f>'Evaluation Plan'!I87</x:f>
        <x:v>CT-CF13</x:v>
      </x:c>
      <x:c r="J87" s="32" t="str">
        <x:f>'Evaluation Plan'!J87</x:f>
        <x:v>CT-CF13-ADD</x:v>
      </x:c>
      <x:c r="K87" s="34" t="n">
        <x:f>'Evaluation Plan'!K87</x:f>
        <x:v>2</x:v>
      </x:c>
      <x:c r="L87" s="34" t="n">
        <x:f>'Evaluation Plan'!L87</x:f>
        <x:v>3</x:v>
      </x:c>
      <x:c r="M87" s="34" t="str">
        <x:f>'Evaluation Plan'!M87</x:f>
        <x:v>ADD</x:v>
      </x:c>
      <x:c r="N87" s="32" t="str">
        <x:f>'Evaluation Plan'!N87</x:f>
        <x:v>Primary: three via held-out 2→3 addition</x:v>
      </x:c>
      <x:c r="O87" s="34" t="n">
        <x:f>'Evaluation Plan'!O87</x:f>
        <x:v>4</x:v>
      </x:c>
      <x:c r="P87" s="32" t="str">
        <x:f>'Evaluation Plan'!P87</x:f>
        <x:v>Reset the exact count-2 scene; change only the prompt.</x:v>
      </x:c>
      <x:c r="Q87" s="32" t="str">
        <x:f>'Evaluation Plan'!Q87</x:f>
        <x:v>The goal word three is trained, and this 2→3 trajectory is trained under a direct instruction, but the combination is withheld.</x:v>
      </x:c>
      <x:c r="R87" s="32" t="n">
        <x:f>'Evaluation Plan'!R87</x:f>
        <x:v>0</x:v>
      </x:c>
    </x:row>
    <x:row r="88" ht="46.5" customHeight="1">
      <x:c r="A88" s="31" t="str">
        <x:v>Not collected</x:v>
      </x:c>
      <x:c r="B88" s="33" t="n">
        <x:f>'Evaluation Plan'!B88</x:f>
        <x:v>86</x:v>
      </x:c>
      <x:c r="C88" s="31" t="str">
        <x:f>'Evaluation Plan'!C88</x:f>
        <x:v>Leave exactly three objects in the bowl.</x:v>
      </x:c>
      <x:c r="D88" s="31" t="str">
        <x:f>'Evaluation Plan'!D88</x:f>
        <x:v>Bowl objects: [yellow block, green pencil sharpener] | Table objects: [blue pen, airplane toy without propellers]</x:v>
      </x:c>
      <x:c r="E88" s="33" t="str">
        <x:f>'Evaluation Plan'!E88</x:f>
      </x:c>
      <x:c r="F88" s="31" t="str">
        <x:f>'Evaluation Plan'!F88</x:f>
        <x:v>ADD any one table object; finish with 3 objects in the bowl</x:v>
      </x:c>
      <x:c r="G88" s="31" t="str"/>
      <x:c r="H88" s="36" t="str">
        <x:f>'Evaluation Plan'!H88</x:f>
        <x:v>Concept/compositional transfer</x:v>
      </x:c>
      <x:c r="I88" s="31" t="str">
        <x:f>'Evaluation Plan'!I88</x:f>
        <x:v>CT-CF14</x:v>
      </x:c>
      <x:c r="J88" s="31" t="str">
        <x:f>'Evaluation Plan'!J88</x:f>
        <x:v>CT-CF14-ADD</x:v>
      </x:c>
      <x:c r="K88" s="33" t="n">
        <x:f>'Evaluation Plan'!K88</x:f>
        <x:v>2</x:v>
      </x:c>
      <x:c r="L88" s="33" t="n">
        <x:f>'Evaluation Plan'!L88</x:f>
        <x:v>3</x:v>
      </x:c>
      <x:c r="M88" s="33" t="str">
        <x:f>'Evaluation Plan'!M88</x:f>
        <x:v>ADD</x:v>
      </x:c>
      <x:c r="N88" s="31" t="str">
        <x:f>'Evaluation Plan'!N88</x:f>
        <x:v>Primary: three via held-out 2→3 addition</x:v>
      </x:c>
      <x:c r="O88" s="33" t="n">
        <x:f>'Evaluation Plan'!O88</x:f>
        <x:v>4</x:v>
      </x:c>
      <x:c r="P88" s="31" t="str">
        <x:f>'Evaluation Plan'!P88</x:f>
        <x:v>Reset the exact count-2 scene; change only the prompt.</x:v>
      </x:c>
      <x:c r="Q88" s="31" t="str">
        <x:f>'Evaluation Plan'!Q88</x:f>
        <x:v>The goal word three is trained, and this 2→3 trajectory is trained under a direct instruction, but the combination is withheld.</x:v>
      </x:c>
      <x:c r="R88" s="31" t="n">
        <x:f>'Evaluation Plan'!R88</x:f>
        <x:v>0</x:v>
      </x:c>
    </x:row>
    <x:row r="89" ht="46.5" customHeight="1">
      <x:c r="A89" s="32" t="str">
        <x:v>Not collected</x:v>
      </x:c>
      <x:c r="B89" s="34" t="n">
        <x:f>'Evaluation Plan'!B89</x:f>
        <x:v>87</x:v>
      </x:c>
      <x:c r="C89" s="32" t="str">
        <x:f>'Evaluation Plan'!C89</x:f>
        <x:v>Leave exactly one object in the bowl.</x:v>
      </x:c>
      <x:c r="D89" s="32" t="str">
        <x:f>'Evaluation Plan'!D89</x:f>
        <x:v>Bowl objects: [yellow block, green pencil sharpener] | Table objects: [blue pen, airplane toy without propellers]</x:v>
      </x:c>
      <x:c r="E89" s="34" t="n">
        <x:f>'Evaluation Plan'!E89</x:f>
        <x:v>86</x:v>
      </x:c>
      <x:c r="F89" s="32" t="str">
        <x:f>'Evaluation Plan'!F89</x:f>
        <x:v>REMOVE any one bowl object; finish with 1 object in the bowl</x:v>
      </x:c>
      <x:c r="G89" s="32" t="str"/>
      <x:c r="H89" s="36" t="str">
        <x:f>'Evaluation Plan'!H89</x:f>
        <x:v>Concept/compositional transfer</x:v>
      </x:c>
      <x:c r="I89" s="32" t="str">
        <x:f>'Evaluation Plan'!I89</x:f>
        <x:v>CT-CF14</x:v>
      </x:c>
      <x:c r="J89" s="32" t="str">
        <x:f>'Evaluation Plan'!J89</x:f>
        <x:v>CT-CF14-REMOVE</x:v>
      </x:c>
      <x:c r="K89" s="34" t="n">
        <x:f>'Evaluation Plan'!K89</x:f>
        <x:v>2</x:v>
      </x:c>
      <x:c r="L89" s="34" t="n">
        <x:f>'Evaluation Plan'!L89</x:f>
        <x:v>1</x:v>
      </x:c>
      <x:c r="M89" s="34" t="str">
        <x:f>'Evaluation Plan'!M89</x:f>
        <x:v>REMOVE</x:v>
      </x:c>
      <x:c r="N89" s="32" t="str">
        <x:f>'Evaluation Plan'!N89</x:f>
        <x:v>Primary: one via held-out 2→1 removal</x:v>
      </x:c>
      <x:c r="O89" s="34" t="n">
        <x:f>'Evaluation Plan'!O89</x:f>
        <x:v>4</x:v>
      </x:c>
      <x:c r="P89" s="32" t="str">
        <x:f>'Evaluation Plan'!P89</x:f>
        <x:v>Build the listed count-2 scene.</x:v>
      </x:c>
      <x:c r="Q89" s="32" t="str">
        <x:f>'Evaluation Plan'!Q89</x:f>
        <x:v>The goal word one is trained, and this 2→1 trajectory is trained under a direct instruction, but the combination is withheld.</x:v>
      </x:c>
      <x:c r="R89" s="32" t="n">
        <x:f>'Evaluation Plan'!R89</x:f>
        <x:v>0</x:v>
      </x:c>
    </x:row>
    <x:row r="90" ht="46.5" customHeight="1">
      <x:c r="A90" s="31" t="str">
        <x:v>Not collected</x:v>
      </x:c>
      <x:c r="B90" s="33" t="n">
        <x:f>'Evaluation Plan'!B90</x:f>
        <x:v>88</x:v>
      </x:c>
      <x:c r="C90" s="31" t="str">
        <x:f>'Evaluation Plan'!C90</x:f>
        <x:v>Leave exactly one object in the bowl.</x:v>
      </x:c>
      <x:c r="D90" s="31" t="str">
        <x:f>'Evaluation Plan'!D90</x:f>
        <x:v>Bowl objects: [green pencil sharpener, airplane toy without propellers] | Table objects: [blue pen, yellow block]</x:v>
      </x:c>
      <x:c r="E90" s="33" t="str">
        <x:f>'Evaluation Plan'!E90</x:f>
      </x:c>
      <x:c r="F90" s="31" t="str">
        <x:f>'Evaluation Plan'!F90</x:f>
        <x:v>REMOVE any one bowl object; finish with 1 object in the bowl</x:v>
      </x:c>
      <x:c r="G90" s="31" t="str"/>
      <x:c r="H90" s="36" t="str">
        <x:f>'Evaluation Plan'!H90</x:f>
        <x:v>Concept/compositional transfer</x:v>
      </x:c>
      <x:c r="I90" s="31" t="str">
        <x:f>'Evaluation Plan'!I90</x:f>
        <x:v>CT-CF15</x:v>
      </x:c>
      <x:c r="J90" s="31" t="str">
        <x:f>'Evaluation Plan'!J90</x:f>
        <x:v>CT-CF15-REMOVE</x:v>
      </x:c>
      <x:c r="K90" s="33" t="n">
        <x:f>'Evaluation Plan'!K90</x:f>
        <x:v>2</x:v>
      </x:c>
      <x:c r="L90" s="33" t="n">
        <x:f>'Evaluation Plan'!L90</x:f>
        <x:v>1</x:v>
      </x:c>
      <x:c r="M90" s="33" t="str">
        <x:f>'Evaluation Plan'!M90</x:f>
        <x:v>REMOVE</x:v>
      </x:c>
      <x:c r="N90" s="31" t="str">
        <x:f>'Evaluation Plan'!N90</x:f>
        <x:v>Primary: one via held-out 2→1 removal</x:v>
      </x:c>
      <x:c r="O90" s="33" t="n">
        <x:f>'Evaluation Plan'!O90</x:f>
        <x:v>4</x:v>
      </x:c>
      <x:c r="P90" s="31" t="str">
        <x:f>'Evaluation Plan'!P90</x:f>
        <x:v>Build the listed count-2 scene.</x:v>
      </x:c>
      <x:c r="Q90" s="31" t="str">
        <x:f>'Evaluation Plan'!Q90</x:f>
        <x:v>The goal word one is trained, and this 2→1 trajectory is trained under a direct instruction, but the combination is withheld.</x:v>
      </x:c>
      <x:c r="R90" s="31" t="n">
        <x:f>'Evaluation Plan'!R90</x:f>
        <x:v>0</x:v>
      </x:c>
    </x:row>
    <x:row r="91" ht="46.5" customHeight="1">
      <x:c r="A91" s="32" t="str">
        <x:v>Not collected</x:v>
      </x:c>
      <x:c r="B91" s="34" t="n">
        <x:f>'Evaluation Plan'!B91</x:f>
        <x:v>89</x:v>
      </x:c>
      <x:c r="C91" s="32" t="str">
        <x:f>'Evaluation Plan'!C91</x:f>
        <x:v>Leave exactly three objects in the bowl.</x:v>
      </x:c>
      <x:c r="D91" s="32" t="str">
        <x:f>'Evaluation Plan'!D91</x:f>
        <x:v>Bowl objects: [green pencil sharpener, airplane toy without propellers] | Table objects: [blue pen, yellow block]</x:v>
      </x:c>
      <x:c r="E91" s="34" t="n">
        <x:f>'Evaluation Plan'!E91</x:f>
        <x:v>88</x:v>
      </x:c>
      <x:c r="F91" s="32" t="str">
        <x:f>'Evaluation Plan'!F91</x:f>
        <x:v>ADD any one table object; finish with 3 objects in the bowl</x:v>
      </x:c>
      <x:c r="G91" s="32" t="str"/>
      <x:c r="H91" s="36" t="str">
        <x:f>'Evaluation Plan'!H91</x:f>
        <x:v>Concept/compositional transfer</x:v>
      </x:c>
      <x:c r="I91" s="32" t="str">
        <x:f>'Evaluation Plan'!I91</x:f>
        <x:v>CT-CF15</x:v>
      </x:c>
      <x:c r="J91" s="32" t="str">
        <x:f>'Evaluation Plan'!J91</x:f>
        <x:v>CT-CF15-ADD</x:v>
      </x:c>
      <x:c r="K91" s="34" t="n">
        <x:f>'Evaluation Plan'!K91</x:f>
        <x:v>2</x:v>
      </x:c>
      <x:c r="L91" s="34" t="n">
        <x:f>'Evaluation Plan'!L91</x:f>
        <x:v>3</x:v>
      </x:c>
      <x:c r="M91" s="34" t="str">
        <x:f>'Evaluation Plan'!M91</x:f>
        <x:v>ADD</x:v>
      </x:c>
      <x:c r="N91" s="32" t="str">
        <x:f>'Evaluation Plan'!N91</x:f>
        <x:v>Primary: three via held-out 2→3 addition</x:v>
      </x:c>
      <x:c r="O91" s="34" t="n">
        <x:f>'Evaluation Plan'!O91</x:f>
        <x:v>4</x:v>
      </x:c>
      <x:c r="P91" s="32" t="str">
        <x:f>'Evaluation Plan'!P91</x:f>
        <x:v>Reset the exact count-2 scene; change only the prompt.</x:v>
      </x:c>
      <x:c r="Q91" s="32" t="str">
        <x:f>'Evaluation Plan'!Q91</x:f>
        <x:v>The goal word three is trained, and this 2→3 trajectory is trained under a direct instruction, but the combination is withheld.</x:v>
      </x:c>
      <x:c r="R91" s="32" t="n">
        <x:f>'Evaluation Plan'!R91</x:f>
        <x:v>0</x:v>
      </x:c>
    </x:row>
    <x:row r="92" ht="46.5" customHeight="1">
      <x:c r="A92" s="31" t="str">
        <x:v>Not collected</x:v>
      </x:c>
      <x:c r="B92" s="33" t="n">
        <x:f>'Evaluation Plan'!B92</x:f>
        <x:v>90</x:v>
      </x:c>
      <x:c r="C92" s="31" t="str">
        <x:f>'Evaluation Plan'!C92</x:f>
        <x:v>Leave exactly three objects in the bowl.</x:v>
      </x:c>
      <x:c r="D92" s="31" t="str">
        <x:f>'Evaluation Plan'!D92</x:f>
        <x:v>Bowl objects: [yellow block, green pencil sharpener] | Table objects: [blue pen, airplane toy without propellers]</x:v>
      </x:c>
      <x:c r="E92" s="33" t="str">
        <x:f>'Evaluation Plan'!E92</x:f>
      </x:c>
      <x:c r="F92" s="31" t="str">
        <x:f>'Evaluation Plan'!F92</x:f>
        <x:v>ADD any one table object; finish with 3 objects in the bowl</x:v>
      </x:c>
      <x:c r="G92" s="31" t="str"/>
      <x:c r="H92" s="36" t="str">
        <x:f>'Evaluation Plan'!H92</x:f>
        <x:v>Concept/compositional transfer</x:v>
      </x:c>
      <x:c r="I92" s="31" t="str">
        <x:f>'Evaluation Plan'!I92</x:f>
        <x:v>CT-CF16</x:v>
      </x:c>
      <x:c r="J92" s="31" t="str">
        <x:f>'Evaluation Plan'!J92</x:f>
        <x:v>CT-CF16-ADD</x:v>
      </x:c>
      <x:c r="K92" s="33" t="n">
        <x:f>'Evaluation Plan'!K92</x:f>
        <x:v>2</x:v>
      </x:c>
      <x:c r="L92" s="33" t="n">
        <x:f>'Evaluation Plan'!L92</x:f>
        <x:v>3</x:v>
      </x:c>
      <x:c r="M92" s="33" t="str">
        <x:f>'Evaluation Plan'!M92</x:f>
        <x:v>ADD</x:v>
      </x:c>
      <x:c r="N92" s="31" t="str">
        <x:f>'Evaluation Plan'!N92</x:f>
        <x:v>Primary: three via held-out 2→3 addition</x:v>
      </x:c>
      <x:c r="O92" s="33" t="n">
        <x:f>'Evaluation Plan'!O92</x:f>
        <x:v>4</x:v>
      </x:c>
      <x:c r="P92" s="31" t="str">
        <x:f>'Evaluation Plan'!P92</x:f>
        <x:v>Reset the exact count-2 scene; change only the prompt.</x:v>
      </x:c>
      <x:c r="Q92" s="31" t="str">
        <x:f>'Evaluation Plan'!Q92</x:f>
        <x:v>The goal word three is trained, and this 2→3 trajectory is trained under a direct instruction, but the combination is withheld.</x:v>
      </x:c>
      <x:c r="R92" s="31" t="n">
        <x:f>'Evaluation Plan'!R92</x:f>
        <x:v>0</x:v>
      </x:c>
    </x:row>
    <x:row r="93" ht="46.5" customHeight="1">
      <x:c r="A93" s="32" t="str">
        <x:v>Not collected</x:v>
      </x:c>
      <x:c r="B93" s="34" t="n">
        <x:f>'Evaluation Plan'!B93</x:f>
        <x:v>91</x:v>
      </x:c>
      <x:c r="C93" s="32" t="str">
        <x:f>'Evaluation Plan'!C93</x:f>
        <x:v>Leave exactly one object in the bowl.</x:v>
      </x:c>
      <x:c r="D93" s="32" t="str">
        <x:f>'Evaluation Plan'!D93</x:f>
        <x:v>Bowl objects: [yellow block, green pencil sharpener] | Table objects: [blue pen, airplane toy without propellers]</x:v>
      </x:c>
      <x:c r="E93" s="34" t="n">
        <x:f>'Evaluation Plan'!E93</x:f>
        <x:v>90</x:v>
      </x:c>
      <x:c r="F93" s="32" t="str">
        <x:f>'Evaluation Plan'!F93</x:f>
        <x:v>REMOVE any one bowl object; finish with 1 object in the bowl</x:v>
      </x:c>
      <x:c r="G93" s="32" t="str"/>
      <x:c r="H93" s="36" t="str">
        <x:f>'Evaluation Plan'!H93</x:f>
        <x:v>Concept/compositional transfer</x:v>
      </x:c>
      <x:c r="I93" s="32" t="str">
        <x:f>'Evaluation Plan'!I93</x:f>
        <x:v>CT-CF16</x:v>
      </x:c>
      <x:c r="J93" s="32" t="str">
        <x:f>'Evaluation Plan'!J93</x:f>
        <x:v>CT-CF16-REMOVE</x:v>
      </x:c>
      <x:c r="K93" s="34" t="n">
        <x:f>'Evaluation Plan'!K93</x:f>
        <x:v>2</x:v>
      </x:c>
      <x:c r="L93" s="34" t="n">
        <x:f>'Evaluation Plan'!L93</x:f>
        <x:v>1</x:v>
      </x:c>
      <x:c r="M93" s="34" t="str">
        <x:f>'Evaluation Plan'!M93</x:f>
        <x:v>REMOVE</x:v>
      </x:c>
      <x:c r="N93" s="32" t="str">
        <x:f>'Evaluation Plan'!N93</x:f>
        <x:v>Primary: one via held-out 2→1 removal</x:v>
      </x:c>
      <x:c r="O93" s="34" t="n">
        <x:f>'Evaluation Plan'!O93</x:f>
        <x:v>4</x:v>
      </x:c>
      <x:c r="P93" s="32" t="str">
        <x:f>'Evaluation Plan'!P93</x:f>
        <x:v>Build the listed count-2 scene.</x:v>
      </x:c>
      <x:c r="Q93" s="32" t="str">
        <x:f>'Evaluation Plan'!Q93</x:f>
        <x:v>The goal word one is trained, and this 2→1 trajectory is trained under a direct instruction, but the combination is withheld.</x:v>
      </x:c>
      <x:c r="R93" s="32" t="n">
        <x:f>'Evaluation Plan'!R93</x:f>
        <x:v>0</x:v>
      </x:c>
    </x:row>
    <x:row r="94" ht="46.5" customHeight="1">
      <x:c r="A94" s="31" t="str">
        <x:v>Not collected</x:v>
      </x:c>
      <x:c r="B94" s="33" t="n">
        <x:f>'Evaluation Plan'!B94</x:f>
        <x:v>92</x:v>
      </x:c>
      <x:c r="C94" s="31" t="str">
        <x:f>'Evaluation Plan'!C94</x:f>
        <x:v>Leave exactly one object in the bowl.</x:v>
      </x:c>
      <x:c r="D94" s="31" t="str">
        <x:f>'Evaluation Plan'!D94</x:f>
        <x:v>Bowl objects: [blue pen, airplane toy without propellers] | Table objects: [yellow block, green pencil sharpener]</x:v>
      </x:c>
      <x:c r="E94" s="33" t="str">
        <x:f>'Evaluation Plan'!E94</x:f>
      </x:c>
      <x:c r="F94" s="31" t="str">
        <x:f>'Evaluation Plan'!F94</x:f>
        <x:v>REMOVE any one bowl object; finish with 1 object in the bowl</x:v>
      </x:c>
      <x:c r="G94" s="31" t="str"/>
      <x:c r="H94" s="36" t="str">
        <x:f>'Evaluation Plan'!H94</x:f>
        <x:v>Concept/compositional transfer</x:v>
      </x:c>
      <x:c r="I94" s="31" t="str">
        <x:f>'Evaluation Plan'!I94</x:f>
        <x:v>CT-CF17</x:v>
      </x:c>
      <x:c r="J94" s="31" t="str">
        <x:f>'Evaluation Plan'!J94</x:f>
        <x:v>CT-CF17-REMOVE</x:v>
      </x:c>
      <x:c r="K94" s="33" t="n">
        <x:f>'Evaluation Plan'!K94</x:f>
        <x:v>2</x:v>
      </x:c>
      <x:c r="L94" s="33" t="n">
        <x:f>'Evaluation Plan'!L94</x:f>
        <x:v>1</x:v>
      </x:c>
      <x:c r="M94" s="33" t="str">
        <x:f>'Evaluation Plan'!M94</x:f>
        <x:v>REMOVE</x:v>
      </x:c>
      <x:c r="N94" s="31" t="str">
        <x:f>'Evaluation Plan'!N94</x:f>
        <x:v>Primary: one via held-out 2→1 removal</x:v>
      </x:c>
      <x:c r="O94" s="33" t="n">
        <x:f>'Evaluation Plan'!O94</x:f>
        <x:v>4</x:v>
      </x:c>
      <x:c r="P94" s="31" t="str">
        <x:f>'Evaluation Plan'!P94</x:f>
        <x:v>Build the listed count-2 scene.</x:v>
      </x:c>
      <x:c r="Q94" s="31" t="str">
        <x:f>'Evaluation Plan'!Q94</x:f>
        <x:v>The goal word one is trained, and this 2→1 trajectory is trained under a direct instruction, but the combination is withheld.</x:v>
      </x:c>
      <x:c r="R94" s="31" t="n">
        <x:f>'Evaluation Plan'!R94</x:f>
        <x:v>0</x:v>
      </x:c>
    </x:row>
    <x:row r="95" ht="46.5" customHeight="1">
      <x:c r="A95" s="32" t="str">
        <x:v>Not collected</x:v>
      </x:c>
      <x:c r="B95" s="34" t="n">
        <x:f>'Evaluation Plan'!B95</x:f>
        <x:v>93</x:v>
      </x:c>
      <x:c r="C95" s="32" t="str">
        <x:f>'Evaluation Plan'!C95</x:f>
        <x:v>Leave exactly three objects in the bowl.</x:v>
      </x:c>
      <x:c r="D95" s="32" t="str">
        <x:f>'Evaluation Plan'!D95</x:f>
        <x:v>Bowl objects: [blue pen, airplane toy without propellers] | Table objects: [yellow block, green pencil sharpener]</x:v>
      </x:c>
      <x:c r="E95" s="34" t="n">
        <x:f>'Evaluation Plan'!E95</x:f>
        <x:v>92</x:v>
      </x:c>
      <x:c r="F95" s="32" t="str">
        <x:f>'Evaluation Plan'!F95</x:f>
        <x:v>ADD any one table object; finish with 3 objects in the bowl</x:v>
      </x:c>
      <x:c r="G95" s="32" t="str"/>
      <x:c r="H95" s="36" t="str">
        <x:f>'Evaluation Plan'!H95</x:f>
        <x:v>Concept/compositional transfer</x:v>
      </x:c>
      <x:c r="I95" s="32" t="str">
        <x:f>'Evaluation Plan'!I95</x:f>
        <x:v>CT-CF17</x:v>
      </x:c>
      <x:c r="J95" s="32" t="str">
        <x:f>'Evaluation Plan'!J95</x:f>
        <x:v>CT-CF17-ADD</x:v>
      </x:c>
      <x:c r="K95" s="34" t="n">
        <x:f>'Evaluation Plan'!K95</x:f>
        <x:v>2</x:v>
      </x:c>
      <x:c r="L95" s="34" t="n">
        <x:f>'Evaluation Plan'!L95</x:f>
        <x:v>3</x:v>
      </x:c>
      <x:c r="M95" s="34" t="str">
        <x:f>'Evaluation Plan'!M95</x:f>
        <x:v>ADD</x:v>
      </x:c>
      <x:c r="N95" s="32" t="str">
        <x:f>'Evaluation Plan'!N95</x:f>
        <x:v>Primary: three via held-out 2→3 addition</x:v>
      </x:c>
      <x:c r="O95" s="34" t="n">
        <x:f>'Evaluation Plan'!O95</x:f>
        <x:v>4</x:v>
      </x:c>
      <x:c r="P95" s="32" t="str">
        <x:f>'Evaluation Plan'!P95</x:f>
        <x:v>Reset the exact count-2 scene; change only the prompt.</x:v>
      </x:c>
      <x:c r="Q95" s="32" t="str">
        <x:f>'Evaluation Plan'!Q95</x:f>
        <x:v>The goal word three is trained, and this 2→3 trajectory is trained under a direct instruction, but the combination is withheld.</x:v>
      </x:c>
      <x:c r="R95" s="32" t="n">
        <x:f>'Evaluation Plan'!R95</x:f>
        <x:v>0</x:v>
      </x:c>
    </x:row>
    <x:row r="96" ht="46.5" customHeight="1">
      <x:c r="A96" s="31" t="str">
        <x:v>Not collected</x:v>
      </x:c>
      <x:c r="B96" s="33" t="n">
        <x:f>'Evaluation Plan'!B96</x:f>
        <x:v>94</x:v>
      </x:c>
      <x:c r="C96" s="31" t="str">
        <x:f>'Evaluation Plan'!C96</x:f>
        <x:v>Leave exactly three objects in the bowl.</x:v>
      </x:c>
      <x:c r="D96" s="31" t="str">
        <x:f>'Evaluation Plan'!D96</x:f>
        <x:v>Bowl objects: [yellow block, green pencil sharpener] | Table objects: [blue pen, airplane toy without propellers]</x:v>
      </x:c>
      <x:c r="E96" s="33" t="str">
        <x:f>'Evaluation Plan'!E96</x:f>
      </x:c>
      <x:c r="F96" s="31" t="str">
        <x:f>'Evaluation Plan'!F96</x:f>
        <x:v>ADD any one table object; finish with 3 objects in the bowl</x:v>
      </x:c>
      <x:c r="G96" s="31" t="str"/>
      <x:c r="H96" s="36" t="str">
        <x:f>'Evaluation Plan'!H96</x:f>
        <x:v>Concept/compositional transfer</x:v>
      </x:c>
      <x:c r="I96" s="31" t="str">
        <x:f>'Evaluation Plan'!I96</x:f>
        <x:v>CT-CF18</x:v>
      </x:c>
      <x:c r="J96" s="31" t="str">
        <x:f>'Evaluation Plan'!J96</x:f>
        <x:v>CT-CF18-ADD</x:v>
      </x:c>
      <x:c r="K96" s="33" t="n">
        <x:f>'Evaluation Plan'!K96</x:f>
        <x:v>2</x:v>
      </x:c>
      <x:c r="L96" s="33" t="n">
        <x:f>'Evaluation Plan'!L96</x:f>
        <x:v>3</x:v>
      </x:c>
      <x:c r="M96" s="33" t="str">
        <x:f>'Evaluation Plan'!M96</x:f>
        <x:v>ADD</x:v>
      </x:c>
      <x:c r="N96" s="31" t="str">
        <x:f>'Evaluation Plan'!N96</x:f>
        <x:v>Primary: three via held-out 2→3 addition</x:v>
      </x:c>
      <x:c r="O96" s="33" t="n">
        <x:f>'Evaluation Plan'!O96</x:f>
        <x:v>4</x:v>
      </x:c>
      <x:c r="P96" s="31" t="str">
        <x:f>'Evaluation Plan'!P96</x:f>
        <x:v>Reset the exact count-2 scene; change only the prompt.</x:v>
      </x:c>
      <x:c r="Q96" s="31" t="str">
        <x:f>'Evaluation Plan'!Q96</x:f>
        <x:v>The goal word three is trained, and this 2→3 trajectory is trained under a direct instruction, but the combination is withheld.</x:v>
      </x:c>
      <x:c r="R96" s="31" t="n">
        <x:f>'Evaluation Plan'!R96</x:f>
        <x:v>0</x:v>
      </x:c>
    </x:row>
    <x:row r="97" ht="46.5" customHeight="1">
      <x:c r="A97" s="32" t="str">
        <x:v>Not collected</x:v>
      </x:c>
      <x:c r="B97" s="34" t="n">
        <x:f>'Evaluation Plan'!B97</x:f>
        <x:v>95</x:v>
      </x:c>
      <x:c r="C97" s="32" t="str">
        <x:f>'Evaluation Plan'!C97</x:f>
        <x:v>Leave exactly one object in the bowl.</x:v>
      </x:c>
      <x:c r="D97" s="32" t="str">
        <x:f>'Evaluation Plan'!D97</x:f>
        <x:v>Bowl objects: [yellow block, green pencil sharpener] | Table objects: [blue pen, airplane toy without propellers]</x:v>
      </x:c>
      <x:c r="E97" s="34" t="n">
        <x:f>'Evaluation Plan'!E97</x:f>
        <x:v>94</x:v>
      </x:c>
      <x:c r="F97" s="32" t="str">
        <x:f>'Evaluation Plan'!F97</x:f>
        <x:v>REMOVE any one bowl object; finish with 1 object in the bowl</x:v>
      </x:c>
      <x:c r="G97" s="32" t="str"/>
      <x:c r="H97" s="36" t="str">
        <x:f>'Evaluation Plan'!H97</x:f>
        <x:v>Concept/compositional transfer</x:v>
      </x:c>
      <x:c r="I97" s="32" t="str">
        <x:f>'Evaluation Plan'!I97</x:f>
        <x:v>CT-CF18</x:v>
      </x:c>
      <x:c r="J97" s="32" t="str">
        <x:f>'Evaluation Plan'!J97</x:f>
        <x:v>CT-CF18-REMOVE</x:v>
      </x:c>
      <x:c r="K97" s="34" t="n">
        <x:f>'Evaluation Plan'!K97</x:f>
        <x:v>2</x:v>
      </x:c>
      <x:c r="L97" s="34" t="n">
        <x:f>'Evaluation Plan'!L97</x:f>
        <x:v>1</x:v>
      </x:c>
      <x:c r="M97" s="34" t="str">
        <x:f>'Evaluation Plan'!M97</x:f>
        <x:v>REMOVE</x:v>
      </x:c>
      <x:c r="N97" s="32" t="str">
        <x:f>'Evaluation Plan'!N97</x:f>
        <x:v>Primary: one via held-out 2→1 removal</x:v>
      </x:c>
      <x:c r="O97" s="34" t="n">
        <x:f>'Evaluation Plan'!O97</x:f>
        <x:v>4</x:v>
      </x:c>
      <x:c r="P97" s="32" t="str">
        <x:f>'Evaluation Plan'!P97</x:f>
        <x:v>Build the listed count-2 scene.</x:v>
      </x:c>
      <x:c r="Q97" s="32" t="str">
        <x:f>'Evaluation Plan'!Q97</x:f>
        <x:v>The goal word one is trained, and this 2→1 trajectory is trained under a direct instruction, but the combination is withheld.</x:v>
      </x:c>
      <x:c r="R97" s="32" t="n">
        <x:f>'Evaluation Plan'!R97</x:f>
        <x:v>0</x:v>
      </x:c>
    </x:row>
    <x:row r="98" ht="46.5" customHeight="1">
      <x:c r="A98" s="31" t="str">
        <x:v>Not collected</x:v>
      </x:c>
      <x:c r="B98" s="33" t="n">
        <x:f>'Evaluation Plan'!B98</x:f>
        <x:v>96</x:v>
      </x:c>
      <x:c r="C98" s="31" t="str">
        <x:f>'Evaluation Plan'!C98</x:f>
        <x:v>Leave exactly one object in the bowl.</x:v>
      </x:c>
      <x:c r="D98" s="31" t="str">
        <x:f>'Evaluation Plan'!D98</x:f>
        <x:v>Bowl objects: [blue pen, green pencil sharpener] | Table objects: [yellow block, airplane toy without propellers]</x:v>
      </x:c>
      <x:c r="E98" s="33" t="str">
        <x:f>'Evaluation Plan'!E98</x:f>
      </x:c>
      <x:c r="F98" s="31" t="str">
        <x:f>'Evaluation Plan'!F98</x:f>
        <x:v>REMOVE any one bowl object; finish with 1 object in the bowl</x:v>
      </x:c>
      <x:c r="G98" s="31" t="str"/>
      <x:c r="H98" s="36" t="str">
        <x:f>'Evaluation Plan'!H98</x:f>
        <x:v>Concept/compositional transfer</x:v>
      </x:c>
      <x:c r="I98" s="31" t="str">
        <x:f>'Evaluation Plan'!I98</x:f>
        <x:v>CT-CF19</x:v>
      </x:c>
      <x:c r="J98" s="31" t="str">
        <x:f>'Evaluation Plan'!J98</x:f>
        <x:v>CT-CF19-REMOVE</x:v>
      </x:c>
      <x:c r="K98" s="33" t="n">
        <x:f>'Evaluation Plan'!K98</x:f>
        <x:v>2</x:v>
      </x:c>
      <x:c r="L98" s="33" t="n">
        <x:f>'Evaluation Plan'!L98</x:f>
        <x:v>1</x:v>
      </x:c>
      <x:c r="M98" s="33" t="str">
        <x:f>'Evaluation Plan'!M98</x:f>
        <x:v>REMOVE</x:v>
      </x:c>
      <x:c r="N98" s="31" t="str">
        <x:f>'Evaluation Plan'!N98</x:f>
        <x:v>Primary: one via held-out 2→1 removal</x:v>
      </x:c>
      <x:c r="O98" s="33" t="n">
        <x:f>'Evaluation Plan'!O98</x:f>
        <x:v>4</x:v>
      </x:c>
      <x:c r="P98" s="31" t="str">
        <x:f>'Evaluation Plan'!P98</x:f>
        <x:v>Build the listed count-2 scene.</x:v>
      </x:c>
      <x:c r="Q98" s="31" t="str">
        <x:f>'Evaluation Plan'!Q98</x:f>
        <x:v>The goal word one is trained, and this 2→1 trajectory is trained under a direct instruction, but the combination is withheld.</x:v>
      </x:c>
      <x:c r="R98" s="31" t="n">
        <x:f>'Evaluation Plan'!R98</x:f>
        <x:v>0</x:v>
      </x:c>
    </x:row>
    <x:row r="99" ht="46.5" customHeight="1">
      <x:c r="A99" s="32" t="str">
        <x:v>Not collected</x:v>
      </x:c>
      <x:c r="B99" s="34" t="n">
        <x:f>'Evaluation Plan'!B99</x:f>
        <x:v>97</x:v>
      </x:c>
      <x:c r="C99" s="32" t="str">
        <x:f>'Evaluation Plan'!C99</x:f>
        <x:v>Leave exactly three objects in the bowl.</x:v>
      </x:c>
      <x:c r="D99" s="32" t="str">
        <x:f>'Evaluation Plan'!D99</x:f>
        <x:v>Bowl objects: [blue pen, green pencil sharpener] | Table objects: [yellow block, airplane toy without propellers]</x:v>
      </x:c>
      <x:c r="E99" s="34" t="n">
        <x:f>'Evaluation Plan'!E99</x:f>
        <x:v>96</x:v>
      </x:c>
      <x:c r="F99" s="32" t="str">
        <x:f>'Evaluation Plan'!F99</x:f>
        <x:v>ADD any one table object; finish with 3 objects in the bowl</x:v>
      </x:c>
      <x:c r="G99" s="32" t="str"/>
      <x:c r="H99" s="36" t="str">
        <x:f>'Evaluation Plan'!H99</x:f>
        <x:v>Concept/compositional transfer</x:v>
      </x:c>
      <x:c r="I99" s="32" t="str">
        <x:f>'Evaluation Plan'!I99</x:f>
        <x:v>CT-CF19</x:v>
      </x:c>
      <x:c r="J99" s="32" t="str">
        <x:f>'Evaluation Plan'!J99</x:f>
        <x:v>CT-CF19-ADD</x:v>
      </x:c>
      <x:c r="K99" s="34" t="n">
        <x:f>'Evaluation Plan'!K99</x:f>
        <x:v>2</x:v>
      </x:c>
      <x:c r="L99" s="34" t="n">
        <x:f>'Evaluation Plan'!L99</x:f>
        <x:v>3</x:v>
      </x:c>
      <x:c r="M99" s="34" t="str">
        <x:f>'Evaluation Plan'!M99</x:f>
        <x:v>ADD</x:v>
      </x:c>
      <x:c r="N99" s="32" t="str">
        <x:f>'Evaluation Plan'!N99</x:f>
        <x:v>Primary: three via held-out 2→3 addition</x:v>
      </x:c>
      <x:c r="O99" s="34" t="n">
        <x:f>'Evaluation Plan'!O99</x:f>
        <x:v>4</x:v>
      </x:c>
      <x:c r="P99" s="32" t="str">
        <x:f>'Evaluation Plan'!P99</x:f>
        <x:v>Reset the exact count-2 scene; change only the prompt.</x:v>
      </x:c>
      <x:c r="Q99" s="32" t="str">
        <x:f>'Evaluation Plan'!Q99</x:f>
        <x:v>The goal word three is trained, and this 2→3 trajectory is trained under a direct instruction, but the combination is withheld.</x:v>
      </x:c>
      <x:c r="R99" s="32" t="n">
        <x:f>'Evaluation Plan'!R99</x:f>
        <x:v>0</x:v>
      </x:c>
    </x:row>
    <x:row r="100" ht="46.5" customHeight="1">
      <x:c r="A100" s="31" t="str">
        <x:v>Not collected</x:v>
      </x:c>
      <x:c r="B100" s="33" t="n">
        <x:f>'Evaluation Plan'!B100</x:f>
        <x:v>98</x:v>
      </x:c>
      <x:c r="C100" s="31" t="str">
        <x:f>'Evaluation Plan'!C100</x:f>
        <x:v>Leave exactly three objects in the bowl.</x:v>
      </x:c>
      <x:c r="D100" s="31" t="str">
        <x:f>'Evaluation Plan'!D100</x:f>
        <x:v>Bowl objects: [yellow block, airplane toy without propellers] | Table objects: [blue pen, green pencil sharpener]</x:v>
      </x:c>
      <x:c r="E100" s="33" t="str">
        <x:f>'Evaluation Plan'!E100</x:f>
      </x:c>
      <x:c r="F100" s="31" t="str">
        <x:f>'Evaluation Plan'!F100</x:f>
        <x:v>ADD any one table object; finish with 3 objects in the bowl</x:v>
      </x:c>
      <x:c r="G100" s="31" t="str"/>
      <x:c r="H100" s="36" t="str">
        <x:f>'Evaluation Plan'!H100</x:f>
        <x:v>Concept/compositional transfer</x:v>
      </x:c>
      <x:c r="I100" s="31" t="str">
        <x:f>'Evaluation Plan'!I100</x:f>
        <x:v>CT-CF20</x:v>
      </x:c>
      <x:c r="J100" s="31" t="str">
        <x:f>'Evaluation Plan'!J100</x:f>
        <x:v>CT-CF20-ADD</x:v>
      </x:c>
      <x:c r="K100" s="33" t="n">
        <x:f>'Evaluation Plan'!K100</x:f>
        <x:v>2</x:v>
      </x:c>
      <x:c r="L100" s="33" t="n">
        <x:f>'Evaluation Plan'!L100</x:f>
        <x:v>3</x:v>
      </x:c>
      <x:c r="M100" s="33" t="str">
        <x:f>'Evaluation Plan'!M100</x:f>
        <x:v>ADD</x:v>
      </x:c>
      <x:c r="N100" s="31" t="str">
        <x:f>'Evaluation Plan'!N100</x:f>
        <x:v>Primary: three via held-out 2→3 addition</x:v>
      </x:c>
      <x:c r="O100" s="33" t="n">
        <x:f>'Evaluation Plan'!O100</x:f>
        <x:v>4</x:v>
      </x:c>
      <x:c r="P100" s="31" t="str">
        <x:f>'Evaluation Plan'!P100</x:f>
        <x:v>Reset the exact count-2 scene; change only the prompt.</x:v>
      </x:c>
      <x:c r="Q100" s="31" t="str">
        <x:f>'Evaluation Plan'!Q100</x:f>
        <x:v>The goal word three is trained, and this 2→3 trajectory is trained under a direct instruction, but the combination is withheld.</x:v>
      </x:c>
      <x:c r="R100" s="31" t="n">
        <x:f>'Evaluation Plan'!R100</x:f>
        <x:v>0</x:v>
      </x:c>
    </x:row>
    <x:row r="101" ht="46.5" customHeight="1">
      <x:c r="A101" s="32" t="str">
        <x:v>Not collected</x:v>
      </x:c>
      <x:c r="B101" s="34" t="n">
        <x:f>'Evaluation Plan'!B101</x:f>
        <x:v>99</x:v>
      </x:c>
      <x:c r="C101" s="32" t="str">
        <x:f>'Evaluation Plan'!C101</x:f>
        <x:v>Leave exactly one object in the bowl.</x:v>
      </x:c>
      <x:c r="D101" s="32" t="str">
        <x:f>'Evaluation Plan'!D101</x:f>
        <x:v>Bowl objects: [yellow block, airplane toy without propellers] | Table objects: [blue pen, green pencil sharpener]</x:v>
      </x:c>
      <x:c r="E101" s="34" t="n">
        <x:f>'Evaluation Plan'!E101</x:f>
        <x:v>98</x:v>
      </x:c>
      <x:c r="F101" s="32" t="str">
        <x:f>'Evaluation Plan'!F101</x:f>
        <x:v>REMOVE any one bowl object; finish with 1 object in the bowl</x:v>
      </x:c>
      <x:c r="G101" s="32" t="str"/>
      <x:c r="H101" s="36" t="str">
        <x:f>'Evaluation Plan'!H101</x:f>
        <x:v>Concept/compositional transfer</x:v>
      </x:c>
      <x:c r="I101" s="32" t="str">
        <x:f>'Evaluation Plan'!I101</x:f>
        <x:v>CT-CF20</x:v>
      </x:c>
      <x:c r="J101" s="32" t="str">
        <x:f>'Evaluation Plan'!J101</x:f>
        <x:v>CT-CF20-REMOVE</x:v>
      </x:c>
      <x:c r="K101" s="34" t="n">
        <x:f>'Evaluation Plan'!K101</x:f>
        <x:v>2</x:v>
      </x:c>
      <x:c r="L101" s="34" t="n">
        <x:f>'Evaluation Plan'!L101</x:f>
        <x:v>1</x:v>
      </x:c>
      <x:c r="M101" s="34" t="str">
        <x:f>'Evaluation Plan'!M101</x:f>
        <x:v>REMOVE</x:v>
      </x:c>
      <x:c r="N101" s="32" t="str">
        <x:f>'Evaluation Plan'!N101</x:f>
        <x:v>Primary: one via held-out 2→1 removal</x:v>
      </x:c>
      <x:c r="O101" s="34" t="n">
        <x:f>'Evaluation Plan'!O101</x:f>
        <x:v>4</x:v>
      </x:c>
      <x:c r="P101" s="32" t="str">
        <x:f>'Evaluation Plan'!P101</x:f>
        <x:v>Build the listed count-2 scene.</x:v>
      </x:c>
      <x:c r="Q101" s="32" t="str">
        <x:f>'Evaluation Plan'!Q101</x:f>
        <x:v>The goal word one is trained, and this 2→1 trajectory is trained under a direct instruction, but the combination is withheld.</x:v>
      </x:c>
      <x:c r="R101" s="32" t="n">
        <x:f>'Evaluation Plan'!R101</x:f>
        <x:v>0</x:v>
      </x:c>
    </x:row>
    <x:row r="102" ht="46.5" customHeight="1">
      <x:c r="A102" s="31" t="str">
        <x:v>Not collected</x:v>
      </x:c>
      <x:c r="B102" s="33" t="n">
        <x:f>'Evaluation Plan'!B102</x:f>
        <x:v>100</x:v>
      </x:c>
      <x:c r="C102" s="31" t="str">
        <x:f>'Evaluation Plan'!C102</x:f>
        <x:v>Leave exactly one object in the bowl.</x:v>
      </x:c>
      <x:c r="D102" s="31" t="str">
        <x:f>'Evaluation Plan'!D102</x:f>
        <x:v>Bowl objects: [blue pen, yellow block] | Table objects: [green pencil sharpener, airplane toy without propellers]</x:v>
      </x:c>
      <x:c r="E102" s="33" t="str">
        <x:f>'Evaluation Plan'!E102</x:f>
      </x:c>
      <x:c r="F102" s="31" t="str">
        <x:f>'Evaluation Plan'!F102</x:f>
        <x:v>REMOVE any one bowl object; finish with 1 object in the bowl</x:v>
      </x:c>
      <x:c r="G102" s="31" t="str"/>
      <x:c r="H102" s="36" t="str">
        <x:f>'Evaluation Plan'!H102</x:f>
        <x:v>Concept/compositional transfer</x:v>
      </x:c>
      <x:c r="I102" s="31" t="str">
        <x:f>'Evaluation Plan'!I102</x:f>
        <x:v>CT-CF21</x:v>
      </x:c>
      <x:c r="J102" s="31" t="str">
        <x:f>'Evaluation Plan'!J102</x:f>
        <x:v>CT-CF21-REMOVE</x:v>
      </x:c>
      <x:c r="K102" s="33" t="n">
        <x:f>'Evaluation Plan'!K102</x:f>
        <x:v>2</x:v>
      </x:c>
      <x:c r="L102" s="33" t="n">
        <x:f>'Evaluation Plan'!L102</x:f>
        <x:v>1</x:v>
      </x:c>
      <x:c r="M102" s="33" t="str">
        <x:f>'Evaluation Plan'!M102</x:f>
        <x:v>REMOVE</x:v>
      </x:c>
      <x:c r="N102" s="31" t="str">
        <x:f>'Evaluation Plan'!N102</x:f>
        <x:v>Primary: one via held-out 2→1 removal</x:v>
      </x:c>
      <x:c r="O102" s="33" t="n">
        <x:f>'Evaluation Plan'!O102</x:f>
        <x:v>4</x:v>
      </x:c>
      <x:c r="P102" s="31" t="str">
        <x:f>'Evaluation Plan'!P102</x:f>
        <x:v>Build the listed count-2 scene.</x:v>
      </x:c>
      <x:c r="Q102" s="31" t="str">
        <x:f>'Evaluation Plan'!Q102</x:f>
        <x:v>The goal word one is trained, and this 2→1 trajectory is trained under a direct instruction, but the combination is withheld.</x:v>
      </x:c>
      <x:c r="R102" s="31" t="n">
        <x:f>'Evaluation Plan'!R102</x:f>
        <x:v>0</x:v>
      </x:c>
    </x:row>
    <x:row r="103" ht="46.5" customHeight="1">
      <x:c r="A103" s="32" t="str">
        <x:v>Not collected</x:v>
      </x:c>
      <x:c r="B103" s="34" t="n">
        <x:f>'Evaluation Plan'!B103</x:f>
        <x:v>101</x:v>
      </x:c>
      <x:c r="C103" s="32" t="str">
        <x:f>'Evaluation Plan'!C103</x:f>
        <x:v>Leave exactly three objects in the bowl.</x:v>
      </x:c>
      <x:c r="D103" s="32" t="str">
        <x:f>'Evaluation Plan'!D103</x:f>
        <x:v>Bowl objects: [blue pen, yellow block] | Table objects: [green pencil sharpener, airplane toy without propellers]</x:v>
      </x:c>
      <x:c r="E103" s="34" t="n">
        <x:f>'Evaluation Plan'!E103</x:f>
        <x:v>100</x:v>
      </x:c>
      <x:c r="F103" s="32" t="str">
        <x:f>'Evaluation Plan'!F103</x:f>
        <x:v>ADD any one table object; finish with 3 objects in the bowl</x:v>
      </x:c>
      <x:c r="G103" s="32" t="str"/>
      <x:c r="H103" s="36" t="str">
        <x:f>'Evaluation Plan'!H103</x:f>
        <x:v>Concept/compositional transfer</x:v>
      </x:c>
      <x:c r="I103" s="32" t="str">
        <x:f>'Evaluation Plan'!I103</x:f>
        <x:v>CT-CF21</x:v>
      </x:c>
      <x:c r="J103" s="32" t="str">
        <x:f>'Evaluation Plan'!J103</x:f>
        <x:v>CT-CF21-ADD</x:v>
      </x:c>
      <x:c r="K103" s="34" t="n">
        <x:f>'Evaluation Plan'!K103</x:f>
        <x:v>2</x:v>
      </x:c>
      <x:c r="L103" s="34" t="n">
        <x:f>'Evaluation Plan'!L103</x:f>
        <x:v>3</x:v>
      </x:c>
      <x:c r="M103" s="34" t="str">
        <x:f>'Evaluation Plan'!M103</x:f>
        <x:v>ADD</x:v>
      </x:c>
      <x:c r="N103" s="32" t="str">
        <x:f>'Evaluation Plan'!N103</x:f>
        <x:v>Primary: three via held-out 2→3 addition</x:v>
      </x:c>
      <x:c r="O103" s="34" t="n">
        <x:f>'Evaluation Plan'!O103</x:f>
        <x:v>4</x:v>
      </x:c>
      <x:c r="P103" s="32" t="str">
        <x:f>'Evaluation Plan'!P103</x:f>
        <x:v>Reset the exact count-2 scene; change only the prompt.</x:v>
      </x:c>
      <x:c r="Q103" s="32" t="str">
        <x:f>'Evaluation Plan'!Q103</x:f>
        <x:v>The goal word three is trained, and this 2→3 trajectory is trained under a direct instruction, but the combination is withheld.</x:v>
      </x:c>
      <x:c r="R103" s="32" t="n">
        <x:f>'Evaluation Plan'!R103</x:f>
        <x:v>0</x:v>
      </x:c>
    </x:row>
    <x:row r="104" ht="46.5" customHeight="1">
      <x:c r="A104" s="31" t="str">
        <x:v>Not collected</x:v>
      </x:c>
      <x:c r="B104" s="33" t="n">
        <x:f>'Evaluation Plan'!B104</x:f>
        <x:v>102</x:v>
      </x:c>
      <x:c r="C104" s="31" t="str">
        <x:f>'Evaluation Plan'!C104</x:f>
        <x:v>Leave exactly three objects in the bowl.</x:v>
      </x:c>
      <x:c r="D104" s="31" t="str">
        <x:f>'Evaluation Plan'!D104</x:f>
        <x:v>Bowl objects: [green pencil sharpener, airplane toy without propellers] | Table objects: [blue pen, yellow block]</x:v>
      </x:c>
      <x:c r="E104" s="33" t="str">
        <x:f>'Evaluation Plan'!E104</x:f>
      </x:c>
      <x:c r="F104" s="31" t="str">
        <x:f>'Evaluation Plan'!F104</x:f>
        <x:v>ADD any one table object; finish with 3 objects in the bowl</x:v>
      </x:c>
      <x:c r="G104" s="31" t="str"/>
      <x:c r="H104" s="36" t="str">
        <x:f>'Evaluation Plan'!H104</x:f>
        <x:v>Concept/compositional transfer</x:v>
      </x:c>
      <x:c r="I104" s="31" t="str">
        <x:f>'Evaluation Plan'!I104</x:f>
        <x:v>CT-CF22</x:v>
      </x:c>
      <x:c r="J104" s="31" t="str">
        <x:f>'Evaluation Plan'!J104</x:f>
        <x:v>CT-CF22-ADD</x:v>
      </x:c>
      <x:c r="K104" s="33" t="n">
        <x:f>'Evaluation Plan'!K104</x:f>
        <x:v>2</x:v>
      </x:c>
      <x:c r="L104" s="33" t="n">
        <x:f>'Evaluation Plan'!L104</x:f>
        <x:v>3</x:v>
      </x:c>
      <x:c r="M104" s="33" t="str">
        <x:f>'Evaluation Plan'!M104</x:f>
        <x:v>ADD</x:v>
      </x:c>
      <x:c r="N104" s="31" t="str">
        <x:f>'Evaluation Plan'!N104</x:f>
        <x:v>Primary: three via held-out 2→3 addition</x:v>
      </x:c>
      <x:c r="O104" s="33" t="n">
        <x:f>'Evaluation Plan'!O104</x:f>
        <x:v>4</x:v>
      </x:c>
      <x:c r="P104" s="31" t="str">
        <x:f>'Evaluation Plan'!P104</x:f>
        <x:v>Reset the exact count-2 scene; change only the prompt.</x:v>
      </x:c>
      <x:c r="Q104" s="31" t="str">
        <x:f>'Evaluation Plan'!Q104</x:f>
        <x:v>The goal word three is trained, and this 2→3 trajectory is trained under a direct instruction, but the combination is withheld.</x:v>
      </x:c>
      <x:c r="R104" s="31" t="n">
        <x:f>'Evaluation Plan'!R104</x:f>
        <x:v>0</x:v>
      </x:c>
    </x:row>
    <x:row r="105" ht="46.5" customHeight="1">
      <x:c r="A105" s="32" t="str">
        <x:v>Not collected</x:v>
      </x:c>
      <x:c r="B105" s="34" t="n">
        <x:f>'Evaluation Plan'!B105</x:f>
        <x:v>103</x:v>
      </x:c>
      <x:c r="C105" s="32" t="str">
        <x:f>'Evaluation Plan'!C105</x:f>
        <x:v>Leave exactly one object in the bowl.</x:v>
      </x:c>
      <x:c r="D105" s="32" t="str">
        <x:f>'Evaluation Plan'!D105</x:f>
        <x:v>Bowl objects: [green pencil sharpener, airplane toy without propellers] | Table objects: [blue pen, yellow block]</x:v>
      </x:c>
      <x:c r="E105" s="34" t="n">
        <x:f>'Evaluation Plan'!E105</x:f>
        <x:v>102</x:v>
      </x:c>
      <x:c r="F105" s="32" t="str">
        <x:f>'Evaluation Plan'!F105</x:f>
        <x:v>REMOVE any one bowl object; finish with 1 object in the bowl</x:v>
      </x:c>
      <x:c r="G105" s="32" t="str"/>
      <x:c r="H105" s="36" t="str">
        <x:f>'Evaluation Plan'!H105</x:f>
        <x:v>Concept/compositional transfer</x:v>
      </x:c>
      <x:c r="I105" s="32" t="str">
        <x:f>'Evaluation Plan'!I105</x:f>
        <x:v>CT-CF22</x:v>
      </x:c>
      <x:c r="J105" s="32" t="str">
        <x:f>'Evaluation Plan'!J105</x:f>
        <x:v>CT-CF22-REMOVE</x:v>
      </x:c>
      <x:c r="K105" s="34" t="n">
        <x:f>'Evaluation Plan'!K105</x:f>
        <x:v>2</x:v>
      </x:c>
      <x:c r="L105" s="34" t="n">
        <x:f>'Evaluation Plan'!L105</x:f>
        <x:v>1</x:v>
      </x:c>
      <x:c r="M105" s="34" t="str">
        <x:f>'Evaluation Plan'!M105</x:f>
        <x:v>REMOVE</x:v>
      </x:c>
      <x:c r="N105" s="32" t="str">
        <x:f>'Evaluation Plan'!N105</x:f>
        <x:v>Primary: one via held-out 2→1 removal</x:v>
      </x:c>
      <x:c r="O105" s="34" t="n">
        <x:f>'Evaluation Plan'!O105</x:f>
        <x:v>4</x:v>
      </x:c>
      <x:c r="P105" s="32" t="str">
        <x:f>'Evaluation Plan'!P105</x:f>
        <x:v>Build the listed count-2 scene.</x:v>
      </x:c>
      <x:c r="Q105" s="32" t="str">
        <x:f>'Evaluation Plan'!Q105</x:f>
        <x:v>The goal word one is trained, and this 2→1 trajectory is trained under a direct instruction, but the combination is withheld.</x:v>
      </x:c>
      <x:c r="R105" s="32" t="n">
        <x:f>'Evaluation Plan'!R105</x:f>
        <x:v>0</x:v>
      </x:c>
    </x:row>
    <x:row r="106" ht="46.5" customHeight="1">
      <x:c r="A106" s="31" t="str">
        <x:v>Not collected</x:v>
      </x:c>
      <x:c r="B106" s="33" t="n">
        <x:f>'Evaluation Plan'!B106</x:f>
        <x:v>104</x:v>
      </x:c>
      <x:c r="C106" s="31" t="str">
        <x:f>'Evaluation Plan'!C106</x:f>
        <x:v>Leave exactly one object in the bowl.</x:v>
      </x:c>
      <x:c r="D106" s="31" t="str">
        <x:f>'Evaluation Plan'!D106</x:f>
        <x:v>Bowl objects: [blue pen, airplane toy without propellers] | Table objects: [yellow block, green pencil sharpener]</x:v>
      </x:c>
      <x:c r="E106" s="33" t="str">
        <x:f>'Evaluation Plan'!E106</x:f>
      </x:c>
      <x:c r="F106" s="31" t="str">
        <x:f>'Evaluation Plan'!F106</x:f>
        <x:v>REMOVE any one bowl object; finish with 1 object in the bowl</x:v>
      </x:c>
      <x:c r="G106" s="31" t="str"/>
      <x:c r="H106" s="36" t="str">
        <x:f>'Evaluation Plan'!H106</x:f>
        <x:v>Concept/compositional transfer</x:v>
      </x:c>
      <x:c r="I106" s="31" t="str">
        <x:f>'Evaluation Plan'!I106</x:f>
        <x:v>CT-CF23</x:v>
      </x:c>
      <x:c r="J106" s="31" t="str">
        <x:f>'Evaluation Plan'!J106</x:f>
        <x:v>CT-CF23-REMOVE</x:v>
      </x:c>
      <x:c r="K106" s="33" t="n">
        <x:f>'Evaluation Plan'!K106</x:f>
        <x:v>2</x:v>
      </x:c>
      <x:c r="L106" s="33" t="n">
        <x:f>'Evaluation Plan'!L106</x:f>
        <x:v>1</x:v>
      </x:c>
      <x:c r="M106" s="33" t="str">
        <x:f>'Evaluation Plan'!M106</x:f>
        <x:v>REMOVE</x:v>
      </x:c>
      <x:c r="N106" s="31" t="str">
        <x:f>'Evaluation Plan'!N106</x:f>
        <x:v>Primary: one via held-out 2→1 removal</x:v>
      </x:c>
      <x:c r="O106" s="33" t="n">
        <x:f>'Evaluation Plan'!O106</x:f>
        <x:v>4</x:v>
      </x:c>
      <x:c r="P106" s="31" t="str">
        <x:f>'Evaluation Plan'!P106</x:f>
        <x:v>Build the listed count-2 scene.</x:v>
      </x:c>
      <x:c r="Q106" s="31" t="str">
        <x:f>'Evaluation Plan'!Q106</x:f>
        <x:v>The goal word one is trained, and this 2→1 trajectory is trained under a direct instruction, but the combination is withheld.</x:v>
      </x:c>
      <x:c r="R106" s="31" t="n">
        <x:f>'Evaluation Plan'!R106</x:f>
        <x:v>0</x:v>
      </x:c>
    </x:row>
    <x:row r="107" ht="46.5" customHeight="1">
      <x:c r="A107" s="32" t="str">
        <x:v>Not collected</x:v>
      </x:c>
      <x:c r="B107" s="34" t="n">
        <x:f>'Evaluation Plan'!B107</x:f>
        <x:v>105</x:v>
      </x:c>
      <x:c r="C107" s="32" t="str">
        <x:f>'Evaluation Plan'!C107</x:f>
        <x:v>Leave exactly three objects in the bowl.</x:v>
      </x:c>
      <x:c r="D107" s="32" t="str">
        <x:f>'Evaluation Plan'!D107</x:f>
        <x:v>Bowl objects: [blue pen, airplane toy without propellers] | Table objects: [yellow block, green pencil sharpener]</x:v>
      </x:c>
      <x:c r="E107" s="34" t="n">
        <x:f>'Evaluation Plan'!E107</x:f>
        <x:v>104</x:v>
      </x:c>
      <x:c r="F107" s="32" t="str">
        <x:f>'Evaluation Plan'!F107</x:f>
        <x:v>ADD any one table object; finish with 3 objects in the bowl</x:v>
      </x:c>
      <x:c r="G107" s="32" t="str"/>
      <x:c r="H107" s="36" t="str">
        <x:f>'Evaluation Plan'!H107</x:f>
        <x:v>Concept/compositional transfer</x:v>
      </x:c>
      <x:c r="I107" s="32" t="str">
        <x:f>'Evaluation Plan'!I107</x:f>
        <x:v>CT-CF23</x:v>
      </x:c>
      <x:c r="J107" s="32" t="str">
        <x:f>'Evaluation Plan'!J107</x:f>
        <x:v>CT-CF23-ADD</x:v>
      </x:c>
      <x:c r="K107" s="34" t="n">
        <x:f>'Evaluation Plan'!K107</x:f>
        <x:v>2</x:v>
      </x:c>
      <x:c r="L107" s="34" t="n">
        <x:f>'Evaluation Plan'!L107</x:f>
        <x:v>3</x:v>
      </x:c>
      <x:c r="M107" s="34" t="str">
        <x:f>'Evaluation Plan'!M107</x:f>
        <x:v>ADD</x:v>
      </x:c>
      <x:c r="N107" s="32" t="str">
        <x:f>'Evaluation Plan'!N107</x:f>
        <x:v>Primary: three via held-out 2→3 addition</x:v>
      </x:c>
      <x:c r="O107" s="34" t="n">
        <x:f>'Evaluation Plan'!O107</x:f>
        <x:v>4</x:v>
      </x:c>
      <x:c r="P107" s="32" t="str">
        <x:f>'Evaluation Plan'!P107</x:f>
        <x:v>Reset the exact count-2 scene; change only the prompt.</x:v>
      </x:c>
      <x:c r="Q107" s="32" t="str">
        <x:f>'Evaluation Plan'!Q107</x:f>
        <x:v>The goal word three is trained, and this 2→3 trajectory is trained under a direct instruction, but the combination is withheld.</x:v>
      </x:c>
      <x:c r="R107" s="32" t="n">
        <x:f>'Evaluation Plan'!R107</x:f>
        <x:v>0</x:v>
      </x:c>
    </x:row>
    <x:row r="108" ht="46.5" customHeight="1">
      <x:c r="A108" s="31" t="str">
        <x:v>Not collected</x:v>
      </x:c>
      <x:c r="B108" s="33" t="n">
        <x:f>'Evaluation Plan'!B108</x:f>
        <x:v>106</x:v>
      </x:c>
      <x:c r="C108" s="31" t="str">
        <x:f>'Evaluation Plan'!C108</x:f>
        <x:v>Leave exactly three objects in the bowl.</x:v>
      </x:c>
      <x:c r="D108" s="31" t="str">
        <x:f>'Evaluation Plan'!D108</x:f>
        <x:v>Bowl objects: [yellow block, green pencil sharpener] | Table objects: [blue pen, airplane toy without propellers]</x:v>
      </x:c>
      <x:c r="E108" s="33" t="str">
        <x:f>'Evaluation Plan'!E108</x:f>
      </x:c>
      <x:c r="F108" s="31" t="str">
        <x:f>'Evaluation Plan'!F108</x:f>
        <x:v>ADD any one table object; finish with 3 objects in the bowl</x:v>
      </x:c>
      <x:c r="G108" s="31" t="str"/>
      <x:c r="H108" s="36" t="str">
        <x:f>'Evaluation Plan'!H108</x:f>
        <x:v>Concept/compositional transfer</x:v>
      </x:c>
      <x:c r="I108" s="31" t="str">
        <x:f>'Evaluation Plan'!I108</x:f>
        <x:v>CT-CF24</x:v>
      </x:c>
      <x:c r="J108" s="31" t="str">
        <x:f>'Evaluation Plan'!J108</x:f>
        <x:v>CT-CF24-ADD</x:v>
      </x:c>
      <x:c r="K108" s="33" t="n">
        <x:f>'Evaluation Plan'!K108</x:f>
        <x:v>2</x:v>
      </x:c>
      <x:c r="L108" s="33" t="n">
        <x:f>'Evaluation Plan'!L108</x:f>
        <x:v>3</x:v>
      </x:c>
      <x:c r="M108" s="33" t="str">
        <x:f>'Evaluation Plan'!M108</x:f>
        <x:v>ADD</x:v>
      </x:c>
      <x:c r="N108" s="31" t="str">
        <x:f>'Evaluation Plan'!N108</x:f>
        <x:v>Primary: three via held-out 2→3 addition</x:v>
      </x:c>
      <x:c r="O108" s="33" t="n">
        <x:f>'Evaluation Plan'!O108</x:f>
        <x:v>4</x:v>
      </x:c>
      <x:c r="P108" s="31" t="str">
        <x:f>'Evaluation Plan'!P108</x:f>
        <x:v>Reset the exact count-2 scene; change only the prompt.</x:v>
      </x:c>
      <x:c r="Q108" s="31" t="str">
        <x:f>'Evaluation Plan'!Q108</x:f>
        <x:v>The goal word three is trained, and this 2→3 trajectory is trained under a direct instruction, but the combination is withheld.</x:v>
      </x:c>
      <x:c r="R108" s="31" t="n">
        <x:f>'Evaluation Plan'!R108</x:f>
        <x:v>0</x:v>
      </x:c>
    </x:row>
    <x:row r="109" ht="46.5" customHeight="1">
      <x:c r="A109" s="32" t="str">
        <x:v>Not collected</x:v>
      </x:c>
      <x:c r="B109" s="34" t="n">
        <x:f>'Evaluation Plan'!B109</x:f>
        <x:v>107</x:v>
      </x:c>
      <x:c r="C109" s="32" t="str">
        <x:f>'Evaluation Plan'!C109</x:f>
        <x:v>Leave exactly one object in the bowl.</x:v>
      </x:c>
      <x:c r="D109" s="32" t="str">
        <x:f>'Evaluation Plan'!D109</x:f>
        <x:v>Bowl objects: [yellow block, green pencil sharpener] | Table objects: [blue pen, airplane toy without propellers]</x:v>
      </x:c>
      <x:c r="E109" s="34" t="n">
        <x:f>'Evaluation Plan'!E109</x:f>
        <x:v>106</x:v>
      </x:c>
      <x:c r="F109" s="32" t="str">
        <x:f>'Evaluation Plan'!F109</x:f>
        <x:v>REMOVE any one bowl object; finish with 1 object in the bowl</x:v>
      </x:c>
      <x:c r="G109" s="32" t="str"/>
      <x:c r="H109" s="36" t="str">
        <x:f>'Evaluation Plan'!H109</x:f>
        <x:v>Concept/compositional transfer</x:v>
      </x:c>
      <x:c r="I109" s="32" t="str">
        <x:f>'Evaluation Plan'!I109</x:f>
        <x:v>CT-CF24</x:v>
      </x:c>
      <x:c r="J109" s="32" t="str">
        <x:f>'Evaluation Plan'!J109</x:f>
        <x:v>CT-CF24-REMOVE</x:v>
      </x:c>
      <x:c r="K109" s="34" t="n">
        <x:f>'Evaluation Plan'!K109</x:f>
        <x:v>2</x:v>
      </x:c>
      <x:c r="L109" s="34" t="n">
        <x:f>'Evaluation Plan'!L109</x:f>
        <x:v>1</x:v>
      </x:c>
      <x:c r="M109" s="34" t="str">
        <x:f>'Evaluation Plan'!M109</x:f>
        <x:v>REMOVE</x:v>
      </x:c>
      <x:c r="N109" s="32" t="str">
        <x:f>'Evaluation Plan'!N109</x:f>
        <x:v>Primary: one via held-out 2→1 removal</x:v>
      </x:c>
      <x:c r="O109" s="34" t="n">
        <x:f>'Evaluation Plan'!O109</x:f>
        <x:v>4</x:v>
      </x:c>
      <x:c r="P109" s="32" t="str">
        <x:f>'Evaluation Plan'!P109</x:f>
        <x:v>Build the listed count-2 scene.</x:v>
      </x:c>
      <x:c r="Q109" s="32" t="str">
        <x:f>'Evaluation Plan'!Q109</x:f>
        <x:v>The goal word one is trained, and this 2→1 trajectory is trained under a direct instruction, but the combination is withheld.</x:v>
      </x:c>
      <x:c r="R109" s="32" t="n">
        <x:f>'Evaluation Plan'!R109</x:f>
        <x:v>0</x:v>
      </x:c>
    </x:row>
    <x:row r="110" ht="46.5" customHeight="1">
      <x:c r="A110" s="31" t="str">
        <x:v>Not collected</x:v>
      </x:c>
      <x:c r="B110" s="33" t="n">
        <x:f>'Evaluation Plan'!B110</x:f>
        <x:v>108</x:v>
      </x:c>
      <x:c r="C110" s="31" t="str">
        <x:f>'Evaluation Plan'!C110</x:f>
        <x:v>Leave exactly one object in the bowl.</x:v>
      </x:c>
      <x:c r="D110" s="31" t="str">
        <x:f>'Evaluation Plan'!D110</x:f>
        <x:v>Bowl objects: [blue pen, green pencil sharpener] | Table objects: [yellow block, airplane toy without propellers]</x:v>
      </x:c>
      <x:c r="E110" s="33" t="str">
        <x:f>'Evaluation Plan'!E110</x:f>
      </x:c>
      <x:c r="F110" s="31" t="str">
        <x:f>'Evaluation Plan'!F110</x:f>
        <x:v>REMOVE any one bowl object; finish with 1 object in the bowl</x:v>
      </x:c>
      <x:c r="G110" s="31" t="str"/>
      <x:c r="H110" s="36" t="str">
        <x:f>'Evaluation Plan'!H110</x:f>
        <x:v>Concept/compositional transfer</x:v>
      </x:c>
      <x:c r="I110" s="31" t="str">
        <x:f>'Evaluation Plan'!I110</x:f>
        <x:v>CT-CF25</x:v>
      </x:c>
      <x:c r="J110" s="31" t="str">
        <x:f>'Evaluation Plan'!J110</x:f>
        <x:v>CT-CF25-REMOVE</x:v>
      </x:c>
      <x:c r="K110" s="33" t="n">
        <x:f>'Evaluation Plan'!K110</x:f>
        <x:v>2</x:v>
      </x:c>
      <x:c r="L110" s="33" t="n">
        <x:f>'Evaluation Plan'!L110</x:f>
        <x:v>1</x:v>
      </x:c>
      <x:c r="M110" s="33" t="str">
        <x:f>'Evaluation Plan'!M110</x:f>
        <x:v>REMOVE</x:v>
      </x:c>
      <x:c r="N110" s="31" t="str">
        <x:f>'Evaluation Plan'!N110</x:f>
        <x:v>Primary: one via held-out 2→1 removal</x:v>
      </x:c>
      <x:c r="O110" s="33" t="n">
        <x:f>'Evaluation Plan'!O110</x:f>
        <x:v>4</x:v>
      </x:c>
      <x:c r="P110" s="31" t="str">
        <x:f>'Evaluation Plan'!P110</x:f>
        <x:v>Build the listed count-2 scene.</x:v>
      </x:c>
      <x:c r="Q110" s="31" t="str">
        <x:f>'Evaluation Plan'!Q110</x:f>
        <x:v>The goal word one is trained, and this 2→1 trajectory is trained under a direct instruction, but the combination is withheld.</x:v>
      </x:c>
      <x:c r="R110" s="31" t="n">
        <x:f>'Evaluation Plan'!R110</x:f>
        <x:v>0</x:v>
      </x:c>
    </x:row>
    <x:row r="111" ht="46.5" customHeight="1">
      <x:c r="A111" s="32" t="str">
        <x:v>Not collected</x:v>
      </x:c>
      <x:c r="B111" s="34" t="n">
        <x:f>'Evaluation Plan'!B111</x:f>
        <x:v>109</x:v>
      </x:c>
      <x:c r="C111" s="32" t="str">
        <x:f>'Evaluation Plan'!C111</x:f>
        <x:v>Leave exactly three objects in the bowl.</x:v>
      </x:c>
      <x:c r="D111" s="32" t="str">
        <x:f>'Evaluation Plan'!D111</x:f>
        <x:v>Bowl objects: [blue pen, green pencil sharpener] | Table objects: [yellow block, airplane toy without propellers]</x:v>
      </x:c>
      <x:c r="E111" s="34" t="n">
        <x:f>'Evaluation Plan'!E111</x:f>
        <x:v>108</x:v>
      </x:c>
      <x:c r="F111" s="32" t="str">
        <x:f>'Evaluation Plan'!F111</x:f>
        <x:v>ADD any one table object; finish with 3 objects in the bowl</x:v>
      </x:c>
      <x:c r="G111" s="32" t="str"/>
      <x:c r="H111" s="36" t="str">
        <x:f>'Evaluation Plan'!H111</x:f>
        <x:v>Concept/compositional transfer</x:v>
      </x:c>
      <x:c r="I111" s="32" t="str">
        <x:f>'Evaluation Plan'!I111</x:f>
        <x:v>CT-CF25</x:v>
      </x:c>
      <x:c r="J111" s="32" t="str">
        <x:f>'Evaluation Plan'!J111</x:f>
        <x:v>CT-CF25-ADD</x:v>
      </x:c>
      <x:c r="K111" s="34" t="n">
        <x:f>'Evaluation Plan'!K111</x:f>
        <x:v>2</x:v>
      </x:c>
      <x:c r="L111" s="34" t="n">
        <x:f>'Evaluation Plan'!L111</x:f>
        <x:v>3</x:v>
      </x:c>
      <x:c r="M111" s="34" t="str">
        <x:f>'Evaluation Plan'!M111</x:f>
        <x:v>ADD</x:v>
      </x:c>
      <x:c r="N111" s="32" t="str">
        <x:f>'Evaluation Plan'!N111</x:f>
        <x:v>Primary: three via held-out 2→3 addition</x:v>
      </x:c>
      <x:c r="O111" s="34" t="n">
        <x:f>'Evaluation Plan'!O111</x:f>
        <x:v>4</x:v>
      </x:c>
      <x:c r="P111" s="32" t="str">
        <x:f>'Evaluation Plan'!P111</x:f>
        <x:v>Reset the exact count-2 scene; change only the prompt.</x:v>
      </x:c>
      <x:c r="Q111" s="32" t="str">
        <x:f>'Evaluation Plan'!Q111</x:f>
        <x:v>The goal word three is trained, and this 2→3 trajectory is trained under a direct instruction, but the combination is withheld.</x:v>
      </x:c>
      <x:c r="R111" s="32" t="n">
        <x:f>'Evaluation Plan'!R111</x:f>
        <x:v>0</x:v>
      </x:c>
    </x:row>
    <x:row r="112" ht="46.5" customHeight="1">
      <x:c r="A112" s="31" t="str">
        <x:v>Not collected</x:v>
      </x:c>
      <x:c r="B112" s="33" t="n">
        <x:f>'Evaluation Plan'!B112</x:f>
        <x:v>110</x:v>
      </x:c>
      <x:c r="C112" s="31" t="str">
        <x:f>'Evaluation Plan'!C112</x:f>
        <x:v>Make the bowl contain exactly zero objects.</x:v>
      </x:c>
      <x:c r="D112" s="31" t="str">
        <x:f>'Evaluation Plan'!D112</x:f>
        <x:v>Bowl objects: [green highlighter] | Table objects: [yellow block, green pencil sharpener, airplane toy without propellers]</x:v>
      </x:c>
      <x:c r="E112" s="33" t="str">
        <x:f>'Evaluation Plan'!E112</x:f>
      </x:c>
      <x:c r="F112" s="31" t="str">
        <x:f>'Evaluation Plan'!F112</x:f>
        <x:v>REMOVE green highlighter; finish with 0 objects in the bowl</x:v>
      </x:c>
      <x:c r="G112" s="31" t="str"/>
      <x:c r="H112" s="39" t="str">
        <x:f>'Evaluation Plan'!H112</x:f>
        <x:v>Cross-task object transfer</x:v>
      </x:c>
      <x:c r="I112" s="31" t="str">
        <x:f>'Evaluation Plan'!I112</x:f>
        <x:v>XT-GH01</x:v>
      </x:c>
      <x:c r="J112" s="31" t="str">
        <x:f>'Evaluation Plan'!J112</x:f>
        <x:v>XT-GH01</x:v>
      </x:c>
      <x:c r="K112" s="33" t="n">
        <x:f>'Evaluation Plan'!K112</x:f>
        <x:v>1</x:v>
      </x:c>
      <x:c r="L112" s="33" t="n">
        <x:f>'Evaluation Plan'!L112</x:f>
        <x:v>0</x:v>
      </x:c>
      <x:c r="M112" s="33" t="str">
        <x:f>'Evaluation Plan'!M112</x:f>
        <x:v>REMOVE</x:v>
      </x:c>
      <x:c r="N112" s="31" t="str">
        <x:f>'Evaluation Plan'!N112</x:f>
        <x:v>Green-highlighter familiar-count transfer: 1→0 removal</x:v>
      </x:c>
      <x:c r="O112" s="33" t="n">
        <x:f>'Evaluation Plan'!O112</x:f>
        <x:v>5</x:v>
      </x:c>
      <x:c r="P112" s="31" t="str">
        <x:f>'Evaluation Plan'!P112</x:f>
        <x:v>Build the listed green-highlighter scene.</x:v>
      </x:c>
      <x:c r="Q112" s="31" t="str">
        <x:f>'Evaluation Plan'!Q112</x:f>
        <x:v>The green highlighter appears elsewhere in training but not in Counting. The prompt uses a familiar count/transition and the highlighter is the only eligible object.</x:v>
      </x:c>
      <x:c r="R112" s="31" t="n">
        <x:f>'Evaluation Plan'!R112</x:f>
        <x:v>0</x:v>
      </x:c>
    </x:row>
    <x:row r="113" ht="46.5" customHeight="1">
      <x:c r="A113" s="32" t="str">
        <x:v>Not collected</x:v>
      </x:c>
      <x:c r="B113" s="34" t="n">
        <x:f>'Evaluation Plan'!B113</x:f>
        <x:v>111</x:v>
      </x:c>
      <x:c r="C113" s="32" t="str">
        <x:f>'Evaluation Plan'!C113</x:f>
        <x:v>Move the green highlighter from the bowl to the table.</x:v>
      </x:c>
      <x:c r="D113" s="32" t="str">
        <x:f>'Evaluation Plan'!D113</x:f>
        <x:v>Bowl objects: [green highlighter] | Table objects: [yellow block, green pencil sharpener, airplane toy without propellers]</x:v>
      </x:c>
      <x:c r="E113" s="34" t="n">
        <x:f>'Evaluation Plan'!E113</x:f>
        <x:v>110</x:v>
      </x:c>
      <x:c r="F113" s="32" t="str">
        <x:f>'Evaluation Plan'!F113</x:f>
        <x:v>REMOVE green highlighter</x:v>
      </x:c>
      <x:c r="G113" s="32" t="str"/>
      <x:c r="H113" s="40" t="str">
        <x:f>'Evaluation Plan'!H113</x:f>
        <x:v>Cross-task matched control</x:v>
      </x:c>
      <x:c r="I113" s="32" t="str">
        <x:f>'Evaluation Plan'!I113</x:f>
        <x:v>XT-GH01</x:v>
      </x:c>
      <x:c r="J113" s="32" t="str">
        <x:f>'Evaluation Plan'!J113</x:f>
        <x:v>XT-GH01</x:v>
      </x:c>
      <x:c r="K113" s="34" t="n">
        <x:f>'Evaluation Plan'!K113</x:f>
        <x:v>1</x:v>
      </x:c>
      <x:c r="L113" s="34" t="n">
        <x:f>'Evaluation Plan'!L113</x:f>
        <x:v>0</x:v>
      </x:c>
      <x:c r="M113" s="34" t="str">
        <x:f>'Evaluation Plan'!M113</x:f>
        <x:v>REMOVE</x:v>
      </x:c>
      <x:c r="N113" s="32" t="str">
        <x:f>'Evaluation Plan'!N113</x:f>
        <x:v>Green-highlighter direct REMOVE control</x:v>
      </x:c>
      <x:c r="O113" s="34" t="n">
        <x:f>'Evaluation Plan'!O113</x:f>
        <x:v>5</x:v>
      </x:c>
      <x:c r="P113" s="32" t="str">
        <x:f>'Evaluation Plan'!P113</x:f>
        <x:v>Reset the exact scene; change only the prompt.</x:v>
      </x:c>
      <x:c r="Q113" s="32" t="str">
        <x:f>'Evaluation Plan'!Q113</x:f>
        <x:v>Directly identifies the same unique target in the same scene.</x:v>
      </x:c>
      <x:c r="R113" s="32" t="n">
        <x:f>'Evaluation Plan'!R113</x:f>
        <x:v>0</x:v>
      </x:c>
    </x:row>
    <x:row r="114" ht="46.5" customHeight="1">
      <x:c r="A114" s="31" t="str">
        <x:v>Not collected</x:v>
      </x:c>
      <x:c r="B114" s="33" t="n">
        <x:f>'Evaluation Plan'!B114</x:f>
        <x:v>112</x:v>
      </x:c>
      <x:c r="C114" s="31" t="str">
        <x:f>'Evaluation Plan'!C114</x:f>
        <x:v>Move the green highlighter into the bowl.</x:v>
      </x:c>
      <x:c r="D114" s="31" t="str">
        <x:f>'Evaluation Plan'!D114</x:f>
        <x:v>Bowl objects: [blue pen] | Table objects: [green highlighter]</x:v>
      </x:c>
      <x:c r="E114" s="33" t="str">
        <x:f>'Evaluation Plan'!E114</x:f>
      </x:c>
      <x:c r="F114" s="31" t="str">
        <x:f>'Evaluation Plan'!F114</x:f>
        <x:v>ADD green highlighter</x:v>
      </x:c>
      <x:c r="G114" s="31" t="str"/>
      <x:c r="H114" s="40" t="str">
        <x:f>'Evaluation Plan'!H114</x:f>
        <x:v>Cross-task matched control</x:v>
      </x:c>
      <x:c r="I114" s="31" t="str">
        <x:f>'Evaluation Plan'!I114</x:f>
        <x:v>XT-GH02</x:v>
      </x:c>
      <x:c r="J114" s="31" t="str">
        <x:f>'Evaluation Plan'!J114</x:f>
        <x:v>XT-GH02</x:v>
      </x:c>
      <x:c r="K114" s="33" t="n">
        <x:f>'Evaluation Plan'!K114</x:f>
        <x:v>1</x:v>
      </x:c>
      <x:c r="L114" s="33" t="n">
        <x:f>'Evaluation Plan'!L114</x:f>
        <x:v>2</x:v>
      </x:c>
      <x:c r="M114" s="33" t="str">
        <x:f>'Evaluation Plan'!M114</x:f>
        <x:v>ADD</x:v>
      </x:c>
      <x:c r="N114" s="31" t="str">
        <x:f>'Evaluation Plan'!N114</x:f>
        <x:v>Green-highlighter direct ADD control</x:v>
      </x:c>
      <x:c r="O114" s="33" t="n">
        <x:f>'Evaluation Plan'!O114</x:f>
        <x:v>5</x:v>
      </x:c>
      <x:c r="P114" s="31" t="str">
        <x:f>'Evaluation Plan'!P114</x:f>
        <x:v>Reset the exact scene; change only the prompt.</x:v>
      </x:c>
      <x:c r="Q114" s="31" t="str">
        <x:f>'Evaluation Plan'!Q114</x:f>
        <x:v>Directly identifies the same unique target in the same scene.</x:v>
      </x:c>
      <x:c r="R114" s="31" t="n">
        <x:f>'Evaluation Plan'!R114</x:f>
        <x:v>0</x:v>
      </x:c>
    </x:row>
    <x:row r="115" ht="46.5" customHeight="1">
      <x:c r="A115" s="32" t="str">
        <x:v>Not collected</x:v>
      </x:c>
      <x:c r="B115" s="34" t="n">
        <x:f>'Evaluation Plan'!B115</x:f>
        <x:v>113</x:v>
      </x:c>
      <x:c r="C115" s="32" t="str">
        <x:f>'Evaluation Plan'!C115</x:f>
        <x:v>Make the bowl contain exactly two objects.</x:v>
      </x:c>
      <x:c r="D115" s="32" t="str">
        <x:f>'Evaluation Plan'!D115</x:f>
        <x:v>Bowl objects: [blue pen] | Table objects: [green highlighter]</x:v>
      </x:c>
      <x:c r="E115" s="34" t="n">
        <x:f>'Evaluation Plan'!E115</x:f>
        <x:v>112</x:v>
      </x:c>
      <x:c r="F115" s="32" t="str">
        <x:f>'Evaluation Plan'!F115</x:f>
        <x:v>ADD green highlighter; finish with 2 objects in the bowl</x:v>
      </x:c>
      <x:c r="G115" s="32" t="str"/>
      <x:c r="H115" s="39" t="str">
        <x:f>'Evaluation Plan'!H115</x:f>
        <x:v>Cross-task object transfer</x:v>
      </x:c>
      <x:c r="I115" s="32" t="str">
        <x:f>'Evaluation Plan'!I115</x:f>
        <x:v>XT-GH02</x:v>
      </x:c>
      <x:c r="J115" s="32" t="str">
        <x:f>'Evaluation Plan'!J115</x:f>
        <x:v>XT-GH02</x:v>
      </x:c>
      <x:c r="K115" s="34" t="n">
        <x:f>'Evaluation Plan'!K115</x:f>
        <x:v>1</x:v>
      </x:c>
      <x:c r="L115" s="34" t="n">
        <x:f>'Evaluation Plan'!L115</x:f>
        <x:v>2</x:v>
      </x:c>
      <x:c r="M115" s="34" t="str">
        <x:f>'Evaluation Plan'!M115</x:f>
        <x:v>ADD</x:v>
      </x:c>
      <x:c r="N115" s="32" t="str">
        <x:f>'Evaluation Plan'!N115</x:f>
        <x:v>Green-highlighter familiar-count transfer: 1→2 addition</x:v>
      </x:c>
      <x:c r="O115" s="34" t="n">
        <x:f>'Evaluation Plan'!O115</x:f>
        <x:v>5</x:v>
      </x:c>
      <x:c r="P115" s="32" t="str">
        <x:f>'Evaluation Plan'!P115</x:f>
        <x:v>Build the listed green-highlighter scene.</x:v>
      </x:c>
      <x:c r="Q115" s="32" t="str">
        <x:f>'Evaluation Plan'!Q115</x:f>
        <x:v>The green highlighter appears elsewhere in training but not in Counting. The prompt uses a familiar count/transition and the highlighter is the only eligible object.</x:v>
      </x:c>
      <x:c r="R115" s="32" t="n">
        <x:f>'Evaluation Plan'!R115</x:f>
        <x:v>0</x:v>
      </x:c>
    </x:row>
    <x:row r="116" ht="46.5" customHeight="1">
      <x:c r="A116" s="31" t="str">
        <x:v>Not collected</x:v>
      </x:c>
      <x:c r="B116" s="33" t="n">
        <x:f>'Evaluation Plan'!B116</x:f>
        <x:v>114</x:v>
      </x:c>
      <x:c r="C116" s="31" t="str">
        <x:f>'Evaluation Plan'!C116</x:f>
        <x:v>Make the bowl contain exactly zero objects.</x:v>
      </x:c>
      <x:c r="D116" s="31" t="str">
        <x:f>'Evaluation Plan'!D116</x:f>
        <x:v>Bowl objects: [green highlighter] | Table objects: [blue pen, green pencil sharpener, airplane toy without propellers]</x:v>
      </x:c>
      <x:c r="E116" s="33" t="str">
        <x:f>'Evaluation Plan'!E116</x:f>
      </x:c>
      <x:c r="F116" s="31" t="str">
        <x:f>'Evaluation Plan'!F116</x:f>
        <x:v>REMOVE green highlighter; finish with 0 objects in the bowl</x:v>
      </x:c>
      <x:c r="G116" s="31" t="str"/>
      <x:c r="H116" s="39" t="str">
        <x:f>'Evaluation Plan'!H116</x:f>
        <x:v>Cross-task object transfer</x:v>
      </x:c>
      <x:c r="I116" s="31" t="str">
        <x:f>'Evaluation Plan'!I116</x:f>
        <x:v>XT-GH03</x:v>
      </x:c>
      <x:c r="J116" s="31" t="str">
        <x:f>'Evaluation Plan'!J116</x:f>
        <x:v>XT-GH03</x:v>
      </x:c>
      <x:c r="K116" s="33" t="n">
        <x:f>'Evaluation Plan'!K116</x:f>
        <x:v>1</x:v>
      </x:c>
      <x:c r="L116" s="33" t="n">
        <x:f>'Evaluation Plan'!L116</x:f>
        <x:v>0</x:v>
      </x:c>
      <x:c r="M116" s="33" t="str">
        <x:f>'Evaluation Plan'!M116</x:f>
        <x:v>REMOVE</x:v>
      </x:c>
      <x:c r="N116" s="31" t="str">
        <x:f>'Evaluation Plan'!N116</x:f>
        <x:v>Green-highlighter familiar-count transfer: 1→0 removal</x:v>
      </x:c>
      <x:c r="O116" s="33" t="n">
        <x:f>'Evaluation Plan'!O116</x:f>
        <x:v>5</x:v>
      </x:c>
      <x:c r="P116" s="31" t="str">
        <x:f>'Evaluation Plan'!P116</x:f>
        <x:v>Build the listed green-highlighter scene.</x:v>
      </x:c>
      <x:c r="Q116" s="31" t="str">
        <x:f>'Evaluation Plan'!Q116</x:f>
        <x:v>The green highlighter appears elsewhere in training but not in Counting. The prompt uses a familiar count/transition and the highlighter is the only eligible object.</x:v>
      </x:c>
      <x:c r="R116" s="31" t="n">
        <x:f>'Evaluation Plan'!R116</x:f>
        <x:v>0</x:v>
      </x:c>
    </x:row>
    <x:row r="117" ht="46.5" customHeight="1">
      <x:c r="A117" s="32" t="str">
        <x:v>Not collected</x:v>
      </x:c>
      <x:c r="B117" s="34" t="n">
        <x:f>'Evaluation Plan'!B117</x:f>
        <x:v>115</x:v>
      </x:c>
      <x:c r="C117" s="32" t="str">
        <x:f>'Evaluation Plan'!C117</x:f>
        <x:v>Move the green highlighter from the bowl to the table.</x:v>
      </x:c>
      <x:c r="D117" s="32" t="str">
        <x:f>'Evaluation Plan'!D117</x:f>
        <x:v>Bowl objects: [green highlighter] | Table objects: [blue pen, green pencil sharpener, airplane toy without propellers]</x:v>
      </x:c>
      <x:c r="E117" s="34" t="n">
        <x:f>'Evaluation Plan'!E117</x:f>
        <x:v>114</x:v>
      </x:c>
      <x:c r="F117" s="32" t="str">
        <x:f>'Evaluation Plan'!F117</x:f>
        <x:v>REMOVE green highlighter</x:v>
      </x:c>
      <x:c r="G117" s="32" t="str"/>
      <x:c r="H117" s="40" t="str">
        <x:f>'Evaluation Plan'!H117</x:f>
        <x:v>Cross-task matched control</x:v>
      </x:c>
      <x:c r="I117" s="32" t="str">
        <x:f>'Evaluation Plan'!I117</x:f>
        <x:v>XT-GH03</x:v>
      </x:c>
      <x:c r="J117" s="32" t="str">
        <x:f>'Evaluation Plan'!J117</x:f>
        <x:v>XT-GH03</x:v>
      </x:c>
      <x:c r="K117" s="34" t="n">
        <x:f>'Evaluation Plan'!K117</x:f>
        <x:v>1</x:v>
      </x:c>
      <x:c r="L117" s="34" t="n">
        <x:f>'Evaluation Plan'!L117</x:f>
        <x:v>0</x:v>
      </x:c>
      <x:c r="M117" s="34" t="str">
        <x:f>'Evaluation Plan'!M117</x:f>
        <x:v>REMOVE</x:v>
      </x:c>
      <x:c r="N117" s="32" t="str">
        <x:f>'Evaluation Plan'!N117</x:f>
        <x:v>Green-highlighter direct REMOVE control</x:v>
      </x:c>
      <x:c r="O117" s="34" t="n">
        <x:f>'Evaluation Plan'!O117</x:f>
        <x:v>5</x:v>
      </x:c>
      <x:c r="P117" s="32" t="str">
        <x:f>'Evaluation Plan'!P117</x:f>
        <x:v>Reset the exact scene; change only the prompt.</x:v>
      </x:c>
      <x:c r="Q117" s="32" t="str">
        <x:f>'Evaluation Plan'!Q117</x:f>
        <x:v>Directly identifies the same unique target in the same scene.</x:v>
      </x:c>
      <x:c r="R117" s="32" t="n">
        <x:f>'Evaluation Plan'!R117</x:f>
        <x:v>0</x:v>
      </x:c>
    </x:row>
    <x:row r="118" ht="46.5" customHeight="1">
      <x:c r="A118" s="31" t="str">
        <x:v>Not collected</x:v>
      </x:c>
      <x:c r="B118" s="33" t="n">
        <x:f>'Evaluation Plan'!B118</x:f>
        <x:v>116</x:v>
      </x:c>
      <x:c r="C118" s="31" t="str">
        <x:f>'Evaluation Plan'!C118</x:f>
        <x:v>Move the green highlighter into the bowl.</x:v>
      </x:c>
      <x:c r="D118" s="31" t="str">
        <x:f>'Evaluation Plan'!D118</x:f>
        <x:v>Bowl objects: [yellow block] | Table objects: [green highlighter]</x:v>
      </x:c>
      <x:c r="E118" s="33" t="str">
        <x:f>'Evaluation Plan'!E118</x:f>
      </x:c>
      <x:c r="F118" s="31" t="str">
        <x:f>'Evaluation Plan'!F118</x:f>
        <x:v>ADD green highlighter</x:v>
      </x:c>
      <x:c r="G118" s="31" t="str"/>
      <x:c r="H118" s="40" t="str">
        <x:f>'Evaluation Plan'!H118</x:f>
        <x:v>Cross-task matched control</x:v>
      </x:c>
      <x:c r="I118" s="31" t="str">
        <x:f>'Evaluation Plan'!I118</x:f>
        <x:v>XT-GH04</x:v>
      </x:c>
      <x:c r="J118" s="31" t="str">
        <x:f>'Evaluation Plan'!J118</x:f>
        <x:v>XT-GH04</x:v>
      </x:c>
      <x:c r="K118" s="33" t="n">
        <x:f>'Evaluation Plan'!K118</x:f>
        <x:v>1</x:v>
      </x:c>
      <x:c r="L118" s="33" t="n">
        <x:f>'Evaluation Plan'!L118</x:f>
        <x:v>2</x:v>
      </x:c>
      <x:c r="M118" s="33" t="str">
        <x:f>'Evaluation Plan'!M118</x:f>
        <x:v>ADD</x:v>
      </x:c>
      <x:c r="N118" s="31" t="str">
        <x:f>'Evaluation Plan'!N118</x:f>
        <x:v>Green-highlighter direct ADD control</x:v>
      </x:c>
      <x:c r="O118" s="33" t="n">
        <x:f>'Evaluation Plan'!O118</x:f>
        <x:v>5</x:v>
      </x:c>
      <x:c r="P118" s="31" t="str">
        <x:f>'Evaluation Plan'!P118</x:f>
        <x:v>Reset the exact scene; change only the prompt.</x:v>
      </x:c>
      <x:c r="Q118" s="31" t="str">
        <x:f>'Evaluation Plan'!Q118</x:f>
        <x:v>Directly identifies the same unique target in the same scene.</x:v>
      </x:c>
      <x:c r="R118" s="31" t="n">
        <x:f>'Evaluation Plan'!R118</x:f>
        <x:v>0</x:v>
      </x:c>
    </x:row>
    <x:row r="119" ht="46.5" customHeight="1">
      <x:c r="A119" s="32" t="str">
        <x:v>Not collected</x:v>
      </x:c>
      <x:c r="B119" s="34" t="n">
        <x:f>'Evaluation Plan'!B119</x:f>
        <x:v>117</x:v>
      </x:c>
      <x:c r="C119" s="32" t="str">
        <x:f>'Evaluation Plan'!C119</x:f>
        <x:v>Make the bowl contain exactly two objects.</x:v>
      </x:c>
      <x:c r="D119" s="32" t="str">
        <x:f>'Evaluation Plan'!D119</x:f>
        <x:v>Bowl objects: [yellow block] | Table objects: [green highlighter]</x:v>
      </x:c>
      <x:c r="E119" s="34" t="n">
        <x:f>'Evaluation Plan'!E119</x:f>
        <x:v>116</x:v>
      </x:c>
      <x:c r="F119" s="32" t="str">
        <x:f>'Evaluation Plan'!F119</x:f>
        <x:v>ADD green highlighter; finish with 2 objects in the bowl</x:v>
      </x:c>
      <x:c r="G119" s="32" t="str"/>
      <x:c r="H119" s="39" t="str">
        <x:f>'Evaluation Plan'!H119</x:f>
        <x:v>Cross-task object transfer</x:v>
      </x:c>
      <x:c r="I119" s="32" t="str">
        <x:f>'Evaluation Plan'!I119</x:f>
        <x:v>XT-GH04</x:v>
      </x:c>
      <x:c r="J119" s="32" t="str">
        <x:f>'Evaluation Plan'!J119</x:f>
        <x:v>XT-GH04</x:v>
      </x:c>
      <x:c r="K119" s="34" t="n">
        <x:f>'Evaluation Plan'!K119</x:f>
        <x:v>1</x:v>
      </x:c>
      <x:c r="L119" s="34" t="n">
        <x:f>'Evaluation Plan'!L119</x:f>
        <x:v>2</x:v>
      </x:c>
      <x:c r="M119" s="34" t="str">
        <x:f>'Evaluation Plan'!M119</x:f>
        <x:v>ADD</x:v>
      </x:c>
      <x:c r="N119" s="32" t="str">
        <x:f>'Evaluation Plan'!N119</x:f>
        <x:v>Green-highlighter familiar-count transfer: 1→2 addition</x:v>
      </x:c>
      <x:c r="O119" s="34" t="n">
        <x:f>'Evaluation Plan'!O119</x:f>
        <x:v>5</x:v>
      </x:c>
      <x:c r="P119" s="32" t="str">
        <x:f>'Evaluation Plan'!P119</x:f>
        <x:v>Build the listed green-highlighter scene.</x:v>
      </x:c>
      <x:c r="Q119" s="32" t="str">
        <x:f>'Evaluation Plan'!Q119</x:f>
        <x:v>The green highlighter appears elsewhere in training but not in Counting. The prompt uses a familiar count/transition and the highlighter is the only eligible object.</x:v>
      </x:c>
      <x:c r="R119" s="32" t="n">
        <x:f>'Evaluation Plan'!R119</x:f>
        <x:v>0</x:v>
      </x:c>
    </x:row>
    <x:row r="120" ht="46.5" customHeight="1">
      <x:c r="A120" s="31" t="str">
        <x:v>Not collected</x:v>
      </x:c>
      <x:c r="B120" s="33" t="n">
        <x:f>'Evaluation Plan'!B120</x:f>
        <x:v>118</x:v>
      </x:c>
      <x:c r="C120" s="31" t="str">
        <x:f>'Evaluation Plan'!C120</x:f>
        <x:v>Make the bowl contain exactly zero objects.</x:v>
      </x:c>
      <x:c r="D120" s="31" t="str">
        <x:f>'Evaluation Plan'!D120</x:f>
        <x:v>Bowl objects: [green highlighter] | Table objects: [blue pen, yellow block, airplane toy without propellers]</x:v>
      </x:c>
      <x:c r="E120" s="33" t="str">
        <x:f>'Evaluation Plan'!E120</x:f>
      </x:c>
      <x:c r="F120" s="31" t="str">
        <x:f>'Evaluation Plan'!F120</x:f>
        <x:v>REMOVE green highlighter; finish with 0 objects in the bowl</x:v>
      </x:c>
      <x:c r="G120" s="31" t="str"/>
      <x:c r="H120" s="39" t="str">
        <x:f>'Evaluation Plan'!H120</x:f>
        <x:v>Cross-task object transfer</x:v>
      </x:c>
      <x:c r="I120" s="31" t="str">
        <x:f>'Evaluation Plan'!I120</x:f>
        <x:v>XT-GH05</x:v>
      </x:c>
      <x:c r="J120" s="31" t="str">
        <x:f>'Evaluation Plan'!J120</x:f>
        <x:v>XT-GH05</x:v>
      </x:c>
      <x:c r="K120" s="33" t="n">
        <x:f>'Evaluation Plan'!K120</x:f>
        <x:v>1</x:v>
      </x:c>
      <x:c r="L120" s="33" t="n">
        <x:f>'Evaluation Plan'!L120</x:f>
        <x:v>0</x:v>
      </x:c>
      <x:c r="M120" s="33" t="str">
        <x:f>'Evaluation Plan'!M120</x:f>
        <x:v>REMOVE</x:v>
      </x:c>
      <x:c r="N120" s="31" t="str">
        <x:f>'Evaluation Plan'!N120</x:f>
        <x:v>Green-highlighter familiar-count transfer: 1→0 removal</x:v>
      </x:c>
      <x:c r="O120" s="33" t="n">
        <x:f>'Evaluation Plan'!O120</x:f>
        <x:v>5</x:v>
      </x:c>
      <x:c r="P120" s="31" t="str">
        <x:f>'Evaluation Plan'!P120</x:f>
        <x:v>Build the listed green-highlighter scene.</x:v>
      </x:c>
      <x:c r="Q120" s="31" t="str">
        <x:f>'Evaluation Plan'!Q120</x:f>
        <x:v>The green highlighter appears elsewhere in training but not in Counting. The prompt uses a familiar count/transition and the highlighter is the only eligible object.</x:v>
      </x:c>
      <x:c r="R120" s="31" t="n">
        <x:f>'Evaluation Plan'!R120</x:f>
        <x:v>0</x:v>
      </x:c>
    </x:row>
    <x:row r="121" ht="46.5" customHeight="1">
      <x:c r="A121" s="32" t="str">
        <x:v>Not collected</x:v>
      </x:c>
      <x:c r="B121" s="34" t="n">
        <x:f>'Evaluation Plan'!B121</x:f>
        <x:v>119</x:v>
      </x:c>
      <x:c r="C121" s="32" t="str">
        <x:f>'Evaluation Plan'!C121</x:f>
        <x:v>Move the green highlighter from the bowl to the table.</x:v>
      </x:c>
      <x:c r="D121" s="32" t="str">
        <x:f>'Evaluation Plan'!D121</x:f>
        <x:v>Bowl objects: [green highlighter] | Table objects: [blue pen, yellow block, airplane toy without propellers]</x:v>
      </x:c>
      <x:c r="E121" s="34" t="n">
        <x:f>'Evaluation Plan'!E121</x:f>
        <x:v>118</x:v>
      </x:c>
      <x:c r="F121" s="32" t="str">
        <x:f>'Evaluation Plan'!F121</x:f>
        <x:v>REMOVE green highlighter</x:v>
      </x:c>
      <x:c r="G121" s="32" t="str"/>
      <x:c r="H121" s="40" t="str">
        <x:f>'Evaluation Plan'!H121</x:f>
        <x:v>Cross-task matched control</x:v>
      </x:c>
      <x:c r="I121" s="32" t="str">
        <x:f>'Evaluation Plan'!I121</x:f>
        <x:v>XT-GH05</x:v>
      </x:c>
      <x:c r="J121" s="32" t="str">
        <x:f>'Evaluation Plan'!J121</x:f>
        <x:v>XT-GH05</x:v>
      </x:c>
      <x:c r="K121" s="34" t="n">
        <x:f>'Evaluation Plan'!K121</x:f>
        <x:v>1</x:v>
      </x:c>
      <x:c r="L121" s="34" t="n">
        <x:f>'Evaluation Plan'!L121</x:f>
        <x:v>0</x:v>
      </x:c>
      <x:c r="M121" s="34" t="str">
        <x:f>'Evaluation Plan'!M121</x:f>
        <x:v>REMOVE</x:v>
      </x:c>
      <x:c r="N121" s="32" t="str">
        <x:f>'Evaluation Plan'!N121</x:f>
        <x:v>Green-highlighter direct REMOVE control</x:v>
      </x:c>
      <x:c r="O121" s="34" t="n">
        <x:f>'Evaluation Plan'!O121</x:f>
        <x:v>5</x:v>
      </x:c>
      <x:c r="P121" s="32" t="str">
        <x:f>'Evaluation Plan'!P121</x:f>
        <x:v>Reset the exact scene; change only the prompt.</x:v>
      </x:c>
      <x:c r="Q121" s="32" t="str">
        <x:f>'Evaluation Plan'!Q121</x:f>
        <x:v>Directly identifies the same unique target in the same scene.</x:v>
      </x:c>
      <x:c r="R121" s="32" t="n">
        <x:f>'Evaluation Plan'!R121</x:f>
        <x:v>0</x:v>
      </x:c>
    </x:row>
    <x:row r="122" ht="46.5" customHeight="1">
      <x:c r="A122" s="31" t="str">
        <x:v>Not collected</x:v>
      </x:c>
      <x:c r="B122" s="33" t="n">
        <x:f>'Evaluation Plan'!B122</x:f>
        <x:v>120</x:v>
      </x:c>
      <x:c r="C122" s="31" t="str">
        <x:f>'Evaluation Plan'!C122</x:f>
        <x:v>Move the green highlighter into the bowl.</x:v>
      </x:c>
      <x:c r="D122" s="31" t="str">
        <x:f>'Evaluation Plan'!D122</x:f>
        <x:v>Bowl objects: [green pencil sharpener] | Table objects: [green highlighter]</x:v>
      </x:c>
      <x:c r="E122" s="33" t="str">
        <x:f>'Evaluation Plan'!E122</x:f>
      </x:c>
      <x:c r="F122" s="31" t="str">
        <x:f>'Evaluation Plan'!F122</x:f>
        <x:v>ADD green highlighter</x:v>
      </x:c>
      <x:c r="G122" s="31" t="str"/>
      <x:c r="H122" s="40" t="str">
        <x:f>'Evaluation Plan'!H122</x:f>
        <x:v>Cross-task matched control</x:v>
      </x:c>
      <x:c r="I122" s="31" t="str">
        <x:f>'Evaluation Plan'!I122</x:f>
        <x:v>XT-GH06</x:v>
      </x:c>
      <x:c r="J122" s="31" t="str">
        <x:f>'Evaluation Plan'!J122</x:f>
        <x:v>XT-GH06</x:v>
      </x:c>
      <x:c r="K122" s="33" t="n">
        <x:f>'Evaluation Plan'!K122</x:f>
        <x:v>1</x:v>
      </x:c>
      <x:c r="L122" s="33" t="n">
        <x:f>'Evaluation Plan'!L122</x:f>
        <x:v>2</x:v>
      </x:c>
      <x:c r="M122" s="33" t="str">
        <x:f>'Evaluation Plan'!M122</x:f>
        <x:v>ADD</x:v>
      </x:c>
      <x:c r="N122" s="31" t="str">
        <x:f>'Evaluation Plan'!N122</x:f>
        <x:v>Green-highlighter direct ADD control</x:v>
      </x:c>
      <x:c r="O122" s="33" t="n">
        <x:f>'Evaluation Plan'!O122</x:f>
        <x:v>5</x:v>
      </x:c>
      <x:c r="P122" s="31" t="str">
        <x:f>'Evaluation Plan'!P122</x:f>
        <x:v>Reset the exact scene; change only the prompt.</x:v>
      </x:c>
      <x:c r="Q122" s="31" t="str">
        <x:f>'Evaluation Plan'!Q122</x:f>
        <x:v>Directly identifies the same unique target in the same scene.</x:v>
      </x:c>
      <x:c r="R122" s="31" t="n">
        <x:f>'Evaluation Plan'!R122</x:f>
        <x:v>0</x:v>
      </x:c>
    </x:row>
    <x:row r="123" ht="46.5" customHeight="1">
      <x:c r="A123" s="32" t="str">
        <x:v>Not collected</x:v>
      </x:c>
      <x:c r="B123" s="34" t="n">
        <x:f>'Evaluation Plan'!B123</x:f>
        <x:v>121</x:v>
      </x:c>
      <x:c r="C123" s="32" t="str">
        <x:f>'Evaluation Plan'!C123</x:f>
        <x:v>Make the bowl contain exactly two objects.</x:v>
      </x:c>
      <x:c r="D123" s="32" t="str">
        <x:f>'Evaluation Plan'!D123</x:f>
        <x:v>Bowl objects: [green pencil sharpener] | Table objects: [green highlighter]</x:v>
      </x:c>
      <x:c r="E123" s="34" t="n">
        <x:f>'Evaluation Plan'!E123</x:f>
        <x:v>120</x:v>
      </x:c>
      <x:c r="F123" s="32" t="str">
        <x:f>'Evaluation Plan'!F123</x:f>
        <x:v>ADD green highlighter; finish with 2 objects in the bowl</x:v>
      </x:c>
      <x:c r="G123" s="32" t="str"/>
      <x:c r="H123" s="39" t="str">
        <x:f>'Evaluation Plan'!H123</x:f>
        <x:v>Cross-task object transfer</x:v>
      </x:c>
      <x:c r="I123" s="32" t="str">
        <x:f>'Evaluation Plan'!I123</x:f>
        <x:v>XT-GH06</x:v>
      </x:c>
      <x:c r="J123" s="32" t="str">
        <x:f>'Evaluation Plan'!J123</x:f>
        <x:v>XT-GH06</x:v>
      </x:c>
      <x:c r="K123" s="34" t="n">
        <x:f>'Evaluation Plan'!K123</x:f>
        <x:v>1</x:v>
      </x:c>
      <x:c r="L123" s="34" t="n">
        <x:f>'Evaluation Plan'!L123</x:f>
        <x:v>2</x:v>
      </x:c>
      <x:c r="M123" s="34" t="str">
        <x:f>'Evaluation Plan'!M123</x:f>
        <x:v>ADD</x:v>
      </x:c>
      <x:c r="N123" s="32" t="str">
        <x:f>'Evaluation Plan'!N123</x:f>
        <x:v>Green-highlighter familiar-count transfer: 1→2 addition</x:v>
      </x:c>
      <x:c r="O123" s="34" t="n">
        <x:f>'Evaluation Plan'!O123</x:f>
        <x:v>5</x:v>
      </x:c>
      <x:c r="P123" s="32" t="str">
        <x:f>'Evaluation Plan'!P123</x:f>
        <x:v>Build the listed green-highlighter scene.</x:v>
      </x:c>
      <x:c r="Q123" s="32" t="str">
        <x:f>'Evaluation Plan'!Q123</x:f>
        <x:v>The green highlighter appears elsewhere in training but not in Counting. The prompt uses a familiar count/transition and the highlighter is the only eligible object.</x:v>
      </x:c>
      <x:c r="R123" s="32" t="n">
        <x:f>'Evaluation Plan'!R123</x:f>
        <x:v>0</x:v>
      </x:c>
    </x:row>
    <x:row r="124" ht="46.5" customHeight="1">
      <x:c r="A124" s="31" t="str">
        <x:v>Not collected</x:v>
      </x:c>
      <x:c r="B124" s="33" t="n">
        <x:f>'Evaluation Plan'!B124</x:f>
        <x:v>122</x:v>
      </x:c>
      <x:c r="C124" s="31" t="str">
        <x:f>'Evaluation Plan'!C124</x:f>
        <x:v>Make the bowl contain exactly zero objects.</x:v>
      </x:c>
      <x:c r="D124" s="31" t="str">
        <x:f>'Evaluation Plan'!D124</x:f>
        <x:v>Bowl objects: [green highlighter] | Table objects: [blue pen, yellow block, green pencil sharpener]</x:v>
      </x:c>
      <x:c r="E124" s="33" t="str">
        <x:f>'Evaluation Plan'!E124</x:f>
      </x:c>
      <x:c r="F124" s="31" t="str">
        <x:f>'Evaluation Plan'!F124</x:f>
        <x:v>REMOVE green highlighter; finish with 0 objects in the bowl</x:v>
      </x:c>
      <x:c r="G124" s="31" t="str"/>
      <x:c r="H124" s="39" t="str">
        <x:f>'Evaluation Plan'!H124</x:f>
        <x:v>Cross-task object transfer</x:v>
      </x:c>
      <x:c r="I124" s="31" t="str">
        <x:f>'Evaluation Plan'!I124</x:f>
        <x:v>XT-GH07</x:v>
      </x:c>
      <x:c r="J124" s="31" t="str">
        <x:f>'Evaluation Plan'!J124</x:f>
        <x:v>XT-GH07</x:v>
      </x:c>
      <x:c r="K124" s="33" t="n">
        <x:f>'Evaluation Plan'!K124</x:f>
        <x:v>1</x:v>
      </x:c>
      <x:c r="L124" s="33" t="n">
        <x:f>'Evaluation Plan'!L124</x:f>
        <x:v>0</x:v>
      </x:c>
      <x:c r="M124" s="33" t="str">
        <x:f>'Evaluation Plan'!M124</x:f>
        <x:v>REMOVE</x:v>
      </x:c>
      <x:c r="N124" s="31" t="str">
        <x:f>'Evaluation Plan'!N124</x:f>
        <x:v>Green-highlighter familiar-count transfer: 1→0 removal</x:v>
      </x:c>
      <x:c r="O124" s="33" t="n">
        <x:f>'Evaluation Plan'!O124</x:f>
        <x:v>5</x:v>
      </x:c>
      <x:c r="P124" s="31" t="str">
        <x:f>'Evaluation Plan'!P124</x:f>
        <x:v>Build the listed green-highlighter scene.</x:v>
      </x:c>
      <x:c r="Q124" s="31" t="str">
        <x:f>'Evaluation Plan'!Q124</x:f>
        <x:v>The green highlighter appears elsewhere in training but not in Counting. The prompt uses a familiar count/transition and the highlighter is the only eligible object.</x:v>
      </x:c>
      <x:c r="R124" s="31" t="n">
        <x:f>'Evaluation Plan'!R124</x:f>
        <x:v>0</x:v>
      </x:c>
    </x:row>
    <x:row r="125" ht="46.5" customHeight="1">
      <x:c r="A125" s="32" t="str">
        <x:v>Not collected</x:v>
      </x:c>
      <x:c r="B125" s="34" t="n">
        <x:f>'Evaluation Plan'!B125</x:f>
        <x:v>123</x:v>
      </x:c>
      <x:c r="C125" s="32" t="str">
        <x:f>'Evaluation Plan'!C125</x:f>
        <x:v>Move the green highlighter from the bowl to the table.</x:v>
      </x:c>
      <x:c r="D125" s="32" t="str">
        <x:f>'Evaluation Plan'!D125</x:f>
        <x:v>Bowl objects: [green highlighter] | Table objects: [blue pen, yellow block, green pencil sharpener]</x:v>
      </x:c>
      <x:c r="E125" s="34" t="n">
        <x:f>'Evaluation Plan'!E125</x:f>
        <x:v>122</x:v>
      </x:c>
      <x:c r="F125" s="32" t="str">
        <x:f>'Evaluation Plan'!F125</x:f>
        <x:v>REMOVE green highlighter</x:v>
      </x:c>
      <x:c r="G125" s="32" t="str"/>
      <x:c r="H125" s="40" t="str">
        <x:f>'Evaluation Plan'!H125</x:f>
        <x:v>Cross-task matched control</x:v>
      </x:c>
      <x:c r="I125" s="32" t="str">
        <x:f>'Evaluation Plan'!I125</x:f>
        <x:v>XT-GH07</x:v>
      </x:c>
      <x:c r="J125" s="32" t="str">
        <x:f>'Evaluation Plan'!J125</x:f>
        <x:v>XT-GH07</x:v>
      </x:c>
      <x:c r="K125" s="34" t="n">
        <x:f>'Evaluation Plan'!K125</x:f>
        <x:v>1</x:v>
      </x:c>
      <x:c r="L125" s="34" t="n">
        <x:f>'Evaluation Plan'!L125</x:f>
        <x:v>0</x:v>
      </x:c>
      <x:c r="M125" s="34" t="str">
        <x:f>'Evaluation Plan'!M125</x:f>
        <x:v>REMOVE</x:v>
      </x:c>
      <x:c r="N125" s="32" t="str">
        <x:f>'Evaluation Plan'!N125</x:f>
        <x:v>Green-highlighter direct REMOVE control</x:v>
      </x:c>
      <x:c r="O125" s="34" t="n">
        <x:f>'Evaluation Plan'!O125</x:f>
        <x:v>5</x:v>
      </x:c>
      <x:c r="P125" s="32" t="str">
        <x:f>'Evaluation Plan'!P125</x:f>
        <x:v>Reset the exact scene; change only the prompt.</x:v>
      </x:c>
      <x:c r="Q125" s="32" t="str">
        <x:f>'Evaluation Plan'!Q125</x:f>
        <x:v>Directly identifies the same unique target in the same scene.</x:v>
      </x:c>
      <x:c r="R125" s="32" t="n">
        <x:f>'Evaluation Plan'!R125</x:f>
        <x:v>0</x:v>
      </x:c>
    </x:row>
    <x:row r="126" ht="46.5" customHeight="1">
      <x:c r="A126" s="31" t="str">
        <x:v>Not collected</x:v>
      </x:c>
      <x:c r="B126" s="33" t="n">
        <x:f>'Evaluation Plan'!B126</x:f>
        <x:v>124</x:v>
      </x:c>
      <x:c r="C126" s="31" t="str">
        <x:f>'Evaluation Plan'!C126</x:f>
        <x:v>Move the green highlighter into the bowl.</x:v>
      </x:c>
      <x:c r="D126" s="31" t="str">
        <x:f>'Evaluation Plan'!D126</x:f>
        <x:v>Bowl objects: [airplane toy without propellers] | Table objects: [green highlighter]</x:v>
      </x:c>
      <x:c r="E126" s="33" t="str">
        <x:f>'Evaluation Plan'!E126</x:f>
      </x:c>
      <x:c r="F126" s="31" t="str">
        <x:f>'Evaluation Plan'!F126</x:f>
        <x:v>ADD green highlighter</x:v>
      </x:c>
      <x:c r="G126" s="31" t="str"/>
      <x:c r="H126" s="40" t="str">
        <x:f>'Evaluation Plan'!H126</x:f>
        <x:v>Cross-task matched control</x:v>
      </x:c>
      <x:c r="I126" s="31" t="str">
        <x:f>'Evaluation Plan'!I126</x:f>
        <x:v>XT-GH08</x:v>
      </x:c>
      <x:c r="J126" s="31" t="str">
        <x:f>'Evaluation Plan'!J126</x:f>
        <x:v>XT-GH08</x:v>
      </x:c>
      <x:c r="K126" s="33" t="n">
        <x:f>'Evaluation Plan'!K126</x:f>
        <x:v>1</x:v>
      </x:c>
      <x:c r="L126" s="33" t="n">
        <x:f>'Evaluation Plan'!L126</x:f>
        <x:v>2</x:v>
      </x:c>
      <x:c r="M126" s="33" t="str">
        <x:f>'Evaluation Plan'!M126</x:f>
        <x:v>ADD</x:v>
      </x:c>
      <x:c r="N126" s="31" t="str">
        <x:f>'Evaluation Plan'!N126</x:f>
        <x:v>Green-highlighter direct ADD control</x:v>
      </x:c>
      <x:c r="O126" s="33" t="n">
        <x:f>'Evaluation Plan'!O126</x:f>
        <x:v>5</x:v>
      </x:c>
      <x:c r="P126" s="31" t="str">
        <x:f>'Evaluation Plan'!P126</x:f>
        <x:v>Reset the exact scene; change only the prompt.</x:v>
      </x:c>
      <x:c r="Q126" s="31" t="str">
        <x:f>'Evaluation Plan'!Q126</x:f>
        <x:v>Directly identifies the same unique target in the same scene.</x:v>
      </x:c>
      <x:c r="R126" s="31" t="n">
        <x:f>'Evaluation Plan'!R126</x:f>
        <x:v>0</x:v>
      </x:c>
    </x:row>
    <x:row r="127" ht="46.5" customHeight="1">
      <x:c r="A127" s="32" t="str">
        <x:v>Not collected</x:v>
      </x:c>
      <x:c r="B127" s="34" t="n">
        <x:f>'Evaluation Plan'!B127</x:f>
        <x:v>125</x:v>
      </x:c>
      <x:c r="C127" s="32" t="str">
        <x:f>'Evaluation Plan'!C127</x:f>
        <x:v>Make the bowl contain exactly two objects.</x:v>
      </x:c>
      <x:c r="D127" s="32" t="str">
        <x:f>'Evaluation Plan'!D127</x:f>
        <x:v>Bowl objects: [airplane toy without propellers] | Table objects: [green highlighter]</x:v>
      </x:c>
      <x:c r="E127" s="34" t="n">
        <x:f>'Evaluation Plan'!E127</x:f>
        <x:v>124</x:v>
      </x:c>
      <x:c r="F127" s="32" t="str">
        <x:f>'Evaluation Plan'!F127</x:f>
        <x:v>ADD green highlighter; finish with 2 objects in the bowl</x:v>
      </x:c>
      <x:c r="G127" s="32" t="str"/>
      <x:c r="H127" s="39" t="str">
        <x:f>'Evaluation Plan'!H127</x:f>
        <x:v>Cross-task object transfer</x:v>
      </x:c>
      <x:c r="I127" s="32" t="str">
        <x:f>'Evaluation Plan'!I127</x:f>
        <x:v>XT-GH08</x:v>
      </x:c>
      <x:c r="J127" s="32" t="str">
        <x:f>'Evaluation Plan'!J127</x:f>
        <x:v>XT-GH08</x:v>
      </x:c>
      <x:c r="K127" s="34" t="n">
        <x:f>'Evaluation Plan'!K127</x:f>
        <x:v>1</x:v>
      </x:c>
      <x:c r="L127" s="34" t="n">
        <x:f>'Evaluation Plan'!L127</x:f>
        <x:v>2</x:v>
      </x:c>
      <x:c r="M127" s="34" t="str">
        <x:f>'Evaluation Plan'!M127</x:f>
        <x:v>ADD</x:v>
      </x:c>
      <x:c r="N127" s="32" t="str">
        <x:f>'Evaluation Plan'!N127</x:f>
        <x:v>Green-highlighter familiar-count transfer: 1→2 addition</x:v>
      </x:c>
      <x:c r="O127" s="34" t="n">
        <x:f>'Evaluation Plan'!O127</x:f>
        <x:v>5</x:v>
      </x:c>
      <x:c r="P127" s="32" t="str">
        <x:f>'Evaluation Plan'!P127</x:f>
        <x:v>Build the listed green-highlighter scene.</x:v>
      </x:c>
      <x:c r="Q127" s="32" t="str">
        <x:f>'Evaluation Plan'!Q127</x:f>
        <x:v>The green highlighter appears elsewhere in training but not in Counting. The prompt uses a familiar count/transition and the highlighter is the only eligible object.</x:v>
      </x:c>
      <x:c r="R127" s="32" t="n">
        <x:f>'Evaluation Plan'!R127</x:f>
        <x:v>0</x:v>
      </x:c>
    </x:row>
    <x:row r="128" ht="46.5" customHeight="1">
      <x:c r="A128" s="31" t="str">
        <x:v>Not collected</x:v>
      </x:c>
      <x:c r="B128" s="33" t="n">
        <x:f>'Evaluation Plan'!B128</x:f>
        <x:v>126</x:v>
      </x:c>
      <x:c r="C128" s="31" t="str">
        <x:f>'Evaluation Plan'!C128</x:f>
        <x:v>Make the bowl contain exactly zero objects.</x:v>
      </x:c>
      <x:c r="D128" s="31" t="str">
        <x:f>'Evaluation Plan'!D128</x:f>
        <x:v>Bowl objects: [green highlighter] | Table objects: [yellow block, green pencil sharpener, airplane toy without propellers]</x:v>
      </x:c>
      <x:c r="E128" s="33" t="str">
        <x:f>'Evaluation Plan'!E128</x:f>
      </x:c>
      <x:c r="F128" s="31" t="str">
        <x:f>'Evaluation Plan'!F128</x:f>
        <x:v>REMOVE green highlighter; finish with 0 objects in the bowl</x:v>
      </x:c>
      <x:c r="G128" s="31" t="str"/>
      <x:c r="H128" s="39" t="str">
        <x:f>'Evaluation Plan'!H128</x:f>
        <x:v>Cross-task object transfer</x:v>
      </x:c>
      <x:c r="I128" s="31" t="str">
        <x:f>'Evaluation Plan'!I128</x:f>
        <x:v>XT-GH09</x:v>
      </x:c>
      <x:c r="J128" s="31" t="str">
        <x:f>'Evaluation Plan'!J128</x:f>
        <x:v>XT-GH09</x:v>
      </x:c>
      <x:c r="K128" s="33" t="n">
        <x:f>'Evaluation Plan'!K128</x:f>
        <x:v>1</x:v>
      </x:c>
      <x:c r="L128" s="33" t="n">
        <x:f>'Evaluation Plan'!L128</x:f>
        <x:v>0</x:v>
      </x:c>
      <x:c r="M128" s="33" t="str">
        <x:f>'Evaluation Plan'!M128</x:f>
        <x:v>REMOVE</x:v>
      </x:c>
      <x:c r="N128" s="31" t="str">
        <x:f>'Evaluation Plan'!N128</x:f>
        <x:v>Green-highlighter familiar-count transfer: 1→0 removal</x:v>
      </x:c>
      <x:c r="O128" s="33" t="n">
        <x:f>'Evaluation Plan'!O128</x:f>
        <x:v>5</x:v>
      </x:c>
      <x:c r="P128" s="31" t="str">
        <x:f>'Evaluation Plan'!P128</x:f>
        <x:v>Build the listed green-highlighter scene.</x:v>
      </x:c>
      <x:c r="Q128" s="31" t="str">
        <x:f>'Evaluation Plan'!Q128</x:f>
        <x:v>The green highlighter appears elsewhere in training but not in Counting. The prompt uses a familiar count/transition and the highlighter is the only eligible object.</x:v>
      </x:c>
      <x:c r="R128" s="31" t="n">
        <x:f>'Evaluation Plan'!R128</x:f>
        <x:v>0</x:v>
      </x:c>
    </x:row>
    <x:row r="129" ht="46.5" customHeight="1">
      <x:c r="A129" s="32" t="str">
        <x:v>Not collected</x:v>
      </x:c>
      <x:c r="B129" s="34" t="n">
        <x:f>'Evaluation Plan'!B129</x:f>
        <x:v>127</x:v>
      </x:c>
      <x:c r="C129" s="32" t="str">
        <x:f>'Evaluation Plan'!C129</x:f>
        <x:v>Move the green highlighter from the bowl to the table.</x:v>
      </x:c>
      <x:c r="D129" s="32" t="str">
        <x:f>'Evaluation Plan'!D129</x:f>
        <x:v>Bowl objects: [green highlighter] | Table objects: [yellow block, green pencil sharpener, airplane toy without propellers]</x:v>
      </x:c>
      <x:c r="E129" s="34" t="n">
        <x:f>'Evaluation Plan'!E129</x:f>
        <x:v>126</x:v>
      </x:c>
      <x:c r="F129" s="32" t="str">
        <x:f>'Evaluation Plan'!F129</x:f>
        <x:v>REMOVE green highlighter</x:v>
      </x:c>
      <x:c r="G129" s="32" t="str"/>
      <x:c r="H129" s="40" t="str">
        <x:f>'Evaluation Plan'!H129</x:f>
        <x:v>Cross-task matched control</x:v>
      </x:c>
      <x:c r="I129" s="32" t="str">
        <x:f>'Evaluation Plan'!I129</x:f>
        <x:v>XT-GH09</x:v>
      </x:c>
      <x:c r="J129" s="32" t="str">
        <x:f>'Evaluation Plan'!J129</x:f>
        <x:v>XT-GH09</x:v>
      </x:c>
      <x:c r="K129" s="34" t="n">
        <x:f>'Evaluation Plan'!K129</x:f>
        <x:v>1</x:v>
      </x:c>
      <x:c r="L129" s="34" t="n">
        <x:f>'Evaluation Plan'!L129</x:f>
        <x:v>0</x:v>
      </x:c>
      <x:c r="M129" s="34" t="str">
        <x:f>'Evaluation Plan'!M129</x:f>
        <x:v>REMOVE</x:v>
      </x:c>
      <x:c r="N129" s="32" t="str">
        <x:f>'Evaluation Plan'!N129</x:f>
        <x:v>Green-highlighter direct REMOVE control</x:v>
      </x:c>
      <x:c r="O129" s="34" t="n">
        <x:f>'Evaluation Plan'!O129</x:f>
        <x:v>5</x:v>
      </x:c>
      <x:c r="P129" s="32" t="str">
        <x:f>'Evaluation Plan'!P129</x:f>
        <x:v>Reset the exact scene; change only the prompt.</x:v>
      </x:c>
      <x:c r="Q129" s="32" t="str">
        <x:f>'Evaluation Plan'!Q129</x:f>
        <x:v>Directly identifies the same unique target in the same scene.</x:v>
      </x:c>
      <x:c r="R129" s="32" t="n">
        <x:f>'Evaluation Plan'!R129</x:f>
        <x:v>0</x:v>
      </x:c>
    </x:row>
    <x:row r="130" ht="46.5" customHeight="1">
      <x:c r="A130" s="31" t="str">
        <x:v>Not collected</x:v>
      </x:c>
      <x:c r="B130" s="33" t="n">
        <x:f>'Evaluation Plan'!B130</x:f>
        <x:v>128</x:v>
      </x:c>
      <x:c r="C130" s="31" t="str">
        <x:f>'Evaluation Plan'!C130</x:f>
        <x:v>Move the green highlighter into the bowl.</x:v>
      </x:c>
      <x:c r="D130" s="31" t="str">
        <x:f>'Evaluation Plan'!D130</x:f>
        <x:v>Bowl objects: [blue pen] | Table objects: [green highlighter]</x:v>
      </x:c>
      <x:c r="E130" s="33" t="str">
        <x:f>'Evaluation Plan'!E130</x:f>
      </x:c>
      <x:c r="F130" s="31" t="str">
        <x:f>'Evaluation Plan'!F130</x:f>
        <x:v>ADD green highlighter</x:v>
      </x:c>
      <x:c r="G130" s="31" t="str"/>
      <x:c r="H130" s="40" t="str">
        <x:f>'Evaluation Plan'!H130</x:f>
        <x:v>Cross-task matched control</x:v>
      </x:c>
      <x:c r="I130" s="31" t="str">
        <x:f>'Evaluation Plan'!I130</x:f>
        <x:v>XT-GH10</x:v>
      </x:c>
      <x:c r="J130" s="31" t="str">
        <x:f>'Evaluation Plan'!J130</x:f>
        <x:v>XT-GH10</x:v>
      </x:c>
      <x:c r="K130" s="33" t="n">
        <x:f>'Evaluation Plan'!K130</x:f>
        <x:v>1</x:v>
      </x:c>
      <x:c r="L130" s="33" t="n">
        <x:f>'Evaluation Plan'!L130</x:f>
        <x:v>2</x:v>
      </x:c>
      <x:c r="M130" s="33" t="str">
        <x:f>'Evaluation Plan'!M130</x:f>
        <x:v>ADD</x:v>
      </x:c>
      <x:c r="N130" s="31" t="str">
        <x:f>'Evaluation Plan'!N130</x:f>
        <x:v>Green-highlighter direct ADD control</x:v>
      </x:c>
      <x:c r="O130" s="33" t="n">
        <x:f>'Evaluation Plan'!O130</x:f>
        <x:v>5</x:v>
      </x:c>
      <x:c r="P130" s="31" t="str">
        <x:f>'Evaluation Plan'!P130</x:f>
        <x:v>Reset the exact scene; change only the prompt.</x:v>
      </x:c>
      <x:c r="Q130" s="31" t="str">
        <x:f>'Evaluation Plan'!Q130</x:f>
        <x:v>Directly identifies the same unique target in the same scene.</x:v>
      </x:c>
      <x:c r="R130" s="31" t="n">
        <x:f>'Evaluation Plan'!R130</x:f>
        <x:v>0</x:v>
      </x:c>
    </x:row>
    <x:row r="131" ht="46.5" customHeight="1">
      <x:c r="A131" s="32" t="str">
        <x:v>Not collected</x:v>
      </x:c>
      <x:c r="B131" s="34" t="n">
        <x:f>'Evaluation Plan'!B131</x:f>
        <x:v>129</x:v>
      </x:c>
      <x:c r="C131" s="32" t="str">
        <x:f>'Evaluation Plan'!C131</x:f>
        <x:v>Make the bowl contain exactly two objects.</x:v>
      </x:c>
      <x:c r="D131" s="32" t="str">
        <x:f>'Evaluation Plan'!D131</x:f>
        <x:v>Bowl objects: [blue pen] | Table objects: [green highlighter]</x:v>
      </x:c>
      <x:c r="E131" s="34" t="n">
        <x:f>'Evaluation Plan'!E131</x:f>
        <x:v>128</x:v>
      </x:c>
      <x:c r="F131" s="32" t="str">
        <x:f>'Evaluation Plan'!F131</x:f>
        <x:v>ADD green highlighter; finish with 2 objects in the bowl</x:v>
      </x:c>
      <x:c r="G131" s="32" t="str"/>
      <x:c r="H131" s="39" t="str">
        <x:f>'Evaluation Plan'!H131</x:f>
        <x:v>Cross-task object transfer</x:v>
      </x:c>
      <x:c r="I131" s="32" t="str">
        <x:f>'Evaluation Plan'!I131</x:f>
        <x:v>XT-GH10</x:v>
      </x:c>
      <x:c r="J131" s="32" t="str">
        <x:f>'Evaluation Plan'!J131</x:f>
        <x:v>XT-GH10</x:v>
      </x:c>
      <x:c r="K131" s="34" t="n">
        <x:f>'Evaluation Plan'!K131</x:f>
        <x:v>1</x:v>
      </x:c>
      <x:c r="L131" s="34" t="n">
        <x:f>'Evaluation Plan'!L131</x:f>
        <x:v>2</x:v>
      </x:c>
      <x:c r="M131" s="34" t="str">
        <x:f>'Evaluation Plan'!M131</x:f>
        <x:v>ADD</x:v>
      </x:c>
      <x:c r="N131" s="32" t="str">
        <x:f>'Evaluation Plan'!N131</x:f>
        <x:v>Green-highlighter familiar-count transfer: 1→2 addition</x:v>
      </x:c>
      <x:c r="O131" s="34" t="n">
        <x:f>'Evaluation Plan'!O131</x:f>
        <x:v>5</x:v>
      </x:c>
      <x:c r="P131" s="32" t="str">
        <x:f>'Evaluation Plan'!P131</x:f>
        <x:v>Build the listed green-highlighter scene.</x:v>
      </x:c>
      <x:c r="Q131" s="32" t="str">
        <x:f>'Evaluation Plan'!Q131</x:f>
        <x:v>The green highlighter appears elsewhere in training but not in Counting. The prompt uses a familiar count/transition and the highlighter is the only eligible object.</x:v>
      </x:c>
      <x:c r="R131" s="32" t="n">
        <x:f>'Evaluation Plan'!R131</x:f>
        <x:v>0</x:v>
      </x:c>
    </x:row>
    <x:row r="132" ht="46.5" customHeight="1">
      <x:c r="A132" s="31" t="str">
        <x:v>Not collected</x:v>
      </x:c>
      <x:c r="B132" s="33" t="n">
        <x:f>'Evaluation Plan'!B132</x:f>
        <x:v>130</x:v>
      </x:c>
      <x:c r="C132" s="31" t="str">
        <x:f>'Evaluation Plan'!C132</x:f>
        <x:v>Make the bowl contain exactly zero objects.</x:v>
      </x:c>
      <x:c r="D132" s="31" t="str">
        <x:f>'Evaluation Plan'!D132</x:f>
        <x:v>Bowl objects: [none] | Table objects: [blue pen, yellow block, green pencil sharpener, airplane toy without propellers]</x:v>
      </x:c>
      <x:c r="E132" s="33" t="str">
        <x:f>'Evaluation Plan'!E132</x:f>
      </x:c>
      <x:c r="F132" s="31" t="str">
        <x:f>'Evaluation Plan'!F132</x:f>
        <x:v>NO-OP; preserve 0 objects in the bowl and do not initiate a grasp</x:v>
      </x:c>
      <x:c r="G132" s="31" t="str"/>
      <x:c r="H132" s="35" t="str">
        <x:f>'Evaluation Plan'!H132</x:f>
        <x:v>Goal already satisfied / no movement</x:v>
      </x:c>
      <x:c r="I132" s="31" t="str">
        <x:f>'Evaluation Plan'!I132</x:f>
        <x:v>NOOP-01</x:v>
      </x:c>
      <x:c r="J132" s="31" t="str">
        <x:f>'Evaluation Plan'!J132</x:f>
        <x:v>NOOP-01</x:v>
      </x:c>
      <x:c r="K132" s="33" t="n">
        <x:f>'Evaluation Plan'!K132</x:f>
        <x:v>0</x:v>
      </x:c>
      <x:c r="L132" s="33" t="n">
        <x:f>'Evaluation Plan'!L132</x:f>
        <x:v>0</x:v>
      </x:c>
      <x:c r="M132" s="33" t="str">
        <x:f>'Evaluation Plan'!M132</x:f>
        <x:v>NO-OP</x:v>
      </x:c>
      <x:c r="N132" s="31" t="str">
        <x:f>'Evaluation Plan'!N132</x:f>
        <x:v>Goal already satisfied: 0→0</x:v>
      </x:c>
      <x:c r="O132" s="33" t="n">
        <x:f>'Evaluation Plan'!O132</x:f>
        <x:v>6</x:v>
      </x:c>
      <x:c r="P132" s="31" t="str">
        <x:f>'Evaluation Plan'!P132</x:f>
        <x:v>Build the first no-movement scene in this family.</x:v>
      </x:c>
      <x:c r="Q132" s="31" t="str">
        <x:f>'Evaluation Plan'!Q132</x:f>
        <x:v>All four same-task objects remain visible; table objects are distractors. Success requires leaving the satisfied scene unchanged.</x:v>
      </x:c>
      <x:c r="R132" s="31" t="n">
        <x:f>'Evaluation Plan'!R132</x:f>
        <x:v>0</x:v>
      </x:c>
    </x:row>
    <x:row r="133" ht="46.5" customHeight="1">
      <x:c r="A133" s="32" t="str">
        <x:v>Not collected</x:v>
      </x:c>
      <x:c r="B133" s="34" t="n">
        <x:f>'Evaluation Plan'!B133</x:f>
        <x:v>131</x:v>
      </x:c>
      <x:c r="C133" s="32" t="str">
        <x:f>'Evaluation Plan'!C133</x:f>
        <x:v>Leave exactly one object in the bowl.</x:v>
      </x:c>
      <x:c r="D133" s="32" t="str">
        <x:f>'Evaluation Plan'!D133</x:f>
        <x:v>Bowl objects: [blue pen] | Table objects: [yellow block, green pencil sharpener, airplane toy without propellers]</x:v>
      </x:c>
      <x:c r="E133" s="34" t="str">
        <x:f>'Evaluation Plan'!E133</x:f>
      </x:c>
      <x:c r="F133" s="32" t="str">
        <x:f>'Evaluation Plan'!F133</x:f>
        <x:v>NO-OP; preserve 1 object in the bowl and do not initiate a grasp</x:v>
      </x:c>
      <x:c r="G133" s="32" t="str"/>
      <x:c r="H133" s="35" t="str">
        <x:f>'Evaluation Plan'!H133</x:f>
        <x:v>Goal already satisfied / no movement</x:v>
      </x:c>
      <x:c r="I133" s="32" t="str">
        <x:f>'Evaluation Plan'!I133</x:f>
        <x:v>NOOP-01</x:v>
      </x:c>
      <x:c r="J133" s="32" t="str">
        <x:f>'Evaluation Plan'!J133</x:f>
        <x:v>NOOP-01</x:v>
      </x:c>
      <x:c r="K133" s="34" t="n">
        <x:f>'Evaluation Plan'!K133</x:f>
        <x:v>1</x:v>
      </x:c>
      <x:c r="L133" s="34" t="n">
        <x:f>'Evaluation Plan'!L133</x:f>
        <x:v>1</x:v>
      </x:c>
      <x:c r="M133" s="34" t="str">
        <x:f>'Evaluation Plan'!M133</x:f>
        <x:v>NO-OP</x:v>
      </x:c>
      <x:c r="N133" s="32" t="str">
        <x:f>'Evaluation Plan'!N133</x:f>
        <x:v>Goal already satisfied: 1→1</x:v>
      </x:c>
      <x:c r="O133" s="34" t="n">
        <x:f>'Evaluation Plan'!O133</x:f>
        <x:v>6</x:v>
      </x:c>
      <x:c r="P133" s="32" t="str">
        <x:f>'Evaluation Plan'!P133</x:f>
        <x:v>Move only the minimum listed objects between bowl and table for the next count.</x:v>
      </x:c>
      <x:c r="Q133" s="32" t="str">
        <x:f>'Evaluation Plan'!Q133</x:f>
        <x:v>All four same-task objects remain visible; table objects are distractors. Success requires leaving the satisfied scene unchanged.</x:v>
      </x:c>
      <x:c r="R133" s="32" t="n">
        <x:f>'Evaluation Plan'!R133</x:f>
        <x:v>0</x:v>
      </x:c>
    </x:row>
    <x:row r="134" ht="46.5" customHeight="1">
      <x:c r="A134" s="31" t="str">
        <x:v>Not collected</x:v>
      </x:c>
      <x:c r="B134" s="33" t="n">
        <x:f>'Evaluation Plan'!B134</x:f>
        <x:v>132</x:v>
      </x:c>
      <x:c r="C134" s="31" t="str">
        <x:f>'Evaluation Plan'!C134</x:f>
        <x:v>Make the bowl contain exactly two objects.</x:v>
      </x:c>
      <x:c r="D134" s="31" t="str">
        <x:f>'Evaluation Plan'!D134</x:f>
        <x:v>Bowl objects: [blue pen, yellow block] | Table objects: [green pencil sharpener, airplane toy without propellers]</x:v>
      </x:c>
      <x:c r="E134" s="33" t="str">
        <x:f>'Evaluation Plan'!E134</x:f>
      </x:c>
      <x:c r="F134" s="31" t="str">
        <x:f>'Evaluation Plan'!F134</x:f>
        <x:v>NO-OP; preserve 2 objects in the bowl and do not initiate a grasp</x:v>
      </x:c>
      <x:c r="G134" s="31" t="str"/>
      <x:c r="H134" s="35" t="str">
        <x:f>'Evaluation Plan'!H134</x:f>
        <x:v>Goal already satisfied / no movement</x:v>
      </x:c>
      <x:c r="I134" s="31" t="str">
        <x:f>'Evaluation Plan'!I134</x:f>
        <x:v>NOOP-01</x:v>
      </x:c>
      <x:c r="J134" s="31" t="str">
        <x:f>'Evaluation Plan'!J134</x:f>
        <x:v>NOOP-01</x:v>
      </x:c>
      <x:c r="K134" s="33" t="n">
        <x:f>'Evaluation Plan'!K134</x:f>
        <x:v>2</x:v>
      </x:c>
      <x:c r="L134" s="33" t="n">
        <x:f>'Evaluation Plan'!L134</x:f>
        <x:v>2</x:v>
      </x:c>
      <x:c r="M134" s="33" t="str">
        <x:f>'Evaluation Plan'!M134</x:f>
        <x:v>NO-OP</x:v>
      </x:c>
      <x:c r="N134" s="31" t="str">
        <x:f>'Evaluation Plan'!N134</x:f>
        <x:v>Goal already satisfied: 2→2</x:v>
      </x:c>
      <x:c r="O134" s="33" t="n">
        <x:f>'Evaluation Plan'!O134</x:f>
        <x:v>6</x:v>
      </x:c>
      <x:c r="P134" s="31" t="str">
        <x:f>'Evaluation Plan'!P134</x:f>
        <x:v>Move only the minimum listed objects between bowl and table for the next count.</x:v>
      </x:c>
      <x:c r="Q134" s="31" t="str">
        <x:f>'Evaluation Plan'!Q134</x:f>
        <x:v>All four same-task objects remain visible; table objects are distractors. Success requires leaving the satisfied scene unchanged.</x:v>
      </x:c>
      <x:c r="R134" s="31" t="n">
        <x:f>'Evaluation Plan'!R134</x:f>
        <x:v>0</x:v>
      </x:c>
    </x:row>
    <x:row r="135" ht="46.5" customHeight="1">
      <x:c r="A135" s="32" t="str">
        <x:v>Not collected</x:v>
      </x:c>
      <x:c r="B135" s="34" t="n">
        <x:f>'Evaluation Plan'!B135</x:f>
        <x:v>133</x:v>
      </x:c>
      <x:c r="C135" s="32" t="str">
        <x:f>'Evaluation Plan'!C135</x:f>
        <x:v>Leave exactly three objects in the bowl.</x:v>
      </x:c>
      <x:c r="D135" s="32" t="str">
        <x:f>'Evaluation Plan'!D135</x:f>
        <x:v>Bowl objects: [blue pen, yellow block, green pencil sharpener] | Table objects: [airplane toy without propellers]</x:v>
      </x:c>
      <x:c r="E135" s="34" t="str">
        <x:f>'Evaluation Plan'!E135</x:f>
      </x:c>
      <x:c r="F135" s="32" t="str">
        <x:f>'Evaluation Plan'!F135</x:f>
        <x:v>NO-OP; preserve 3 objects in the bowl and do not initiate a grasp</x:v>
      </x:c>
      <x:c r="G135" s="32" t="str"/>
      <x:c r="H135" s="35" t="str">
        <x:f>'Evaluation Plan'!H135</x:f>
        <x:v>Goal already satisfied / no movement</x:v>
      </x:c>
      <x:c r="I135" s="32" t="str">
        <x:f>'Evaluation Plan'!I135</x:f>
        <x:v>NOOP-01</x:v>
      </x:c>
      <x:c r="J135" s="32" t="str">
        <x:f>'Evaluation Plan'!J135</x:f>
        <x:v>NOOP-01</x:v>
      </x:c>
      <x:c r="K135" s="34" t="n">
        <x:f>'Evaluation Plan'!K135</x:f>
        <x:v>3</x:v>
      </x:c>
      <x:c r="L135" s="34" t="n">
        <x:f>'Evaluation Plan'!L135</x:f>
        <x:v>3</x:v>
      </x:c>
      <x:c r="M135" s="34" t="str">
        <x:f>'Evaluation Plan'!M135</x:f>
        <x:v>NO-OP</x:v>
      </x:c>
      <x:c r="N135" s="32" t="str">
        <x:f>'Evaluation Plan'!N135</x:f>
        <x:v>Goal already satisfied: 3→3</x:v>
      </x:c>
      <x:c r="O135" s="34" t="n">
        <x:f>'Evaluation Plan'!O135</x:f>
        <x:v>6</x:v>
      </x:c>
      <x:c r="P135" s="32" t="str">
        <x:f>'Evaluation Plan'!P135</x:f>
        <x:v>Move only the minimum listed objects between bowl and table for the next count.</x:v>
      </x:c>
      <x:c r="Q135" s="32" t="str">
        <x:f>'Evaluation Plan'!Q135</x:f>
        <x:v>All four same-task objects remain visible; table objects are distractors. Success requires leaving the satisfied scene unchanged.</x:v>
      </x:c>
      <x:c r="R135" s="32" t="n">
        <x:f>'Evaluation Plan'!R135</x:f>
        <x:v>0</x:v>
      </x:c>
    </x:row>
    <x:row r="136" ht="46.5" customHeight="1">
      <x:c r="A136" s="31" t="str">
        <x:v>Not collected</x:v>
      </x:c>
      <x:c r="B136" s="33" t="n">
        <x:f>'Evaluation Plan'!B136</x:f>
        <x:v>134</x:v>
      </x:c>
      <x:c r="C136" s="31" t="str">
        <x:f>'Evaluation Plan'!C136</x:f>
        <x:v>Leave exactly three objects in the bowl.</x:v>
      </x:c>
      <x:c r="D136" s="31" t="str">
        <x:f>'Evaluation Plan'!D136</x:f>
        <x:v>Bowl objects: [blue pen, yellow block, green pencil sharpener] | Table objects: [airplane toy without propellers]</x:v>
      </x:c>
      <x:c r="E136" s="33" t="str">
        <x:f>'Evaluation Plan'!E136</x:f>
      </x:c>
      <x:c r="F136" s="31" t="str">
        <x:f>'Evaluation Plan'!F136</x:f>
        <x:v>NO-OP; preserve 3 objects in the bowl and do not initiate a grasp</x:v>
      </x:c>
      <x:c r="G136" s="31" t="str"/>
      <x:c r="H136" s="35" t="str">
        <x:f>'Evaluation Plan'!H136</x:f>
        <x:v>Goal already satisfied / no movement</x:v>
      </x:c>
      <x:c r="I136" s="31" t="str">
        <x:f>'Evaluation Plan'!I136</x:f>
        <x:v>NOOP-02</x:v>
      </x:c>
      <x:c r="J136" s="31" t="str">
        <x:f>'Evaluation Plan'!J136</x:f>
        <x:v>NOOP-02</x:v>
      </x:c>
      <x:c r="K136" s="33" t="n">
        <x:f>'Evaluation Plan'!K136</x:f>
        <x:v>3</x:v>
      </x:c>
      <x:c r="L136" s="33" t="n">
        <x:f>'Evaluation Plan'!L136</x:f>
        <x:v>3</x:v>
      </x:c>
      <x:c r="M136" s="33" t="str">
        <x:f>'Evaluation Plan'!M136</x:f>
        <x:v>NO-OP</x:v>
      </x:c>
      <x:c r="N136" s="31" t="str">
        <x:f>'Evaluation Plan'!N136</x:f>
        <x:v>Goal already satisfied: 3→3</x:v>
      </x:c>
      <x:c r="O136" s="33" t="n">
        <x:f>'Evaluation Plan'!O136</x:f>
        <x:v>6</x:v>
      </x:c>
      <x:c r="P136" s="31" t="str">
        <x:f>'Evaluation Plan'!P136</x:f>
        <x:v>Build the first no-movement scene in this family.</x:v>
      </x:c>
      <x:c r="Q136" s="31" t="str">
        <x:f>'Evaluation Plan'!Q136</x:f>
        <x:v>All four same-task objects remain visible; table objects are distractors. Success requires leaving the satisfied scene unchanged.</x:v>
      </x:c>
      <x:c r="R136" s="31" t="n">
        <x:f>'Evaluation Plan'!R136</x:f>
        <x:v>0</x:v>
      </x:c>
    </x:row>
    <x:row r="137" ht="46.5" customHeight="1">
      <x:c r="A137" s="32" t="str">
        <x:v>Not collected</x:v>
      </x:c>
      <x:c r="B137" s="34" t="n">
        <x:f>'Evaluation Plan'!B137</x:f>
        <x:v>135</x:v>
      </x:c>
      <x:c r="C137" s="32" t="str">
        <x:f>'Evaluation Plan'!C137</x:f>
        <x:v>Make the bowl contain exactly two objects.</x:v>
      </x:c>
      <x:c r="D137" s="32" t="str">
        <x:f>'Evaluation Plan'!D137</x:f>
        <x:v>Bowl objects: [blue pen, yellow block] | Table objects: [green pencil sharpener, airplane toy without propellers]</x:v>
      </x:c>
      <x:c r="E137" s="34" t="str">
        <x:f>'Evaluation Plan'!E137</x:f>
      </x:c>
      <x:c r="F137" s="32" t="str">
        <x:f>'Evaluation Plan'!F137</x:f>
        <x:v>NO-OP; preserve 2 objects in the bowl and do not initiate a grasp</x:v>
      </x:c>
      <x:c r="G137" s="32" t="str"/>
      <x:c r="H137" s="35" t="str">
        <x:f>'Evaluation Plan'!H137</x:f>
        <x:v>Goal already satisfied / no movement</x:v>
      </x:c>
      <x:c r="I137" s="32" t="str">
        <x:f>'Evaluation Plan'!I137</x:f>
        <x:v>NOOP-02</x:v>
      </x:c>
      <x:c r="J137" s="32" t="str">
        <x:f>'Evaluation Plan'!J137</x:f>
        <x:v>NOOP-02</x:v>
      </x:c>
      <x:c r="K137" s="34" t="n">
        <x:f>'Evaluation Plan'!K137</x:f>
        <x:v>2</x:v>
      </x:c>
      <x:c r="L137" s="34" t="n">
        <x:f>'Evaluation Plan'!L137</x:f>
        <x:v>2</x:v>
      </x:c>
      <x:c r="M137" s="34" t="str">
        <x:f>'Evaluation Plan'!M137</x:f>
        <x:v>NO-OP</x:v>
      </x:c>
      <x:c r="N137" s="32" t="str">
        <x:f>'Evaluation Plan'!N137</x:f>
        <x:v>Goal already satisfied: 2→2</x:v>
      </x:c>
      <x:c r="O137" s="34" t="n">
        <x:f>'Evaluation Plan'!O137</x:f>
        <x:v>6</x:v>
      </x:c>
      <x:c r="P137" s="32" t="str">
        <x:f>'Evaluation Plan'!P137</x:f>
        <x:v>Move only the minimum listed objects between bowl and table for the next count.</x:v>
      </x:c>
      <x:c r="Q137" s="32" t="str">
        <x:f>'Evaluation Plan'!Q137</x:f>
        <x:v>All four same-task objects remain visible; table objects are distractors. Success requires leaving the satisfied scene unchanged.</x:v>
      </x:c>
      <x:c r="R137" s="32" t="n">
        <x:f>'Evaluation Plan'!R137</x:f>
        <x:v>0</x:v>
      </x:c>
    </x:row>
    <x:row r="138" ht="46.5" customHeight="1">
      <x:c r="A138" s="31" t="str">
        <x:v>Not collected</x:v>
      </x:c>
      <x:c r="B138" s="33" t="n">
        <x:f>'Evaluation Plan'!B138</x:f>
        <x:v>136</x:v>
      </x:c>
      <x:c r="C138" s="31" t="str">
        <x:f>'Evaluation Plan'!C138</x:f>
        <x:v>Leave exactly one object in the bowl.</x:v>
      </x:c>
      <x:c r="D138" s="31" t="str">
        <x:f>'Evaluation Plan'!D138</x:f>
        <x:v>Bowl objects: [blue pen] | Table objects: [yellow block, green pencil sharpener, airplane toy without propellers]</x:v>
      </x:c>
      <x:c r="E138" s="33" t="str">
        <x:f>'Evaluation Plan'!E138</x:f>
      </x:c>
      <x:c r="F138" s="31" t="str">
        <x:f>'Evaluation Plan'!F138</x:f>
        <x:v>NO-OP; preserve 1 object in the bowl and do not initiate a grasp</x:v>
      </x:c>
      <x:c r="G138" s="31" t="str"/>
      <x:c r="H138" s="35" t="str">
        <x:f>'Evaluation Plan'!H138</x:f>
        <x:v>Goal already satisfied / no movement</x:v>
      </x:c>
      <x:c r="I138" s="31" t="str">
        <x:f>'Evaluation Plan'!I138</x:f>
        <x:v>NOOP-02</x:v>
      </x:c>
      <x:c r="J138" s="31" t="str">
        <x:f>'Evaluation Plan'!J138</x:f>
        <x:v>NOOP-02</x:v>
      </x:c>
      <x:c r="K138" s="33" t="n">
        <x:f>'Evaluation Plan'!K138</x:f>
        <x:v>1</x:v>
      </x:c>
      <x:c r="L138" s="33" t="n">
        <x:f>'Evaluation Plan'!L138</x:f>
        <x:v>1</x:v>
      </x:c>
      <x:c r="M138" s="33" t="str">
        <x:f>'Evaluation Plan'!M138</x:f>
        <x:v>NO-OP</x:v>
      </x:c>
      <x:c r="N138" s="31" t="str">
        <x:f>'Evaluation Plan'!N138</x:f>
        <x:v>Goal already satisfied: 1→1</x:v>
      </x:c>
      <x:c r="O138" s="33" t="n">
        <x:f>'Evaluation Plan'!O138</x:f>
        <x:v>6</x:v>
      </x:c>
      <x:c r="P138" s="31" t="str">
        <x:f>'Evaluation Plan'!P138</x:f>
        <x:v>Move only the minimum listed objects between bowl and table for the next count.</x:v>
      </x:c>
      <x:c r="Q138" s="31" t="str">
        <x:f>'Evaluation Plan'!Q138</x:f>
        <x:v>All four same-task objects remain visible; table objects are distractors. Success requires leaving the satisfied scene unchanged.</x:v>
      </x:c>
      <x:c r="R138" s="31" t="n">
        <x:f>'Evaluation Plan'!R138</x:f>
        <x:v>0</x:v>
      </x:c>
    </x:row>
    <x:row r="139" ht="46.5" customHeight="1">
      <x:c r="A139" s="32" t="str">
        <x:v>Not collected</x:v>
      </x:c>
      <x:c r="B139" s="34" t="n">
        <x:f>'Evaluation Plan'!B139</x:f>
        <x:v>137</x:v>
      </x:c>
      <x:c r="C139" s="32" t="str">
        <x:f>'Evaluation Plan'!C139</x:f>
        <x:v>Make the bowl contain exactly zero objects.</x:v>
      </x:c>
      <x:c r="D139" s="32" t="str">
        <x:f>'Evaluation Plan'!D139</x:f>
        <x:v>Bowl objects: [none] | Table objects: [blue pen, yellow block, green pencil sharpener, airplane toy without propellers]</x:v>
      </x:c>
      <x:c r="E139" s="34" t="str">
        <x:f>'Evaluation Plan'!E139</x:f>
      </x:c>
      <x:c r="F139" s="32" t="str">
        <x:f>'Evaluation Plan'!F139</x:f>
        <x:v>NO-OP; preserve 0 objects in the bowl and do not initiate a grasp</x:v>
      </x:c>
      <x:c r="G139" s="32" t="str"/>
      <x:c r="H139" s="35" t="str">
        <x:f>'Evaluation Plan'!H139</x:f>
        <x:v>Goal already satisfied / no movement</x:v>
      </x:c>
      <x:c r="I139" s="32" t="str">
        <x:f>'Evaluation Plan'!I139</x:f>
        <x:v>NOOP-02</x:v>
      </x:c>
      <x:c r="J139" s="32" t="str">
        <x:f>'Evaluation Plan'!J139</x:f>
        <x:v>NOOP-02</x:v>
      </x:c>
      <x:c r="K139" s="34" t="n">
        <x:f>'Evaluation Plan'!K139</x:f>
        <x:v>0</x:v>
      </x:c>
      <x:c r="L139" s="34" t="n">
        <x:f>'Evaluation Plan'!L139</x:f>
        <x:v>0</x:v>
      </x:c>
      <x:c r="M139" s="34" t="str">
        <x:f>'Evaluation Plan'!M139</x:f>
        <x:v>NO-OP</x:v>
      </x:c>
      <x:c r="N139" s="32" t="str">
        <x:f>'Evaluation Plan'!N139</x:f>
        <x:v>Goal already satisfied: 0→0</x:v>
      </x:c>
      <x:c r="O139" s="34" t="n">
        <x:f>'Evaluation Plan'!O139</x:f>
        <x:v>6</x:v>
      </x:c>
      <x:c r="P139" s="32" t="str">
        <x:f>'Evaluation Plan'!P139</x:f>
        <x:v>Move only the minimum listed objects between bowl and table for the next count.</x:v>
      </x:c>
      <x:c r="Q139" s="32" t="str">
        <x:f>'Evaluation Plan'!Q139</x:f>
        <x:v>All four same-task objects remain visible; table objects are distractors. Success requires leaving the satisfied scene unchanged.</x:v>
      </x:c>
      <x:c r="R139" s="32" t="n">
        <x:f>'Evaluation Plan'!R139</x:f>
        <x:v>0</x:v>
      </x:c>
    </x:row>
    <x:row r="140" ht="46.5" customHeight="1">
      <x:c r="A140" s="31" t="str">
        <x:v>Not collected</x:v>
      </x:c>
      <x:c r="B140" s="33" t="n">
        <x:f>'Evaluation Plan'!B140</x:f>
        <x:v>138</x:v>
      </x:c>
      <x:c r="C140" s="31" t="str">
        <x:f>'Evaluation Plan'!C140</x:f>
        <x:v>Make the bowl contain exactly zero objects.</x:v>
      </x:c>
      <x:c r="D140" s="31" t="str">
        <x:f>'Evaluation Plan'!D140</x:f>
        <x:v>Bowl objects: [none] | Table objects: [yellow block, airplane toy without propellers, blue pen, green pencil sharpener]</x:v>
      </x:c>
      <x:c r="E140" s="33" t="str">
        <x:f>'Evaluation Plan'!E140</x:f>
      </x:c>
      <x:c r="F140" s="31" t="str">
        <x:f>'Evaluation Plan'!F140</x:f>
        <x:v>NO-OP; preserve 0 objects in the bowl and do not initiate a grasp</x:v>
      </x:c>
      <x:c r="G140" s="31" t="str"/>
      <x:c r="H140" s="35" t="str">
        <x:f>'Evaluation Plan'!H140</x:f>
        <x:v>Goal already satisfied / no movement</x:v>
      </x:c>
      <x:c r="I140" s="31" t="str">
        <x:f>'Evaluation Plan'!I140</x:f>
        <x:v>NOOP-03</x:v>
      </x:c>
      <x:c r="J140" s="31" t="str">
        <x:f>'Evaluation Plan'!J140</x:f>
        <x:v>NOOP-03</x:v>
      </x:c>
      <x:c r="K140" s="33" t="n">
        <x:f>'Evaluation Plan'!K140</x:f>
        <x:v>0</x:v>
      </x:c>
      <x:c r="L140" s="33" t="n">
        <x:f>'Evaluation Plan'!L140</x:f>
        <x:v>0</x:v>
      </x:c>
      <x:c r="M140" s="33" t="str">
        <x:f>'Evaluation Plan'!M140</x:f>
        <x:v>NO-OP</x:v>
      </x:c>
      <x:c r="N140" s="31" t="str">
        <x:f>'Evaluation Plan'!N140</x:f>
        <x:v>Goal already satisfied: 0→0</x:v>
      </x:c>
      <x:c r="O140" s="33" t="n">
        <x:f>'Evaluation Plan'!O140</x:f>
        <x:v>6</x:v>
      </x:c>
      <x:c r="P140" s="31" t="str">
        <x:f>'Evaluation Plan'!P140</x:f>
        <x:v>Build the first no-movement scene in this family.</x:v>
      </x:c>
      <x:c r="Q140" s="31" t="str">
        <x:f>'Evaluation Plan'!Q140</x:f>
        <x:v>All four same-task objects remain visible; table objects are distractors. Success requires leaving the satisfied scene unchanged.</x:v>
      </x:c>
      <x:c r="R140" s="31" t="n">
        <x:f>'Evaluation Plan'!R140</x:f>
        <x:v>0</x:v>
      </x:c>
    </x:row>
    <x:row r="141" ht="46.5" customHeight="1">
      <x:c r="A141" s="32" t="str">
        <x:v>Not collected</x:v>
      </x:c>
      <x:c r="B141" s="34" t="n">
        <x:f>'Evaluation Plan'!B141</x:f>
        <x:v>139</x:v>
      </x:c>
      <x:c r="C141" s="32" t="str">
        <x:f>'Evaluation Plan'!C141</x:f>
        <x:v>Leave exactly one object in the bowl.</x:v>
      </x:c>
      <x:c r="D141" s="32" t="str">
        <x:f>'Evaluation Plan'!D141</x:f>
        <x:v>Bowl objects: [yellow block] | Table objects: [airplane toy without propellers, blue pen, green pencil sharpener]</x:v>
      </x:c>
      <x:c r="E141" s="34" t="str">
        <x:f>'Evaluation Plan'!E141</x:f>
      </x:c>
      <x:c r="F141" s="32" t="str">
        <x:f>'Evaluation Plan'!F141</x:f>
        <x:v>NO-OP; preserve 1 object in the bowl and do not initiate a grasp</x:v>
      </x:c>
      <x:c r="G141" s="32" t="str"/>
      <x:c r="H141" s="35" t="str">
        <x:f>'Evaluation Plan'!H141</x:f>
        <x:v>Goal already satisfied / no movement</x:v>
      </x:c>
      <x:c r="I141" s="32" t="str">
        <x:f>'Evaluation Plan'!I141</x:f>
        <x:v>NOOP-03</x:v>
      </x:c>
      <x:c r="J141" s="32" t="str">
        <x:f>'Evaluation Plan'!J141</x:f>
        <x:v>NOOP-03</x:v>
      </x:c>
      <x:c r="K141" s="34" t="n">
        <x:f>'Evaluation Plan'!K141</x:f>
        <x:v>1</x:v>
      </x:c>
      <x:c r="L141" s="34" t="n">
        <x:f>'Evaluation Plan'!L141</x:f>
        <x:v>1</x:v>
      </x:c>
      <x:c r="M141" s="34" t="str">
        <x:f>'Evaluation Plan'!M141</x:f>
        <x:v>NO-OP</x:v>
      </x:c>
      <x:c r="N141" s="32" t="str">
        <x:f>'Evaluation Plan'!N141</x:f>
        <x:v>Goal already satisfied: 1→1</x:v>
      </x:c>
      <x:c r="O141" s="34" t="n">
        <x:f>'Evaluation Plan'!O141</x:f>
        <x:v>6</x:v>
      </x:c>
      <x:c r="P141" s="32" t="str">
        <x:f>'Evaluation Plan'!P141</x:f>
        <x:v>Move only the minimum listed objects between bowl and table for the next count.</x:v>
      </x:c>
      <x:c r="Q141" s="32" t="str">
        <x:f>'Evaluation Plan'!Q141</x:f>
        <x:v>All four same-task objects remain visible; table objects are distractors. Success requires leaving the satisfied scene unchanged.</x:v>
      </x:c>
      <x:c r="R141" s="32" t="n">
        <x:f>'Evaluation Plan'!R141</x:f>
        <x:v>0</x:v>
      </x:c>
    </x:row>
    <x:row r="142" ht="46.5" customHeight="1">
      <x:c r="A142" s="31" t="str">
        <x:v>Not collected</x:v>
      </x:c>
      <x:c r="B142" s="33" t="n">
        <x:f>'Evaluation Plan'!B142</x:f>
        <x:v>140</x:v>
      </x:c>
      <x:c r="C142" s="31" t="str">
        <x:f>'Evaluation Plan'!C142</x:f>
        <x:v>Make the bowl contain exactly two objects.</x:v>
      </x:c>
      <x:c r="D142" s="31" t="str">
        <x:f>'Evaluation Plan'!D142</x:f>
        <x:v>Bowl objects: [yellow block, airplane toy without propellers] | Table objects: [blue pen, green pencil sharpener]</x:v>
      </x:c>
      <x:c r="E142" s="33" t="str">
        <x:f>'Evaluation Plan'!E142</x:f>
      </x:c>
      <x:c r="F142" s="31" t="str">
        <x:f>'Evaluation Plan'!F142</x:f>
        <x:v>NO-OP; preserve 2 objects in the bowl and do not initiate a grasp</x:v>
      </x:c>
      <x:c r="G142" s="31" t="str"/>
      <x:c r="H142" s="35" t="str">
        <x:f>'Evaluation Plan'!H142</x:f>
        <x:v>Goal already satisfied / no movement</x:v>
      </x:c>
      <x:c r="I142" s="31" t="str">
        <x:f>'Evaluation Plan'!I142</x:f>
        <x:v>NOOP-03</x:v>
      </x:c>
      <x:c r="J142" s="31" t="str">
        <x:f>'Evaluation Plan'!J142</x:f>
        <x:v>NOOP-03</x:v>
      </x:c>
      <x:c r="K142" s="33" t="n">
        <x:f>'Evaluation Plan'!K142</x:f>
        <x:v>2</x:v>
      </x:c>
      <x:c r="L142" s="33" t="n">
        <x:f>'Evaluation Plan'!L142</x:f>
        <x:v>2</x:v>
      </x:c>
      <x:c r="M142" s="33" t="str">
        <x:f>'Evaluation Plan'!M142</x:f>
        <x:v>NO-OP</x:v>
      </x:c>
      <x:c r="N142" s="31" t="str">
        <x:f>'Evaluation Plan'!N142</x:f>
        <x:v>Goal already satisfied: 2→2</x:v>
      </x:c>
      <x:c r="O142" s="33" t="n">
        <x:f>'Evaluation Plan'!O142</x:f>
        <x:v>6</x:v>
      </x:c>
      <x:c r="P142" s="31" t="str">
        <x:f>'Evaluation Plan'!P142</x:f>
        <x:v>Move only the minimum listed objects between bowl and table for the next count.</x:v>
      </x:c>
      <x:c r="Q142" s="31" t="str">
        <x:f>'Evaluation Plan'!Q142</x:f>
        <x:v>All four same-task objects remain visible; table objects are distractors. Success requires leaving the satisfied scene unchanged.</x:v>
      </x:c>
      <x:c r="R142" s="31" t="n">
        <x:f>'Evaluation Plan'!R142</x:f>
        <x:v>0</x:v>
      </x:c>
    </x:row>
    <x:row r="143" ht="46.5" customHeight="1">
      <x:c r="A143" s="32" t="str">
        <x:v>Not collected</x:v>
      </x:c>
      <x:c r="B143" s="34" t="n">
        <x:f>'Evaluation Plan'!B143</x:f>
        <x:v>141</x:v>
      </x:c>
      <x:c r="C143" s="32" t="str">
        <x:f>'Evaluation Plan'!C143</x:f>
        <x:v>Leave exactly three objects in the bowl.</x:v>
      </x:c>
      <x:c r="D143" s="32" t="str">
        <x:f>'Evaluation Plan'!D143</x:f>
        <x:v>Bowl objects: [yellow block, airplane toy without propellers, blue pen] | Table objects: [green pencil sharpener]</x:v>
      </x:c>
      <x:c r="E143" s="34" t="str">
        <x:f>'Evaluation Plan'!E143</x:f>
      </x:c>
      <x:c r="F143" s="32" t="str">
        <x:f>'Evaluation Plan'!F143</x:f>
        <x:v>NO-OP; preserve 3 objects in the bowl and do not initiate a grasp</x:v>
      </x:c>
      <x:c r="G143" s="32" t="str"/>
      <x:c r="H143" s="35" t="str">
        <x:f>'Evaluation Plan'!H143</x:f>
        <x:v>Goal already satisfied / no movement</x:v>
      </x:c>
      <x:c r="I143" s="32" t="str">
        <x:f>'Evaluation Plan'!I143</x:f>
        <x:v>NOOP-03</x:v>
      </x:c>
      <x:c r="J143" s="32" t="str">
        <x:f>'Evaluation Plan'!J143</x:f>
        <x:v>NOOP-03</x:v>
      </x:c>
      <x:c r="K143" s="34" t="n">
        <x:f>'Evaluation Plan'!K143</x:f>
        <x:v>3</x:v>
      </x:c>
      <x:c r="L143" s="34" t="n">
        <x:f>'Evaluation Plan'!L143</x:f>
        <x:v>3</x:v>
      </x:c>
      <x:c r="M143" s="34" t="str">
        <x:f>'Evaluation Plan'!M143</x:f>
        <x:v>NO-OP</x:v>
      </x:c>
      <x:c r="N143" s="32" t="str">
        <x:f>'Evaluation Plan'!N143</x:f>
        <x:v>Goal already satisfied: 3→3</x:v>
      </x:c>
      <x:c r="O143" s="34" t="n">
        <x:f>'Evaluation Plan'!O143</x:f>
        <x:v>6</x:v>
      </x:c>
      <x:c r="P143" s="32" t="str">
        <x:f>'Evaluation Plan'!P143</x:f>
        <x:v>Move only the minimum listed objects between bowl and table for the next count.</x:v>
      </x:c>
      <x:c r="Q143" s="32" t="str">
        <x:f>'Evaluation Plan'!Q143</x:f>
        <x:v>All four same-task objects remain visible; table objects are distractors. Success requires leaving the satisfied scene unchanged.</x:v>
      </x:c>
      <x:c r="R143" s="32" t="n">
        <x:f>'Evaluation Plan'!R143</x:f>
        <x:v>0</x:v>
      </x:c>
    </x:row>
    <x:row r="144" ht="46.5" customHeight="1">
      <x:c r="A144" s="31" t="str">
        <x:v>Not collected</x:v>
      </x:c>
      <x:c r="B144" s="33" t="n">
        <x:f>'Evaluation Plan'!B144</x:f>
        <x:v>142</x:v>
      </x:c>
      <x:c r="C144" s="31" t="str">
        <x:f>'Evaluation Plan'!C144</x:f>
        <x:v>Leave exactly three objects in the bowl.</x:v>
      </x:c>
      <x:c r="D144" s="31" t="str">
        <x:f>'Evaluation Plan'!D144</x:f>
        <x:v>Bowl objects: [green pencil sharpener, airplane toy without propellers, blue pen] | Table objects: [yellow block]</x:v>
      </x:c>
      <x:c r="E144" s="33" t="str">
        <x:f>'Evaluation Plan'!E144</x:f>
      </x:c>
      <x:c r="F144" s="31" t="str">
        <x:f>'Evaluation Plan'!F144</x:f>
        <x:v>NO-OP; preserve 3 objects in the bowl and do not initiate a grasp</x:v>
      </x:c>
      <x:c r="G144" s="31" t="str"/>
      <x:c r="H144" s="35" t="str">
        <x:f>'Evaluation Plan'!H144</x:f>
        <x:v>Goal already satisfied / no movement</x:v>
      </x:c>
      <x:c r="I144" s="31" t="str">
        <x:f>'Evaluation Plan'!I144</x:f>
        <x:v>NOOP-04</x:v>
      </x:c>
      <x:c r="J144" s="31" t="str">
        <x:f>'Evaluation Plan'!J144</x:f>
        <x:v>NOOP-04</x:v>
      </x:c>
      <x:c r="K144" s="33" t="n">
        <x:f>'Evaluation Plan'!K144</x:f>
        <x:v>3</x:v>
      </x:c>
      <x:c r="L144" s="33" t="n">
        <x:f>'Evaluation Plan'!L144</x:f>
        <x:v>3</x:v>
      </x:c>
      <x:c r="M144" s="33" t="str">
        <x:f>'Evaluation Plan'!M144</x:f>
        <x:v>NO-OP</x:v>
      </x:c>
      <x:c r="N144" s="31" t="str">
        <x:f>'Evaluation Plan'!N144</x:f>
        <x:v>Goal already satisfied: 3→3</x:v>
      </x:c>
      <x:c r="O144" s="33" t="n">
        <x:f>'Evaluation Plan'!O144</x:f>
        <x:v>6</x:v>
      </x:c>
      <x:c r="P144" s="31" t="str">
        <x:f>'Evaluation Plan'!P144</x:f>
        <x:v>Build the first no-movement scene in this family.</x:v>
      </x:c>
      <x:c r="Q144" s="31" t="str">
        <x:f>'Evaluation Plan'!Q144</x:f>
        <x:v>All four same-task objects remain visible; table objects are distractors. Success requires leaving the satisfied scene unchanged.</x:v>
      </x:c>
      <x:c r="R144" s="31" t="n">
        <x:f>'Evaluation Plan'!R144</x:f>
        <x:v>0</x:v>
      </x:c>
    </x:row>
    <x:row r="145" ht="46.5" customHeight="1">
      <x:c r="A145" s="32" t="str">
        <x:v>Not collected</x:v>
      </x:c>
      <x:c r="B145" s="34" t="n">
        <x:f>'Evaluation Plan'!B145</x:f>
        <x:v>143</x:v>
      </x:c>
      <x:c r="C145" s="32" t="str">
        <x:f>'Evaluation Plan'!C145</x:f>
        <x:v>Make the bowl contain exactly two objects.</x:v>
      </x:c>
      <x:c r="D145" s="32" t="str">
        <x:f>'Evaluation Plan'!D145</x:f>
        <x:v>Bowl objects: [green pencil sharpener, airplane toy without propellers] | Table objects: [blue pen, yellow block]</x:v>
      </x:c>
      <x:c r="E145" s="34" t="str">
        <x:f>'Evaluation Plan'!E145</x:f>
      </x:c>
      <x:c r="F145" s="32" t="str">
        <x:f>'Evaluation Plan'!F145</x:f>
        <x:v>NO-OP; preserve 2 objects in the bowl and do not initiate a grasp</x:v>
      </x:c>
      <x:c r="G145" s="32" t="str"/>
      <x:c r="H145" s="35" t="str">
        <x:f>'Evaluation Plan'!H145</x:f>
        <x:v>Goal already satisfied / no movement</x:v>
      </x:c>
      <x:c r="I145" s="32" t="str">
        <x:f>'Evaluation Plan'!I145</x:f>
        <x:v>NOOP-04</x:v>
      </x:c>
      <x:c r="J145" s="32" t="str">
        <x:f>'Evaluation Plan'!J145</x:f>
        <x:v>NOOP-04</x:v>
      </x:c>
      <x:c r="K145" s="34" t="n">
        <x:f>'Evaluation Plan'!K145</x:f>
        <x:v>2</x:v>
      </x:c>
      <x:c r="L145" s="34" t="n">
        <x:f>'Evaluation Plan'!L145</x:f>
        <x:v>2</x:v>
      </x:c>
      <x:c r="M145" s="34" t="str">
        <x:f>'Evaluation Plan'!M145</x:f>
        <x:v>NO-OP</x:v>
      </x:c>
      <x:c r="N145" s="32" t="str">
        <x:f>'Evaluation Plan'!N145</x:f>
        <x:v>Goal already satisfied: 2→2</x:v>
      </x:c>
      <x:c r="O145" s="34" t="n">
        <x:f>'Evaluation Plan'!O145</x:f>
        <x:v>6</x:v>
      </x:c>
      <x:c r="P145" s="32" t="str">
        <x:f>'Evaluation Plan'!P145</x:f>
        <x:v>Move only the minimum listed objects between bowl and table for the next count.</x:v>
      </x:c>
      <x:c r="Q145" s="32" t="str">
        <x:f>'Evaluation Plan'!Q145</x:f>
        <x:v>All four same-task objects remain visible; table objects are distractors. Success requires leaving the satisfied scene unchanged.</x:v>
      </x:c>
      <x:c r="R145" s="32" t="n">
        <x:f>'Evaluation Plan'!R145</x:f>
        <x:v>0</x:v>
      </x:c>
    </x:row>
    <x:row r="146" ht="46.5" customHeight="1">
      <x:c r="A146" s="31" t="str">
        <x:v>Not collected</x:v>
      </x:c>
      <x:c r="B146" s="33" t="n">
        <x:f>'Evaluation Plan'!B146</x:f>
        <x:v>144</x:v>
      </x:c>
      <x:c r="C146" s="31" t="str">
        <x:f>'Evaluation Plan'!C146</x:f>
        <x:v>Leave exactly one object in the bowl.</x:v>
      </x:c>
      <x:c r="D146" s="31" t="str">
        <x:f>'Evaluation Plan'!D146</x:f>
        <x:v>Bowl objects: [green pencil sharpener] | Table objects: [airplane toy without propellers, blue pen, yellow block]</x:v>
      </x:c>
      <x:c r="E146" s="33" t="str">
        <x:f>'Evaluation Plan'!E146</x:f>
      </x:c>
      <x:c r="F146" s="31" t="str">
        <x:f>'Evaluation Plan'!F146</x:f>
        <x:v>NO-OP; preserve 1 object in the bowl and do not initiate a grasp</x:v>
      </x:c>
      <x:c r="G146" s="31" t="str"/>
      <x:c r="H146" s="35" t="str">
        <x:f>'Evaluation Plan'!H146</x:f>
        <x:v>Goal already satisfied / no movement</x:v>
      </x:c>
      <x:c r="I146" s="31" t="str">
        <x:f>'Evaluation Plan'!I146</x:f>
        <x:v>NOOP-04</x:v>
      </x:c>
      <x:c r="J146" s="31" t="str">
        <x:f>'Evaluation Plan'!J146</x:f>
        <x:v>NOOP-04</x:v>
      </x:c>
      <x:c r="K146" s="33" t="n">
        <x:f>'Evaluation Plan'!K146</x:f>
        <x:v>1</x:v>
      </x:c>
      <x:c r="L146" s="33" t="n">
        <x:f>'Evaluation Plan'!L146</x:f>
        <x:v>1</x:v>
      </x:c>
      <x:c r="M146" s="33" t="str">
        <x:f>'Evaluation Plan'!M146</x:f>
        <x:v>NO-OP</x:v>
      </x:c>
      <x:c r="N146" s="31" t="str">
        <x:f>'Evaluation Plan'!N146</x:f>
        <x:v>Goal already satisfied: 1→1</x:v>
      </x:c>
      <x:c r="O146" s="33" t="n">
        <x:f>'Evaluation Plan'!O146</x:f>
        <x:v>6</x:v>
      </x:c>
      <x:c r="P146" s="31" t="str">
        <x:f>'Evaluation Plan'!P146</x:f>
        <x:v>Move only the minimum listed objects between bowl and table for the next count.</x:v>
      </x:c>
      <x:c r="Q146" s="31" t="str">
        <x:f>'Evaluation Plan'!Q146</x:f>
        <x:v>All four same-task objects remain visible; table objects are distractors. Success requires leaving the satisfied scene unchanged.</x:v>
      </x:c>
      <x:c r="R146" s="31" t="n">
        <x:f>'Evaluation Plan'!R146</x:f>
        <x:v>0</x:v>
      </x:c>
    </x:row>
    <x:row r="147" ht="46.5" customHeight="1">
      <x:c r="A147" s="32" t="str">
        <x:v>Not collected</x:v>
      </x:c>
      <x:c r="B147" s="34" t="n">
        <x:f>'Evaluation Plan'!B147</x:f>
        <x:v>145</x:v>
      </x:c>
      <x:c r="C147" s="32" t="str">
        <x:f>'Evaluation Plan'!C147</x:f>
        <x:v>Make the bowl contain exactly zero objects.</x:v>
      </x:c>
      <x:c r="D147" s="32" t="str">
        <x:f>'Evaluation Plan'!D147</x:f>
        <x:v>Bowl objects: [none] | Table objects: [green pencil sharpener, airplane toy without propellers, blue pen, yellow block]</x:v>
      </x:c>
      <x:c r="E147" s="34" t="str">
        <x:f>'Evaluation Plan'!E147</x:f>
      </x:c>
      <x:c r="F147" s="32" t="str">
        <x:f>'Evaluation Plan'!F147</x:f>
        <x:v>NO-OP; preserve 0 objects in the bowl and do not initiate a grasp</x:v>
      </x:c>
      <x:c r="G147" s="32" t="str"/>
      <x:c r="H147" s="35" t="str">
        <x:f>'Evaluation Plan'!H147</x:f>
        <x:v>Goal already satisfied / no movement</x:v>
      </x:c>
      <x:c r="I147" s="32" t="str">
        <x:f>'Evaluation Plan'!I147</x:f>
        <x:v>NOOP-04</x:v>
      </x:c>
      <x:c r="J147" s="32" t="str">
        <x:f>'Evaluation Plan'!J147</x:f>
        <x:v>NOOP-04</x:v>
      </x:c>
      <x:c r="K147" s="34" t="n">
        <x:f>'Evaluation Plan'!K147</x:f>
        <x:v>0</x:v>
      </x:c>
      <x:c r="L147" s="34" t="n">
        <x:f>'Evaluation Plan'!L147</x:f>
        <x:v>0</x:v>
      </x:c>
      <x:c r="M147" s="34" t="str">
        <x:f>'Evaluation Plan'!M147</x:f>
        <x:v>NO-OP</x:v>
      </x:c>
      <x:c r="N147" s="32" t="str">
        <x:f>'Evaluation Plan'!N147</x:f>
        <x:v>Goal already satisfied: 0→0</x:v>
      </x:c>
      <x:c r="O147" s="34" t="n">
        <x:f>'Evaluation Plan'!O147</x:f>
        <x:v>6</x:v>
      </x:c>
      <x:c r="P147" s="32" t="str">
        <x:f>'Evaluation Plan'!P147</x:f>
        <x:v>Move only the minimum listed objects between bowl and table for the next count.</x:v>
      </x:c>
      <x:c r="Q147" s="32" t="str">
        <x:f>'Evaluation Plan'!Q147</x:f>
        <x:v>All four same-task objects remain visible; table objects are distractors. Success requires leaving the satisfied scene unchanged.</x:v>
      </x:c>
      <x:c r="R147" s="32" t="n">
        <x:f>'Evaluation Plan'!R147</x:f>
        <x:v>0</x:v>
      </x:c>
    </x:row>
    <x:row r="148" ht="46.5" customHeight="1">
      <x:c r="A148" s="31" t="str">
        <x:v>Not collected</x:v>
      </x:c>
      <x:c r="B148" s="33" t="n">
        <x:f>'Evaluation Plan'!B148</x:f>
        <x:v>146</x:v>
      </x:c>
      <x:c r="C148" s="31" t="str">
        <x:f>'Evaluation Plan'!C148</x:f>
        <x:v>Make the bowl contain exactly zero objects.</x:v>
      </x:c>
      <x:c r="D148" s="31" t="str">
        <x:f>'Evaluation Plan'!D148</x:f>
        <x:v>Bowl objects: [none] | Table objects: [airplane toy without propellers, green pencil sharpener, yellow block, blue pen]</x:v>
      </x:c>
      <x:c r="E148" s="33" t="str">
        <x:f>'Evaluation Plan'!E148</x:f>
      </x:c>
      <x:c r="F148" s="31" t="str">
        <x:f>'Evaluation Plan'!F148</x:f>
        <x:v>NO-OP; preserve 0 objects in the bowl and do not initiate a grasp</x:v>
      </x:c>
      <x:c r="G148" s="31" t="str"/>
      <x:c r="H148" s="35" t="str">
        <x:f>'Evaluation Plan'!H148</x:f>
        <x:v>Goal already satisfied / no movement</x:v>
      </x:c>
      <x:c r="I148" s="31" t="str">
        <x:f>'Evaluation Plan'!I148</x:f>
        <x:v>NOOP-05</x:v>
      </x:c>
      <x:c r="J148" s="31" t="str">
        <x:f>'Evaluation Plan'!J148</x:f>
        <x:v>NOOP-05</x:v>
      </x:c>
      <x:c r="K148" s="33" t="n">
        <x:f>'Evaluation Plan'!K148</x:f>
        <x:v>0</x:v>
      </x:c>
      <x:c r="L148" s="33" t="n">
        <x:f>'Evaluation Plan'!L148</x:f>
        <x:v>0</x:v>
      </x:c>
      <x:c r="M148" s="33" t="str">
        <x:f>'Evaluation Plan'!M148</x:f>
        <x:v>NO-OP</x:v>
      </x:c>
      <x:c r="N148" s="31" t="str">
        <x:f>'Evaluation Plan'!N148</x:f>
        <x:v>Goal already satisfied: 0→0</x:v>
      </x:c>
      <x:c r="O148" s="33" t="n">
        <x:f>'Evaluation Plan'!O148</x:f>
        <x:v>6</x:v>
      </x:c>
      <x:c r="P148" s="31" t="str">
        <x:f>'Evaluation Plan'!P148</x:f>
        <x:v>Build the first no-movement scene in this family.</x:v>
      </x:c>
      <x:c r="Q148" s="31" t="str">
        <x:f>'Evaluation Plan'!Q148</x:f>
        <x:v>All four same-task objects remain visible; table objects are distractors. Success requires leaving the satisfied scene unchanged.</x:v>
      </x:c>
      <x:c r="R148" s="31" t="n">
        <x:f>'Evaluation Plan'!R148</x:f>
        <x:v>0</x:v>
      </x:c>
    </x:row>
    <x:row r="149" ht="46.5" customHeight="1">
      <x:c r="A149" s="32" t="str">
        <x:v>Not collected</x:v>
      </x:c>
      <x:c r="B149" s="34" t="n">
        <x:f>'Evaluation Plan'!B149</x:f>
        <x:v>147</x:v>
      </x:c>
      <x:c r="C149" s="32" t="str">
        <x:f>'Evaluation Plan'!C149</x:f>
        <x:v>Leave exactly one object in the bowl.</x:v>
      </x:c>
      <x:c r="D149" s="32" t="str">
        <x:f>'Evaluation Plan'!D149</x:f>
        <x:v>Bowl objects: [airplane toy without propellers] | Table objects: [green pencil sharpener, yellow block, blue pen]</x:v>
      </x:c>
      <x:c r="E149" s="34" t="str">
        <x:f>'Evaluation Plan'!E149</x:f>
      </x:c>
      <x:c r="F149" s="32" t="str">
        <x:f>'Evaluation Plan'!F149</x:f>
        <x:v>NO-OP; preserve 1 object in the bowl and do not initiate a grasp</x:v>
      </x:c>
      <x:c r="G149" s="32" t="str"/>
      <x:c r="H149" s="35" t="str">
        <x:f>'Evaluation Plan'!H149</x:f>
        <x:v>Goal already satisfied / no movement</x:v>
      </x:c>
      <x:c r="I149" s="32" t="str">
        <x:f>'Evaluation Plan'!I149</x:f>
        <x:v>NOOP-05</x:v>
      </x:c>
      <x:c r="J149" s="32" t="str">
        <x:f>'Evaluation Plan'!J149</x:f>
        <x:v>NOOP-05</x:v>
      </x:c>
      <x:c r="K149" s="34" t="n">
        <x:f>'Evaluation Plan'!K149</x:f>
        <x:v>1</x:v>
      </x:c>
      <x:c r="L149" s="34" t="n">
        <x:f>'Evaluation Plan'!L149</x:f>
        <x:v>1</x:v>
      </x:c>
      <x:c r="M149" s="34" t="str">
        <x:f>'Evaluation Plan'!M149</x:f>
        <x:v>NO-OP</x:v>
      </x:c>
      <x:c r="N149" s="32" t="str">
        <x:f>'Evaluation Plan'!N149</x:f>
        <x:v>Goal already satisfied: 1→1</x:v>
      </x:c>
      <x:c r="O149" s="34" t="n">
        <x:f>'Evaluation Plan'!O149</x:f>
        <x:v>6</x:v>
      </x:c>
      <x:c r="P149" s="32" t="str">
        <x:f>'Evaluation Plan'!P149</x:f>
        <x:v>Move only the minimum listed objects between bowl and table for the next count.</x:v>
      </x:c>
      <x:c r="Q149" s="32" t="str">
        <x:f>'Evaluation Plan'!Q149</x:f>
        <x:v>All four same-task objects remain visible; table objects are distractors. Success requires leaving the satisfied scene unchanged.</x:v>
      </x:c>
      <x:c r="R149" s="32" t="n">
        <x:f>'Evaluation Plan'!R149</x:f>
        <x:v>0</x:v>
      </x:c>
    </x:row>
    <x:row r="150" ht="46.5" customHeight="1">
      <x:c r="A150" s="31" t="str">
        <x:v>Not collected</x:v>
      </x:c>
      <x:c r="B150" s="33" t="n">
        <x:f>'Evaluation Plan'!B150</x:f>
        <x:v>148</x:v>
      </x:c>
      <x:c r="C150" s="31" t="str">
        <x:f>'Evaluation Plan'!C150</x:f>
        <x:v>Make the bowl contain exactly two objects.</x:v>
      </x:c>
      <x:c r="D150" s="31" t="str">
        <x:f>'Evaluation Plan'!D150</x:f>
        <x:v>Bowl objects: [airplane toy without propellers, green pencil sharpener] | Table objects: [yellow block, blue pen]</x:v>
      </x:c>
      <x:c r="E150" s="33" t="str">
        <x:f>'Evaluation Plan'!E150</x:f>
      </x:c>
      <x:c r="F150" s="31" t="str">
        <x:f>'Evaluation Plan'!F150</x:f>
        <x:v>NO-OP; preserve 2 objects in the bowl and do not initiate a grasp</x:v>
      </x:c>
      <x:c r="G150" s="31" t="str"/>
      <x:c r="H150" s="35" t="str">
        <x:f>'Evaluation Plan'!H150</x:f>
        <x:v>Goal already satisfied / no movement</x:v>
      </x:c>
      <x:c r="I150" s="31" t="str">
        <x:f>'Evaluation Plan'!I150</x:f>
        <x:v>NOOP-05</x:v>
      </x:c>
      <x:c r="J150" s="31" t="str">
        <x:f>'Evaluation Plan'!J150</x:f>
        <x:v>NOOP-05</x:v>
      </x:c>
      <x:c r="K150" s="33" t="n">
        <x:f>'Evaluation Plan'!K150</x:f>
        <x:v>2</x:v>
      </x:c>
      <x:c r="L150" s="33" t="n">
        <x:f>'Evaluation Plan'!L150</x:f>
        <x:v>2</x:v>
      </x:c>
      <x:c r="M150" s="33" t="str">
        <x:f>'Evaluation Plan'!M150</x:f>
        <x:v>NO-OP</x:v>
      </x:c>
      <x:c r="N150" s="31" t="str">
        <x:f>'Evaluation Plan'!N150</x:f>
        <x:v>Goal already satisfied: 2→2</x:v>
      </x:c>
      <x:c r="O150" s="33" t="n">
        <x:f>'Evaluation Plan'!O150</x:f>
        <x:v>6</x:v>
      </x:c>
      <x:c r="P150" s="31" t="str">
        <x:f>'Evaluation Plan'!P150</x:f>
        <x:v>Move only the minimum listed objects between bowl and table for the next count.</x:v>
      </x:c>
      <x:c r="Q150" s="31" t="str">
        <x:f>'Evaluation Plan'!Q150</x:f>
        <x:v>All four same-task objects remain visible; table objects are distractors. Success requires leaving the satisfied scene unchanged.</x:v>
      </x:c>
      <x:c r="R150" s="31" t="n">
        <x:f>'Evaluation Plan'!R150</x:f>
        <x:v>0</x:v>
      </x:c>
    </x:row>
    <x:row r="151" ht="46.5" customHeight="1">
      <x:c r="A151" s="32" t="str">
        <x:v>Not collected</x:v>
      </x:c>
      <x:c r="B151" s="34" t="n">
        <x:f>'Evaluation Plan'!B151</x:f>
        <x:v>149</x:v>
      </x:c>
      <x:c r="C151" s="32" t="str">
        <x:f>'Evaluation Plan'!C151</x:f>
        <x:v>Leave exactly three objects in the bowl.</x:v>
      </x:c>
      <x:c r="D151" s="32" t="str">
        <x:f>'Evaluation Plan'!D151</x:f>
        <x:v>Bowl objects: [airplane toy without propellers, green pencil sharpener, yellow block] | Table objects: [blue pen]</x:v>
      </x:c>
      <x:c r="E151" s="34" t="n">
        <x:f>'Evaluation Plan'!E151</x:f>
        <x:v>0</x:v>
      </x:c>
      <x:c r="F151" s="32" t="str">
        <x:f>'Evaluation Plan'!F151</x:f>
        <x:v>NO-OP; preserve 3 objects in the bowl and do not initiate a grasp</x:v>
      </x:c>
      <x:c r="G151" s="32" t="str"/>
      <x:c r="H151" s="35" t="str">
        <x:f>'Evaluation Plan'!H151</x:f>
        <x:v>Goal already satisfied / no movement</x:v>
      </x:c>
      <x:c r="I151" s="32" t="str">
        <x:f>'Evaluation Plan'!I151</x:f>
        <x:v>NOOP-05</x:v>
      </x:c>
      <x:c r="J151" s="32" t="str">
        <x:f>'Evaluation Plan'!J151</x:f>
        <x:v>NOOP-05</x:v>
      </x:c>
      <x:c r="K151" s="34" t="n">
        <x:f>'Evaluation Plan'!K151</x:f>
        <x:v>3</x:v>
      </x:c>
      <x:c r="L151" s="34" t="n">
        <x:f>'Evaluation Plan'!L151</x:f>
        <x:v>3</x:v>
      </x:c>
      <x:c r="M151" s="34" t="str">
        <x:f>'Evaluation Plan'!M151</x:f>
        <x:v>NO-OP</x:v>
      </x:c>
      <x:c r="N151" s="32" t="str">
        <x:f>'Evaluation Plan'!N151</x:f>
        <x:v>Goal already satisfied: 3→3</x:v>
      </x:c>
      <x:c r="O151" s="34" t="n">
        <x:f>'Evaluation Plan'!O151</x:f>
        <x:v>6</x:v>
      </x:c>
      <x:c r="P151" s="32" t="str">
        <x:f>'Evaluation Plan'!P151</x:f>
        <x:v>Move only the minimum listed objects between bowl and table for the next count.</x:v>
      </x:c>
      <x:c r="Q151" s="32" t="str">
        <x:f>'Evaluation Plan'!Q151</x:f>
        <x:v>All four same-task objects remain visible; table objects are distractors. Success requires leaving the satisfied scene unchanged.</x:v>
      </x:c>
      <x:c r="R151" s="32" t="n">
        <x:f>'Evaluation Plan'!R151</x:f>
        <x:v>0</x:v>
      </x:c>
    </x:row>
  </x:sheetData>
  <x:conditionalFormatting sqref="A2:R131">
    <x:cfRule type="expression" dxfId="16" priority="1">
      <x:formula>$A2="Success"</x:formula>
    </x:cfRule>
    <x:cfRule type="expression" dxfId="17" priority="2">
      <x:formula>$A2="Failure"</x:formula>
    </x:cfRule>
  </x:conditionalFormatting>
  <x:conditionalFormatting sqref="H2:H131">
    <x:cfRule type="containsText" dxfId="18" priority="3" operator="containsText" text="Concept/compositional transfer"/>
    <x:cfRule type="containsText" dxfId="19" priority="4" operator="containsText" text="Matched action control"/>
    <x:cfRule type="containsText" dxfId="20" priority="5" operator="containsText" text="Language robustness"/>
    <x:cfRule type="containsText" dxfId="21" priority="6" operator="containsText" text="Seen-count baseline"/>
    <x:cfRule type="containsText" dxfId="22" priority="7" operator="containsText" text="Cross-task"/>
  </x:conditionalFormatting>
  <x:conditionalFormatting sqref="A2:R151">
    <x:cfRule type="expression" dxfId="34" priority="8">
      <x:formula>$A2="Success"</x:formula>
    </x:cfRule>
    <x:cfRule type="expression" dxfId="35" priority="9">
      <x:formula>$A2="Failure"</x:formula>
    </x:cfRule>
  </x:conditionalFormatting>
  <x:dataValidations count="2">
    <x:dataValidation type="list" sqref="A2:A131">
      <x:formula1>"Not collected,Success,Failure"</x:formula1>
    </x:dataValidation>
    <x:dataValidation type="list" sqref="A2:A151">
      <x:formula1>"Not collected,Success,Failure"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6.670000076293945" hidden="0" customWidth="1"/>
    <x:col min="3" max="3" width="28.889999389648438" hidden="0" customWidth="1"/>
    <x:col min="4" max="4" width="40" hidden="0" customWidth="1"/>
    <x:col min="5" max="5" width="9.4399995803833" hidden="0" customWidth="1"/>
    <x:col min="6" max="6" width="25" hidden="0" customWidth="1"/>
    <x:col min="7" max="7" width="28.889999389648438" hidden="0" customWidth="1"/>
    <x:col min="8" max="8" width="22.780000686645508" hidden="0" customWidth="1"/>
    <x:col min="9" max="9" width="10.5600004196167" hidden="0" customWidth="1"/>
    <x:col min="10" max="10" width="12.220000267028809" hidden="0" customWidth="1"/>
    <x:col min="11" max="11" width="8.890000343322754" hidden="0" customWidth="1"/>
    <x:col min="12" max="12" width="7.78000020980835" hidden="0" customWidth="1"/>
    <x:col min="13" max="13" width="10.5600004196167" hidden="0" customWidth="1"/>
    <x:col min="14" max="14" width="28.329999923706055" hidden="0" customWidth="1"/>
    <x:col min="15" max="15" width="9.4399995803833" hidden="0" customWidth="1"/>
    <x:col min="16" max="16" width="26.670000076293945" hidden="0" customWidth="1"/>
    <x:col min="17" max="17" width="34.439998626708984" hidden="0" customWidth="1"/>
    <x:col min="18" max="18" width="20.559999465942383" hidden="0" customWidth="1"/>
  </x:cols>
  <x:sheetData>
    <x:row r="1" ht="28.5" customHeight="1">
      <x:c r="A1" s="30" t="str">
        <x:v>Status</x:v>
      </x:c>
      <x:c r="B1" s="30" t="str">
        <x:v>Episode</x:v>
      </x:c>
      <x:c r="C1" s="30" t="str">
        <x:v>Prompt</x:v>
      </x:c>
      <x:c r="D1" s="30" t="str">
        <x:v>Scene Setup (Bowl / Table)</x:v>
      </x:c>
      <x:c r="E1" s="30" t="str">
        <x:v>Reference Episode</x:v>
      </x:c>
      <x:c r="F1" s="30" t="str">
        <x:v>Expected Target / Action</x:v>
      </x:c>
      <x:c r="G1" s="30" t="str">
        <x:v>Observations</x:v>
      </x:c>
      <x:c r="H1" s="30" t="str">
        <x:v>Condition</x:v>
      </x:c>
      <x:c r="I1" s="30" t="str">
        <x:v>Scene Family</x:v>
      </x:c>
      <x:c r="J1" s="30" t="str">
        <x:v>Contrast Pair</x:v>
      </x:c>
      <x:c r="K1" s="30" t="str">
        <x:v>Initial Bowl Count</x:v>
      </x:c>
      <x:c r="L1" s="30" t="str">
        <x:v>Goal Count</x:v>
      </x:c>
      <x:c r="M1" s="30" t="str">
        <x:v>Action Direction</x:v>
      </x:c>
      <x:c r="N1" s="30" t="str">
        <x:v>Comparison / Subtype</x:v>
      </x:c>
      <x:c r="O1" s="30" t="str">
        <x:v>Collection Block</x:v>
      </x:c>
      <x:c r="P1" s="30" t="str">
        <x:v>Setup Change from Previous</x:v>
      </x:c>
      <x:c r="Q1" s="30" t="str">
        <x:v>Design Note</x:v>
      </x:c>
      <x:c r="R1" s="30" t="str">
        <x:v>Reference Media Filename</x:v>
      </x:c>
    </x:row>
    <x:row r="2" ht="46.5" customHeight="1">
      <x:c r="A2" s="31" t="str">
        <x:v>Not collected</x:v>
      </x:c>
      <x:c r="B2" s="33" t="n">
        <x:f>'Evaluation Plan'!B2</x:f>
        <x:v>0</x:v>
      </x:c>
      <x:c r="C2" s="31" t="str">
        <x:f>'Evaluation Plan'!C2</x:f>
        <x:v>Leave exactly one object in the bowl.</x:v>
      </x:c>
      <x:c r="D2" s="31" t="str">
        <x:f>'Evaluation Plan'!D2</x:f>
        <x:v>Bowl objects: [none] | Table objects: [blue pen, yellow block, green pencil sharpener, airplane toy without propellers]</x:v>
      </x:c>
      <x:c r="E2" s="33" t="str">
        <x:f>'Evaluation Plan'!E2</x:f>
      </x:c>
      <x:c r="F2" s="31" t="str">
        <x:f>'Evaluation Plan'!F2</x:f>
        <x:v>ADD any one table object; finish with 1 object in the bowl</x:v>
      </x:c>
      <x:c r="G2" s="31" t="str"/>
      <x:c r="H2" s="35" t="str">
        <x:f>'Evaluation Plan'!H2</x:f>
        <x:v>In-distribution concept baseline</x:v>
      </x:c>
      <x:c r="I2" s="31" t="str">
        <x:f>'Evaluation Plan'!I2</x:f>
        <x:v>ID-CF01</x:v>
      </x:c>
      <x:c r="J2" s="31" t="str">
        <x:f>'Evaluation Plan'!J2</x:f>
        <x:v>ID-CF01</x:v>
      </x:c>
      <x:c r="K2" s="33" t="n">
        <x:f>'Evaluation Plan'!K2</x:f>
        <x:v>0</x:v>
      </x:c>
      <x:c r="L2" s="33" t="n">
        <x:f>'Evaluation Plan'!L2</x:f>
        <x:v>1</x:v>
      </x:c>
      <x:c r="M2" s="33" t="str">
        <x:f>'Evaluation Plan'!M2</x:f>
        <x:v>ADD</x:v>
      </x:c>
      <x:c r="N2" s="31" t="str">
        <x:f>'Evaluation Plan'!N2</x:f>
        <x:v>In-distribution: one via trained 0→1 addition</x:v>
      </x:c>
      <x:c r="O2" s="33" t="n">
        <x:f>'Evaluation Plan'!O2</x:f>
        <x:v>1</x:v>
      </x:c>
      <x:c r="P2" s="31" t="str">
        <x:f>'Evaluation Plan'!P2</x:f>
        <x:v>Build the empty-bowl scene.</x:v>
      </x:c>
      <x:c r="Q2" s="31" t="str">
        <x:f>'Evaluation Plan'!Q2</x:f>
        <x:v>The word one and the 0→1 addition transition are explicitly paired in training.</x:v>
      </x:c>
      <x:c r="R2" s="31" t="n">
        <x:f>'Evaluation Plan'!R2</x:f>
        <x:v>0</x:v>
      </x:c>
    </x:row>
    <x:row r="3" ht="46.5" customHeight="1">
      <x:c r="A3" s="32" t="str">
        <x:v>Not collected</x:v>
      </x:c>
      <x:c r="B3" s="34" t="n">
        <x:f>'Evaluation Plan'!B3</x:f>
        <x:v>1</x:v>
      </x:c>
      <x:c r="C3" s="32" t="str">
        <x:f>'Evaluation Plan'!C3</x:f>
        <x:v>Leave exactly three objects in the bowl.</x:v>
      </x:c>
      <x:c r="D3" s="32" t="str">
        <x:f>'Evaluation Plan'!D3</x:f>
        <x:v>Bowl objects: [blue pen, yellow block, green pencil sharpener, airplane toy without propellers] | Table objects: [none]</x:v>
      </x:c>
      <x:c r="E3" s="34" t="str">
        <x:f>'Evaluation Plan'!E3</x:f>
      </x:c>
      <x:c r="F3" s="32" t="str">
        <x:f>'Evaluation Plan'!F3</x:f>
        <x:v>REMOVE any one bowl object; finish with 3 objects in the bowl</x:v>
      </x:c>
      <x:c r="G3" s="32" t="str"/>
      <x:c r="H3" s="35" t="str">
        <x:f>'Evaluation Plan'!H3</x:f>
        <x:v>In-distribution concept baseline</x:v>
      </x:c>
      <x:c r="I3" s="32" t="str">
        <x:f>'Evaluation Plan'!I3</x:f>
        <x:v>ID-CF01</x:v>
      </x:c>
      <x:c r="J3" s="32" t="str">
        <x:f>'Evaluation Plan'!J3</x:f>
        <x:v>ID-CF01</x:v>
      </x:c>
      <x:c r="K3" s="34" t="n">
        <x:f>'Evaluation Plan'!K3</x:f>
        <x:v>4</x:v>
      </x:c>
      <x:c r="L3" s="34" t="n">
        <x:f>'Evaluation Plan'!L3</x:f>
        <x:v>3</x:v>
      </x:c>
      <x:c r="M3" s="34" t="str">
        <x:f>'Evaluation Plan'!M3</x:f>
        <x:v>REMOVE</x:v>
      </x:c>
      <x:c r="N3" s="32" t="str">
        <x:f>'Evaluation Plan'!N3</x:f>
        <x:v>In-distribution: three via trained 4→3 removal</x:v>
      </x:c>
      <x:c r="O3" s="34" t="n">
        <x:f>'Evaluation Plan'!O3</x:f>
        <x:v>1</x:v>
      </x:c>
      <x:c r="P3" s="32" t="str">
        <x:f>'Evaluation Plan'!P3</x:f>
        <x:v>Move all four objects into the bowl.</x:v>
      </x:c>
      <x:c r="Q3" s="32" t="str">
        <x:f>'Evaluation Plan'!Q3</x:f>
        <x:v>The word three and the 4→3 removal transition are explicitly paired in training.</x:v>
      </x:c>
      <x:c r="R3" s="32" t="n">
        <x:f>'Evaluation Plan'!R3</x:f>
        <x:v>0</x:v>
      </x:c>
    </x:row>
    <x:row r="4" ht="46.5" customHeight="1">
      <x:c r="A4" s="31" t="str">
        <x:v>Not collected</x:v>
      </x:c>
      <x:c r="B4" s="33" t="n">
        <x:f>'Evaluation Plan'!B4</x:f>
        <x:v>2</x:v>
      </x:c>
      <x:c r="C4" s="31" t="str">
        <x:f>'Evaluation Plan'!C4</x:f>
        <x:v>Leave exactly three objects in the bowl.</x:v>
      </x:c>
      <x:c r="D4" s="31" t="str">
        <x:f>'Evaluation Plan'!D4</x:f>
        <x:v>Bowl objects: [blue pen, yellow block, green pencil sharpener, airplane toy without propellers] | Table objects: [none]</x:v>
      </x:c>
      <x:c r="E4" s="33" t="str">
        <x:f>'Evaluation Plan'!E4</x:f>
      </x:c>
      <x:c r="F4" s="31" t="str">
        <x:f>'Evaluation Plan'!F4</x:f>
        <x:v>REMOVE any one bowl object; finish with 3 objects in the bowl</x:v>
      </x:c>
      <x:c r="G4" s="31" t="str"/>
      <x:c r="H4" s="35" t="str">
        <x:f>'Evaluation Plan'!H4</x:f>
        <x:v>In-distribution concept baseline</x:v>
      </x:c>
      <x:c r="I4" s="31" t="str">
        <x:f>'Evaluation Plan'!I4</x:f>
        <x:v>ID-CF02</x:v>
      </x:c>
      <x:c r="J4" s="31" t="str">
        <x:f>'Evaluation Plan'!J4</x:f>
        <x:v>ID-CF02</x:v>
      </x:c>
      <x:c r="K4" s="33" t="n">
        <x:f>'Evaluation Plan'!K4</x:f>
        <x:v>4</x:v>
      </x:c>
      <x:c r="L4" s="33" t="n">
        <x:f>'Evaluation Plan'!L4</x:f>
        <x:v>3</x:v>
      </x:c>
      <x:c r="M4" s="33" t="str">
        <x:f>'Evaluation Plan'!M4</x:f>
        <x:v>REMOVE</x:v>
      </x:c>
      <x:c r="N4" s="31" t="str">
        <x:f>'Evaluation Plan'!N4</x:f>
        <x:v>In-distribution: three via trained 4→3 removal</x:v>
      </x:c>
      <x:c r="O4" s="33" t="n">
        <x:f>'Evaluation Plan'!O4</x:f>
        <x:v>1</x:v>
      </x:c>
      <x:c r="P4" s="31" t="str">
        <x:f>'Evaluation Plan'!P4</x:f>
        <x:v>Move all four objects into the bowl.</x:v>
      </x:c>
      <x:c r="Q4" s="31" t="str">
        <x:f>'Evaluation Plan'!Q4</x:f>
        <x:v>The word three and the 4→3 removal transition are explicitly paired in training.</x:v>
      </x:c>
      <x:c r="R4" s="31" t="n">
        <x:f>'Evaluation Plan'!R4</x:f>
        <x:v>0</x:v>
      </x:c>
    </x:row>
    <x:row r="5" ht="46.5" customHeight="1">
      <x:c r="A5" s="32" t="str">
        <x:v>Not collected</x:v>
      </x:c>
      <x:c r="B5" s="34" t="n">
        <x:f>'Evaluation Plan'!B5</x:f>
        <x:v>3</x:v>
      </x:c>
      <x:c r="C5" s="32" t="str">
        <x:f>'Evaluation Plan'!C5</x:f>
        <x:v>Leave exactly one object in the bowl.</x:v>
      </x:c>
      <x:c r="D5" s="32" t="str">
        <x:f>'Evaluation Plan'!D5</x:f>
        <x:v>Bowl objects: [none] | Table objects: [blue pen, yellow block, green pencil sharpener, airplane toy without propellers]</x:v>
      </x:c>
      <x:c r="E5" s="34" t="str">
        <x:f>'Evaluation Plan'!E5</x:f>
      </x:c>
      <x:c r="F5" s="32" t="str">
        <x:f>'Evaluation Plan'!F5</x:f>
        <x:v>ADD any one table object; finish with 1 object in the bowl</x:v>
      </x:c>
      <x:c r="G5" s="32" t="str"/>
      <x:c r="H5" s="35" t="str">
        <x:f>'Evaluation Plan'!H5</x:f>
        <x:v>In-distribution concept baseline</x:v>
      </x:c>
      <x:c r="I5" s="32" t="str">
        <x:f>'Evaluation Plan'!I5</x:f>
        <x:v>ID-CF02</x:v>
      </x:c>
      <x:c r="J5" s="32" t="str">
        <x:f>'Evaluation Plan'!J5</x:f>
        <x:v>ID-CF02</x:v>
      </x:c>
      <x:c r="K5" s="34" t="n">
        <x:f>'Evaluation Plan'!K5</x:f>
        <x:v>0</x:v>
      </x:c>
      <x:c r="L5" s="34" t="n">
        <x:f>'Evaluation Plan'!L5</x:f>
        <x:v>1</x:v>
      </x:c>
      <x:c r="M5" s="34" t="str">
        <x:f>'Evaluation Plan'!M5</x:f>
        <x:v>ADD</x:v>
      </x:c>
      <x:c r="N5" s="32" t="str">
        <x:f>'Evaluation Plan'!N5</x:f>
        <x:v>In-distribution: one via trained 0→1 addition</x:v>
      </x:c>
      <x:c r="O5" s="34" t="n">
        <x:f>'Evaluation Plan'!O5</x:f>
        <x:v>1</x:v>
      </x:c>
      <x:c r="P5" s="32" t="str">
        <x:f>'Evaluation Plan'!P5</x:f>
        <x:v>Build the empty-bowl scene.</x:v>
      </x:c>
      <x:c r="Q5" s="32" t="str">
        <x:f>'Evaluation Plan'!Q5</x:f>
        <x:v>The word one and the 0→1 addition transition are explicitly paired in training.</x:v>
      </x:c>
      <x:c r="R5" s="32" t="n">
        <x:f>'Evaluation Plan'!R5</x:f>
        <x:v>0</x:v>
      </x:c>
    </x:row>
    <x:row r="6" ht="46.5" customHeight="1">
      <x:c r="A6" s="31" t="str">
        <x:v>Not collected</x:v>
      </x:c>
      <x:c r="B6" s="33" t="n">
        <x:f>'Evaluation Plan'!B6</x:f>
        <x:v>4</x:v>
      </x:c>
      <x:c r="C6" s="31" t="str">
        <x:f>'Evaluation Plan'!C6</x:f>
        <x:v>Leave exactly one object in the bowl.</x:v>
      </x:c>
      <x:c r="D6" s="31" t="str">
        <x:f>'Evaluation Plan'!D6</x:f>
        <x:v>Bowl objects: [none] | Table objects: [blue pen, yellow block, green pencil sharpener, airplane toy without propellers]</x:v>
      </x:c>
      <x:c r="E6" s="33" t="str">
        <x:f>'Evaluation Plan'!E6</x:f>
      </x:c>
      <x:c r="F6" s="31" t="str">
        <x:f>'Evaluation Plan'!F6</x:f>
        <x:v>ADD any one table object; finish with 1 object in the bowl</x:v>
      </x:c>
      <x:c r="G6" s="31" t="str"/>
      <x:c r="H6" s="35" t="str">
        <x:f>'Evaluation Plan'!H6</x:f>
        <x:v>In-distribution concept baseline</x:v>
      </x:c>
      <x:c r="I6" s="31" t="str">
        <x:f>'Evaluation Plan'!I6</x:f>
        <x:v>ID-CF03</x:v>
      </x:c>
      <x:c r="J6" s="31" t="str">
        <x:f>'Evaluation Plan'!J6</x:f>
        <x:v>ID-CF03</x:v>
      </x:c>
      <x:c r="K6" s="33" t="n">
        <x:f>'Evaluation Plan'!K6</x:f>
        <x:v>0</x:v>
      </x:c>
      <x:c r="L6" s="33" t="n">
        <x:f>'Evaluation Plan'!L6</x:f>
        <x:v>1</x:v>
      </x:c>
      <x:c r="M6" s="33" t="str">
        <x:f>'Evaluation Plan'!M6</x:f>
        <x:v>ADD</x:v>
      </x:c>
      <x:c r="N6" s="31" t="str">
        <x:f>'Evaluation Plan'!N6</x:f>
        <x:v>In-distribution: one via trained 0→1 addition</x:v>
      </x:c>
      <x:c r="O6" s="33" t="n">
        <x:f>'Evaluation Plan'!O6</x:f>
        <x:v>1</x:v>
      </x:c>
      <x:c r="P6" s="31" t="str">
        <x:f>'Evaluation Plan'!P6</x:f>
        <x:v>Build the empty-bowl scene.</x:v>
      </x:c>
      <x:c r="Q6" s="31" t="str">
        <x:f>'Evaluation Plan'!Q6</x:f>
        <x:v>The word one and the 0→1 addition transition are explicitly paired in training.</x:v>
      </x:c>
      <x:c r="R6" s="31" t="n">
        <x:f>'Evaluation Plan'!R6</x:f>
        <x:v>0</x:v>
      </x:c>
    </x:row>
    <x:row r="7" ht="46.5" customHeight="1">
      <x:c r="A7" s="32" t="str">
        <x:v>Not collected</x:v>
      </x:c>
      <x:c r="B7" s="34" t="n">
        <x:f>'Evaluation Plan'!B7</x:f>
        <x:v>5</x:v>
      </x:c>
      <x:c r="C7" s="32" t="str">
        <x:f>'Evaluation Plan'!C7</x:f>
        <x:v>Leave exactly three objects in the bowl.</x:v>
      </x:c>
      <x:c r="D7" s="32" t="str">
        <x:f>'Evaluation Plan'!D7</x:f>
        <x:v>Bowl objects: [blue pen, yellow block, green pencil sharpener, airplane toy without propellers] | Table objects: [none]</x:v>
      </x:c>
      <x:c r="E7" s="34" t="str">
        <x:f>'Evaluation Plan'!E7</x:f>
      </x:c>
      <x:c r="F7" s="32" t="str">
        <x:f>'Evaluation Plan'!F7</x:f>
        <x:v>REMOVE any one bowl object; finish with 3 objects in the bowl</x:v>
      </x:c>
      <x:c r="G7" s="32" t="str"/>
      <x:c r="H7" s="35" t="str">
        <x:f>'Evaluation Plan'!H7</x:f>
        <x:v>In-distribution concept baseline</x:v>
      </x:c>
      <x:c r="I7" s="32" t="str">
        <x:f>'Evaluation Plan'!I7</x:f>
        <x:v>ID-CF03</x:v>
      </x:c>
      <x:c r="J7" s="32" t="str">
        <x:f>'Evaluation Plan'!J7</x:f>
        <x:v>ID-CF03</x:v>
      </x:c>
      <x:c r="K7" s="34" t="n">
        <x:f>'Evaluation Plan'!K7</x:f>
        <x:v>4</x:v>
      </x:c>
      <x:c r="L7" s="34" t="n">
        <x:f>'Evaluation Plan'!L7</x:f>
        <x:v>3</x:v>
      </x:c>
      <x:c r="M7" s="34" t="str">
        <x:f>'Evaluation Plan'!M7</x:f>
        <x:v>REMOVE</x:v>
      </x:c>
      <x:c r="N7" s="32" t="str">
        <x:f>'Evaluation Plan'!N7</x:f>
        <x:v>In-distribution: three via trained 4→3 removal</x:v>
      </x:c>
      <x:c r="O7" s="34" t="n">
        <x:f>'Evaluation Plan'!O7</x:f>
        <x:v>1</x:v>
      </x:c>
      <x:c r="P7" s="32" t="str">
        <x:f>'Evaluation Plan'!P7</x:f>
        <x:v>Move all four objects into the bowl.</x:v>
      </x:c>
      <x:c r="Q7" s="32" t="str">
        <x:f>'Evaluation Plan'!Q7</x:f>
        <x:v>The word three and the 4→3 removal transition are explicitly paired in training.</x:v>
      </x:c>
      <x:c r="R7" s="32" t="n">
        <x:f>'Evaluation Plan'!R7</x:f>
        <x:v>0</x:v>
      </x:c>
    </x:row>
    <x:row r="8" ht="46.5" customHeight="1">
      <x:c r="A8" s="31" t="str">
        <x:v>Not collected</x:v>
      </x:c>
      <x:c r="B8" s="33" t="n">
        <x:f>'Evaluation Plan'!B8</x:f>
        <x:v>6</x:v>
      </x:c>
      <x:c r="C8" s="31" t="str">
        <x:f>'Evaluation Plan'!C8</x:f>
        <x:v>Leave exactly three objects in the bowl.</x:v>
      </x:c>
      <x:c r="D8" s="31" t="str">
        <x:f>'Evaluation Plan'!D8</x:f>
        <x:v>Bowl objects: [blue pen, yellow block, green pencil sharpener, airplane toy without propellers] | Table objects: [none]</x:v>
      </x:c>
      <x:c r="E8" s="33" t="str">
        <x:f>'Evaluation Plan'!E8</x:f>
      </x:c>
      <x:c r="F8" s="31" t="str">
        <x:f>'Evaluation Plan'!F8</x:f>
        <x:v>REMOVE any one bowl object; finish with 3 objects in the bowl</x:v>
      </x:c>
      <x:c r="G8" s="31" t="str"/>
      <x:c r="H8" s="35" t="str">
        <x:f>'Evaluation Plan'!H8</x:f>
        <x:v>In-distribution concept baseline</x:v>
      </x:c>
      <x:c r="I8" s="31" t="str">
        <x:f>'Evaluation Plan'!I8</x:f>
        <x:v>ID-CF04</x:v>
      </x:c>
      <x:c r="J8" s="31" t="str">
        <x:f>'Evaluation Plan'!J8</x:f>
        <x:v>ID-CF04</x:v>
      </x:c>
      <x:c r="K8" s="33" t="n">
        <x:f>'Evaluation Plan'!K8</x:f>
        <x:v>4</x:v>
      </x:c>
      <x:c r="L8" s="33" t="n">
        <x:f>'Evaluation Plan'!L8</x:f>
        <x:v>3</x:v>
      </x:c>
      <x:c r="M8" s="33" t="str">
        <x:f>'Evaluation Plan'!M8</x:f>
        <x:v>REMOVE</x:v>
      </x:c>
      <x:c r="N8" s="31" t="str">
        <x:f>'Evaluation Plan'!N8</x:f>
        <x:v>In-distribution: three via trained 4→3 removal</x:v>
      </x:c>
      <x:c r="O8" s="33" t="n">
        <x:f>'Evaluation Plan'!O8</x:f>
        <x:v>1</x:v>
      </x:c>
      <x:c r="P8" s="31" t="str">
        <x:f>'Evaluation Plan'!P8</x:f>
        <x:v>Move all four objects into the bowl.</x:v>
      </x:c>
      <x:c r="Q8" s="31" t="str">
        <x:f>'Evaluation Plan'!Q8</x:f>
        <x:v>The word three and the 4→3 removal transition are explicitly paired in training.</x:v>
      </x:c>
      <x:c r="R8" s="31" t="n">
        <x:f>'Evaluation Plan'!R8</x:f>
        <x:v>0</x:v>
      </x:c>
    </x:row>
    <x:row r="9" ht="46.5" customHeight="1">
      <x:c r="A9" s="32" t="str">
        <x:v>Not collected</x:v>
      </x:c>
      <x:c r="B9" s="34" t="n">
        <x:f>'Evaluation Plan'!B9</x:f>
        <x:v>7</x:v>
      </x:c>
      <x:c r="C9" s="32" t="str">
        <x:f>'Evaluation Plan'!C9</x:f>
        <x:v>Leave exactly one object in the bowl.</x:v>
      </x:c>
      <x:c r="D9" s="32" t="str">
        <x:f>'Evaluation Plan'!D9</x:f>
        <x:v>Bowl objects: [none] | Table objects: [blue pen, yellow block, green pencil sharpener, airplane toy without propellers]</x:v>
      </x:c>
      <x:c r="E9" s="34" t="str">
        <x:f>'Evaluation Plan'!E9</x:f>
      </x:c>
      <x:c r="F9" s="32" t="str">
        <x:f>'Evaluation Plan'!F9</x:f>
        <x:v>ADD any one table object; finish with 1 object in the bowl</x:v>
      </x:c>
      <x:c r="G9" s="32" t="str"/>
      <x:c r="H9" s="35" t="str">
        <x:f>'Evaluation Plan'!H9</x:f>
        <x:v>In-distribution concept baseline</x:v>
      </x:c>
      <x:c r="I9" s="32" t="str">
        <x:f>'Evaluation Plan'!I9</x:f>
        <x:v>ID-CF04</x:v>
      </x:c>
      <x:c r="J9" s="32" t="str">
        <x:f>'Evaluation Plan'!J9</x:f>
        <x:v>ID-CF04</x:v>
      </x:c>
      <x:c r="K9" s="34" t="n">
        <x:f>'Evaluation Plan'!K9</x:f>
        <x:v>0</x:v>
      </x:c>
      <x:c r="L9" s="34" t="n">
        <x:f>'Evaluation Plan'!L9</x:f>
        <x:v>1</x:v>
      </x:c>
      <x:c r="M9" s="34" t="str">
        <x:f>'Evaluation Plan'!M9</x:f>
        <x:v>ADD</x:v>
      </x:c>
      <x:c r="N9" s="32" t="str">
        <x:f>'Evaluation Plan'!N9</x:f>
        <x:v>In-distribution: one via trained 0→1 addition</x:v>
      </x:c>
      <x:c r="O9" s="34" t="n">
        <x:f>'Evaluation Plan'!O9</x:f>
        <x:v>1</x:v>
      </x:c>
      <x:c r="P9" s="32" t="str">
        <x:f>'Evaluation Plan'!P9</x:f>
        <x:v>Build the empty-bowl scene.</x:v>
      </x:c>
      <x:c r="Q9" s="32" t="str">
        <x:f>'Evaluation Plan'!Q9</x:f>
        <x:v>The word one and the 0→1 addition transition are explicitly paired in training.</x:v>
      </x:c>
      <x:c r="R9" s="32" t="n">
        <x:f>'Evaluation Plan'!R9</x:f>
        <x:v>0</x:v>
      </x:c>
    </x:row>
    <x:row r="10" ht="46.5" customHeight="1">
      <x:c r="A10" s="31" t="str">
        <x:v>Not collected</x:v>
      </x:c>
      <x:c r="B10" s="33" t="n">
        <x:f>'Evaluation Plan'!B10</x:f>
        <x:v>8</x:v>
      </x:c>
      <x:c r="C10" s="31" t="str">
        <x:f>'Evaluation Plan'!C10</x:f>
        <x:v>Leave exactly one object in the bowl.</x:v>
      </x:c>
      <x:c r="D10" s="31" t="str">
        <x:f>'Evaluation Plan'!D10</x:f>
        <x:v>Bowl objects: [none] | Table objects: [blue pen, yellow block, green pencil sharpener, airplane toy without propellers]</x:v>
      </x:c>
      <x:c r="E10" s="33" t="str">
        <x:f>'Evaluation Plan'!E10</x:f>
      </x:c>
      <x:c r="F10" s="31" t="str">
        <x:f>'Evaluation Plan'!F10</x:f>
        <x:v>ADD any one table object; finish with 1 object in the bowl</x:v>
      </x:c>
      <x:c r="G10" s="31" t="str"/>
      <x:c r="H10" s="35" t="str">
        <x:f>'Evaluation Plan'!H10</x:f>
        <x:v>In-distribution concept baseline</x:v>
      </x:c>
      <x:c r="I10" s="31" t="str">
        <x:f>'Evaluation Plan'!I10</x:f>
        <x:v>ID-CF05</x:v>
      </x:c>
      <x:c r="J10" s="31" t="str">
        <x:f>'Evaluation Plan'!J10</x:f>
        <x:v>ID-CF05</x:v>
      </x:c>
      <x:c r="K10" s="33" t="n">
        <x:f>'Evaluation Plan'!K10</x:f>
        <x:v>0</x:v>
      </x:c>
      <x:c r="L10" s="33" t="n">
        <x:f>'Evaluation Plan'!L10</x:f>
        <x:v>1</x:v>
      </x:c>
      <x:c r="M10" s="33" t="str">
        <x:f>'Evaluation Plan'!M10</x:f>
        <x:v>ADD</x:v>
      </x:c>
      <x:c r="N10" s="31" t="str">
        <x:f>'Evaluation Plan'!N10</x:f>
        <x:v>In-distribution: one via trained 0→1 addition</x:v>
      </x:c>
      <x:c r="O10" s="33" t="n">
        <x:f>'Evaluation Plan'!O10</x:f>
        <x:v>1</x:v>
      </x:c>
      <x:c r="P10" s="31" t="str">
        <x:f>'Evaluation Plan'!P10</x:f>
        <x:v>Build the empty-bowl scene.</x:v>
      </x:c>
      <x:c r="Q10" s="31" t="str">
        <x:f>'Evaluation Plan'!Q10</x:f>
        <x:v>The word one and the 0→1 addition transition are explicitly paired in training.</x:v>
      </x:c>
      <x:c r="R10" s="31" t="n">
        <x:f>'Evaluation Plan'!R10</x:f>
        <x:v>0</x:v>
      </x:c>
    </x:row>
    <x:row r="11" ht="46.5" customHeight="1">
      <x:c r="A11" s="32" t="str">
        <x:v>Not collected</x:v>
      </x:c>
      <x:c r="B11" s="34" t="n">
        <x:f>'Evaluation Plan'!B11</x:f>
        <x:v>9</x:v>
      </x:c>
      <x:c r="C11" s="32" t="str">
        <x:f>'Evaluation Plan'!C11</x:f>
        <x:v>Leave exactly three objects in the bowl.</x:v>
      </x:c>
      <x:c r="D11" s="32" t="str">
        <x:f>'Evaluation Plan'!D11</x:f>
        <x:v>Bowl objects: [blue pen, yellow block, green pencil sharpener, airplane toy without propellers] | Table objects: [none]</x:v>
      </x:c>
      <x:c r="E11" s="34" t="str">
        <x:f>'Evaluation Plan'!E11</x:f>
      </x:c>
      <x:c r="F11" s="32" t="str">
        <x:f>'Evaluation Plan'!F11</x:f>
        <x:v>REMOVE any one bowl object; finish with 3 objects in the bowl</x:v>
      </x:c>
      <x:c r="G11" s="32" t="str"/>
      <x:c r="H11" s="35" t="str">
        <x:f>'Evaluation Plan'!H11</x:f>
        <x:v>In-distribution concept baseline</x:v>
      </x:c>
      <x:c r="I11" s="32" t="str">
        <x:f>'Evaluation Plan'!I11</x:f>
        <x:v>ID-CF05</x:v>
      </x:c>
      <x:c r="J11" s="32" t="str">
        <x:f>'Evaluation Plan'!J11</x:f>
        <x:v>ID-CF05</x:v>
      </x:c>
      <x:c r="K11" s="34" t="n">
        <x:f>'Evaluation Plan'!K11</x:f>
        <x:v>4</x:v>
      </x:c>
      <x:c r="L11" s="34" t="n">
        <x:f>'Evaluation Plan'!L11</x:f>
        <x:v>3</x:v>
      </x:c>
      <x:c r="M11" s="34" t="str">
        <x:f>'Evaluation Plan'!M11</x:f>
        <x:v>REMOVE</x:v>
      </x:c>
      <x:c r="N11" s="32" t="str">
        <x:f>'Evaluation Plan'!N11</x:f>
        <x:v>In-distribution: three via trained 4→3 removal</x:v>
      </x:c>
      <x:c r="O11" s="34" t="n">
        <x:f>'Evaluation Plan'!O11</x:f>
        <x:v>1</x:v>
      </x:c>
      <x:c r="P11" s="32" t="str">
        <x:f>'Evaluation Plan'!P11</x:f>
        <x:v>Move all four objects into the bowl.</x:v>
      </x:c>
      <x:c r="Q11" s="32" t="str">
        <x:f>'Evaluation Plan'!Q11</x:f>
        <x:v>The word three and the 4→3 removal transition are explicitly paired in training.</x:v>
      </x:c>
      <x:c r="R11" s="32" t="n">
        <x:f>'Evaluation Plan'!R11</x:f>
        <x:v>0</x:v>
      </x:c>
    </x:row>
    <x:row r="12" ht="46.5" customHeight="1">
      <x:c r="A12" s="31" t="str">
        <x:v>Not collected</x:v>
      </x:c>
      <x:c r="B12" s="33" t="n">
        <x:f>'Evaluation Plan'!B12</x:f>
        <x:v>10</x:v>
      </x:c>
      <x:c r="C12" s="31" t="str">
        <x:f>'Evaluation Plan'!C12</x:f>
        <x:v>Leave exactly three objects in the bowl.</x:v>
      </x:c>
      <x:c r="D12" s="31" t="str">
        <x:f>'Evaluation Plan'!D12</x:f>
        <x:v>Bowl objects: [blue pen, yellow block, green pencil sharpener, airplane toy without propellers] | Table objects: [none]</x:v>
      </x:c>
      <x:c r="E12" s="33" t="str">
        <x:f>'Evaluation Plan'!E12</x:f>
      </x:c>
      <x:c r="F12" s="31" t="str">
        <x:f>'Evaluation Plan'!F12</x:f>
        <x:v>REMOVE any one bowl object; finish with 3 objects in the bowl</x:v>
      </x:c>
      <x:c r="G12" s="31" t="str"/>
      <x:c r="H12" s="35" t="str">
        <x:f>'Evaluation Plan'!H12</x:f>
        <x:v>In-distribution concept baseline</x:v>
      </x:c>
      <x:c r="I12" s="31" t="str">
        <x:f>'Evaluation Plan'!I12</x:f>
        <x:v>ID-CF06</x:v>
      </x:c>
      <x:c r="J12" s="31" t="str">
        <x:f>'Evaluation Plan'!J12</x:f>
        <x:v>ID-CF06</x:v>
      </x:c>
      <x:c r="K12" s="33" t="n">
        <x:f>'Evaluation Plan'!K12</x:f>
        <x:v>4</x:v>
      </x:c>
      <x:c r="L12" s="33" t="n">
        <x:f>'Evaluation Plan'!L12</x:f>
        <x:v>3</x:v>
      </x:c>
      <x:c r="M12" s="33" t="str">
        <x:f>'Evaluation Plan'!M12</x:f>
        <x:v>REMOVE</x:v>
      </x:c>
      <x:c r="N12" s="31" t="str">
        <x:f>'Evaluation Plan'!N12</x:f>
        <x:v>In-distribution: three via trained 4→3 removal</x:v>
      </x:c>
      <x:c r="O12" s="33" t="n">
        <x:f>'Evaluation Plan'!O12</x:f>
        <x:v>1</x:v>
      </x:c>
      <x:c r="P12" s="31" t="str">
        <x:f>'Evaluation Plan'!P12</x:f>
        <x:v>Move all four objects into the bowl.</x:v>
      </x:c>
      <x:c r="Q12" s="31" t="str">
        <x:f>'Evaluation Plan'!Q12</x:f>
        <x:v>The word three and the 4→3 removal transition are explicitly paired in training.</x:v>
      </x:c>
      <x:c r="R12" s="31" t="n">
        <x:f>'Evaluation Plan'!R12</x:f>
        <x:v>0</x:v>
      </x:c>
    </x:row>
    <x:row r="13" ht="46.5" customHeight="1">
      <x:c r="A13" s="32" t="str">
        <x:v>Not collected</x:v>
      </x:c>
      <x:c r="B13" s="34" t="n">
        <x:f>'Evaluation Plan'!B13</x:f>
        <x:v>11</x:v>
      </x:c>
      <x:c r="C13" s="32" t="str">
        <x:f>'Evaluation Plan'!C13</x:f>
        <x:v>Leave exactly one object in the bowl.</x:v>
      </x:c>
      <x:c r="D13" s="32" t="str">
        <x:f>'Evaluation Plan'!D13</x:f>
        <x:v>Bowl objects: [none] | Table objects: [blue pen, yellow block, green pencil sharpener, airplane toy without propellers]</x:v>
      </x:c>
      <x:c r="E13" s="34" t="str">
        <x:f>'Evaluation Plan'!E13</x:f>
      </x:c>
      <x:c r="F13" s="32" t="str">
        <x:f>'Evaluation Plan'!F13</x:f>
        <x:v>ADD any one table object; finish with 1 object in the bowl</x:v>
      </x:c>
      <x:c r="G13" s="32" t="str"/>
      <x:c r="H13" s="35" t="str">
        <x:f>'Evaluation Plan'!H13</x:f>
        <x:v>In-distribution concept baseline</x:v>
      </x:c>
      <x:c r="I13" s="32" t="str">
        <x:f>'Evaluation Plan'!I13</x:f>
        <x:v>ID-CF06</x:v>
      </x:c>
      <x:c r="J13" s="32" t="str">
        <x:f>'Evaluation Plan'!J13</x:f>
        <x:v>ID-CF06</x:v>
      </x:c>
      <x:c r="K13" s="34" t="n">
        <x:f>'Evaluation Plan'!K13</x:f>
        <x:v>0</x:v>
      </x:c>
      <x:c r="L13" s="34" t="n">
        <x:f>'Evaluation Plan'!L13</x:f>
        <x:v>1</x:v>
      </x:c>
      <x:c r="M13" s="34" t="str">
        <x:f>'Evaluation Plan'!M13</x:f>
        <x:v>ADD</x:v>
      </x:c>
      <x:c r="N13" s="32" t="str">
        <x:f>'Evaluation Plan'!N13</x:f>
        <x:v>In-distribution: one via trained 0→1 addition</x:v>
      </x:c>
      <x:c r="O13" s="34" t="n">
        <x:f>'Evaluation Plan'!O13</x:f>
        <x:v>1</x:v>
      </x:c>
      <x:c r="P13" s="32" t="str">
        <x:f>'Evaluation Plan'!P13</x:f>
        <x:v>Build the empty-bowl scene.</x:v>
      </x:c>
      <x:c r="Q13" s="32" t="str">
        <x:f>'Evaluation Plan'!Q13</x:f>
        <x:v>The word one and the 0→1 addition transition are explicitly paired in training.</x:v>
      </x:c>
      <x:c r="R13" s="32" t="n">
        <x:f>'Evaluation Plan'!R13</x:f>
        <x:v>0</x:v>
      </x:c>
    </x:row>
    <x:row r="14" ht="46.5" customHeight="1">
      <x:c r="A14" s="31" t="str">
        <x:v>Not collected</x:v>
      </x:c>
      <x:c r="B14" s="33" t="n">
        <x:f>'Evaluation Plan'!B14</x:f>
        <x:v>12</x:v>
      </x:c>
      <x:c r="C14" s="31" t="str">
        <x:f>'Evaluation Plan'!C14</x:f>
        <x:v>Leave exactly one object in the bowl.</x:v>
      </x:c>
      <x:c r="D14" s="31" t="str">
        <x:f>'Evaluation Plan'!D14</x:f>
        <x:v>Bowl objects: [none] | Table objects: [blue pen, yellow block, green pencil sharpener, airplane toy without propellers]</x:v>
      </x:c>
      <x:c r="E14" s="33" t="str">
        <x:f>'Evaluation Plan'!E14</x:f>
      </x:c>
      <x:c r="F14" s="31" t="str">
        <x:f>'Evaluation Plan'!F14</x:f>
        <x:v>ADD any one table object; finish with 1 object in the bowl</x:v>
      </x:c>
      <x:c r="G14" s="31" t="str"/>
      <x:c r="H14" s="35" t="str">
        <x:f>'Evaluation Plan'!H14</x:f>
        <x:v>In-distribution concept baseline</x:v>
      </x:c>
      <x:c r="I14" s="31" t="str">
        <x:f>'Evaluation Plan'!I14</x:f>
        <x:v>ID-CF07</x:v>
      </x:c>
      <x:c r="J14" s="31" t="str">
        <x:f>'Evaluation Plan'!J14</x:f>
        <x:v>ID-CF07</x:v>
      </x:c>
      <x:c r="K14" s="33" t="n">
        <x:f>'Evaluation Plan'!K14</x:f>
        <x:v>0</x:v>
      </x:c>
      <x:c r="L14" s="33" t="n">
        <x:f>'Evaluation Plan'!L14</x:f>
        <x:v>1</x:v>
      </x:c>
      <x:c r="M14" s="33" t="str">
        <x:f>'Evaluation Plan'!M14</x:f>
        <x:v>ADD</x:v>
      </x:c>
      <x:c r="N14" s="31" t="str">
        <x:f>'Evaluation Plan'!N14</x:f>
        <x:v>In-distribution: one via trained 0→1 addition</x:v>
      </x:c>
      <x:c r="O14" s="33" t="n">
        <x:f>'Evaluation Plan'!O14</x:f>
        <x:v>1</x:v>
      </x:c>
      <x:c r="P14" s="31" t="str">
        <x:f>'Evaluation Plan'!P14</x:f>
        <x:v>Build the empty-bowl scene.</x:v>
      </x:c>
      <x:c r="Q14" s="31" t="str">
        <x:f>'Evaluation Plan'!Q14</x:f>
        <x:v>The word one and the 0→1 addition transition are explicitly paired in training.</x:v>
      </x:c>
      <x:c r="R14" s="31" t="n">
        <x:f>'Evaluation Plan'!R14</x:f>
        <x:v>0</x:v>
      </x:c>
    </x:row>
    <x:row r="15" ht="46.5" customHeight="1">
      <x:c r="A15" s="32" t="str">
        <x:v>Not collected</x:v>
      </x:c>
      <x:c r="B15" s="34" t="n">
        <x:f>'Evaluation Plan'!B15</x:f>
        <x:v>13</x:v>
      </x:c>
      <x:c r="C15" s="32" t="str">
        <x:f>'Evaluation Plan'!C15</x:f>
        <x:v>Leave exactly three objects in the bowl.</x:v>
      </x:c>
      <x:c r="D15" s="32" t="str">
        <x:f>'Evaluation Plan'!D15</x:f>
        <x:v>Bowl objects: [blue pen, yellow block, green pencil sharpener, airplane toy without propellers] | Table objects: [none]</x:v>
      </x:c>
      <x:c r="E15" s="34" t="str">
        <x:f>'Evaluation Plan'!E15</x:f>
      </x:c>
      <x:c r="F15" s="32" t="str">
        <x:f>'Evaluation Plan'!F15</x:f>
        <x:v>REMOVE any one bowl object; finish with 3 objects in the bowl</x:v>
      </x:c>
      <x:c r="G15" s="32" t="str"/>
      <x:c r="H15" s="35" t="str">
        <x:f>'Evaluation Plan'!H15</x:f>
        <x:v>In-distribution concept baseline</x:v>
      </x:c>
      <x:c r="I15" s="32" t="str">
        <x:f>'Evaluation Plan'!I15</x:f>
        <x:v>ID-CF07</x:v>
      </x:c>
      <x:c r="J15" s="32" t="str">
        <x:f>'Evaluation Plan'!J15</x:f>
        <x:v>ID-CF07</x:v>
      </x:c>
      <x:c r="K15" s="34" t="n">
        <x:f>'Evaluation Plan'!K15</x:f>
        <x:v>4</x:v>
      </x:c>
      <x:c r="L15" s="34" t="n">
        <x:f>'Evaluation Plan'!L15</x:f>
        <x:v>3</x:v>
      </x:c>
      <x:c r="M15" s="34" t="str">
        <x:f>'Evaluation Plan'!M15</x:f>
        <x:v>REMOVE</x:v>
      </x:c>
      <x:c r="N15" s="32" t="str">
        <x:f>'Evaluation Plan'!N15</x:f>
        <x:v>In-distribution: three via trained 4→3 removal</x:v>
      </x:c>
      <x:c r="O15" s="34" t="n">
        <x:f>'Evaluation Plan'!O15</x:f>
        <x:v>1</x:v>
      </x:c>
      <x:c r="P15" s="32" t="str">
        <x:f>'Evaluation Plan'!P15</x:f>
        <x:v>Move all four objects into the bowl.</x:v>
      </x:c>
      <x:c r="Q15" s="32" t="str">
        <x:f>'Evaluation Plan'!Q15</x:f>
        <x:v>The word three and the 4→3 removal transition are explicitly paired in training.</x:v>
      </x:c>
      <x:c r="R15" s="32" t="n">
        <x:f>'Evaluation Plan'!R15</x:f>
        <x:v>0</x:v>
      </x:c>
    </x:row>
    <x:row r="16" ht="46.5" customHeight="1">
      <x:c r="A16" s="31" t="str">
        <x:v>Not collected</x:v>
      </x:c>
      <x:c r="B16" s="33" t="n">
        <x:f>'Evaluation Plan'!B16</x:f>
        <x:v>14</x:v>
      </x:c>
      <x:c r="C16" s="31" t="str">
        <x:f>'Evaluation Plan'!C16</x:f>
        <x:v>Leave exactly three objects in the bowl.</x:v>
      </x:c>
      <x:c r="D16" s="31" t="str">
        <x:f>'Evaluation Plan'!D16</x:f>
        <x:v>Bowl objects: [blue pen, yellow block, green pencil sharpener, airplane toy without propellers] | Table objects: [none]</x:v>
      </x:c>
      <x:c r="E16" s="33" t="str">
        <x:f>'Evaluation Plan'!E16</x:f>
      </x:c>
      <x:c r="F16" s="31" t="str">
        <x:f>'Evaluation Plan'!F16</x:f>
        <x:v>REMOVE any one bowl object; finish with 3 objects in the bowl</x:v>
      </x:c>
      <x:c r="G16" s="31" t="str"/>
      <x:c r="H16" s="35" t="str">
        <x:f>'Evaluation Plan'!H16</x:f>
        <x:v>In-distribution concept baseline</x:v>
      </x:c>
      <x:c r="I16" s="31" t="str">
        <x:f>'Evaluation Plan'!I16</x:f>
        <x:v>ID-CF08</x:v>
      </x:c>
      <x:c r="J16" s="31" t="str">
        <x:f>'Evaluation Plan'!J16</x:f>
        <x:v>ID-CF08</x:v>
      </x:c>
      <x:c r="K16" s="33" t="n">
        <x:f>'Evaluation Plan'!K16</x:f>
        <x:v>4</x:v>
      </x:c>
      <x:c r="L16" s="33" t="n">
        <x:f>'Evaluation Plan'!L16</x:f>
        <x:v>3</x:v>
      </x:c>
      <x:c r="M16" s="33" t="str">
        <x:f>'Evaluation Plan'!M16</x:f>
        <x:v>REMOVE</x:v>
      </x:c>
      <x:c r="N16" s="31" t="str">
        <x:f>'Evaluation Plan'!N16</x:f>
        <x:v>In-distribution: three via trained 4→3 removal</x:v>
      </x:c>
      <x:c r="O16" s="33" t="n">
        <x:f>'Evaluation Plan'!O16</x:f>
        <x:v>1</x:v>
      </x:c>
      <x:c r="P16" s="31" t="str">
        <x:f>'Evaluation Plan'!P16</x:f>
        <x:v>Move all four objects into the bowl.</x:v>
      </x:c>
      <x:c r="Q16" s="31" t="str">
        <x:f>'Evaluation Plan'!Q16</x:f>
        <x:v>The word three and the 4→3 removal transition are explicitly paired in training.</x:v>
      </x:c>
      <x:c r="R16" s="31" t="n">
        <x:f>'Evaluation Plan'!R16</x:f>
        <x:v>0</x:v>
      </x:c>
    </x:row>
    <x:row r="17" ht="46.5" customHeight="1">
      <x:c r="A17" s="32" t="str">
        <x:v>Not collected</x:v>
      </x:c>
      <x:c r="B17" s="34" t="n">
        <x:f>'Evaluation Plan'!B17</x:f>
        <x:v>15</x:v>
      </x:c>
      <x:c r="C17" s="32" t="str">
        <x:f>'Evaluation Plan'!C17</x:f>
        <x:v>Leave exactly one object in the bowl.</x:v>
      </x:c>
      <x:c r="D17" s="32" t="str">
        <x:f>'Evaluation Plan'!D17</x:f>
        <x:v>Bowl objects: [none] | Table objects: [blue pen, yellow block, green pencil sharpener, airplane toy without propellers]</x:v>
      </x:c>
      <x:c r="E17" s="34" t="str">
        <x:f>'Evaluation Plan'!E17</x:f>
      </x:c>
      <x:c r="F17" s="32" t="str">
        <x:f>'Evaluation Plan'!F17</x:f>
        <x:v>ADD any one table object; finish with 1 object in the bowl</x:v>
      </x:c>
      <x:c r="G17" s="32" t="str"/>
      <x:c r="H17" s="35" t="str">
        <x:f>'Evaluation Plan'!H17</x:f>
        <x:v>In-distribution concept baseline</x:v>
      </x:c>
      <x:c r="I17" s="32" t="str">
        <x:f>'Evaluation Plan'!I17</x:f>
        <x:v>ID-CF08</x:v>
      </x:c>
      <x:c r="J17" s="32" t="str">
        <x:f>'Evaluation Plan'!J17</x:f>
        <x:v>ID-CF08</x:v>
      </x:c>
      <x:c r="K17" s="34" t="n">
        <x:f>'Evaluation Plan'!K17</x:f>
        <x:v>0</x:v>
      </x:c>
      <x:c r="L17" s="34" t="n">
        <x:f>'Evaluation Plan'!L17</x:f>
        <x:v>1</x:v>
      </x:c>
      <x:c r="M17" s="34" t="str">
        <x:f>'Evaluation Plan'!M17</x:f>
        <x:v>ADD</x:v>
      </x:c>
      <x:c r="N17" s="32" t="str">
        <x:f>'Evaluation Plan'!N17</x:f>
        <x:v>In-distribution: one via trained 0→1 addition</x:v>
      </x:c>
      <x:c r="O17" s="34" t="n">
        <x:f>'Evaluation Plan'!O17</x:f>
        <x:v>1</x:v>
      </x:c>
      <x:c r="P17" s="32" t="str">
        <x:f>'Evaluation Plan'!P17</x:f>
        <x:v>Build the empty-bowl scene.</x:v>
      </x:c>
      <x:c r="Q17" s="32" t="str">
        <x:f>'Evaluation Plan'!Q17</x:f>
        <x:v>The word one and the 0→1 addition transition are explicitly paired in training.</x:v>
      </x:c>
      <x:c r="R17" s="32" t="n">
        <x:f>'Evaluation Plan'!R17</x:f>
        <x:v>0</x:v>
      </x:c>
    </x:row>
    <x:row r="18" ht="46.5" customHeight="1">
      <x:c r="A18" s="31" t="str">
        <x:v>Not collected</x:v>
      </x:c>
      <x:c r="B18" s="33" t="n">
        <x:f>'Evaluation Plan'!B18</x:f>
        <x:v>16</x:v>
      </x:c>
      <x:c r="C18" s="31" t="str">
        <x:f>'Evaluation Plan'!C18</x:f>
        <x:v>Leave exactly one object in the bowl.</x:v>
      </x:c>
      <x:c r="D18" s="31" t="str">
        <x:f>'Evaluation Plan'!D18</x:f>
        <x:v>Bowl objects: [none] | Table objects: [blue pen, yellow block, green pencil sharpener, airplane toy without propellers]</x:v>
      </x:c>
      <x:c r="E18" s="33" t="str">
        <x:f>'Evaluation Plan'!E18</x:f>
      </x:c>
      <x:c r="F18" s="31" t="str">
        <x:f>'Evaluation Plan'!F18</x:f>
        <x:v>ADD any one table object; finish with 1 object in the bowl</x:v>
      </x:c>
      <x:c r="G18" s="31" t="str"/>
      <x:c r="H18" s="35" t="str">
        <x:f>'Evaluation Plan'!H18</x:f>
        <x:v>In-distribution concept baseline</x:v>
      </x:c>
      <x:c r="I18" s="31" t="str">
        <x:f>'Evaluation Plan'!I18</x:f>
        <x:v>ID-CF09</x:v>
      </x:c>
      <x:c r="J18" s="31" t="str">
        <x:f>'Evaluation Plan'!J18</x:f>
        <x:v>ID-CF09</x:v>
      </x:c>
      <x:c r="K18" s="33" t="n">
        <x:f>'Evaluation Plan'!K18</x:f>
        <x:v>0</x:v>
      </x:c>
      <x:c r="L18" s="33" t="n">
        <x:f>'Evaluation Plan'!L18</x:f>
        <x:v>1</x:v>
      </x:c>
      <x:c r="M18" s="33" t="str">
        <x:f>'Evaluation Plan'!M18</x:f>
        <x:v>ADD</x:v>
      </x:c>
      <x:c r="N18" s="31" t="str">
        <x:f>'Evaluation Plan'!N18</x:f>
        <x:v>In-distribution: one via trained 0→1 addition</x:v>
      </x:c>
      <x:c r="O18" s="33" t="n">
        <x:f>'Evaluation Plan'!O18</x:f>
        <x:v>1</x:v>
      </x:c>
      <x:c r="P18" s="31" t="str">
        <x:f>'Evaluation Plan'!P18</x:f>
        <x:v>Build the empty-bowl scene.</x:v>
      </x:c>
      <x:c r="Q18" s="31" t="str">
        <x:f>'Evaluation Plan'!Q18</x:f>
        <x:v>The word one and the 0→1 addition transition are explicitly paired in training.</x:v>
      </x:c>
      <x:c r="R18" s="31" t="n">
        <x:f>'Evaluation Plan'!R18</x:f>
        <x:v>0</x:v>
      </x:c>
    </x:row>
    <x:row r="19" ht="46.5" customHeight="1">
      <x:c r="A19" s="32" t="str">
        <x:v>Not collected</x:v>
      </x:c>
      <x:c r="B19" s="34" t="n">
        <x:f>'Evaluation Plan'!B19</x:f>
        <x:v>17</x:v>
      </x:c>
      <x:c r="C19" s="32" t="str">
        <x:f>'Evaluation Plan'!C19</x:f>
        <x:v>Leave exactly three objects in the bowl.</x:v>
      </x:c>
      <x:c r="D19" s="32" t="str">
        <x:f>'Evaluation Plan'!D19</x:f>
        <x:v>Bowl objects: [blue pen, yellow block, green pencil sharpener, airplane toy without propellers] | Table objects: [none]</x:v>
      </x:c>
      <x:c r="E19" s="34" t="str">
        <x:f>'Evaluation Plan'!E19</x:f>
      </x:c>
      <x:c r="F19" s="32" t="str">
        <x:f>'Evaluation Plan'!F19</x:f>
        <x:v>REMOVE any one bowl object; finish with 3 objects in the bowl</x:v>
      </x:c>
      <x:c r="G19" s="32" t="str"/>
      <x:c r="H19" s="35" t="str">
        <x:f>'Evaluation Plan'!H19</x:f>
        <x:v>In-distribution concept baseline</x:v>
      </x:c>
      <x:c r="I19" s="32" t="str">
        <x:f>'Evaluation Plan'!I19</x:f>
        <x:v>ID-CF09</x:v>
      </x:c>
      <x:c r="J19" s="32" t="str">
        <x:f>'Evaluation Plan'!J19</x:f>
        <x:v>ID-CF09</x:v>
      </x:c>
      <x:c r="K19" s="34" t="n">
        <x:f>'Evaluation Plan'!K19</x:f>
        <x:v>4</x:v>
      </x:c>
      <x:c r="L19" s="34" t="n">
        <x:f>'Evaluation Plan'!L19</x:f>
        <x:v>3</x:v>
      </x:c>
      <x:c r="M19" s="34" t="str">
        <x:f>'Evaluation Plan'!M19</x:f>
        <x:v>REMOVE</x:v>
      </x:c>
      <x:c r="N19" s="32" t="str">
        <x:f>'Evaluation Plan'!N19</x:f>
        <x:v>In-distribution: three via trained 4→3 removal</x:v>
      </x:c>
      <x:c r="O19" s="34" t="n">
        <x:f>'Evaluation Plan'!O19</x:f>
        <x:v>1</x:v>
      </x:c>
      <x:c r="P19" s="32" t="str">
        <x:f>'Evaluation Plan'!P19</x:f>
        <x:v>Move all four objects into the bowl.</x:v>
      </x:c>
      <x:c r="Q19" s="32" t="str">
        <x:f>'Evaluation Plan'!Q19</x:f>
        <x:v>The word three and the 4→3 removal transition are explicitly paired in training.</x:v>
      </x:c>
      <x:c r="R19" s="32" t="n">
        <x:f>'Evaluation Plan'!R19</x:f>
        <x:v>0</x:v>
      </x:c>
    </x:row>
    <x:row r="20" ht="46.5" customHeight="1">
      <x:c r="A20" s="31" t="str">
        <x:v>Not collected</x:v>
      </x:c>
      <x:c r="B20" s="33" t="n">
        <x:f>'Evaluation Plan'!B20</x:f>
        <x:v>18</x:v>
      </x:c>
      <x:c r="C20" s="31" t="str">
        <x:f>'Evaluation Plan'!C20</x:f>
        <x:v>Leave exactly three objects in the bowl.</x:v>
      </x:c>
      <x:c r="D20" s="31" t="str">
        <x:f>'Evaluation Plan'!D20</x:f>
        <x:v>Bowl objects: [blue pen, yellow block, green pencil sharpener, airplane toy without propellers] | Table objects: [none]</x:v>
      </x:c>
      <x:c r="E20" s="33" t="str">
        <x:f>'Evaluation Plan'!E20</x:f>
      </x:c>
      <x:c r="F20" s="31" t="str">
        <x:f>'Evaluation Plan'!F20</x:f>
        <x:v>REMOVE any one bowl object; finish with 3 objects in the bowl</x:v>
      </x:c>
      <x:c r="G20" s="31" t="str"/>
      <x:c r="H20" s="35" t="str">
        <x:f>'Evaluation Plan'!H20</x:f>
        <x:v>In-distribution concept baseline</x:v>
      </x:c>
      <x:c r="I20" s="31" t="str">
        <x:f>'Evaluation Plan'!I20</x:f>
        <x:v>ID-CF10</x:v>
      </x:c>
      <x:c r="J20" s="31" t="str">
        <x:f>'Evaluation Plan'!J20</x:f>
        <x:v>ID-CF10</x:v>
      </x:c>
      <x:c r="K20" s="33" t="n">
        <x:f>'Evaluation Plan'!K20</x:f>
        <x:v>4</x:v>
      </x:c>
      <x:c r="L20" s="33" t="n">
        <x:f>'Evaluation Plan'!L20</x:f>
        <x:v>3</x:v>
      </x:c>
      <x:c r="M20" s="33" t="str">
        <x:f>'Evaluation Plan'!M20</x:f>
        <x:v>REMOVE</x:v>
      </x:c>
      <x:c r="N20" s="31" t="str">
        <x:f>'Evaluation Plan'!N20</x:f>
        <x:v>In-distribution: three via trained 4→3 removal</x:v>
      </x:c>
      <x:c r="O20" s="33" t="n">
        <x:f>'Evaluation Plan'!O20</x:f>
        <x:v>1</x:v>
      </x:c>
      <x:c r="P20" s="31" t="str">
        <x:f>'Evaluation Plan'!P20</x:f>
        <x:v>Move all four objects into the bowl.</x:v>
      </x:c>
      <x:c r="Q20" s="31" t="str">
        <x:f>'Evaluation Plan'!Q20</x:f>
        <x:v>The word three and the 4→3 removal transition are explicitly paired in training.</x:v>
      </x:c>
      <x:c r="R20" s="31" t="n">
        <x:f>'Evaluation Plan'!R20</x:f>
        <x:v>0</x:v>
      </x:c>
    </x:row>
    <x:row r="21" ht="46.5" customHeight="1">
      <x:c r="A21" s="32" t="str">
        <x:v>Not collected</x:v>
      </x:c>
      <x:c r="B21" s="34" t="n">
        <x:f>'Evaluation Plan'!B21</x:f>
        <x:v>19</x:v>
      </x:c>
      <x:c r="C21" s="32" t="str">
        <x:f>'Evaluation Plan'!C21</x:f>
        <x:v>Leave exactly one object in the bowl.</x:v>
      </x:c>
      <x:c r="D21" s="32" t="str">
        <x:f>'Evaluation Plan'!D21</x:f>
        <x:v>Bowl objects: [none] | Table objects: [blue pen, yellow block, green pencil sharpener, airplane toy without propellers]</x:v>
      </x:c>
      <x:c r="E21" s="34" t="str">
        <x:f>'Evaluation Plan'!E21</x:f>
      </x:c>
      <x:c r="F21" s="32" t="str">
        <x:f>'Evaluation Plan'!F21</x:f>
        <x:v>ADD any one table object; finish with 1 object in the bowl</x:v>
      </x:c>
      <x:c r="G21" s="32" t="str"/>
      <x:c r="H21" s="35" t="str">
        <x:f>'Evaluation Plan'!H21</x:f>
        <x:v>In-distribution concept baseline</x:v>
      </x:c>
      <x:c r="I21" s="32" t="str">
        <x:f>'Evaluation Plan'!I21</x:f>
        <x:v>ID-CF10</x:v>
      </x:c>
      <x:c r="J21" s="32" t="str">
        <x:f>'Evaluation Plan'!J21</x:f>
        <x:v>ID-CF10</x:v>
      </x:c>
      <x:c r="K21" s="34" t="n">
        <x:f>'Evaluation Plan'!K21</x:f>
        <x:v>0</x:v>
      </x:c>
      <x:c r="L21" s="34" t="n">
        <x:f>'Evaluation Plan'!L21</x:f>
        <x:v>1</x:v>
      </x:c>
      <x:c r="M21" s="34" t="str">
        <x:f>'Evaluation Plan'!M21</x:f>
        <x:v>ADD</x:v>
      </x:c>
      <x:c r="N21" s="32" t="str">
        <x:f>'Evaluation Plan'!N21</x:f>
        <x:v>In-distribution: one via trained 0→1 addition</x:v>
      </x:c>
      <x:c r="O21" s="34" t="n">
        <x:f>'Evaluation Plan'!O21</x:f>
        <x:v>1</x:v>
      </x:c>
      <x:c r="P21" s="32" t="str">
        <x:f>'Evaluation Plan'!P21</x:f>
        <x:v>Build the empty-bowl scene.</x:v>
      </x:c>
      <x:c r="Q21" s="32" t="str">
        <x:f>'Evaluation Plan'!Q21</x:f>
        <x:v>The word one and the 0→1 addition transition are explicitly paired in training.</x:v>
      </x:c>
      <x:c r="R21" s="32" t="n">
        <x:f>'Evaluation Plan'!R21</x:f>
        <x:v>0</x:v>
      </x:c>
    </x:row>
    <x:row r="22" ht="46.5" customHeight="1">
      <x:c r="A22" s="31" t="str">
        <x:v>Not collected</x:v>
      </x:c>
      <x:c r="B22" s="33" t="n">
        <x:f>'Evaluation Plan'!B22</x:f>
        <x:v>20</x:v>
      </x:c>
      <x:c r="C22" s="31" t="str">
        <x:f>'Evaluation Plan'!C22</x:f>
        <x:v>Leave exactly one object in the bowl.</x:v>
      </x:c>
      <x:c r="D22" s="31" t="str">
        <x:f>'Evaluation Plan'!D22</x:f>
        <x:v>Bowl objects: [blue pen, airplane toy without propellers] | Table objects: [yellow block, green pencil sharpener]</x:v>
      </x:c>
      <x:c r="E22" s="33" t="str">
        <x:f>'Evaluation Plan'!E22</x:f>
      </x:c>
      <x:c r="F22" s="31" t="str">
        <x:f>'Evaluation Plan'!F22</x:f>
        <x:v>REMOVE any one bowl object; finish with 1 object in the bowl</x:v>
      </x:c>
      <x:c r="G22" s="31" t="str"/>
      <x:c r="H22" s="36" t="str">
        <x:f>'Evaluation Plan'!H22</x:f>
        <x:v>Concept/compositional transfer</x:v>
      </x:c>
      <x:c r="I22" s="31" t="str">
        <x:f>'Evaluation Plan'!I22</x:f>
        <x:v>CT-CF01</x:v>
      </x:c>
      <x:c r="J22" s="31" t="str">
        <x:f>'Evaluation Plan'!J22</x:f>
        <x:v>CT-CF01-REMOVE</x:v>
      </x:c>
      <x:c r="K22" s="33" t="n">
        <x:f>'Evaluation Plan'!K22</x:f>
        <x:v>2</x:v>
      </x:c>
      <x:c r="L22" s="33" t="n">
        <x:f>'Evaluation Plan'!L22</x:f>
        <x:v>1</x:v>
      </x:c>
      <x:c r="M22" s="33" t="str">
        <x:f>'Evaluation Plan'!M22</x:f>
        <x:v>REMOVE</x:v>
      </x:c>
      <x:c r="N22" s="31" t="str">
        <x:f>'Evaluation Plan'!N22</x:f>
        <x:v>Primary: one via held-out 2→1 removal</x:v>
      </x:c>
      <x:c r="O22" s="33" t="n">
        <x:f>'Evaluation Plan'!O22</x:f>
        <x:v>2</x:v>
      </x:c>
      <x:c r="P22" s="31" t="str">
        <x:f>'Evaluation Plan'!P22</x:f>
        <x:v>Build the listed count-2 scene.</x:v>
      </x:c>
      <x:c r="Q22" s="31" t="str">
        <x:f>'Evaluation Plan'!Q22</x:f>
        <x:v>The goal word one is trained, and this 2→1 trajectory is trained under a direct instruction, but the combination is withheld.</x:v>
      </x:c>
      <x:c r="R22" s="31" t="n">
        <x:f>'Evaluation Plan'!R22</x:f>
        <x:v>0</x:v>
      </x:c>
    </x:row>
    <x:row r="23" ht="46.5" customHeight="1">
      <x:c r="A23" s="32" t="str">
        <x:v>Not collected</x:v>
      </x:c>
      <x:c r="B23" s="34" t="n">
        <x:f>'Evaluation Plan'!B23</x:f>
        <x:v>21</x:v>
      </x:c>
      <x:c r="C23" s="32" t="str">
        <x:f>'Evaluation Plan'!C23</x:f>
        <x:v>Move the blue pen from the bowl to the table.</x:v>
      </x:c>
      <x:c r="D23" s="32" t="str">
        <x:f>'Evaluation Plan'!D23</x:f>
        <x:v>Bowl objects: [blue pen, airplane toy without propellers] | Table objects: [yellow block, green pencil sharpener]</x:v>
      </x:c>
      <x:c r="E23" s="34" t="n">
        <x:f>'Evaluation Plan'!E23</x:f>
        <x:v>20</x:v>
      </x:c>
      <x:c r="F23" s="32" t="str">
        <x:f>'Evaluation Plan'!F23</x:f>
        <x:v>REMOVE blue pen</x:v>
      </x:c>
      <x:c r="G23" s="32" t="str"/>
      <x:c r="H23" s="37" t="str">
        <x:f>'Evaluation Plan'!H23</x:f>
        <x:v>Matched manipulation control</x:v>
      </x:c>
      <x:c r="I23" s="32" t="str">
        <x:f>'Evaluation Plan'!I23</x:f>
        <x:v>CT-CF01</x:v>
      </x:c>
      <x:c r="J23" s="32" t="str">
        <x:f>'Evaluation Plan'!J23</x:f>
        <x:v>CT-CF01-REMOVE</x:v>
      </x:c>
      <x:c r="K23" s="34" t="n">
        <x:f>'Evaluation Plan'!K23</x:f>
        <x:v>2</x:v>
      </x:c>
      <x:c r="L23" s="34" t="n">
        <x:f>'Evaluation Plan'!L23</x:f>
        <x:v>1</x:v>
      </x:c>
      <x:c r="M23" s="34" t="str">
        <x:f>'Evaluation Plan'!M23</x:f>
        <x:v>REMOVE</x:v>
      </x:c>
      <x:c r="N23" s="32" t="str">
        <x:f>'Evaluation Plan'!N23</x:f>
        <x:v>Matched direct REMOVE control</x:v>
      </x:c>
      <x:c r="O23" s="34" t="n">
        <x:f>'Evaluation Plan'!O23</x:f>
        <x:v>2</x:v>
      </x:c>
      <x:c r="P23" s="32" t="str">
        <x:f>'Evaluation Plan'!P23</x:f>
        <x:v>Reset the exact count-2 scene; change only the prompt.</x:v>
      </x:c>
      <x:c r="Q23" s="32" t="str">
        <x:f>'Evaluation Plan'!Q23</x:f>
        <x:v>The direct prompt is present in Counting training for this same-task object and action direction.</x:v>
      </x:c>
      <x:c r="R23" s="32" t="n">
        <x:f>'Evaluation Plan'!R23</x:f>
        <x:v>0</x:v>
      </x:c>
    </x:row>
    <x:row r="24" ht="46.5" customHeight="1">
      <x:c r="A24" s="31" t="str">
        <x:v>Not collected</x:v>
      </x:c>
      <x:c r="B24" s="33" t="n">
        <x:f>'Evaluation Plan'!B24</x:f>
        <x:v>22</x:v>
      </x:c>
      <x:c r="C24" s="31" t="str">
        <x:f>'Evaluation Plan'!C24</x:f>
        <x:v>Finish with one object in the bowl.</x:v>
      </x:c>
      <x:c r="D24" s="31" t="str">
        <x:f>'Evaluation Plan'!D24</x:f>
        <x:v>Bowl objects: [blue pen, airplane toy without propellers] | Table objects: [yellow block, green pencil sharpener]</x:v>
      </x:c>
      <x:c r="E24" s="33" t="n">
        <x:f>'Evaluation Plan'!E24</x:f>
        <x:v>20</x:v>
      </x:c>
      <x:c r="F24" s="31" t="str">
        <x:f>'Evaluation Plan'!F24</x:f>
        <x:v>REMOVE any one bowl object; finish with 1 object in the bowl</x:v>
      </x:c>
      <x:c r="G24" s="31" t="str"/>
      <x:c r="H24" s="38" t="str">
        <x:f>'Evaluation Plan'!H24</x:f>
        <x:v>Language robustness</x:v>
      </x:c>
      <x:c r="I24" s="31" t="str">
        <x:f>'Evaluation Plan'!I24</x:f>
        <x:v>CT-CF01</x:v>
      </x:c>
      <x:c r="J24" s="31" t="str">
        <x:f>'Evaluation Plan'!J24</x:f>
        <x:v>CT-CF01-REMOVE</x:v>
      </x:c>
      <x:c r="K24" s="33" t="n">
        <x:f>'Evaluation Plan'!K24</x:f>
        <x:v>2</x:v>
      </x:c>
      <x:c r="L24" s="33" t="n">
        <x:f>'Evaluation Plan'!L24</x:f>
        <x:v>1</x:v>
      </x:c>
      <x:c r="M24" s="33" t="str">
        <x:f>'Evaluation Plan'!M24</x:f>
        <x:v>REMOVE</x:v>
      </x:c>
      <x:c r="N24" s="31" t="str">
        <x:f>'Evaluation Plan'!N24</x:f>
        <x:v>Primary compositional paraphrase: one via 2→1 removal</x:v>
      </x:c>
      <x:c r="O24" s="33" t="n">
        <x:f>'Evaluation Plan'!O24</x:f>
        <x:v>2</x:v>
      </x:c>
      <x:c r="P24" s="31" t="str">
        <x:f>'Evaluation Plan'!P24</x:f>
        <x:v>Build the listed count-2 scene.</x:v>
      </x:c>
      <x:c r="Q24" s="31" t="str">
        <x:f>'Evaluation Plan'!Q24</x:f>
        <x:v>Exact-scene paraphrase of the canonical held-out composition.</x:v>
      </x:c>
      <x:c r="R24" s="31" t="n">
        <x:f>'Evaluation Plan'!R24</x:f>
        <x:v>0</x:v>
      </x:c>
    </x:row>
    <x:row r="25" ht="46.5" customHeight="1">
      <x:c r="A25" s="32" t="str">
        <x:v>Not collected</x:v>
      </x:c>
      <x:c r="B25" s="34" t="n">
        <x:f>'Evaluation Plan'!B25</x:f>
        <x:v>23</x:v>
      </x:c>
      <x:c r="C25" s="32" t="str">
        <x:f>'Evaluation Plan'!C25</x:f>
        <x:v>Lift the blue pen out of the bowl and set it on the table.</x:v>
      </x:c>
      <x:c r="D25" s="32" t="str">
        <x:f>'Evaluation Plan'!D25</x:f>
        <x:v>Bowl objects: [blue pen, airplane toy without propellers] | Table objects: [yellow block, green pencil sharpener]</x:v>
      </x:c>
      <x:c r="E25" s="34" t="n">
        <x:f>'Evaluation Plan'!E25</x:f>
        <x:v>21</x:v>
      </x:c>
      <x:c r="F25" s="32" t="str">
        <x:f>'Evaluation Plan'!F25</x:f>
        <x:v>REMOVE blue pen</x:v>
      </x:c>
      <x:c r="G25" s="32" t="str"/>
      <x:c r="H25" s="38" t="str">
        <x:f>'Evaluation Plan'!H25</x:f>
        <x:v>Language robustness</x:v>
      </x:c>
      <x:c r="I25" s="32" t="str">
        <x:f>'Evaluation Plan'!I25</x:f>
        <x:v>CT-CF01</x:v>
      </x:c>
      <x:c r="J25" s="32" t="str">
        <x:f>'Evaluation Plan'!J25</x:f>
        <x:v>CT-CF01-REMOVE</x:v>
      </x:c>
      <x:c r="K25" s="34" t="n">
        <x:f>'Evaluation Plan'!K25</x:f>
        <x:v>2</x:v>
      </x:c>
      <x:c r="L25" s="34" t="n">
        <x:f>'Evaluation Plan'!L25</x:f>
        <x:v>1</x:v>
      </x:c>
      <x:c r="M25" s="34" t="str">
        <x:f>'Evaluation Plan'!M25</x:f>
        <x:v>REMOVE</x:v>
      </x:c>
      <x:c r="N25" s="32" t="str">
        <x:f>'Evaluation Plan'!N25</x:f>
        <x:v>Matched-control paraphrase: REMOVE</x:v>
      </x:c>
      <x:c r="O25" s="34" t="n">
        <x:f>'Evaluation Plan'!O25</x:f>
        <x:v>2</x:v>
      </x:c>
      <x:c r="P25" s="32" t="str">
        <x:f>'Evaluation Plan'!P25</x:f>
        <x:v>Reset the exact count-2 scene; change only the prompt.</x:v>
      </x:c>
      <x:c r="Q25" s="32" t="str">
        <x:f>'Evaluation Plan'!Q25</x:f>
        <x:v>Exact-scene paraphrase of the direct manipulation control.</x:v>
      </x:c>
      <x:c r="R25" s="32" t="n">
        <x:f>'Evaluation Plan'!R25</x:f>
        <x:v>0</x:v>
      </x:c>
    </x:row>
    <x:row r="26" ht="46.5" customHeight="1">
      <x:c r="A26" s="31" t="str">
        <x:v>Not collected</x:v>
      </x:c>
      <x:c r="B26" s="33" t="n">
        <x:f>'Evaluation Plan'!B26</x:f>
        <x:v>24</x:v>
      </x:c>
      <x:c r="C26" s="31" t="str">
        <x:f>'Evaluation Plan'!C26</x:f>
        <x:v>Move the green pencil sharpener into the bowl.</x:v>
      </x:c>
      <x:c r="D26" s="31" t="str">
        <x:f>'Evaluation Plan'!D26</x:f>
        <x:v>Bowl objects: [blue pen, airplane toy without propellers] | Table objects: [yellow block, green pencil sharpener]</x:v>
      </x:c>
      <x:c r="E26" s="33" t="str">
        <x:f>'Evaluation Plan'!E26</x:f>
      </x:c>
      <x:c r="F26" s="31" t="str">
        <x:f>'Evaluation Plan'!F26</x:f>
        <x:v>ADD green pencil sharpener</x:v>
      </x:c>
      <x:c r="G26" s="31" t="str"/>
      <x:c r="H26" s="37" t="str">
        <x:f>'Evaluation Plan'!H26</x:f>
        <x:v>Matched manipulation control</x:v>
      </x:c>
      <x:c r="I26" s="31" t="str">
        <x:f>'Evaluation Plan'!I26</x:f>
        <x:v>CT-CF01</x:v>
      </x:c>
      <x:c r="J26" s="31" t="str">
        <x:f>'Evaluation Plan'!J26</x:f>
        <x:v>CT-CF01-ADD</x:v>
      </x:c>
      <x:c r="K26" s="33" t="n">
        <x:f>'Evaluation Plan'!K26</x:f>
        <x:v>2</x:v>
      </x:c>
      <x:c r="L26" s="33" t="n">
        <x:f>'Evaluation Plan'!L26</x:f>
        <x:v>3</x:v>
      </x:c>
      <x:c r="M26" s="33" t="str">
        <x:f>'Evaluation Plan'!M26</x:f>
        <x:v>ADD</x:v>
      </x:c>
      <x:c r="N26" s="31" t="str">
        <x:f>'Evaluation Plan'!N26</x:f>
        <x:v>Matched direct ADD control</x:v>
      </x:c>
      <x:c r="O26" s="33" t="n">
        <x:f>'Evaluation Plan'!O26</x:f>
        <x:v>2</x:v>
      </x:c>
      <x:c r="P26" s="31" t="str">
        <x:f>'Evaluation Plan'!P26</x:f>
        <x:v>Reset the exact count-2 scene; change only the prompt.</x:v>
      </x:c>
      <x:c r="Q26" s="31" t="str">
        <x:f>'Evaluation Plan'!Q26</x:f>
        <x:v>The direct prompt is present in Counting training for this same-task object and action direction.</x:v>
      </x:c>
      <x:c r="R26" s="31" t="n">
        <x:f>'Evaluation Plan'!R26</x:f>
        <x:v>0</x:v>
      </x:c>
    </x:row>
    <x:row r="27" ht="46.5" customHeight="1">
      <x:c r="A27" s="32" t="str">
        <x:v>Not collected</x:v>
      </x:c>
      <x:c r="B27" s="34" t="n">
        <x:f>'Evaluation Plan'!B27</x:f>
        <x:v>25</x:v>
      </x:c>
      <x:c r="C27" s="32" t="str">
        <x:f>'Evaluation Plan'!C27</x:f>
        <x:v>Leave exactly three objects in the bowl.</x:v>
      </x:c>
      <x:c r="D27" s="32" t="str">
        <x:f>'Evaluation Plan'!D27</x:f>
        <x:v>Bowl objects: [blue pen, airplane toy without propellers] | Table objects: [yellow block, green pencil sharpener]</x:v>
      </x:c>
      <x:c r="E27" s="34" t="n">
        <x:f>'Evaluation Plan'!E27</x:f>
        <x:v>24</x:v>
      </x:c>
      <x:c r="F27" s="32" t="str">
        <x:f>'Evaluation Plan'!F27</x:f>
        <x:v>ADD any one table object; finish with 3 objects in the bowl</x:v>
      </x:c>
      <x:c r="G27" s="32" t="str"/>
      <x:c r="H27" s="36" t="str">
        <x:f>'Evaluation Plan'!H27</x:f>
        <x:v>Concept/compositional transfer</x:v>
      </x:c>
      <x:c r="I27" s="32" t="str">
        <x:f>'Evaluation Plan'!I27</x:f>
        <x:v>CT-CF01</x:v>
      </x:c>
      <x:c r="J27" s="32" t="str">
        <x:f>'Evaluation Plan'!J27</x:f>
        <x:v>CT-CF01-ADD</x:v>
      </x:c>
      <x:c r="K27" s="34" t="n">
        <x:f>'Evaluation Plan'!K27</x:f>
        <x:v>2</x:v>
      </x:c>
      <x:c r="L27" s="34" t="n">
        <x:f>'Evaluation Plan'!L27</x:f>
        <x:v>3</x:v>
      </x:c>
      <x:c r="M27" s="34" t="str">
        <x:f>'Evaluation Plan'!M27</x:f>
        <x:v>ADD</x:v>
      </x:c>
      <x:c r="N27" s="32" t="str">
        <x:f>'Evaluation Plan'!N27</x:f>
        <x:v>Primary: three via held-out 2→3 addition</x:v>
      </x:c>
      <x:c r="O27" s="34" t="n">
        <x:f>'Evaluation Plan'!O27</x:f>
        <x:v>2</x:v>
      </x:c>
      <x:c r="P27" s="32" t="str">
        <x:f>'Evaluation Plan'!P27</x:f>
        <x:v>Reset the exact count-2 scene; change only the prompt.</x:v>
      </x:c>
      <x:c r="Q27" s="32" t="str">
        <x:f>'Evaluation Plan'!Q27</x:f>
        <x:v>The goal word three is trained, and this 2→3 trajectory is trained under a direct instruction, but the combination is withheld.</x:v>
      </x:c>
      <x:c r="R27" s="32" t="n">
        <x:f>'Evaluation Plan'!R27</x:f>
        <x:v>0</x:v>
      </x:c>
    </x:row>
    <x:row r="28" ht="46.5" customHeight="1">
      <x:c r="A28" s="31" t="str">
        <x:v>Not collected</x:v>
      </x:c>
      <x:c r="B28" s="33" t="n">
        <x:f>'Evaluation Plan'!B28</x:f>
        <x:v>26</x:v>
      </x:c>
      <x:c r="C28" s="31" t="str">
        <x:f>'Evaluation Plan'!C28</x:f>
        <x:v>Lift the green pencil sharpener from the table and set it inside the bowl.</x:v>
      </x:c>
      <x:c r="D28" s="31" t="str">
        <x:f>'Evaluation Plan'!D28</x:f>
        <x:v>Bowl objects: [blue pen, airplane toy without propellers] | Table objects: [yellow block, green pencil sharpener]</x:v>
      </x:c>
      <x:c r="E28" s="33" t="n">
        <x:f>'Evaluation Plan'!E28</x:f>
        <x:v>24</x:v>
      </x:c>
      <x:c r="F28" s="31" t="str">
        <x:f>'Evaluation Plan'!F28</x:f>
        <x:v>ADD green pencil sharpener</x:v>
      </x:c>
      <x:c r="G28" s="31" t="str"/>
      <x:c r="H28" s="38" t="str">
        <x:f>'Evaluation Plan'!H28</x:f>
        <x:v>Language robustness</x:v>
      </x:c>
      <x:c r="I28" s="31" t="str">
        <x:f>'Evaluation Plan'!I28</x:f>
        <x:v>CT-CF01</x:v>
      </x:c>
      <x:c r="J28" s="31" t="str">
        <x:f>'Evaluation Plan'!J28</x:f>
        <x:v>CT-CF01-ADD</x:v>
      </x:c>
      <x:c r="K28" s="33" t="n">
        <x:f>'Evaluation Plan'!K28</x:f>
        <x:v>2</x:v>
      </x:c>
      <x:c r="L28" s="33" t="n">
        <x:f>'Evaluation Plan'!L28</x:f>
        <x:v>3</x:v>
      </x:c>
      <x:c r="M28" s="33" t="str">
        <x:f>'Evaluation Plan'!M28</x:f>
        <x:v>ADD</x:v>
      </x:c>
      <x:c r="N28" s="31" t="str">
        <x:f>'Evaluation Plan'!N28</x:f>
        <x:v>Matched-control paraphrase: ADD</x:v>
      </x:c>
      <x:c r="O28" s="33" t="n">
        <x:f>'Evaluation Plan'!O28</x:f>
        <x:v>2</x:v>
      </x:c>
      <x:c r="P28" s="31" t="str">
        <x:f>'Evaluation Plan'!P28</x:f>
        <x:v>Reset the exact count-2 scene; change only the prompt.</x:v>
      </x:c>
      <x:c r="Q28" s="31" t="str">
        <x:f>'Evaluation Plan'!Q28</x:f>
        <x:v>Exact-scene paraphrase of the direct manipulation control.</x:v>
      </x:c>
      <x:c r="R28" s="31" t="n">
        <x:f>'Evaluation Plan'!R28</x:f>
        <x:v>0</x:v>
      </x:c>
    </x:row>
    <x:row r="29" ht="46.5" customHeight="1">
      <x:c r="A29" s="32" t="str">
        <x:v>Not collected</x:v>
      </x:c>
      <x:c r="B29" s="34" t="n">
        <x:f>'Evaluation Plan'!B29</x:f>
        <x:v>27</x:v>
      </x:c>
      <x:c r="C29" s="32" t="str">
        <x:f>'Evaluation Plan'!C29</x:f>
        <x:v>Finish with three objects in the bowl.</x:v>
      </x:c>
      <x:c r="D29" s="32" t="str">
        <x:f>'Evaluation Plan'!D29</x:f>
        <x:v>Bowl objects: [blue pen, airplane toy without propellers] | Table objects: [yellow block, green pencil sharpener]</x:v>
      </x:c>
      <x:c r="E29" s="34" t="n">
        <x:f>'Evaluation Plan'!E29</x:f>
        <x:v>25</x:v>
      </x:c>
      <x:c r="F29" s="32" t="str">
        <x:f>'Evaluation Plan'!F29</x:f>
        <x:v>ADD any one table object; finish with 3 objects in the bowl</x:v>
      </x:c>
      <x:c r="G29" s="32" t="str"/>
      <x:c r="H29" s="38" t="str">
        <x:f>'Evaluation Plan'!H29</x:f>
        <x:v>Language robustness</x:v>
      </x:c>
      <x:c r="I29" s="32" t="str">
        <x:f>'Evaluation Plan'!I29</x:f>
        <x:v>CT-CF01</x:v>
      </x:c>
      <x:c r="J29" s="32" t="str">
        <x:f>'Evaluation Plan'!J29</x:f>
        <x:v>CT-CF01-ADD</x:v>
      </x:c>
      <x:c r="K29" s="34" t="n">
        <x:f>'Evaluation Plan'!K29</x:f>
        <x:v>2</x:v>
      </x:c>
      <x:c r="L29" s="34" t="n">
        <x:f>'Evaluation Plan'!L29</x:f>
        <x:v>3</x:v>
      </x:c>
      <x:c r="M29" s="34" t="str">
        <x:f>'Evaluation Plan'!M29</x:f>
        <x:v>ADD</x:v>
      </x:c>
      <x:c r="N29" s="32" t="str">
        <x:f>'Evaluation Plan'!N29</x:f>
        <x:v>Primary compositional paraphrase: three via 2→3 addition</x:v>
      </x:c>
      <x:c r="O29" s="34" t="n">
        <x:f>'Evaluation Plan'!O29</x:f>
        <x:v>2</x:v>
      </x:c>
      <x:c r="P29" s="32" t="str">
        <x:f>'Evaluation Plan'!P29</x:f>
        <x:v>Reset the exact count-2 scene; change only the prompt.</x:v>
      </x:c>
      <x:c r="Q29" s="32" t="str">
        <x:f>'Evaluation Plan'!Q29</x:f>
        <x:v>Exact-scene paraphrase of the canonical held-out composition.</x:v>
      </x:c>
      <x:c r="R29" s="32" t="n">
        <x:f>'Evaluation Plan'!R29</x:f>
        <x:v>0</x:v>
      </x:c>
    </x:row>
    <x:row r="30" ht="46.5" customHeight="1">
      <x:c r="A30" s="31" t="str">
        <x:v>Not collected</x:v>
      </x:c>
      <x:c r="B30" s="33" t="n">
        <x:f>'Evaluation Plan'!B30</x:f>
        <x:v>28</x:v>
      </x:c>
      <x:c r="C30" s="31" t="str">
        <x:f>'Evaluation Plan'!C30</x:f>
        <x:v>Leave exactly three objects in the bowl.</x:v>
      </x:c>
      <x:c r="D30" s="31" t="str">
        <x:f>'Evaluation Plan'!D30</x:f>
        <x:v>Bowl objects: [yellow block, blue pen] | Table objects: [green pencil sharpener, airplane toy without propellers]</x:v>
      </x:c>
      <x:c r="E30" s="33" t="str">
        <x:f>'Evaluation Plan'!E30</x:f>
      </x:c>
      <x:c r="F30" s="31" t="str">
        <x:f>'Evaluation Plan'!F30</x:f>
        <x:v>ADD any one table object; finish with 3 objects in the bowl</x:v>
      </x:c>
      <x:c r="G30" s="31" t="str"/>
      <x:c r="H30" s="36" t="str">
        <x:f>'Evaluation Plan'!H30</x:f>
        <x:v>Concept/compositional transfer</x:v>
      </x:c>
      <x:c r="I30" s="31" t="str">
        <x:f>'Evaluation Plan'!I30</x:f>
        <x:v>CT-CF02</x:v>
      </x:c>
      <x:c r="J30" s="31" t="str">
        <x:f>'Evaluation Plan'!J30</x:f>
        <x:v>CT-CF02-ADD</x:v>
      </x:c>
      <x:c r="K30" s="33" t="n">
        <x:f>'Evaluation Plan'!K30</x:f>
        <x:v>2</x:v>
      </x:c>
      <x:c r="L30" s="33" t="n">
        <x:f>'Evaluation Plan'!L30</x:f>
        <x:v>3</x:v>
      </x:c>
      <x:c r="M30" s="33" t="str">
        <x:f>'Evaluation Plan'!M30</x:f>
        <x:v>ADD</x:v>
      </x:c>
      <x:c r="N30" s="31" t="str">
        <x:f>'Evaluation Plan'!N30</x:f>
        <x:v>Primary: three via held-out 2→3 addition</x:v>
      </x:c>
      <x:c r="O30" s="33" t="n">
        <x:f>'Evaluation Plan'!O30</x:f>
        <x:v>2</x:v>
      </x:c>
      <x:c r="P30" s="31" t="str">
        <x:f>'Evaluation Plan'!P30</x:f>
        <x:v>Reset the exact count-2 scene; change only the prompt.</x:v>
      </x:c>
      <x:c r="Q30" s="31" t="str">
        <x:f>'Evaluation Plan'!Q30</x:f>
        <x:v>The goal word three is trained, and this 2→3 trajectory is trained under a direct instruction, but the combination is withheld.</x:v>
      </x:c>
      <x:c r="R30" s="31" t="n">
        <x:f>'Evaluation Plan'!R30</x:f>
        <x:v>0</x:v>
      </x:c>
    </x:row>
    <x:row r="31" ht="46.5" customHeight="1">
      <x:c r="A31" s="32" t="str">
        <x:v>Not collected</x:v>
      </x:c>
      <x:c r="B31" s="34" t="n">
        <x:f>'Evaluation Plan'!B31</x:f>
        <x:v>29</x:v>
      </x:c>
      <x:c r="C31" s="32" t="str">
        <x:f>'Evaluation Plan'!C31</x:f>
        <x:v>Move the airplane toy without propellers into the bowl.</x:v>
      </x:c>
      <x:c r="D31" s="32" t="str">
        <x:f>'Evaluation Plan'!D31</x:f>
        <x:v>Bowl objects: [yellow block, blue pen] | Table objects: [green pencil sharpener, airplane toy without propellers]</x:v>
      </x:c>
      <x:c r="E31" s="34" t="n">
        <x:f>'Evaluation Plan'!E31</x:f>
        <x:v>28</x:v>
      </x:c>
      <x:c r="F31" s="32" t="str">
        <x:f>'Evaluation Plan'!F31</x:f>
        <x:v>ADD airplane toy without propellers</x:v>
      </x:c>
      <x:c r="G31" s="32" t="str"/>
      <x:c r="H31" s="37" t="str">
        <x:f>'Evaluation Plan'!H31</x:f>
        <x:v>Matched manipulation control</x:v>
      </x:c>
      <x:c r="I31" s="32" t="str">
        <x:f>'Evaluation Plan'!I31</x:f>
        <x:v>CT-CF02</x:v>
      </x:c>
      <x:c r="J31" s="32" t="str">
        <x:f>'Evaluation Plan'!J31</x:f>
        <x:v>CT-CF02-ADD</x:v>
      </x:c>
      <x:c r="K31" s="34" t="n">
        <x:f>'Evaluation Plan'!K31</x:f>
        <x:v>2</x:v>
      </x:c>
      <x:c r="L31" s="34" t="n">
        <x:f>'Evaluation Plan'!L31</x:f>
        <x:v>3</x:v>
      </x:c>
      <x:c r="M31" s="34" t="str">
        <x:f>'Evaluation Plan'!M31</x:f>
        <x:v>ADD</x:v>
      </x:c>
      <x:c r="N31" s="32" t="str">
        <x:f>'Evaluation Plan'!N31</x:f>
        <x:v>Matched direct ADD control</x:v>
      </x:c>
      <x:c r="O31" s="34" t="n">
        <x:f>'Evaluation Plan'!O31</x:f>
        <x:v>2</x:v>
      </x:c>
      <x:c r="P31" s="32" t="str">
        <x:f>'Evaluation Plan'!P31</x:f>
        <x:v>Reset the exact count-2 scene; change only the prompt.</x:v>
      </x:c>
      <x:c r="Q31" s="32" t="str">
        <x:f>'Evaluation Plan'!Q31</x:f>
        <x:v>The direct prompt is present in Counting training for this same-task object and action direction.</x:v>
      </x:c>
      <x:c r="R31" s="32" t="n">
        <x:f>'Evaluation Plan'!R31</x:f>
        <x:v>0</x:v>
      </x:c>
    </x:row>
    <x:row r="32" ht="46.5" customHeight="1">
      <x:c r="A32" s="31" t="str">
        <x:v>Not collected</x:v>
      </x:c>
      <x:c r="B32" s="33" t="n">
        <x:f>'Evaluation Plan'!B32</x:f>
        <x:v>30</x:v>
      </x:c>
      <x:c r="C32" s="31" t="str">
        <x:f>'Evaluation Plan'!C32</x:f>
        <x:v>Set the bowl's final object count to three.</x:v>
      </x:c>
      <x:c r="D32" s="31" t="str">
        <x:f>'Evaluation Plan'!D32</x:f>
        <x:v>Bowl objects: [yellow block, blue pen] | Table objects: [green pencil sharpener, airplane toy without propellers]</x:v>
      </x:c>
      <x:c r="E32" s="33" t="n">
        <x:f>'Evaluation Plan'!E32</x:f>
        <x:v>28</x:v>
      </x:c>
      <x:c r="F32" s="31" t="str">
        <x:f>'Evaluation Plan'!F32</x:f>
        <x:v>ADD any one table object; finish with 3 objects in the bowl</x:v>
      </x:c>
      <x:c r="G32" s="31" t="str"/>
      <x:c r="H32" s="38" t="str">
        <x:f>'Evaluation Plan'!H32</x:f>
        <x:v>Language robustness</x:v>
      </x:c>
      <x:c r="I32" s="31" t="str">
        <x:f>'Evaluation Plan'!I32</x:f>
        <x:v>CT-CF02</x:v>
      </x:c>
      <x:c r="J32" s="31" t="str">
        <x:f>'Evaluation Plan'!J32</x:f>
        <x:v>CT-CF02-ADD</x:v>
      </x:c>
      <x:c r="K32" s="33" t="n">
        <x:f>'Evaluation Plan'!K32</x:f>
        <x:v>2</x:v>
      </x:c>
      <x:c r="L32" s="33" t="n">
        <x:f>'Evaluation Plan'!L32</x:f>
        <x:v>3</x:v>
      </x:c>
      <x:c r="M32" s="33" t="str">
        <x:f>'Evaluation Plan'!M32</x:f>
        <x:v>ADD</x:v>
      </x:c>
      <x:c r="N32" s="31" t="str">
        <x:f>'Evaluation Plan'!N32</x:f>
        <x:v>Primary compositional paraphrase: three via 2→3 addition</x:v>
      </x:c>
      <x:c r="O32" s="33" t="n">
        <x:f>'Evaluation Plan'!O32</x:f>
        <x:v>2</x:v>
      </x:c>
      <x:c r="P32" s="31" t="str">
        <x:f>'Evaluation Plan'!P32</x:f>
        <x:v>Reset the exact count-2 scene; change only the prompt.</x:v>
      </x:c>
      <x:c r="Q32" s="31" t="str">
        <x:f>'Evaluation Plan'!Q32</x:f>
        <x:v>Exact-scene paraphrase of the canonical held-out composition.</x:v>
      </x:c>
      <x:c r="R32" s="31" t="n">
        <x:f>'Evaluation Plan'!R32</x:f>
        <x:v>0</x:v>
      </x:c>
    </x:row>
    <x:row r="33" ht="46.5" customHeight="1">
      <x:c r="A33" s="32" t="str">
        <x:v>Not collected</x:v>
      </x:c>
      <x:c r="B33" s="34" t="n">
        <x:f>'Evaluation Plan'!B33</x:f>
        <x:v>31</x:v>
      </x:c>
      <x:c r="C33" s="32" t="str">
        <x:f>'Evaluation Plan'!C33</x:f>
        <x:v>Lift the airplane toy without propellers from the table and set it inside the bowl.</x:v>
      </x:c>
      <x:c r="D33" s="32" t="str">
        <x:f>'Evaluation Plan'!D33</x:f>
        <x:v>Bowl objects: [yellow block, blue pen] | Table objects: [green pencil sharpener, airplane toy without propellers]</x:v>
      </x:c>
      <x:c r="E33" s="34" t="n">
        <x:f>'Evaluation Plan'!E33</x:f>
        <x:v>29</x:v>
      </x:c>
      <x:c r="F33" s="32" t="str">
        <x:f>'Evaluation Plan'!F33</x:f>
        <x:v>ADD airplane toy without propellers</x:v>
      </x:c>
      <x:c r="G33" s="32" t="str"/>
      <x:c r="H33" s="38" t="str">
        <x:f>'Evaluation Plan'!H33</x:f>
        <x:v>Language robustness</x:v>
      </x:c>
      <x:c r="I33" s="32" t="str">
        <x:f>'Evaluation Plan'!I33</x:f>
        <x:v>CT-CF02</x:v>
      </x:c>
      <x:c r="J33" s="32" t="str">
        <x:f>'Evaluation Plan'!J33</x:f>
        <x:v>CT-CF02-ADD</x:v>
      </x:c>
      <x:c r="K33" s="34" t="n">
        <x:f>'Evaluation Plan'!K33</x:f>
        <x:v>2</x:v>
      </x:c>
      <x:c r="L33" s="34" t="n">
        <x:f>'Evaluation Plan'!L33</x:f>
        <x:v>3</x:v>
      </x:c>
      <x:c r="M33" s="34" t="str">
        <x:f>'Evaluation Plan'!M33</x:f>
        <x:v>ADD</x:v>
      </x:c>
      <x:c r="N33" s="32" t="str">
        <x:f>'Evaluation Plan'!N33</x:f>
        <x:v>Matched-control paraphrase: ADD</x:v>
      </x:c>
      <x:c r="O33" s="34" t="n">
        <x:f>'Evaluation Plan'!O33</x:f>
        <x:v>2</x:v>
      </x:c>
      <x:c r="P33" s="32" t="str">
        <x:f>'Evaluation Plan'!P33</x:f>
        <x:v>Reset the exact count-2 scene; change only the prompt.</x:v>
      </x:c>
      <x:c r="Q33" s="32" t="str">
        <x:f>'Evaluation Plan'!Q33</x:f>
        <x:v>Exact-scene paraphrase of the direct manipulation control.</x:v>
      </x:c>
      <x:c r="R33" s="32" t="n">
        <x:f>'Evaluation Plan'!R33</x:f>
        <x:v>0</x:v>
      </x:c>
    </x:row>
    <x:row r="34" ht="46.5" customHeight="1">
      <x:c r="A34" s="31" t="str">
        <x:v>Not collected</x:v>
      </x:c>
      <x:c r="B34" s="33" t="n">
        <x:f>'Evaluation Plan'!B34</x:f>
        <x:v>32</x:v>
      </x:c>
      <x:c r="C34" s="31" t="str">
        <x:f>'Evaluation Plan'!C34</x:f>
        <x:v>Move the yellow block from the bowl to the table.</x:v>
      </x:c>
      <x:c r="D34" s="31" t="str">
        <x:f>'Evaluation Plan'!D34</x:f>
        <x:v>Bowl objects: [yellow block, blue pen] | Table objects: [green pencil sharpener, airplane toy without propellers]</x:v>
      </x:c>
      <x:c r="E34" s="33" t="str">
        <x:f>'Evaluation Plan'!E34</x:f>
      </x:c>
      <x:c r="F34" s="31" t="str">
        <x:f>'Evaluation Plan'!F34</x:f>
        <x:v>REMOVE yellow block</x:v>
      </x:c>
      <x:c r="G34" s="31" t="str"/>
      <x:c r="H34" s="37" t="str">
        <x:f>'Evaluation Plan'!H34</x:f>
        <x:v>Matched manipulation control</x:v>
      </x:c>
      <x:c r="I34" s="31" t="str">
        <x:f>'Evaluation Plan'!I34</x:f>
        <x:v>CT-CF02</x:v>
      </x:c>
      <x:c r="J34" s="31" t="str">
        <x:f>'Evaluation Plan'!J34</x:f>
        <x:v>CT-CF02-REMOVE</x:v>
      </x:c>
      <x:c r="K34" s="33" t="n">
        <x:f>'Evaluation Plan'!K34</x:f>
        <x:v>2</x:v>
      </x:c>
      <x:c r="L34" s="33" t="n">
        <x:f>'Evaluation Plan'!L34</x:f>
        <x:v>1</x:v>
      </x:c>
      <x:c r="M34" s="33" t="str">
        <x:f>'Evaluation Plan'!M34</x:f>
        <x:v>REMOVE</x:v>
      </x:c>
      <x:c r="N34" s="31" t="str">
        <x:f>'Evaluation Plan'!N34</x:f>
        <x:v>Matched direct REMOVE control</x:v>
      </x:c>
      <x:c r="O34" s="33" t="n">
        <x:f>'Evaluation Plan'!O34</x:f>
        <x:v>2</x:v>
      </x:c>
      <x:c r="P34" s="31" t="str">
        <x:f>'Evaluation Plan'!P34</x:f>
        <x:v>Reset the exact count-2 scene; change only the prompt.</x:v>
      </x:c>
      <x:c r="Q34" s="31" t="str">
        <x:f>'Evaluation Plan'!Q34</x:f>
        <x:v>The direct prompt is present in Counting training for this same-task object and action direction.</x:v>
      </x:c>
      <x:c r="R34" s="31" t="n">
        <x:f>'Evaluation Plan'!R34</x:f>
        <x:v>0</x:v>
      </x:c>
    </x:row>
    <x:row r="35" ht="46.5" customHeight="1">
      <x:c r="A35" s="32" t="str">
        <x:v>Not collected</x:v>
      </x:c>
      <x:c r="B35" s="34" t="n">
        <x:f>'Evaluation Plan'!B35</x:f>
        <x:v>33</x:v>
      </x:c>
      <x:c r="C35" s="32" t="str">
        <x:f>'Evaluation Plan'!C35</x:f>
        <x:v>Leave exactly one object in the bowl.</x:v>
      </x:c>
      <x:c r="D35" s="32" t="str">
        <x:f>'Evaluation Plan'!D35</x:f>
        <x:v>Bowl objects: [yellow block, blue pen] | Table objects: [green pencil sharpener, airplane toy without propellers]</x:v>
      </x:c>
      <x:c r="E35" s="34" t="n">
        <x:f>'Evaluation Plan'!E35</x:f>
        <x:v>32</x:v>
      </x:c>
      <x:c r="F35" s="32" t="str">
        <x:f>'Evaluation Plan'!F35</x:f>
        <x:v>REMOVE any one bowl object; finish with 1 object in the bowl</x:v>
      </x:c>
      <x:c r="G35" s="32" t="str"/>
      <x:c r="H35" s="36" t="str">
        <x:f>'Evaluation Plan'!H35</x:f>
        <x:v>Concept/compositional transfer</x:v>
      </x:c>
      <x:c r="I35" s="32" t="str">
        <x:f>'Evaluation Plan'!I35</x:f>
        <x:v>CT-CF02</x:v>
      </x:c>
      <x:c r="J35" s="32" t="str">
        <x:f>'Evaluation Plan'!J35</x:f>
        <x:v>CT-CF02-REMOVE</x:v>
      </x:c>
      <x:c r="K35" s="34" t="n">
        <x:f>'Evaluation Plan'!K35</x:f>
        <x:v>2</x:v>
      </x:c>
      <x:c r="L35" s="34" t="n">
        <x:f>'Evaluation Plan'!L35</x:f>
        <x:v>1</x:v>
      </x:c>
      <x:c r="M35" s="34" t="str">
        <x:f>'Evaluation Plan'!M35</x:f>
        <x:v>REMOVE</x:v>
      </x:c>
      <x:c r="N35" s="32" t="str">
        <x:f>'Evaluation Plan'!N35</x:f>
        <x:v>Primary: one via held-out 2→1 removal</x:v>
      </x:c>
      <x:c r="O35" s="34" t="n">
        <x:f>'Evaluation Plan'!O35</x:f>
        <x:v>2</x:v>
      </x:c>
      <x:c r="P35" s="32" t="str">
        <x:f>'Evaluation Plan'!P35</x:f>
        <x:v>Build the listed count-2 scene.</x:v>
      </x:c>
      <x:c r="Q35" s="32" t="str">
        <x:f>'Evaluation Plan'!Q35</x:f>
        <x:v>The goal word one is trained, and this 2→1 trajectory is trained under a direct instruction, but the combination is withheld.</x:v>
      </x:c>
      <x:c r="R35" s="32" t="n">
        <x:f>'Evaluation Plan'!R35</x:f>
        <x:v>0</x:v>
      </x:c>
    </x:row>
    <x:row r="36" ht="46.5" customHeight="1">
      <x:c r="A36" s="31" t="str">
        <x:v>Not collected</x:v>
      </x:c>
      <x:c r="B36" s="33" t="n">
        <x:f>'Evaluation Plan'!B36</x:f>
        <x:v>34</x:v>
      </x:c>
      <x:c r="C36" s="31" t="str">
        <x:f>'Evaluation Plan'!C36</x:f>
        <x:v>Lift the yellow block out of the bowl and set it on the table.</x:v>
      </x:c>
      <x:c r="D36" s="31" t="str">
        <x:f>'Evaluation Plan'!D36</x:f>
        <x:v>Bowl objects: [yellow block, blue pen] | Table objects: [green pencil sharpener, airplane toy without propellers]</x:v>
      </x:c>
      <x:c r="E36" s="33" t="n">
        <x:f>'Evaluation Plan'!E36</x:f>
        <x:v>32</x:v>
      </x:c>
      <x:c r="F36" s="31" t="str">
        <x:f>'Evaluation Plan'!F36</x:f>
        <x:v>REMOVE yellow block</x:v>
      </x:c>
      <x:c r="G36" s="31" t="str"/>
      <x:c r="H36" s="38" t="str">
        <x:f>'Evaluation Plan'!H36</x:f>
        <x:v>Language robustness</x:v>
      </x:c>
      <x:c r="I36" s="31" t="str">
        <x:f>'Evaluation Plan'!I36</x:f>
        <x:v>CT-CF02</x:v>
      </x:c>
      <x:c r="J36" s="31" t="str">
        <x:f>'Evaluation Plan'!J36</x:f>
        <x:v>CT-CF02-REMOVE</x:v>
      </x:c>
      <x:c r="K36" s="33" t="n">
        <x:f>'Evaluation Plan'!K36</x:f>
        <x:v>2</x:v>
      </x:c>
      <x:c r="L36" s="33" t="n">
        <x:f>'Evaluation Plan'!L36</x:f>
        <x:v>1</x:v>
      </x:c>
      <x:c r="M36" s="33" t="str">
        <x:f>'Evaluation Plan'!M36</x:f>
        <x:v>REMOVE</x:v>
      </x:c>
      <x:c r="N36" s="31" t="str">
        <x:f>'Evaluation Plan'!N36</x:f>
        <x:v>Matched-control paraphrase: REMOVE</x:v>
      </x:c>
      <x:c r="O36" s="33" t="n">
        <x:f>'Evaluation Plan'!O36</x:f>
        <x:v>2</x:v>
      </x:c>
      <x:c r="P36" s="31" t="str">
        <x:f>'Evaluation Plan'!P36</x:f>
        <x:v>Reset the exact count-2 scene; change only the prompt.</x:v>
      </x:c>
      <x:c r="Q36" s="31" t="str">
        <x:f>'Evaluation Plan'!Q36</x:f>
        <x:v>Exact-scene paraphrase of the direct manipulation control.</x:v>
      </x:c>
      <x:c r="R36" s="31" t="n">
        <x:f>'Evaluation Plan'!R36</x:f>
        <x:v>0</x:v>
      </x:c>
    </x:row>
    <x:row r="37" ht="46.5" customHeight="1">
      <x:c r="A37" s="32" t="str">
        <x:v>Not collected</x:v>
      </x:c>
      <x:c r="B37" s="34" t="n">
        <x:f>'Evaluation Plan'!B37</x:f>
        <x:v>35</x:v>
      </x:c>
      <x:c r="C37" s="32" t="str">
        <x:f>'Evaluation Plan'!C37</x:f>
        <x:v>Set the bowl's final object count to one.</x:v>
      </x:c>
      <x:c r="D37" s="32" t="str">
        <x:f>'Evaluation Plan'!D37</x:f>
        <x:v>Bowl objects: [yellow block, blue pen] | Table objects: [green pencil sharpener, airplane toy without propellers]</x:v>
      </x:c>
      <x:c r="E37" s="34" t="n">
        <x:f>'Evaluation Plan'!E37</x:f>
        <x:v>33</x:v>
      </x:c>
      <x:c r="F37" s="32" t="str">
        <x:f>'Evaluation Plan'!F37</x:f>
        <x:v>REMOVE any one bowl object; finish with 1 object in the bowl</x:v>
      </x:c>
      <x:c r="G37" s="32" t="str"/>
      <x:c r="H37" s="38" t="str">
        <x:f>'Evaluation Plan'!H37</x:f>
        <x:v>Language robustness</x:v>
      </x:c>
      <x:c r="I37" s="32" t="str">
        <x:f>'Evaluation Plan'!I37</x:f>
        <x:v>CT-CF02</x:v>
      </x:c>
      <x:c r="J37" s="32" t="str">
        <x:f>'Evaluation Plan'!J37</x:f>
        <x:v>CT-CF02-REMOVE</x:v>
      </x:c>
      <x:c r="K37" s="34" t="n">
        <x:f>'Evaluation Plan'!K37</x:f>
        <x:v>2</x:v>
      </x:c>
      <x:c r="L37" s="34" t="n">
        <x:f>'Evaluation Plan'!L37</x:f>
        <x:v>1</x:v>
      </x:c>
      <x:c r="M37" s="34" t="str">
        <x:f>'Evaluation Plan'!M37</x:f>
        <x:v>REMOVE</x:v>
      </x:c>
      <x:c r="N37" s="32" t="str">
        <x:f>'Evaluation Plan'!N37</x:f>
        <x:v>Primary compositional paraphrase: one via 2→1 removal</x:v>
      </x:c>
      <x:c r="O37" s="34" t="n">
        <x:f>'Evaluation Plan'!O37</x:f>
        <x:v>2</x:v>
      </x:c>
      <x:c r="P37" s="32" t="str">
        <x:f>'Evaluation Plan'!P37</x:f>
        <x:v>Build the listed count-2 scene.</x:v>
      </x:c>
      <x:c r="Q37" s="32" t="str">
        <x:f>'Evaluation Plan'!Q37</x:f>
        <x:v>Exact-scene paraphrase of the canonical held-out composition.</x:v>
      </x:c>
      <x:c r="R37" s="32" t="n">
        <x:f>'Evaluation Plan'!R37</x:f>
        <x:v>0</x:v>
      </x:c>
    </x:row>
    <x:row r="38" ht="46.5" customHeight="1">
      <x:c r="A38" s="31" t="str">
        <x:v>Not collected</x:v>
      </x:c>
      <x:c r="B38" s="33" t="n">
        <x:f>'Evaluation Plan'!B38</x:f>
        <x:v>36</x:v>
      </x:c>
      <x:c r="C38" s="31" t="str">
        <x:f>'Evaluation Plan'!C38</x:f>
        <x:v>Leave exactly one object in the bowl.</x:v>
      </x:c>
      <x:c r="D38" s="31" t="str">
        <x:f>'Evaluation Plan'!D38</x:f>
        <x:v>Bowl objects: [green pencil sharpener, airplane toy without propellers] | Table objects: [blue pen, yellow block]</x:v>
      </x:c>
      <x:c r="E38" s="33" t="str">
        <x:f>'Evaluation Plan'!E38</x:f>
      </x:c>
      <x:c r="F38" s="31" t="str">
        <x:f>'Evaluation Plan'!F38</x:f>
        <x:v>REMOVE any one bowl object; finish with 1 object in the bowl</x:v>
      </x:c>
      <x:c r="G38" s="31" t="str"/>
      <x:c r="H38" s="36" t="str">
        <x:f>'Evaluation Plan'!H38</x:f>
        <x:v>Concept/compositional transfer</x:v>
      </x:c>
      <x:c r="I38" s="31" t="str">
        <x:f>'Evaluation Plan'!I38</x:f>
        <x:v>CT-CF03</x:v>
      </x:c>
      <x:c r="J38" s="31" t="str">
        <x:f>'Evaluation Plan'!J38</x:f>
        <x:v>CT-CF03-REMOVE</x:v>
      </x:c>
      <x:c r="K38" s="33" t="n">
        <x:f>'Evaluation Plan'!K38</x:f>
        <x:v>2</x:v>
      </x:c>
      <x:c r="L38" s="33" t="n">
        <x:f>'Evaluation Plan'!L38</x:f>
        <x:v>1</x:v>
      </x:c>
      <x:c r="M38" s="33" t="str">
        <x:f>'Evaluation Plan'!M38</x:f>
        <x:v>REMOVE</x:v>
      </x:c>
      <x:c r="N38" s="31" t="str">
        <x:f>'Evaluation Plan'!N38</x:f>
        <x:v>Primary: one via held-out 2→1 removal</x:v>
      </x:c>
      <x:c r="O38" s="33" t="n">
        <x:f>'Evaluation Plan'!O38</x:f>
        <x:v>2</x:v>
      </x:c>
      <x:c r="P38" s="31" t="str">
        <x:f>'Evaluation Plan'!P38</x:f>
        <x:v>Build the listed count-2 scene.</x:v>
      </x:c>
      <x:c r="Q38" s="31" t="str">
        <x:f>'Evaluation Plan'!Q38</x:f>
        <x:v>The goal word one is trained, and this 2→1 trajectory is trained under a direct instruction, but the combination is withheld.</x:v>
      </x:c>
      <x:c r="R38" s="31" t="n">
        <x:f>'Evaluation Plan'!R38</x:f>
        <x:v>0</x:v>
      </x:c>
    </x:row>
    <x:row r="39" ht="46.5" customHeight="1">
      <x:c r="A39" s="32" t="str">
        <x:v>Not collected</x:v>
      </x:c>
      <x:c r="B39" s="34" t="n">
        <x:f>'Evaluation Plan'!B39</x:f>
        <x:v>37</x:v>
      </x:c>
      <x:c r="C39" s="32" t="str">
        <x:f>'Evaluation Plan'!C39</x:f>
        <x:v>Move the green pencil sharpener from the bowl to the table.</x:v>
      </x:c>
      <x:c r="D39" s="32" t="str">
        <x:f>'Evaluation Plan'!D39</x:f>
        <x:v>Bowl objects: [green pencil sharpener, airplane toy without propellers] | Table objects: [blue pen, yellow block]</x:v>
      </x:c>
      <x:c r="E39" s="34" t="n">
        <x:f>'Evaluation Plan'!E39</x:f>
        <x:v>36</x:v>
      </x:c>
      <x:c r="F39" s="32" t="str">
        <x:f>'Evaluation Plan'!F39</x:f>
        <x:v>REMOVE green pencil sharpener</x:v>
      </x:c>
      <x:c r="G39" s="32" t="str"/>
      <x:c r="H39" s="37" t="str">
        <x:f>'Evaluation Plan'!H39</x:f>
        <x:v>Matched manipulation control</x:v>
      </x:c>
      <x:c r="I39" s="32" t="str">
        <x:f>'Evaluation Plan'!I39</x:f>
        <x:v>CT-CF03</x:v>
      </x:c>
      <x:c r="J39" s="32" t="str">
        <x:f>'Evaluation Plan'!J39</x:f>
        <x:v>CT-CF03-REMOVE</x:v>
      </x:c>
      <x:c r="K39" s="34" t="n">
        <x:f>'Evaluation Plan'!K39</x:f>
        <x:v>2</x:v>
      </x:c>
      <x:c r="L39" s="34" t="n">
        <x:f>'Evaluation Plan'!L39</x:f>
        <x:v>1</x:v>
      </x:c>
      <x:c r="M39" s="34" t="str">
        <x:f>'Evaluation Plan'!M39</x:f>
        <x:v>REMOVE</x:v>
      </x:c>
      <x:c r="N39" s="32" t="str">
        <x:f>'Evaluation Plan'!N39</x:f>
        <x:v>Matched direct REMOVE control</x:v>
      </x:c>
      <x:c r="O39" s="34" t="n">
        <x:f>'Evaluation Plan'!O39</x:f>
        <x:v>2</x:v>
      </x:c>
      <x:c r="P39" s="32" t="str">
        <x:f>'Evaluation Plan'!P39</x:f>
        <x:v>Reset the exact count-2 scene; change only the prompt.</x:v>
      </x:c>
      <x:c r="Q39" s="32" t="str">
        <x:f>'Evaluation Plan'!Q39</x:f>
        <x:v>The direct prompt is present in Counting training for this same-task object and action direction.</x:v>
      </x:c>
      <x:c r="R39" s="32" t="n">
        <x:f>'Evaluation Plan'!R39</x:f>
        <x:v>0</x:v>
      </x:c>
    </x:row>
    <x:row r="40" ht="46.5" customHeight="1">
      <x:c r="A40" s="31" t="str">
        <x:v>Not collected</x:v>
      </x:c>
      <x:c r="B40" s="33" t="n">
        <x:f>'Evaluation Plan'!B40</x:f>
        <x:v>38</x:v>
      </x:c>
      <x:c r="C40" s="31" t="str">
        <x:f>'Evaluation Plan'!C40</x:f>
        <x:v>Change the contents so the bowl ends up holding one item.</x:v>
      </x:c>
      <x:c r="D40" s="31" t="str">
        <x:f>'Evaluation Plan'!D40</x:f>
        <x:v>Bowl objects: [green pencil sharpener, airplane toy without propellers] | Table objects: [blue pen, yellow block]</x:v>
      </x:c>
      <x:c r="E40" s="33" t="n">
        <x:f>'Evaluation Plan'!E40</x:f>
        <x:v>36</x:v>
      </x:c>
      <x:c r="F40" s="31" t="str">
        <x:f>'Evaluation Plan'!F40</x:f>
        <x:v>REMOVE any one bowl object; finish with 1 object in the bowl</x:v>
      </x:c>
      <x:c r="G40" s="31" t="str"/>
      <x:c r="H40" s="38" t="str">
        <x:f>'Evaluation Plan'!H40</x:f>
        <x:v>Language robustness</x:v>
      </x:c>
      <x:c r="I40" s="31" t="str">
        <x:f>'Evaluation Plan'!I40</x:f>
        <x:v>CT-CF03</x:v>
      </x:c>
      <x:c r="J40" s="31" t="str">
        <x:f>'Evaluation Plan'!J40</x:f>
        <x:v>CT-CF03-REMOVE</x:v>
      </x:c>
      <x:c r="K40" s="33" t="n">
        <x:f>'Evaluation Plan'!K40</x:f>
        <x:v>2</x:v>
      </x:c>
      <x:c r="L40" s="33" t="n">
        <x:f>'Evaluation Plan'!L40</x:f>
        <x:v>1</x:v>
      </x:c>
      <x:c r="M40" s="33" t="str">
        <x:f>'Evaluation Plan'!M40</x:f>
        <x:v>REMOVE</x:v>
      </x:c>
      <x:c r="N40" s="31" t="str">
        <x:f>'Evaluation Plan'!N40</x:f>
        <x:v>Primary compositional paraphrase: one via 2→1 removal</x:v>
      </x:c>
      <x:c r="O40" s="33" t="n">
        <x:f>'Evaluation Plan'!O40</x:f>
        <x:v>2</x:v>
      </x:c>
      <x:c r="P40" s="31" t="str">
        <x:f>'Evaluation Plan'!P40</x:f>
        <x:v>Build the listed count-2 scene.</x:v>
      </x:c>
      <x:c r="Q40" s="31" t="str">
        <x:f>'Evaluation Plan'!Q40</x:f>
        <x:v>Exact-scene paraphrase of the canonical held-out composition.</x:v>
      </x:c>
      <x:c r="R40" s="31" t="n">
        <x:f>'Evaluation Plan'!R40</x:f>
        <x:v>0</x:v>
      </x:c>
    </x:row>
    <x:row r="41" ht="46.5" customHeight="1">
      <x:c r="A41" s="32" t="str">
        <x:v>Not collected</x:v>
      </x:c>
      <x:c r="B41" s="34" t="n">
        <x:f>'Evaluation Plan'!B41</x:f>
        <x:v>39</x:v>
      </x:c>
      <x:c r="C41" s="32" t="str">
        <x:f>'Evaluation Plan'!C41</x:f>
        <x:v>Lift the green pencil sharpener out of the bowl and set it on the table.</x:v>
      </x:c>
      <x:c r="D41" s="32" t="str">
        <x:f>'Evaluation Plan'!D41</x:f>
        <x:v>Bowl objects: [green pencil sharpener, airplane toy without propellers] | Table objects: [blue pen, yellow block]</x:v>
      </x:c>
      <x:c r="E41" s="34" t="n">
        <x:f>'Evaluation Plan'!E41</x:f>
        <x:v>37</x:v>
      </x:c>
      <x:c r="F41" s="32" t="str">
        <x:f>'Evaluation Plan'!F41</x:f>
        <x:v>REMOVE green pencil sharpener</x:v>
      </x:c>
      <x:c r="G41" s="32" t="str"/>
      <x:c r="H41" s="38" t="str">
        <x:f>'Evaluation Plan'!H41</x:f>
        <x:v>Language robustness</x:v>
      </x:c>
      <x:c r="I41" s="32" t="str">
        <x:f>'Evaluation Plan'!I41</x:f>
        <x:v>CT-CF03</x:v>
      </x:c>
      <x:c r="J41" s="32" t="str">
        <x:f>'Evaluation Plan'!J41</x:f>
        <x:v>CT-CF03-REMOVE</x:v>
      </x:c>
      <x:c r="K41" s="34" t="n">
        <x:f>'Evaluation Plan'!K41</x:f>
        <x:v>2</x:v>
      </x:c>
      <x:c r="L41" s="34" t="n">
        <x:f>'Evaluation Plan'!L41</x:f>
        <x:v>1</x:v>
      </x:c>
      <x:c r="M41" s="34" t="str">
        <x:f>'Evaluation Plan'!M41</x:f>
        <x:v>REMOVE</x:v>
      </x:c>
      <x:c r="N41" s="32" t="str">
        <x:f>'Evaluation Plan'!N41</x:f>
        <x:v>Matched-control paraphrase: REMOVE</x:v>
      </x:c>
      <x:c r="O41" s="34" t="n">
        <x:f>'Evaluation Plan'!O41</x:f>
        <x:v>2</x:v>
      </x:c>
      <x:c r="P41" s="32" t="str">
        <x:f>'Evaluation Plan'!P41</x:f>
        <x:v>Reset the exact count-2 scene; change only the prompt.</x:v>
      </x:c>
      <x:c r="Q41" s="32" t="str">
        <x:f>'Evaluation Plan'!Q41</x:f>
        <x:v>Exact-scene paraphrase of the direct manipulation control.</x:v>
      </x:c>
      <x:c r="R41" s="32" t="n">
        <x:f>'Evaluation Plan'!R41</x:f>
        <x:v>0</x:v>
      </x:c>
    </x:row>
    <x:row r="42" ht="46.5" customHeight="1">
      <x:c r="A42" s="31" t="str">
        <x:v>Not collected</x:v>
      </x:c>
      <x:c r="B42" s="33" t="n">
        <x:f>'Evaluation Plan'!B42</x:f>
        <x:v>40</x:v>
      </x:c>
      <x:c r="C42" s="31" t="str">
        <x:f>'Evaluation Plan'!C42</x:f>
        <x:v>Move the blue pen into the bowl.</x:v>
      </x:c>
      <x:c r="D42" s="31" t="str">
        <x:f>'Evaluation Plan'!D42</x:f>
        <x:v>Bowl objects: [green pencil sharpener, airplane toy without propellers] | Table objects: [blue pen, yellow block]</x:v>
      </x:c>
      <x:c r="E42" s="33" t="str">
        <x:f>'Evaluation Plan'!E42</x:f>
      </x:c>
      <x:c r="F42" s="31" t="str">
        <x:f>'Evaluation Plan'!F42</x:f>
        <x:v>ADD blue pen</x:v>
      </x:c>
      <x:c r="G42" s="31" t="str"/>
      <x:c r="H42" s="37" t="str">
        <x:f>'Evaluation Plan'!H42</x:f>
        <x:v>Matched manipulation control</x:v>
      </x:c>
      <x:c r="I42" s="31" t="str">
        <x:f>'Evaluation Plan'!I42</x:f>
        <x:v>CT-CF03</x:v>
      </x:c>
      <x:c r="J42" s="31" t="str">
        <x:f>'Evaluation Plan'!J42</x:f>
        <x:v>CT-CF03-ADD</x:v>
      </x:c>
      <x:c r="K42" s="33" t="n">
        <x:f>'Evaluation Plan'!K42</x:f>
        <x:v>2</x:v>
      </x:c>
      <x:c r="L42" s="33" t="n">
        <x:f>'Evaluation Plan'!L42</x:f>
        <x:v>3</x:v>
      </x:c>
      <x:c r="M42" s="33" t="str">
        <x:f>'Evaluation Plan'!M42</x:f>
        <x:v>ADD</x:v>
      </x:c>
      <x:c r="N42" s="31" t="str">
        <x:f>'Evaluation Plan'!N42</x:f>
        <x:v>Matched direct ADD control</x:v>
      </x:c>
      <x:c r="O42" s="33" t="n">
        <x:f>'Evaluation Plan'!O42</x:f>
        <x:v>2</x:v>
      </x:c>
      <x:c r="P42" s="31" t="str">
        <x:f>'Evaluation Plan'!P42</x:f>
        <x:v>Reset the exact count-2 scene; change only the prompt.</x:v>
      </x:c>
      <x:c r="Q42" s="31" t="str">
        <x:f>'Evaluation Plan'!Q42</x:f>
        <x:v>The direct prompt is present in Counting training for this same-task object and action direction.</x:v>
      </x:c>
      <x:c r="R42" s="31" t="n">
        <x:f>'Evaluation Plan'!R42</x:f>
        <x:v>0</x:v>
      </x:c>
    </x:row>
    <x:row r="43" ht="46.5" customHeight="1">
      <x:c r="A43" s="32" t="str">
        <x:v>Not collected</x:v>
      </x:c>
      <x:c r="B43" s="34" t="n">
        <x:f>'Evaluation Plan'!B43</x:f>
        <x:v>41</x:v>
      </x:c>
      <x:c r="C43" s="32" t="str">
        <x:f>'Evaluation Plan'!C43</x:f>
        <x:v>Leave exactly three objects in the bowl.</x:v>
      </x:c>
      <x:c r="D43" s="32" t="str">
        <x:f>'Evaluation Plan'!D43</x:f>
        <x:v>Bowl objects: [green pencil sharpener, airplane toy without propellers] | Table objects: [blue pen, yellow block]</x:v>
      </x:c>
      <x:c r="E43" s="34" t="n">
        <x:f>'Evaluation Plan'!E43</x:f>
        <x:v>40</x:v>
      </x:c>
      <x:c r="F43" s="32" t="str">
        <x:f>'Evaluation Plan'!F43</x:f>
        <x:v>ADD any one table object; finish with 3 objects in the bowl</x:v>
      </x:c>
      <x:c r="G43" s="32" t="str"/>
      <x:c r="H43" s="36" t="str">
        <x:f>'Evaluation Plan'!H43</x:f>
        <x:v>Concept/compositional transfer</x:v>
      </x:c>
      <x:c r="I43" s="32" t="str">
        <x:f>'Evaluation Plan'!I43</x:f>
        <x:v>CT-CF03</x:v>
      </x:c>
      <x:c r="J43" s="32" t="str">
        <x:f>'Evaluation Plan'!J43</x:f>
        <x:v>CT-CF03-ADD</x:v>
      </x:c>
      <x:c r="K43" s="34" t="n">
        <x:f>'Evaluation Plan'!K43</x:f>
        <x:v>2</x:v>
      </x:c>
      <x:c r="L43" s="34" t="n">
        <x:f>'Evaluation Plan'!L43</x:f>
        <x:v>3</x:v>
      </x:c>
      <x:c r="M43" s="34" t="str">
        <x:f>'Evaluation Plan'!M43</x:f>
        <x:v>ADD</x:v>
      </x:c>
      <x:c r="N43" s="32" t="str">
        <x:f>'Evaluation Plan'!N43</x:f>
        <x:v>Primary: three via held-out 2→3 addition</x:v>
      </x:c>
      <x:c r="O43" s="34" t="n">
        <x:f>'Evaluation Plan'!O43</x:f>
        <x:v>2</x:v>
      </x:c>
      <x:c r="P43" s="32" t="str">
        <x:f>'Evaluation Plan'!P43</x:f>
        <x:v>Reset the exact count-2 scene; change only the prompt.</x:v>
      </x:c>
      <x:c r="Q43" s="32" t="str">
        <x:f>'Evaluation Plan'!Q43</x:f>
        <x:v>The goal word three is trained, and this 2→3 trajectory is trained under a direct instruction, but the combination is withheld.</x:v>
      </x:c>
      <x:c r="R43" s="32" t="n">
        <x:f>'Evaluation Plan'!R43</x:f>
        <x:v>0</x:v>
      </x:c>
    </x:row>
    <x:row r="44" ht="46.5" customHeight="1">
      <x:c r="A44" s="31" t="str">
        <x:v>Not collected</x:v>
      </x:c>
      <x:c r="B44" s="33" t="n">
        <x:f>'Evaluation Plan'!B44</x:f>
        <x:v>42</x:v>
      </x:c>
      <x:c r="C44" s="31" t="str">
        <x:f>'Evaluation Plan'!C44</x:f>
        <x:v>Lift the blue pen from the table and set it inside the bowl.</x:v>
      </x:c>
      <x:c r="D44" s="31" t="str">
        <x:f>'Evaluation Plan'!D44</x:f>
        <x:v>Bowl objects: [green pencil sharpener, airplane toy without propellers] | Table objects: [blue pen, yellow block]</x:v>
      </x:c>
      <x:c r="E44" s="33" t="n">
        <x:f>'Evaluation Plan'!E44</x:f>
        <x:v>40</x:v>
      </x:c>
      <x:c r="F44" s="31" t="str">
        <x:f>'Evaluation Plan'!F44</x:f>
        <x:v>ADD blue pen</x:v>
      </x:c>
      <x:c r="G44" s="31" t="str"/>
      <x:c r="H44" s="38" t="str">
        <x:f>'Evaluation Plan'!H44</x:f>
        <x:v>Language robustness</x:v>
      </x:c>
      <x:c r="I44" s="31" t="str">
        <x:f>'Evaluation Plan'!I44</x:f>
        <x:v>CT-CF03</x:v>
      </x:c>
      <x:c r="J44" s="31" t="str">
        <x:f>'Evaluation Plan'!J44</x:f>
        <x:v>CT-CF03-ADD</x:v>
      </x:c>
      <x:c r="K44" s="33" t="n">
        <x:f>'Evaluation Plan'!K44</x:f>
        <x:v>2</x:v>
      </x:c>
      <x:c r="L44" s="33" t="n">
        <x:f>'Evaluation Plan'!L44</x:f>
        <x:v>3</x:v>
      </x:c>
      <x:c r="M44" s="33" t="str">
        <x:f>'Evaluation Plan'!M44</x:f>
        <x:v>ADD</x:v>
      </x:c>
      <x:c r="N44" s="31" t="str">
        <x:f>'Evaluation Plan'!N44</x:f>
        <x:v>Matched-control paraphrase: ADD</x:v>
      </x:c>
      <x:c r="O44" s="33" t="n">
        <x:f>'Evaluation Plan'!O44</x:f>
        <x:v>2</x:v>
      </x:c>
      <x:c r="P44" s="31" t="str">
        <x:f>'Evaluation Plan'!P44</x:f>
        <x:v>Reset the exact count-2 scene; change only the prompt.</x:v>
      </x:c>
      <x:c r="Q44" s="31" t="str">
        <x:f>'Evaluation Plan'!Q44</x:f>
        <x:v>Exact-scene paraphrase of the direct manipulation control.</x:v>
      </x:c>
      <x:c r="R44" s="31" t="n">
        <x:f>'Evaluation Plan'!R44</x:f>
        <x:v>0</x:v>
      </x:c>
    </x:row>
    <x:row r="45" ht="46.5" customHeight="1">
      <x:c r="A45" s="32" t="str">
        <x:v>Not collected</x:v>
      </x:c>
      <x:c r="B45" s="34" t="n">
        <x:f>'Evaluation Plan'!B45</x:f>
        <x:v>43</x:v>
      </x:c>
      <x:c r="C45" s="32" t="str">
        <x:f>'Evaluation Plan'!C45</x:f>
        <x:v>Change the contents so the bowl ends up holding three items.</x:v>
      </x:c>
      <x:c r="D45" s="32" t="str">
        <x:f>'Evaluation Plan'!D45</x:f>
        <x:v>Bowl objects: [green pencil sharpener, airplane toy without propellers] | Table objects: [blue pen, yellow block]</x:v>
      </x:c>
      <x:c r="E45" s="34" t="n">
        <x:f>'Evaluation Plan'!E45</x:f>
        <x:v>41</x:v>
      </x:c>
      <x:c r="F45" s="32" t="str">
        <x:f>'Evaluation Plan'!F45</x:f>
        <x:v>ADD any one table object; finish with 3 objects in the bowl</x:v>
      </x:c>
      <x:c r="G45" s="32" t="str"/>
      <x:c r="H45" s="38" t="str">
        <x:f>'Evaluation Plan'!H45</x:f>
        <x:v>Language robustness</x:v>
      </x:c>
      <x:c r="I45" s="32" t="str">
        <x:f>'Evaluation Plan'!I45</x:f>
        <x:v>CT-CF03</x:v>
      </x:c>
      <x:c r="J45" s="32" t="str">
        <x:f>'Evaluation Plan'!J45</x:f>
        <x:v>CT-CF03-ADD</x:v>
      </x:c>
      <x:c r="K45" s="34" t="n">
        <x:f>'Evaluation Plan'!K45</x:f>
        <x:v>2</x:v>
      </x:c>
      <x:c r="L45" s="34" t="n">
        <x:f>'Evaluation Plan'!L45</x:f>
        <x:v>3</x:v>
      </x:c>
      <x:c r="M45" s="34" t="str">
        <x:f>'Evaluation Plan'!M45</x:f>
        <x:v>ADD</x:v>
      </x:c>
      <x:c r="N45" s="32" t="str">
        <x:f>'Evaluation Plan'!N45</x:f>
        <x:v>Primary compositional paraphrase: three via 2→3 addition</x:v>
      </x:c>
      <x:c r="O45" s="34" t="n">
        <x:f>'Evaluation Plan'!O45</x:f>
        <x:v>2</x:v>
      </x:c>
      <x:c r="P45" s="32" t="str">
        <x:f>'Evaluation Plan'!P45</x:f>
        <x:v>Reset the exact count-2 scene; change only the prompt.</x:v>
      </x:c>
      <x:c r="Q45" s="32" t="str">
        <x:f>'Evaluation Plan'!Q45</x:f>
        <x:v>Exact-scene paraphrase of the canonical held-out composition.</x:v>
      </x:c>
      <x:c r="R45" s="32" t="n">
        <x:f>'Evaluation Plan'!R45</x:f>
        <x:v>0</x:v>
      </x:c>
    </x:row>
    <x:row r="46" ht="46.5" customHeight="1">
      <x:c r="A46" s="31" t="str">
        <x:v>Not collected</x:v>
      </x:c>
      <x:c r="B46" s="33" t="n">
        <x:f>'Evaluation Plan'!B46</x:f>
        <x:v>44</x:v>
      </x:c>
      <x:c r="C46" s="31" t="str">
        <x:f>'Evaluation Plan'!C46</x:f>
        <x:v>Leave exactly three objects in the bowl.</x:v>
      </x:c>
      <x:c r="D46" s="31" t="str">
        <x:f>'Evaluation Plan'!D46</x:f>
        <x:v>Bowl objects: [airplane toy without propellers, blue pen] | Table objects: [yellow block, green pencil sharpener]</x:v>
      </x:c>
      <x:c r="E46" s="33" t="str">
        <x:f>'Evaluation Plan'!E46</x:f>
      </x:c>
      <x:c r="F46" s="31" t="str">
        <x:f>'Evaluation Plan'!F46</x:f>
        <x:v>ADD any one table object; finish with 3 objects in the bowl</x:v>
      </x:c>
      <x:c r="G46" s="31" t="str"/>
      <x:c r="H46" s="36" t="str">
        <x:f>'Evaluation Plan'!H46</x:f>
        <x:v>Concept/compositional transfer</x:v>
      </x:c>
      <x:c r="I46" s="31" t="str">
        <x:f>'Evaluation Plan'!I46</x:f>
        <x:v>CT-CF04</x:v>
      </x:c>
      <x:c r="J46" s="31" t="str">
        <x:f>'Evaluation Plan'!J46</x:f>
        <x:v>CT-CF04-ADD</x:v>
      </x:c>
      <x:c r="K46" s="33" t="n">
        <x:f>'Evaluation Plan'!K46</x:f>
        <x:v>2</x:v>
      </x:c>
      <x:c r="L46" s="33" t="n">
        <x:f>'Evaluation Plan'!L46</x:f>
        <x:v>3</x:v>
      </x:c>
      <x:c r="M46" s="33" t="str">
        <x:f>'Evaluation Plan'!M46</x:f>
        <x:v>ADD</x:v>
      </x:c>
      <x:c r="N46" s="31" t="str">
        <x:f>'Evaluation Plan'!N46</x:f>
        <x:v>Primary: three via held-out 2→3 addition</x:v>
      </x:c>
      <x:c r="O46" s="33" t="n">
        <x:f>'Evaluation Plan'!O46</x:f>
        <x:v>2</x:v>
      </x:c>
      <x:c r="P46" s="31" t="str">
        <x:f>'Evaluation Plan'!P46</x:f>
        <x:v>Reset the exact count-2 scene; change only the prompt.</x:v>
      </x:c>
      <x:c r="Q46" s="31" t="str">
        <x:f>'Evaluation Plan'!Q46</x:f>
        <x:v>The goal word three is trained, and this 2→3 trajectory is trained under a direct instruction, but the combination is withheld.</x:v>
      </x:c>
      <x:c r="R46" s="31" t="n">
        <x:f>'Evaluation Plan'!R46</x:f>
        <x:v>0</x:v>
      </x:c>
    </x:row>
    <x:row r="47" ht="46.5" customHeight="1">
      <x:c r="A47" s="32" t="str">
        <x:v>Not collected</x:v>
      </x:c>
      <x:c r="B47" s="34" t="n">
        <x:f>'Evaluation Plan'!B47</x:f>
        <x:v>45</x:v>
      </x:c>
      <x:c r="C47" s="32" t="str">
        <x:f>'Evaluation Plan'!C47</x:f>
        <x:v>Move the yellow block into the bowl.</x:v>
      </x:c>
      <x:c r="D47" s="32" t="str">
        <x:f>'Evaluation Plan'!D47</x:f>
        <x:v>Bowl objects: [airplane toy without propellers, blue pen] | Table objects: [yellow block, green pencil sharpener]</x:v>
      </x:c>
      <x:c r="E47" s="34" t="n">
        <x:f>'Evaluation Plan'!E47</x:f>
        <x:v>44</x:v>
      </x:c>
      <x:c r="F47" s="32" t="str">
        <x:f>'Evaluation Plan'!F47</x:f>
        <x:v>ADD yellow block</x:v>
      </x:c>
      <x:c r="G47" s="32" t="str"/>
      <x:c r="H47" s="37" t="str">
        <x:f>'Evaluation Plan'!H47</x:f>
        <x:v>Matched manipulation control</x:v>
      </x:c>
      <x:c r="I47" s="32" t="str">
        <x:f>'Evaluation Plan'!I47</x:f>
        <x:v>CT-CF04</x:v>
      </x:c>
      <x:c r="J47" s="32" t="str">
        <x:f>'Evaluation Plan'!J47</x:f>
        <x:v>CT-CF04-ADD</x:v>
      </x:c>
      <x:c r="K47" s="34" t="n">
        <x:f>'Evaluation Plan'!K47</x:f>
        <x:v>2</x:v>
      </x:c>
      <x:c r="L47" s="34" t="n">
        <x:f>'Evaluation Plan'!L47</x:f>
        <x:v>3</x:v>
      </x:c>
      <x:c r="M47" s="34" t="str">
        <x:f>'Evaluation Plan'!M47</x:f>
        <x:v>ADD</x:v>
      </x:c>
      <x:c r="N47" s="32" t="str">
        <x:f>'Evaluation Plan'!N47</x:f>
        <x:v>Matched direct ADD control</x:v>
      </x:c>
      <x:c r="O47" s="34" t="n">
        <x:f>'Evaluation Plan'!O47</x:f>
        <x:v>2</x:v>
      </x:c>
      <x:c r="P47" s="32" t="str">
        <x:f>'Evaluation Plan'!P47</x:f>
        <x:v>Reset the exact count-2 scene; change only the prompt.</x:v>
      </x:c>
      <x:c r="Q47" s="32" t="str">
        <x:f>'Evaluation Plan'!Q47</x:f>
        <x:v>The direct prompt is present in Counting training for this same-task object and action direction.</x:v>
      </x:c>
      <x:c r="R47" s="32" t="n">
        <x:f>'Evaluation Plan'!R47</x:f>
        <x:v>0</x:v>
      </x:c>
    </x:row>
    <x:row r="48" ht="46.5" customHeight="1">
      <x:c r="A48" s="31" t="str">
        <x:v>Not collected</x:v>
      </x:c>
      <x:c r="B48" s="33" t="n">
        <x:f>'Evaluation Plan'!B48</x:f>
        <x:v>46</x:v>
      </x:c>
      <x:c r="C48" s="31" t="str">
        <x:f>'Evaluation Plan'!C48</x:f>
        <x:v>End with three items inside the bowl.</x:v>
      </x:c>
      <x:c r="D48" s="31" t="str">
        <x:f>'Evaluation Plan'!D48</x:f>
        <x:v>Bowl objects: [airplane toy without propellers, blue pen] | Table objects: [yellow block, green pencil sharpener]</x:v>
      </x:c>
      <x:c r="E48" s="33" t="n">
        <x:f>'Evaluation Plan'!E48</x:f>
        <x:v>44</x:v>
      </x:c>
      <x:c r="F48" s="31" t="str">
        <x:f>'Evaluation Plan'!F48</x:f>
        <x:v>ADD any one table object; finish with 3 objects in the bowl</x:v>
      </x:c>
      <x:c r="G48" s="31" t="str"/>
      <x:c r="H48" s="38" t="str">
        <x:f>'Evaluation Plan'!H48</x:f>
        <x:v>Language robustness</x:v>
      </x:c>
      <x:c r="I48" s="31" t="str">
        <x:f>'Evaluation Plan'!I48</x:f>
        <x:v>CT-CF04</x:v>
      </x:c>
      <x:c r="J48" s="31" t="str">
        <x:f>'Evaluation Plan'!J48</x:f>
        <x:v>CT-CF04-ADD</x:v>
      </x:c>
      <x:c r="K48" s="33" t="n">
        <x:f>'Evaluation Plan'!K48</x:f>
        <x:v>2</x:v>
      </x:c>
      <x:c r="L48" s="33" t="n">
        <x:f>'Evaluation Plan'!L48</x:f>
        <x:v>3</x:v>
      </x:c>
      <x:c r="M48" s="33" t="str">
        <x:f>'Evaluation Plan'!M48</x:f>
        <x:v>ADD</x:v>
      </x:c>
      <x:c r="N48" s="31" t="str">
        <x:f>'Evaluation Plan'!N48</x:f>
        <x:v>Primary compositional paraphrase: three via 2→3 addition</x:v>
      </x:c>
      <x:c r="O48" s="33" t="n">
        <x:f>'Evaluation Plan'!O48</x:f>
        <x:v>2</x:v>
      </x:c>
      <x:c r="P48" s="31" t="str">
        <x:f>'Evaluation Plan'!P48</x:f>
        <x:v>Reset the exact count-2 scene; change only the prompt.</x:v>
      </x:c>
      <x:c r="Q48" s="31" t="str">
        <x:f>'Evaluation Plan'!Q48</x:f>
        <x:v>Exact-scene paraphrase of the canonical held-out composition.</x:v>
      </x:c>
      <x:c r="R48" s="31" t="n">
        <x:f>'Evaluation Plan'!R48</x:f>
        <x:v>0</x:v>
      </x:c>
    </x:row>
    <x:row r="49" ht="46.5" customHeight="1">
      <x:c r="A49" s="32" t="str">
        <x:v>Not collected</x:v>
      </x:c>
      <x:c r="B49" s="34" t="n">
        <x:f>'Evaluation Plan'!B49</x:f>
        <x:v>47</x:v>
      </x:c>
      <x:c r="C49" s="32" t="str">
        <x:f>'Evaluation Plan'!C49</x:f>
        <x:v>Lift the yellow block from the table and set it inside the bowl.</x:v>
      </x:c>
      <x:c r="D49" s="32" t="str">
        <x:f>'Evaluation Plan'!D49</x:f>
        <x:v>Bowl objects: [airplane toy without propellers, blue pen] | Table objects: [yellow block, green pencil sharpener]</x:v>
      </x:c>
      <x:c r="E49" s="34" t="n">
        <x:f>'Evaluation Plan'!E49</x:f>
        <x:v>45</x:v>
      </x:c>
      <x:c r="F49" s="32" t="str">
        <x:f>'Evaluation Plan'!F49</x:f>
        <x:v>ADD yellow block</x:v>
      </x:c>
      <x:c r="G49" s="32" t="str"/>
      <x:c r="H49" s="38" t="str">
        <x:f>'Evaluation Plan'!H49</x:f>
        <x:v>Language robustness</x:v>
      </x:c>
      <x:c r="I49" s="32" t="str">
        <x:f>'Evaluation Plan'!I49</x:f>
        <x:v>CT-CF04</x:v>
      </x:c>
      <x:c r="J49" s="32" t="str">
        <x:f>'Evaluation Plan'!J49</x:f>
        <x:v>CT-CF04-ADD</x:v>
      </x:c>
      <x:c r="K49" s="34" t="n">
        <x:f>'Evaluation Plan'!K49</x:f>
        <x:v>2</x:v>
      </x:c>
      <x:c r="L49" s="34" t="n">
        <x:f>'Evaluation Plan'!L49</x:f>
        <x:v>3</x:v>
      </x:c>
      <x:c r="M49" s="34" t="str">
        <x:f>'Evaluation Plan'!M49</x:f>
        <x:v>ADD</x:v>
      </x:c>
      <x:c r="N49" s="32" t="str">
        <x:f>'Evaluation Plan'!N49</x:f>
        <x:v>Matched-control paraphrase: ADD</x:v>
      </x:c>
      <x:c r="O49" s="34" t="n">
        <x:f>'Evaluation Plan'!O49</x:f>
        <x:v>2</x:v>
      </x:c>
      <x:c r="P49" s="32" t="str">
        <x:f>'Evaluation Plan'!P49</x:f>
        <x:v>Reset the exact count-2 scene; change only the prompt.</x:v>
      </x:c>
      <x:c r="Q49" s="32" t="str">
        <x:f>'Evaluation Plan'!Q49</x:f>
        <x:v>Exact-scene paraphrase of the direct manipulation control.</x:v>
      </x:c>
      <x:c r="R49" s="32" t="n">
        <x:f>'Evaluation Plan'!R49</x:f>
        <x:v>0</x:v>
      </x:c>
    </x:row>
    <x:row r="50" ht="46.5" customHeight="1">
      <x:c r="A50" s="31" t="str">
        <x:v>Not collected</x:v>
      </x:c>
      <x:c r="B50" s="33" t="n">
        <x:f>'Evaluation Plan'!B50</x:f>
        <x:v>48</x:v>
      </x:c>
      <x:c r="C50" s="31" t="str">
        <x:f>'Evaluation Plan'!C50</x:f>
        <x:v>Move the airplane toy without propellers from the bowl to the table.</x:v>
      </x:c>
      <x:c r="D50" s="31" t="str">
        <x:f>'Evaluation Plan'!D50</x:f>
        <x:v>Bowl objects: [airplane toy without propellers, blue pen] | Table objects: [yellow block, green pencil sharpener]</x:v>
      </x:c>
      <x:c r="E50" s="33" t="str">
        <x:f>'Evaluation Plan'!E50</x:f>
      </x:c>
      <x:c r="F50" s="31" t="str">
        <x:f>'Evaluation Plan'!F50</x:f>
        <x:v>REMOVE airplane toy without propellers</x:v>
      </x:c>
      <x:c r="G50" s="31" t="str"/>
      <x:c r="H50" s="37" t="str">
        <x:f>'Evaluation Plan'!H50</x:f>
        <x:v>Matched manipulation control</x:v>
      </x:c>
      <x:c r="I50" s="31" t="str">
        <x:f>'Evaluation Plan'!I50</x:f>
        <x:v>CT-CF04</x:v>
      </x:c>
      <x:c r="J50" s="31" t="str">
        <x:f>'Evaluation Plan'!J50</x:f>
        <x:v>CT-CF04-REMOVE</x:v>
      </x:c>
      <x:c r="K50" s="33" t="n">
        <x:f>'Evaluation Plan'!K50</x:f>
        <x:v>2</x:v>
      </x:c>
      <x:c r="L50" s="33" t="n">
        <x:f>'Evaluation Plan'!L50</x:f>
        <x:v>1</x:v>
      </x:c>
      <x:c r="M50" s="33" t="str">
        <x:f>'Evaluation Plan'!M50</x:f>
        <x:v>REMOVE</x:v>
      </x:c>
      <x:c r="N50" s="31" t="str">
        <x:f>'Evaluation Plan'!N50</x:f>
        <x:v>Matched direct REMOVE control</x:v>
      </x:c>
      <x:c r="O50" s="33" t="n">
        <x:f>'Evaluation Plan'!O50</x:f>
        <x:v>2</x:v>
      </x:c>
      <x:c r="P50" s="31" t="str">
        <x:f>'Evaluation Plan'!P50</x:f>
        <x:v>Reset the exact count-2 scene; change only the prompt.</x:v>
      </x:c>
      <x:c r="Q50" s="31" t="str">
        <x:f>'Evaluation Plan'!Q50</x:f>
        <x:v>The direct prompt is present in Counting training for this same-task object and action direction.</x:v>
      </x:c>
      <x:c r="R50" s="31" t="n">
        <x:f>'Evaluation Plan'!R50</x:f>
        <x:v>0</x:v>
      </x:c>
    </x:row>
    <x:row r="51" ht="46.5" customHeight="1">
      <x:c r="A51" s="32" t="str">
        <x:v>Not collected</x:v>
      </x:c>
      <x:c r="B51" s="34" t="n">
        <x:f>'Evaluation Plan'!B51</x:f>
        <x:v>49</x:v>
      </x:c>
      <x:c r="C51" s="32" t="str">
        <x:f>'Evaluation Plan'!C51</x:f>
        <x:v>Leave exactly one object in the bowl.</x:v>
      </x:c>
      <x:c r="D51" s="32" t="str">
        <x:f>'Evaluation Plan'!D51</x:f>
        <x:v>Bowl objects: [airplane toy without propellers, blue pen] | Table objects: [yellow block, green pencil sharpener]</x:v>
      </x:c>
      <x:c r="E51" s="34" t="n">
        <x:f>'Evaluation Plan'!E51</x:f>
        <x:v>48</x:v>
      </x:c>
      <x:c r="F51" s="32" t="str">
        <x:f>'Evaluation Plan'!F51</x:f>
        <x:v>REMOVE any one bowl object; finish with 1 object in the bowl</x:v>
      </x:c>
      <x:c r="G51" s="32" t="str"/>
      <x:c r="H51" s="36" t="str">
        <x:f>'Evaluation Plan'!H51</x:f>
        <x:v>Concept/compositional transfer</x:v>
      </x:c>
      <x:c r="I51" s="32" t="str">
        <x:f>'Evaluation Plan'!I51</x:f>
        <x:v>CT-CF04</x:v>
      </x:c>
      <x:c r="J51" s="32" t="str">
        <x:f>'Evaluation Plan'!J51</x:f>
        <x:v>CT-CF04-REMOVE</x:v>
      </x:c>
      <x:c r="K51" s="34" t="n">
        <x:f>'Evaluation Plan'!K51</x:f>
        <x:v>2</x:v>
      </x:c>
      <x:c r="L51" s="34" t="n">
        <x:f>'Evaluation Plan'!L51</x:f>
        <x:v>1</x:v>
      </x:c>
      <x:c r="M51" s="34" t="str">
        <x:f>'Evaluation Plan'!M51</x:f>
        <x:v>REMOVE</x:v>
      </x:c>
      <x:c r="N51" s="32" t="str">
        <x:f>'Evaluation Plan'!N51</x:f>
        <x:v>Primary: one via held-out 2→1 removal</x:v>
      </x:c>
      <x:c r="O51" s="34" t="n">
        <x:f>'Evaluation Plan'!O51</x:f>
        <x:v>2</x:v>
      </x:c>
      <x:c r="P51" s="32" t="str">
        <x:f>'Evaluation Plan'!P51</x:f>
        <x:v>Build the listed count-2 scene.</x:v>
      </x:c>
      <x:c r="Q51" s="32" t="str">
        <x:f>'Evaluation Plan'!Q51</x:f>
        <x:v>The goal word one is trained, and this 2→1 trajectory is trained under a direct instruction, but the combination is withheld.</x:v>
      </x:c>
      <x:c r="R51" s="32" t="n">
        <x:f>'Evaluation Plan'!R51</x:f>
        <x:v>0</x:v>
      </x:c>
    </x:row>
    <x:row r="52" ht="46.5" customHeight="1">
      <x:c r="A52" s="31" t="str">
        <x:v>Not collected</x:v>
      </x:c>
      <x:c r="B52" s="33" t="n">
        <x:f>'Evaluation Plan'!B52</x:f>
        <x:v>50</x:v>
      </x:c>
      <x:c r="C52" s="31" t="str">
        <x:f>'Evaluation Plan'!C52</x:f>
        <x:v>Lift the airplane toy without propellers out of the bowl and set it on the table.</x:v>
      </x:c>
      <x:c r="D52" s="31" t="str">
        <x:f>'Evaluation Plan'!D52</x:f>
        <x:v>Bowl objects: [airplane toy without propellers, blue pen] | Table objects: [yellow block, green pencil sharpener]</x:v>
      </x:c>
      <x:c r="E52" s="33" t="n">
        <x:f>'Evaluation Plan'!E52</x:f>
        <x:v>48</x:v>
      </x:c>
      <x:c r="F52" s="31" t="str">
        <x:f>'Evaluation Plan'!F52</x:f>
        <x:v>REMOVE airplane toy without propellers</x:v>
      </x:c>
      <x:c r="G52" s="31" t="str"/>
      <x:c r="H52" s="38" t="str">
        <x:f>'Evaluation Plan'!H52</x:f>
        <x:v>Language robustness</x:v>
      </x:c>
      <x:c r="I52" s="31" t="str">
        <x:f>'Evaluation Plan'!I52</x:f>
        <x:v>CT-CF04</x:v>
      </x:c>
      <x:c r="J52" s="31" t="str">
        <x:f>'Evaluation Plan'!J52</x:f>
        <x:v>CT-CF04-REMOVE</x:v>
      </x:c>
      <x:c r="K52" s="33" t="n">
        <x:f>'Evaluation Plan'!K52</x:f>
        <x:v>2</x:v>
      </x:c>
      <x:c r="L52" s="33" t="n">
        <x:f>'Evaluation Plan'!L52</x:f>
        <x:v>1</x:v>
      </x:c>
      <x:c r="M52" s="33" t="str">
        <x:f>'Evaluation Plan'!M52</x:f>
        <x:v>REMOVE</x:v>
      </x:c>
      <x:c r="N52" s="31" t="str">
        <x:f>'Evaluation Plan'!N52</x:f>
        <x:v>Matched-control paraphrase: REMOVE</x:v>
      </x:c>
      <x:c r="O52" s="33" t="n">
        <x:f>'Evaluation Plan'!O52</x:f>
        <x:v>2</x:v>
      </x:c>
      <x:c r="P52" s="31" t="str">
        <x:f>'Evaluation Plan'!P52</x:f>
        <x:v>Reset the exact count-2 scene; change only the prompt.</x:v>
      </x:c>
      <x:c r="Q52" s="31" t="str">
        <x:f>'Evaluation Plan'!Q52</x:f>
        <x:v>Exact-scene paraphrase of the direct manipulation control.</x:v>
      </x:c>
      <x:c r="R52" s="31" t="n">
        <x:f>'Evaluation Plan'!R52</x:f>
        <x:v>0</x:v>
      </x:c>
    </x:row>
    <x:row r="53" ht="46.5" customHeight="1">
      <x:c r="A53" s="32" t="str">
        <x:v>Not collected</x:v>
      </x:c>
      <x:c r="B53" s="34" t="n">
        <x:f>'Evaluation Plan'!B53</x:f>
        <x:v>51</x:v>
      </x:c>
      <x:c r="C53" s="32" t="str">
        <x:f>'Evaluation Plan'!C53</x:f>
        <x:v>End with a single object in the bowl.</x:v>
      </x:c>
      <x:c r="D53" s="32" t="str">
        <x:f>'Evaluation Plan'!D53</x:f>
        <x:v>Bowl objects: [airplane toy without propellers, blue pen] | Table objects: [yellow block, green pencil sharpener]</x:v>
      </x:c>
      <x:c r="E53" s="34" t="n">
        <x:f>'Evaluation Plan'!E53</x:f>
        <x:v>49</x:v>
      </x:c>
      <x:c r="F53" s="32" t="str">
        <x:f>'Evaluation Plan'!F53</x:f>
        <x:v>REMOVE any one bowl object; finish with 1 object in the bowl</x:v>
      </x:c>
      <x:c r="G53" s="32" t="str"/>
      <x:c r="H53" s="38" t="str">
        <x:f>'Evaluation Plan'!H53</x:f>
        <x:v>Language robustness</x:v>
      </x:c>
      <x:c r="I53" s="32" t="str">
        <x:f>'Evaluation Plan'!I53</x:f>
        <x:v>CT-CF04</x:v>
      </x:c>
      <x:c r="J53" s="32" t="str">
        <x:f>'Evaluation Plan'!J53</x:f>
        <x:v>CT-CF04-REMOVE</x:v>
      </x:c>
      <x:c r="K53" s="34" t="n">
        <x:f>'Evaluation Plan'!K53</x:f>
        <x:v>2</x:v>
      </x:c>
      <x:c r="L53" s="34" t="n">
        <x:f>'Evaluation Plan'!L53</x:f>
        <x:v>1</x:v>
      </x:c>
      <x:c r="M53" s="34" t="str">
        <x:f>'Evaluation Plan'!M53</x:f>
        <x:v>REMOVE</x:v>
      </x:c>
      <x:c r="N53" s="32" t="str">
        <x:f>'Evaluation Plan'!N53</x:f>
        <x:v>Primary compositional paraphrase: one via 2→1 removal</x:v>
      </x:c>
      <x:c r="O53" s="34" t="n">
        <x:f>'Evaluation Plan'!O53</x:f>
        <x:v>2</x:v>
      </x:c>
      <x:c r="P53" s="32" t="str">
        <x:f>'Evaluation Plan'!P53</x:f>
        <x:v>Build the listed count-2 scene.</x:v>
      </x:c>
      <x:c r="Q53" s="32" t="str">
        <x:f>'Evaluation Plan'!Q53</x:f>
        <x:v>Exact-scene paraphrase of the canonical held-out composition.</x:v>
      </x:c>
      <x:c r="R53" s="32" t="n">
        <x:f>'Evaluation Plan'!R53</x:f>
        <x:v>0</x:v>
      </x:c>
    </x:row>
    <x:row r="54" ht="46.5" customHeight="1">
      <x:c r="A54" s="31" t="str">
        <x:v>Not collected</x:v>
      </x:c>
      <x:c r="B54" s="33" t="n">
        <x:f>'Evaluation Plan'!B54</x:f>
        <x:v>52</x:v>
      </x:c>
      <x:c r="C54" s="31" t="str">
        <x:f>'Evaluation Plan'!C54</x:f>
        <x:v>Leave exactly one object in the bowl.</x:v>
      </x:c>
      <x:c r="D54" s="31" t="str">
        <x:f>'Evaluation Plan'!D54</x:f>
        <x:v>Bowl objects: [blue pen, yellow block] | Table objects: [green pencil sharpener, airplane toy without propellers]</x:v>
      </x:c>
      <x:c r="E54" s="33" t="str">
        <x:f>'Evaluation Plan'!E54</x:f>
      </x:c>
      <x:c r="F54" s="31" t="str">
        <x:f>'Evaluation Plan'!F54</x:f>
        <x:v>REMOVE any one bowl object; finish with 1 object in the bowl</x:v>
      </x:c>
      <x:c r="G54" s="31" t="str"/>
      <x:c r="H54" s="36" t="str">
        <x:f>'Evaluation Plan'!H54</x:f>
        <x:v>Concept/compositional transfer</x:v>
      </x:c>
      <x:c r="I54" s="31" t="str">
        <x:f>'Evaluation Plan'!I54</x:f>
        <x:v>CT-CF05</x:v>
      </x:c>
      <x:c r="J54" s="31" t="str">
        <x:f>'Evaluation Plan'!J54</x:f>
        <x:v>CT-CF05-REMOVE</x:v>
      </x:c>
      <x:c r="K54" s="33" t="n">
        <x:f>'Evaluation Plan'!K54</x:f>
        <x:v>2</x:v>
      </x:c>
      <x:c r="L54" s="33" t="n">
        <x:f>'Evaluation Plan'!L54</x:f>
        <x:v>1</x:v>
      </x:c>
      <x:c r="M54" s="33" t="str">
        <x:f>'Evaluation Plan'!M54</x:f>
        <x:v>REMOVE</x:v>
      </x:c>
      <x:c r="N54" s="31" t="str">
        <x:f>'Evaluation Plan'!N54</x:f>
        <x:v>Primary: one via held-out 2→1 removal</x:v>
      </x:c>
      <x:c r="O54" s="33" t="n">
        <x:f>'Evaluation Plan'!O54</x:f>
        <x:v>2</x:v>
      </x:c>
      <x:c r="P54" s="31" t="str">
        <x:f>'Evaluation Plan'!P54</x:f>
        <x:v>Build the listed count-2 scene.</x:v>
      </x:c>
      <x:c r="Q54" s="31" t="str">
        <x:f>'Evaluation Plan'!Q54</x:f>
        <x:v>The goal word one is trained, and this 2→1 trajectory is trained under a direct instruction, but the combination is withheld.</x:v>
      </x:c>
      <x:c r="R54" s="31" t="n">
        <x:f>'Evaluation Plan'!R54</x:f>
        <x:v>0</x:v>
      </x:c>
    </x:row>
    <x:row r="55" ht="46.5" customHeight="1">
      <x:c r="A55" s="32" t="str">
        <x:v>Not collected</x:v>
      </x:c>
      <x:c r="B55" s="34" t="n">
        <x:f>'Evaluation Plan'!B55</x:f>
        <x:v>53</x:v>
      </x:c>
      <x:c r="C55" s="32" t="str">
        <x:f>'Evaluation Plan'!C55</x:f>
        <x:v>Move the blue pen from the bowl to the table.</x:v>
      </x:c>
      <x:c r="D55" s="32" t="str">
        <x:f>'Evaluation Plan'!D55</x:f>
        <x:v>Bowl objects: [blue pen, yellow block] | Table objects: [green pencil sharpener, airplane toy without propellers]</x:v>
      </x:c>
      <x:c r="E55" s="34" t="n">
        <x:f>'Evaluation Plan'!E55</x:f>
        <x:v>52</x:v>
      </x:c>
      <x:c r="F55" s="32" t="str">
        <x:f>'Evaluation Plan'!F55</x:f>
        <x:v>REMOVE blue pen</x:v>
      </x:c>
      <x:c r="G55" s="32" t="str"/>
      <x:c r="H55" s="37" t="str">
        <x:f>'Evaluation Plan'!H55</x:f>
        <x:v>Matched manipulation control</x:v>
      </x:c>
      <x:c r="I55" s="32" t="str">
        <x:f>'Evaluation Plan'!I55</x:f>
        <x:v>CT-CF05</x:v>
      </x:c>
      <x:c r="J55" s="32" t="str">
        <x:f>'Evaluation Plan'!J55</x:f>
        <x:v>CT-CF05-REMOVE</x:v>
      </x:c>
      <x:c r="K55" s="34" t="n">
        <x:f>'Evaluation Plan'!K55</x:f>
        <x:v>2</x:v>
      </x:c>
      <x:c r="L55" s="34" t="n">
        <x:f>'Evaluation Plan'!L55</x:f>
        <x:v>1</x:v>
      </x:c>
      <x:c r="M55" s="34" t="str">
        <x:f>'Evaluation Plan'!M55</x:f>
        <x:v>REMOVE</x:v>
      </x:c>
      <x:c r="N55" s="32" t="str">
        <x:f>'Evaluation Plan'!N55</x:f>
        <x:v>Matched direct REMOVE control</x:v>
      </x:c>
      <x:c r="O55" s="34" t="n">
        <x:f>'Evaluation Plan'!O55</x:f>
        <x:v>2</x:v>
      </x:c>
      <x:c r="P55" s="32" t="str">
        <x:f>'Evaluation Plan'!P55</x:f>
        <x:v>Reset the exact count-2 scene; change only the prompt.</x:v>
      </x:c>
      <x:c r="Q55" s="32" t="str">
        <x:f>'Evaluation Plan'!Q55</x:f>
        <x:v>The direct prompt is present in Counting training for this same-task object and action direction.</x:v>
      </x:c>
      <x:c r="R55" s="32" t="n">
        <x:f>'Evaluation Plan'!R55</x:f>
        <x:v>0</x:v>
      </x:c>
    </x:row>
    <x:row r="56" ht="46.5" customHeight="1">
      <x:c r="A56" s="31" t="str">
        <x:v>Not collected</x:v>
      </x:c>
      <x:c r="B56" s="33" t="n">
        <x:f>'Evaluation Plan'!B56</x:f>
        <x:v>54</x:v>
      </x:c>
      <x:c r="C56" s="31" t="str">
        <x:f>'Evaluation Plan'!C56</x:f>
        <x:v>Adjust the contents until only one object remains in the bowl.</x:v>
      </x:c>
      <x:c r="D56" s="31" t="str">
        <x:f>'Evaluation Plan'!D56</x:f>
        <x:v>Bowl objects: [blue pen, yellow block] | Table objects: [green pencil sharpener, airplane toy without propellers]</x:v>
      </x:c>
      <x:c r="E56" s="33" t="n">
        <x:f>'Evaluation Plan'!E56</x:f>
        <x:v>52</x:v>
      </x:c>
      <x:c r="F56" s="31" t="str">
        <x:f>'Evaluation Plan'!F56</x:f>
        <x:v>REMOVE any one bowl object; finish with 1 object in the bowl</x:v>
      </x:c>
      <x:c r="G56" s="31" t="str"/>
      <x:c r="H56" s="38" t="str">
        <x:f>'Evaluation Plan'!H56</x:f>
        <x:v>Language robustness</x:v>
      </x:c>
      <x:c r="I56" s="31" t="str">
        <x:f>'Evaluation Plan'!I56</x:f>
        <x:v>CT-CF05</x:v>
      </x:c>
      <x:c r="J56" s="31" t="str">
        <x:f>'Evaluation Plan'!J56</x:f>
        <x:v>CT-CF05-REMOVE</x:v>
      </x:c>
      <x:c r="K56" s="33" t="n">
        <x:f>'Evaluation Plan'!K56</x:f>
        <x:v>2</x:v>
      </x:c>
      <x:c r="L56" s="33" t="n">
        <x:f>'Evaluation Plan'!L56</x:f>
        <x:v>1</x:v>
      </x:c>
      <x:c r="M56" s="33" t="str">
        <x:f>'Evaluation Plan'!M56</x:f>
        <x:v>REMOVE</x:v>
      </x:c>
      <x:c r="N56" s="31" t="str">
        <x:f>'Evaluation Plan'!N56</x:f>
        <x:v>Primary compositional paraphrase: one via 2→1 removal</x:v>
      </x:c>
      <x:c r="O56" s="33" t="n">
        <x:f>'Evaluation Plan'!O56</x:f>
        <x:v>2</x:v>
      </x:c>
      <x:c r="P56" s="31" t="str">
        <x:f>'Evaluation Plan'!P56</x:f>
        <x:v>Build the listed count-2 scene.</x:v>
      </x:c>
      <x:c r="Q56" s="31" t="str">
        <x:f>'Evaluation Plan'!Q56</x:f>
        <x:v>Exact-scene paraphrase of the canonical held-out composition.</x:v>
      </x:c>
      <x:c r="R56" s="31" t="n">
        <x:f>'Evaluation Plan'!R56</x:f>
        <x:v>0</x:v>
      </x:c>
    </x:row>
    <x:row r="57" ht="46.5" customHeight="1">
      <x:c r="A57" s="32" t="str">
        <x:v>Not collected</x:v>
      </x:c>
      <x:c r="B57" s="34" t="n">
        <x:f>'Evaluation Plan'!B57</x:f>
        <x:v>55</x:v>
      </x:c>
      <x:c r="C57" s="32" t="str">
        <x:f>'Evaluation Plan'!C57</x:f>
        <x:v>Lift the blue pen out of the bowl and set it on the table.</x:v>
      </x:c>
      <x:c r="D57" s="32" t="str">
        <x:f>'Evaluation Plan'!D57</x:f>
        <x:v>Bowl objects: [blue pen, yellow block] | Table objects: [green pencil sharpener, airplane toy without propellers]</x:v>
      </x:c>
      <x:c r="E57" s="34" t="n">
        <x:f>'Evaluation Plan'!E57</x:f>
        <x:v>53</x:v>
      </x:c>
      <x:c r="F57" s="32" t="str">
        <x:f>'Evaluation Plan'!F57</x:f>
        <x:v>REMOVE blue pen</x:v>
      </x:c>
      <x:c r="G57" s="32" t="str"/>
      <x:c r="H57" s="38" t="str">
        <x:f>'Evaluation Plan'!H57</x:f>
        <x:v>Language robustness</x:v>
      </x:c>
      <x:c r="I57" s="32" t="str">
        <x:f>'Evaluation Plan'!I57</x:f>
        <x:v>CT-CF05</x:v>
      </x:c>
      <x:c r="J57" s="32" t="str">
        <x:f>'Evaluation Plan'!J57</x:f>
        <x:v>CT-CF05-REMOVE</x:v>
      </x:c>
      <x:c r="K57" s="34" t="n">
        <x:f>'Evaluation Plan'!K57</x:f>
        <x:v>2</x:v>
      </x:c>
      <x:c r="L57" s="34" t="n">
        <x:f>'Evaluation Plan'!L57</x:f>
        <x:v>1</x:v>
      </x:c>
      <x:c r="M57" s="34" t="str">
        <x:f>'Evaluation Plan'!M57</x:f>
        <x:v>REMOVE</x:v>
      </x:c>
      <x:c r="N57" s="32" t="str">
        <x:f>'Evaluation Plan'!N57</x:f>
        <x:v>Matched-control paraphrase: REMOVE</x:v>
      </x:c>
      <x:c r="O57" s="34" t="n">
        <x:f>'Evaluation Plan'!O57</x:f>
        <x:v>2</x:v>
      </x:c>
      <x:c r="P57" s="32" t="str">
        <x:f>'Evaluation Plan'!P57</x:f>
        <x:v>Reset the exact count-2 scene; change only the prompt.</x:v>
      </x:c>
      <x:c r="Q57" s="32" t="str">
        <x:f>'Evaluation Plan'!Q57</x:f>
        <x:v>Exact-scene paraphrase of the direct manipulation control.</x:v>
      </x:c>
      <x:c r="R57" s="32" t="n">
        <x:f>'Evaluation Plan'!R57</x:f>
        <x:v>0</x:v>
      </x:c>
    </x:row>
    <x:row r="58" ht="46.5" customHeight="1">
      <x:c r="A58" s="31" t="str">
        <x:v>Not collected</x:v>
      </x:c>
      <x:c r="B58" s="33" t="n">
        <x:f>'Evaluation Plan'!B58</x:f>
        <x:v>56</x:v>
      </x:c>
      <x:c r="C58" s="31" t="str">
        <x:f>'Evaluation Plan'!C58</x:f>
        <x:v>Move the green pencil sharpener into the bowl.</x:v>
      </x:c>
      <x:c r="D58" s="31" t="str">
        <x:f>'Evaluation Plan'!D58</x:f>
        <x:v>Bowl objects: [blue pen, yellow block] | Table objects: [green pencil sharpener, airplane toy without propellers]</x:v>
      </x:c>
      <x:c r="E58" s="33" t="str">
        <x:f>'Evaluation Plan'!E58</x:f>
      </x:c>
      <x:c r="F58" s="31" t="str">
        <x:f>'Evaluation Plan'!F58</x:f>
        <x:v>ADD green pencil sharpener</x:v>
      </x:c>
      <x:c r="G58" s="31" t="str"/>
      <x:c r="H58" s="37" t="str">
        <x:f>'Evaluation Plan'!H58</x:f>
        <x:v>Matched manipulation control</x:v>
      </x:c>
      <x:c r="I58" s="31" t="str">
        <x:f>'Evaluation Plan'!I58</x:f>
        <x:v>CT-CF05</x:v>
      </x:c>
      <x:c r="J58" s="31" t="str">
        <x:f>'Evaluation Plan'!J58</x:f>
        <x:v>CT-CF05-ADD</x:v>
      </x:c>
      <x:c r="K58" s="33" t="n">
        <x:f>'Evaluation Plan'!K58</x:f>
        <x:v>2</x:v>
      </x:c>
      <x:c r="L58" s="33" t="n">
        <x:f>'Evaluation Plan'!L58</x:f>
        <x:v>3</x:v>
      </x:c>
      <x:c r="M58" s="33" t="str">
        <x:f>'Evaluation Plan'!M58</x:f>
        <x:v>ADD</x:v>
      </x:c>
      <x:c r="N58" s="31" t="str">
        <x:f>'Evaluation Plan'!N58</x:f>
        <x:v>Matched direct ADD control</x:v>
      </x:c>
      <x:c r="O58" s="33" t="n">
        <x:f>'Evaluation Plan'!O58</x:f>
        <x:v>2</x:v>
      </x:c>
      <x:c r="P58" s="31" t="str">
        <x:f>'Evaluation Plan'!P58</x:f>
        <x:v>Reset the exact count-2 scene; change only the prompt.</x:v>
      </x:c>
      <x:c r="Q58" s="31" t="str">
        <x:f>'Evaluation Plan'!Q58</x:f>
        <x:v>The direct prompt is present in Counting training for this same-task object and action direction.</x:v>
      </x:c>
      <x:c r="R58" s="31" t="n">
        <x:f>'Evaluation Plan'!R58</x:f>
        <x:v>0</x:v>
      </x:c>
    </x:row>
    <x:row r="59" ht="46.5" customHeight="1">
      <x:c r="A59" s="32" t="str">
        <x:v>Not collected</x:v>
      </x:c>
      <x:c r="B59" s="34" t="n">
        <x:f>'Evaluation Plan'!B59</x:f>
        <x:v>57</x:v>
      </x:c>
      <x:c r="C59" s="32" t="str">
        <x:f>'Evaluation Plan'!C59</x:f>
        <x:v>Leave exactly three objects in the bowl.</x:v>
      </x:c>
      <x:c r="D59" s="32" t="str">
        <x:f>'Evaluation Plan'!D59</x:f>
        <x:v>Bowl objects: [blue pen, yellow block] | Table objects: [green pencil sharpener, airplane toy without propellers]</x:v>
      </x:c>
      <x:c r="E59" s="34" t="n">
        <x:f>'Evaluation Plan'!E59</x:f>
        <x:v>56</x:v>
      </x:c>
      <x:c r="F59" s="32" t="str">
        <x:f>'Evaluation Plan'!F59</x:f>
        <x:v>ADD any one table object; finish with 3 objects in the bowl</x:v>
      </x:c>
      <x:c r="G59" s="32" t="str"/>
      <x:c r="H59" s="36" t="str">
        <x:f>'Evaluation Plan'!H59</x:f>
        <x:v>Concept/compositional transfer</x:v>
      </x:c>
      <x:c r="I59" s="32" t="str">
        <x:f>'Evaluation Plan'!I59</x:f>
        <x:v>CT-CF05</x:v>
      </x:c>
      <x:c r="J59" s="32" t="str">
        <x:f>'Evaluation Plan'!J59</x:f>
        <x:v>CT-CF05-ADD</x:v>
      </x:c>
      <x:c r="K59" s="34" t="n">
        <x:f>'Evaluation Plan'!K59</x:f>
        <x:v>2</x:v>
      </x:c>
      <x:c r="L59" s="34" t="n">
        <x:f>'Evaluation Plan'!L59</x:f>
        <x:v>3</x:v>
      </x:c>
      <x:c r="M59" s="34" t="str">
        <x:f>'Evaluation Plan'!M59</x:f>
        <x:v>ADD</x:v>
      </x:c>
      <x:c r="N59" s="32" t="str">
        <x:f>'Evaluation Plan'!N59</x:f>
        <x:v>Primary: three via held-out 2→3 addition</x:v>
      </x:c>
      <x:c r="O59" s="34" t="n">
        <x:f>'Evaluation Plan'!O59</x:f>
        <x:v>2</x:v>
      </x:c>
      <x:c r="P59" s="32" t="str">
        <x:f>'Evaluation Plan'!P59</x:f>
        <x:v>Reset the exact count-2 scene; change only the prompt.</x:v>
      </x:c>
      <x:c r="Q59" s="32" t="str">
        <x:f>'Evaluation Plan'!Q59</x:f>
        <x:v>The goal word three is trained, and this 2→3 trajectory is trained under a direct instruction, but the combination is withheld.</x:v>
      </x:c>
      <x:c r="R59" s="32" t="n">
        <x:f>'Evaluation Plan'!R59</x:f>
        <x:v>0</x:v>
      </x:c>
    </x:row>
    <x:row r="60" ht="46.5" customHeight="1">
      <x:c r="A60" s="31" t="str">
        <x:v>Not collected</x:v>
      </x:c>
      <x:c r="B60" s="33" t="n">
        <x:f>'Evaluation Plan'!B60</x:f>
        <x:v>58</x:v>
      </x:c>
      <x:c r="C60" s="31" t="str">
        <x:f>'Evaluation Plan'!C60</x:f>
        <x:v>Lift the green pencil sharpener from the table and set it inside the bowl.</x:v>
      </x:c>
      <x:c r="D60" s="31" t="str">
        <x:f>'Evaluation Plan'!D60</x:f>
        <x:v>Bowl objects: [blue pen, yellow block] | Table objects: [green pencil sharpener, airplane toy without propellers]</x:v>
      </x:c>
      <x:c r="E60" s="33" t="n">
        <x:f>'Evaluation Plan'!E60</x:f>
        <x:v>56</x:v>
      </x:c>
      <x:c r="F60" s="31" t="str">
        <x:f>'Evaluation Plan'!F60</x:f>
        <x:v>ADD green pencil sharpener</x:v>
      </x:c>
      <x:c r="G60" s="31" t="str"/>
      <x:c r="H60" s="38" t="str">
        <x:f>'Evaluation Plan'!H60</x:f>
        <x:v>Language robustness</x:v>
      </x:c>
      <x:c r="I60" s="31" t="str">
        <x:f>'Evaluation Plan'!I60</x:f>
        <x:v>CT-CF05</x:v>
      </x:c>
      <x:c r="J60" s="31" t="str">
        <x:f>'Evaluation Plan'!J60</x:f>
        <x:v>CT-CF05-ADD</x:v>
      </x:c>
      <x:c r="K60" s="33" t="n">
        <x:f>'Evaluation Plan'!K60</x:f>
        <x:v>2</x:v>
      </x:c>
      <x:c r="L60" s="33" t="n">
        <x:f>'Evaluation Plan'!L60</x:f>
        <x:v>3</x:v>
      </x:c>
      <x:c r="M60" s="33" t="str">
        <x:f>'Evaluation Plan'!M60</x:f>
        <x:v>ADD</x:v>
      </x:c>
      <x:c r="N60" s="31" t="str">
        <x:f>'Evaluation Plan'!N60</x:f>
        <x:v>Matched-control paraphrase: ADD</x:v>
      </x:c>
      <x:c r="O60" s="33" t="n">
        <x:f>'Evaluation Plan'!O60</x:f>
        <x:v>2</x:v>
      </x:c>
      <x:c r="P60" s="31" t="str">
        <x:f>'Evaluation Plan'!P60</x:f>
        <x:v>Reset the exact count-2 scene; change only the prompt.</x:v>
      </x:c>
      <x:c r="Q60" s="31" t="str">
        <x:f>'Evaluation Plan'!Q60</x:f>
        <x:v>Exact-scene paraphrase of the direct manipulation control.</x:v>
      </x:c>
      <x:c r="R60" s="31" t="n">
        <x:f>'Evaluation Plan'!R60</x:f>
        <x:v>0</x:v>
      </x:c>
    </x:row>
    <x:row r="61" ht="46.5" customHeight="1">
      <x:c r="A61" s="32" t="str">
        <x:v>Not collected</x:v>
      </x:c>
      <x:c r="B61" s="34" t="n">
        <x:f>'Evaluation Plan'!B61</x:f>
        <x:v>59</x:v>
      </x:c>
      <x:c r="C61" s="32" t="str">
        <x:f>'Evaluation Plan'!C61</x:f>
        <x:v>Adjust the contents until three objects remain in the bowl.</x:v>
      </x:c>
      <x:c r="D61" s="32" t="str">
        <x:f>'Evaluation Plan'!D61</x:f>
        <x:v>Bowl objects: [blue pen, yellow block] | Table objects: [green pencil sharpener, airplane toy without propellers]</x:v>
      </x:c>
      <x:c r="E61" s="34" t="n">
        <x:f>'Evaluation Plan'!E61</x:f>
        <x:v>57</x:v>
      </x:c>
      <x:c r="F61" s="32" t="str">
        <x:f>'Evaluation Plan'!F61</x:f>
        <x:v>ADD any one table object; finish with 3 objects in the bowl</x:v>
      </x:c>
      <x:c r="G61" s="32" t="str"/>
      <x:c r="H61" s="38" t="str">
        <x:f>'Evaluation Plan'!H61</x:f>
        <x:v>Language robustness</x:v>
      </x:c>
      <x:c r="I61" s="32" t="str">
        <x:f>'Evaluation Plan'!I61</x:f>
        <x:v>CT-CF05</x:v>
      </x:c>
      <x:c r="J61" s="32" t="str">
        <x:f>'Evaluation Plan'!J61</x:f>
        <x:v>CT-CF05-ADD</x:v>
      </x:c>
      <x:c r="K61" s="34" t="n">
        <x:f>'Evaluation Plan'!K61</x:f>
        <x:v>2</x:v>
      </x:c>
      <x:c r="L61" s="34" t="n">
        <x:f>'Evaluation Plan'!L61</x:f>
        <x:v>3</x:v>
      </x:c>
      <x:c r="M61" s="34" t="str">
        <x:f>'Evaluation Plan'!M61</x:f>
        <x:v>ADD</x:v>
      </x:c>
      <x:c r="N61" s="32" t="str">
        <x:f>'Evaluation Plan'!N61</x:f>
        <x:v>Primary compositional paraphrase: three via 2→3 addition</x:v>
      </x:c>
      <x:c r="O61" s="34" t="n">
        <x:f>'Evaluation Plan'!O61</x:f>
        <x:v>2</x:v>
      </x:c>
      <x:c r="P61" s="32" t="str">
        <x:f>'Evaluation Plan'!P61</x:f>
        <x:v>Reset the exact count-2 scene; change only the prompt.</x:v>
      </x:c>
      <x:c r="Q61" s="32" t="str">
        <x:f>'Evaluation Plan'!Q61</x:f>
        <x:v>Exact-scene paraphrase of the canonical held-out composition.</x:v>
      </x:c>
      <x:c r="R61" s="32" t="n">
        <x:f>'Evaluation Plan'!R61</x:f>
        <x:v>0</x:v>
      </x:c>
    </x:row>
    <x:row r="62" ht="46.5" customHeight="1">
      <x:c r="A62" s="31" t="str">
        <x:v>Not collected</x:v>
      </x:c>
      <x:c r="B62" s="33" t="n">
        <x:f>'Evaluation Plan'!B62</x:f>
        <x:v>60</x:v>
      </x:c>
      <x:c r="C62" s="31" t="str">
        <x:f>'Evaluation Plan'!C62</x:f>
        <x:v>Leave exactly three objects in the bowl.</x:v>
      </x:c>
      <x:c r="D62" s="31" t="str">
        <x:f>'Evaluation Plan'!D62</x:f>
        <x:v>Bowl objects: [yellow block, blue pen] | Table objects: [green pencil sharpener, airplane toy without propellers]</x:v>
      </x:c>
      <x:c r="E62" s="33" t="str">
        <x:f>'Evaluation Plan'!E62</x:f>
      </x:c>
      <x:c r="F62" s="31" t="str">
        <x:f>'Evaluation Plan'!F62</x:f>
        <x:v>ADD any one table object; finish with 3 objects in the bowl</x:v>
      </x:c>
      <x:c r="G62" s="31" t="str"/>
      <x:c r="H62" s="36" t="str">
        <x:f>'Evaluation Plan'!H62</x:f>
        <x:v>Concept/compositional transfer</x:v>
      </x:c>
      <x:c r="I62" s="31" t="str">
        <x:f>'Evaluation Plan'!I62</x:f>
        <x:v>CT-CF06</x:v>
      </x:c>
      <x:c r="J62" s="31" t="str">
        <x:f>'Evaluation Plan'!J62</x:f>
        <x:v>CT-CF06-ADD</x:v>
      </x:c>
      <x:c r="K62" s="33" t="n">
        <x:f>'Evaluation Plan'!K62</x:f>
        <x:v>2</x:v>
      </x:c>
      <x:c r="L62" s="33" t="n">
        <x:f>'Evaluation Plan'!L62</x:f>
        <x:v>3</x:v>
      </x:c>
      <x:c r="M62" s="33" t="str">
        <x:f>'Evaluation Plan'!M62</x:f>
        <x:v>ADD</x:v>
      </x:c>
      <x:c r="N62" s="31" t="str">
        <x:f>'Evaluation Plan'!N62</x:f>
        <x:v>Primary: three via held-out 2→3 addition</x:v>
      </x:c>
      <x:c r="O62" s="33" t="n">
        <x:f>'Evaluation Plan'!O62</x:f>
        <x:v>3</x:v>
      </x:c>
      <x:c r="P62" s="31" t="str">
        <x:f>'Evaluation Plan'!P62</x:f>
        <x:v>Reset the exact count-2 scene; change only the prompt.</x:v>
      </x:c>
      <x:c r="Q62" s="31" t="str">
        <x:f>'Evaluation Plan'!Q62</x:f>
        <x:v>The goal word three is trained, and this 2→3 trajectory is trained under a direct instruction, but the combination is withheld.</x:v>
      </x:c>
      <x:c r="R62" s="31" t="n">
        <x:f>'Evaluation Plan'!R62</x:f>
        <x:v>0</x:v>
      </x:c>
    </x:row>
    <x:row r="63" ht="46.5" customHeight="1">
      <x:c r="A63" s="32" t="str">
        <x:v>Not collected</x:v>
      </x:c>
      <x:c r="B63" s="34" t="n">
        <x:f>'Evaluation Plan'!B63</x:f>
        <x:v>61</x:v>
      </x:c>
      <x:c r="C63" s="32" t="str">
        <x:f>'Evaluation Plan'!C63</x:f>
        <x:v>Move the airplane toy without propellers into the bowl.</x:v>
      </x:c>
      <x:c r="D63" s="32" t="str">
        <x:f>'Evaluation Plan'!D63</x:f>
        <x:v>Bowl objects: [yellow block, blue pen] | Table objects: [green pencil sharpener, airplane toy without propellers]</x:v>
      </x:c>
      <x:c r="E63" s="34" t="n">
        <x:f>'Evaluation Plan'!E63</x:f>
        <x:v>60</x:v>
      </x:c>
      <x:c r="F63" s="32" t="str">
        <x:f>'Evaluation Plan'!F63</x:f>
        <x:v>ADD airplane toy without propellers</x:v>
      </x:c>
      <x:c r="G63" s="32" t="str"/>
      <x:c r="H63" s="37" t="str">
        <x:f>'Evaluation Plan'!H63</x:f>
        <x:v>Matched manipulation control</x:v>
      </x:c>
      <x:c r="I63" s="32" t="str">
        <x:f>'Evaluation Plan'!I63</x:f>
        <x:v>CT-CF06</x:v>
      </x:c>
      <x:c r="J63" s="32" t="str">
        <x:f>'Evaluation Plan'!J63</x:f>
        <x:v>CT-CF06-ADD</x:v>
      </x:c>
      <x:c r="K63" s="34" t="n">
        <x:f>'Evaluation Plan'!K63</x:f>
        <x:v>2</x:v>
      </x:c>
      <x:c r="L63" s="34" t="n">
        <x:f>'Evaluation Plan'!L63</x:f>
        <x:v>3</x:v>
      </x:c>
      <x:c r="M63" s="34" t="str">
        <x:f>'Evaluation Plan'!M63</x:f>
        <x:v>ADD</x:v>
      </x:c>
      <x:c r="N63" s="32" t="str">
        <x:f>'Evaluation Plan'!N63</x:f>
        <x:v>Matched direct ADD control</x:v>
      </x:c>
      <x:c r="O63" s="34" t="n">
        <x:f>'Evaluation Plan'!O63</x:f>
        <x:v>3</x:v>
      </x:c>
      <x:c r="P63" s="32" t="str">
        <x:f>'Evaluation Plan'!P63</x:f>
        <x:v>Reset the exact count-2 scene; change only the prompt.</x:v>
      </x:c>
      <x:c r="Q63" s="32" t="str">
        <x:f>'Evaluation Plan'!Q63</x:f>
        <x:v>The direct prompt is present in Counting training for this same-task object and action direction.</x:v>
      </x:c>
      <x:c r="R63" s="32" t="n">
        <x:f>'Evaluation Plan'!R63</x:f>
        <x:v>0</x:v>
      </x:c>
    </x:row>
    <x:row r="64" ht="46.5" customHeight="1">
      <x:c r="A64" s="31" t="str">
        <x:v>Not collected</x:v>
      </x:c>
      <x:c r="B64" s="33" t="n">
        <x:f>'Evaluation Plan'!B64</x:f>
        <x:v>62</x:v>
      </x:c>
      <x:c r="C64" s="31" t="str">
        <x:f>'Evaluation Plan'!C64</x:f>
        <x:v>Move the yellow block from the bowl to the table.</x:v>
      </x:c>
      <x:c r="D64" s="31" t="str">
        <x:f>'Evaluation Plan'!D64</x:f>
        <x:v>Bowl objects: [yellow block, blue pen] | Table objects: [green pencil sharpener, airplane toy without propellers]</x:v>
      </x:c>
      <x:c r="E64" s="33" t="str">
        <x:f>'Evaluation Plan'!E64</x:f>
      </x:c>
      <x:c r="F64" s="31" t="str">
        <x:f>'Evaluation Plan'!F64</x:f>
        <x:v>REMOVE yellow block</x:v>
      </x:c>
      <x:c r="G64" s="31" t="str"/>
      <x:c r="H64" s="37" t="str">
        <x:f>'Evaluation Plan'!H64</x:f>
        <x:v>Matched manipulation control</x:v>
      </x:c>
      <x:c r="I64" s="31" t="str">
        <x:f>'Evaluation Plan'!I64</x:f>
        <x:v>CT-CF06</x:v>
      </x:c>
      <x:c r="J64" s="31" t="str">
        <x:f>'Evaluation Plan'!J64</x:f>
        <x:v>CT-CF06-REMOVE</x:v>
      </x:c>
      <x:c r="K64" s="33" t="n">
        <x:f>'Evaluation Plan'!K64</x:f>
        <x:v>2</x:v>
      </x:c>
      <x:c r="L64" s="33" t="n">
        <x:f>'Evaluation Plan'!L64</x:f>
        <x:v>1</x:v>
      </x:c>
      <x:c r="M64" s="33" t="str">
        <x:f>'Evaluation Plan'!M64</x:f>
        <x:v>REMOVE</x:v>
      </x:c>
      <x:c r="N64" s="31" t="str">
        <x:f>'Evaluation Plan'!N64</x:f>
        <x:v>Matched direct REMOVE control</x:v>
      </x:c>
      <x:c r="O64" s="33" t="n">
        <x:f>'Evaluation Plan'!O64</x:f>
        <x:v>3</x:v>
      </x:c>
      <x:c r="P64" s="31" t="str">
        <x:f>'Evaluation Plan'!P64</x:f>
        <x:v>Reset the exact count-2 scene; change only the prompt.</x:v>
      </x:c>
      <x:c r="Q64" s="31" t="str">
        <x:f>'Evaluation Plan'!Q64</x:f>
        <x:v>The direct prompt is present in Counting training for this same-task object and action direction.</x:v>
      </x:c>
      <x:c r="R64" s="31" t="n">
        <x:f>'Evaluation Plan'!R64</x:f>
        <x:v>0</x:v>
      </x:c>
    </x:row>
    <x:row r="65" ht="46.5" customHeight="1">
      <x:c r="A65" s="32" t="str">
        <x:v>Not collected</x:v>
      </x:c>
      <x:c r="B65" s="34" t="n">
        <x:f>'Evaluation Plan'!B65</x:f>
        <x:v>63</x:v>
      </x:c>
      <x:c r="C65" s="32" t="str">
        <x:f>'Evaluation Plan'!C65</x:f>
        <x:v>Leave exactly one object in the bowl.</x:v>
      </x:c>
      <x:c r="D65" s="32" t="str">
        <x:f>'Evaluation Plan'!D65</x:f>
        <x:v>Bowl objects: [yellow block, blue pen] | Table objects: [green pencil sharpener, airplane toy without propellers]</x:v>
      </x:c>
      <x:c r="E65" s="34" t="n">
        <x:f>'Evaluation Plan'!E65</x:f>
        <x:v>62</x:v>
      </x:c>
      <x:c r="F65" s="32" t="str">
        <x:f>'Evaluation Plan'!F65</x:f>
        <x:v>REMOVE any one bowl object; finish with 1 object in the bowl</x:v>
      </x:c>
      <x:c r="G65" s="32" t="str"/>
      <x:c r="H65" s="36" t="str">
        <x:f>'Evaluation Plan'!H65</x:f>
        <x:v>Concept/compositional transfer</x:v>
      </x:c>
      <x:c r="I65" s="32" t="str">
        <x:f>'Evaluation Plan'!I65</x:f>
        <x:v>CT-CF06</x:v>
      </x:c>
      <x:c r="J65" s="32" t="str">
        <x:f>'Evaluation Plan'!J65</x:f>
        <x:v>CT-CF06-REMOVE</x:v>
      </x:c>
      <x:c r="K65" s="34" t="n">
        <x:f>'Evaluation Plan'!K65</x:f>
        <x:v>2</x:v>
      </x:c>
      <x:c r="L65" s="34" t="n">
        <x:f>'Evaluation Plan'!L65</x:f>
        <x:v>1</x:v>
      </x:c>
      <x:c r="M65" s="34" t="str">
        <x:f>'Evaluation Plan'!M65</x:f>
        <x:v>REMOVE</x:v>
      </x:c>
      <x:c r="N65" s="32" t="str">
        <x:f>'Evaluation Plan'!N65</x:f>
        <x:v>Primary: one via held-out 2→1 removal</x:v>
      </x:c>
      <x:c r="O65" s="34" t="n">
        <x:f>'Evaluation Plan'!O65</x:f>
        <x:v>3</x:v>
      </x:c>
      <x:c r="P65" s="32" t="str">
        <x:f>'Evaluation Plan'!P65</x:f>
        <x:v>Build the listed count-2 scene.</x:v>
      </x:c>
      <x:c r="Q65" s="32" t="str">
        <x:f>'Evaluation Plan'!Q65</x:f>
        <x:v>The goal word one is trained, and this 2→1 trajectory is trained under a direct instruction, but the combination is withheld.</x:v>
      </x:c>
      <x:c r="R65" s="32" t="n">
        <x:f>'Evaluation Plan'!R65</x:f>
        <x:v>0</x:v>
      </x:c>
    </x:row>
    <x:row r="66" ht="46.5" customHeight="1">
      <x:c r="A66" s="31" t="str">
        <x:v>Not collected</x:v>
      </x:c>
      <x:c r="B66" s="33" t="n">
        <x:f>'Evaluation Plan'!B66</x:f>
        <x:v>64</x:v>
      </x:c>
      <x:c r="C66" s="31" t="str">
        <x:f>'Evaluation Plan'!C66</x:f>
        <x:v>Leave exactly one object in the bowl.</x:v>
      </x:c>
      <x:c r="D66" s="31" t="str">
        <x:f>'Evaluation Plan'!D66</x:f>
        <x:v>Bowl objects: [green pencil sharpener, airplane toy without propellers] | Table objects: [blue pen, yellow block]</x:v>
      </x:c>
      <x:c r="E66" s="33" t="str">
        <x:f>'Evaluation Plan'!E66</x:f>
      </x:c>
      <x:c r="F66" s="31" t="str">
        <x:f>'Evaluation Plan'!F66</x:f>
        <x:v>REMOVE any one bowl object; finish with 1 object in the bowl</x:v>
      </x:c>
      <x:c r="G66" s="31" t="str"/>
      <x:c r="H66" s="36" t="str">
        <x:f>'Evaluation Plan'!H66</x:f>
        <x:v>Concept/compositional transfer</x:v>
      </x:c>
      <x:c r="I66" s="31" t="str">
        <x:f>'Evaluation Plan'!I66</x:f>
        <x:v>CT-CF07</x:v>
      </x:c>
      <x:c r="J66" s="31" t="str">
        <x:f>'Evaluation Plan'!J66</x:f>
        <x:v>CT-CF07-REMOVE</x:v>
      </x:c>
      <x:c r="K66" s="33" t="n">
        <x:f>'Evaluation Plan'!K66</x:f>
        <x:v>2</x:v>
      </x:c>
      <x:c r="L66" s="33" t="n">
        <x:f>'Evaluation Plan'!L66</x:f>
        <x:v>1</x:v>
      </x:c>
      <x:c r="M66" s="33" t="str">
        <x:f>'Evaluation Plan'!M66</x:f>
        <x:v>REMOVE</x:v>
      </x:c>
      <x:c r="N66" s="31" t="str">
        <x:f>'Evaluation Plan'!N66</x:f>
        <x:v>Primary: one via held-out 2→1 removal</x:v>
      </x:c>
      <x:c r="O66" s="33" t="n">
        <x:f>'Evaluation Plan'!O66</x:f>
        <x:v>3</x:v>
      </x:c>
      <x:c r="P66" s="31" t="str">
        <x:f>'Evaluation Plan'!P66</x:f>
        <x:v>Build the listed count-2 scene.</x:v>
      </x:c>
      <x:c r="Q66" s="31" t="str">
        <x:f>'Evaluation Plan'!Q66</x:f>
        <x:v>The goal word one is trained, and this 2→1 trajectory is trained under a direct instruction, but the combination is withheld.</x:v>
      </x:c>
      <x:c r="R66" s="31" t="n">
        <x:f>'Evaluation Plan'!R66</x:f>
        <x:v>0</x:v>
      </x:c>
    </x:row>
    <x:row r="67" ht="46.5" customHeight="1">
      <x:c r="A67" s="32" t="str">
        <x:v>Not collected</x:v>
      </x:c>
      <x:c r="B67" s="34" t="n">
        <x:f>'Evaluation Plan'!B67</x:f>
        <x:v>65</x:v>
      </x:c>
      <x:c r="C67" s="32" t="str">
        <x:f>'Evaluation Plan'!C67</x:f>
        <x:v>Move the green pencil sharpener from the bowl to the table.</x:v>
      </x:c>
      <x:c r="D67" s="32" t="str">
        <x:f>'Evaluation Plan'!D67</x:f>
        <x:v>Bowl objects: [green pencil sharpener, airplane toy without propellers] | Table objects: [blue pen, yellow block]</x:v>
      </x:c>
      <x:c r="E67" s="34" t="n">
        <x:f>'Evaluation Plan'!E67</x:f>
        <x:v>64</x:v>
      </x:c>
      <x:c r="F67" s="32" t="str">
        <x:f>'Evaluation Plan'!F67</x:f>
        <x:v>REMOVE green pencil sharpener</x:v>
      </x:c>
      <x:c r="G67" s="32" t="str"/>
      <x:c r="H67" s="37" t="str">
        <x:f>'Evaluation Plan'!H67</x:f>
        <x:v>Matched manipulation control</x:v>
      </x:c>
      <x:c r="I67" s="32" t="str">
        <x:f>'Evaluation Plan'!I67</x:f>
        <x:v>CT-CF07</x:v>
      </x:c>
      <x:c r="J67" s="32" t="str">
        <x:f>'Evaluation Plan'!J67</x:f>
        <x:v>CT-CF07-REMOVE</x:v>
      </x:c>
      <x:c r="K67" s="34" t="n">
        <x:f>'Evaluation Plan'!K67</x:f>
        <x:v>2</x:v>
      </x:c>
      <x:c r="L67" s="34" t="n">
        <x:f>'Evaluation Plan'!L67</x:f>
        <x:v>1</x:v>
      </x:c>
      <x:c r="M67" s="34" t="str">
        <x:f>'Evaluation Plan'!M67</x:f>
        <x:v>REMOVE</x:v>
      </x:c>
      <x:c r="N67" s="32" t="str">
        <x:f>'Evaluation Plan'!N67</x:f>
        <x:v>Matched direct REMOVE control</x:v>
      </x:c>
      <x:c r="O67" s="34" t="n">
        <x:f>'Evaluation Plan'!O67</x:f>
        <x:v>3</x:v>
      </x:c>
      <x:c r="P67" s="32" t="str">
        <x:f>'Evaluation Plan'!P67</x:f>
        <x:v>Reset the exact count-2 scene; change only the prompt.</x:v>
      </x:c>
      <x:c r="Q67" s="32" t="str">
        <x:f>'Evaluation Plan'!Q67</x:f>
        <x:v>The direct prompt is present in Counting training for this same-task object and action direction.</x:v>
      </x:c>
      <x:c r="R67" s="32" t="n">
        <x:f>'Evaluation Plan'!R67</x:f>
        <x:v>0</x:v>
      </x:c>
    </x:row>
    <x:row r="68" ht="46.5" customHeight="1">
      <x:c r="A68" s="31" t="str">
        <x:v>Not collected</x:v>
      </x:c>
      <x:c r="B68" s="33" t="n">
        <x:f>'Evaluation Plan'!B68</x:f>
        <x:v>66</x:v>
      </x:c>
      <x:c r="C68" s="31" t="str">
        <x:f>'Evaluation Plan'!C68</x:f>
        <x:v>Move the blue pen into the bowl.</x:v>
      </x:c>
      <x:c r="D68" s="31" t="str">
        <x:f>'Evaluation Plan'!D68</x:f>
        <x:v>Bowl objects: [green pencil sharpener, airplane toy without propellers] | Table objects: [blue pen, yellow block]</x:v>
      </x:c>
      <x:c r="E68" s="33" t="str">
        <x:f>'Evaluation Plan'!E68</x:f>
      </x:c>
      <x:c r="F68" s="31" t="str">
        <x:f>'Evaluation Plan'!F68</x:f>
        <x:v>ADD blue pen</x:v>
      </x:c>
      <x:c r="G68" s="31" t="str"/>
      <x:c r="H68" s="37" t="str">
        <x:f>'Evaluation Plan'!H68</x:f>
        <x:v>Matched manipulation control</x:v>
      </x:c>
      <x:c r="I68" s="31" t="str">
        <x:f>'Evaluation Plan'!I68</x:f>
        <x:v>CT-CF07</x:v>
      </x:c>
      <x:c r="J68" s="31" t="str">
        <x:f>'Evaluation Plan'!J68</x:f>
        <x:v>CT-CF07-ADD</x:v>
      </x:c>
      <x:c r="K68" s="33" t="n">
        <x:f>'Evaluation Plan'!K68</x:f>
        <x:v>2</x:v>
      </x:c>
      <x:c r="L68" s="33" t="n">
        <x:f>'Evaluation Plan'!L68</x:f>
        <x:v>3</x:v>
      </x:c>
      <x:c r="M68" s="33" t="str">
        <x:f>'Evaluation Plan'!M68</x:f>
        <x:v>ADD</x:v>
      </x:c>
      <x:c r="N68" s="31" t="str">
        <x:f>'Evaluation Plan'!N68</x:f>
        <x:v>Matched direct ADD control</x:v>
      </x:c>
      <x:c r="O68" s="33" t="n">
        <x:f>'Evaluation Plan'!O68</x:f>
        <x:v>3</x:v>
      </x:c>
      <x:c r="P68" s="31" t="str">
        <x:f>'Evaluation Plan'!P68</x:f>
        <x:v>Reset the exact count-2 scene; change only the prompt.</x:v>
      </x:c>
      <x:c r="Q68" s="31" t="str">
        <x:f>'Evaluation Plan'!Q68</x:f>
        <x:v>The direct prompt is present in Counting training for this same-task object and action direction.</x:v>
      </x:c>
      <x:c r="R68" s="31" t="n">
        <x:f>'Evaluation Plan'!R68</x:f>
        <x:v>0</x:v>
      </x:c>
    </x:row>
    <x:row r="69" ht="46.5" customHeight="1">
      <x:c r="A69" s="32" t="str">
        <x:v>Not collected</x:v>
      </x:c>
      <x:c r="B69" s="34" t="n">
        <x:f>'Evaluation Plan'!B69</x:f>
        <x:v>67</x:v>
      </x:c>
      <x:c r="C69" s="32" t="str">
        <x:f>'Evaluation Plan'!C69</x:f>
        <x:v>Leave exactly three objects in the bowl.</x:v>
      </x:c>
      <x:c r="D69" s="32" t="str">
        <x:f>'Evaluation Plan'!D69</x:f>
        <x:v>Bowl objects: [green pencil sharpener, airplane toy without propellers] | Table objects: [blue pen, yellow block]</x:v>
      </x:c>
      <x:c r="E69" s="34" t="n">
        <x:f>'Evaluation Plan'!E69</x:f>
        <x:v>66</x:v>
      </x:c>
      <x:c r="F69" s="32" t="str">
        <x:f>'Evaluation Plan'!F69</x:f>
        <x:v>ADD any one table object; finish with 3 objects in the bowl</x:v>
      </x:c>
      <x:c r="G69" s="32" t="str"/>
      <x:c r="H69" s="36" t="str">
        <x:f>'Evaluation Plan'!H69</x:f>
        <x:v>Concept/compositional transfer</x:v>
      </x:c>
      <x:c r="I69" s="32" t="str">
        <x:f>'Evaluation Plan'!I69</x:f>
        <x:v>CT-CF07</x:v>
      </x:c>
      <x:c r="J69" s="32" t="str">
        <x:f>'Evaluation Plan'!J69</x:f>
        <x:v>CT-CF07-ADD</x:v>
      </x:c>
      <x:c r="K69" s="34" t="n">
        <x:f>'Evaluation Plan'!K69</x:f>
        <x:v>2</x:v>
      </x:c>
      <x:c r="L69" s="34" t="n">
        <x:f>'Evaluation Plan'!L69</x:f>
        <x:v>3</x:v>
      </x:c>
      <x:c r="M69" s="34" t="str">
        <x:f>'Evaluation Plan'!M69</x:f>
        <x:v>ADD</x:v>
      </x:c>
      <x:c r="N69" s="32" t="str">
        <x:f>'Evaluation Plan'!N69</x:f>
        <x:v>Primary: three via held-out 2→3 addition</x:v>
      </x:c>
      <x:c r="O69" s="34" t="n">
        <x:f>'Evaluation Plan'!O69</x:f>
        <x:v>3</x:v>
      </x:c>
      <x:c r="P69" s="32" t="str">
        <x:f>'Evaluation Plan'!P69</x:f>
        <x:v>Reset the exact count-2 scene; change only the prompt.</x:v>
      </x:c>
      <x:c r="Q69" s="32" t="str">
        <x:f>'Evaluation Plan'!Q69</x:f>
        <x:v>The goal word three is trained, and this 2→3 trajectory is trained under a direct instruction, but the combination is withheld.</x:v>
      </x:c>
      <x:c r="R69" s="32" t="n">
        <x:f>'Evaluation Plan'!R69</x:f>
        <x:v>0</x:v>
      </x:c>
    </x:row>
    <x:row r="70" ht="46.5" customHeight="1">
      <x:c r="A70" s="31" t="str">
        <x:v>Not collected</x:v>
      </x:c>
      <x:c r="B70" s="33" t="n">
        <x:f>'Evaluation Plan'!B70</x:f>
        <x:v>68</x:v>
      </x:c>
      <x:c r="C70" s="31" t="str">
        <x:f>'Evaluation Plan'!C70</x:f>
        <x:v>Leave exactly three objects in the bowl.</x:v>
      </x:c>
      <x:c r="D70" s="31" t="str">
        <x:f>'Evaluation Plan'!D70</x:f>
        <x:v>Bowl objects: [airplane toy without propellers, blue pen] | Table objects: [yellow block, green pencil sharpener]</x:v>
      </x:c>
      <x:c r="E70" s="33" t="str">
        <x:f>'Evaluation Plan'!E70</x:f>
      </x:c>
      <x:c r="F70" s="31" t="str">
        <x:f>'Evaluation Plan'!F70</x:f>
        <x:v>ADD any one table object; finish with 3 objects in the bowl</x:v>
      </x:c>
      <x:c r="G70" s="31" t="str"/>
      <x:c r="H70" s="36" t="str">
        <x:f>'Evaluation Plan'!H70</x:f>
        <x:v>Concept/compositional transfer</x:v>
      </x:c>
      <x:c r="I70" s="31" t="str">
        <x:f>'Evaluation Plan'!I70</x:f>
        <x:v>CT-CF08</x:v>
      </x:c>
      <x:c r="J70" s="31" t="str">
        <x:f>'Evaluation Plan'!J70</x:f>
        <x:v>CT-CF08-ADD</x:v>
      </x:c>
      <x:c r="K70" s="33" t="n">
        <x:f>'Evaluation Plan'!K70</x:f>
        <x:v>2</x:v>
      </x:c>
      <x:c r="L70" s="33" t="n">
        <x:f>'Evaluation Plan'!L70</x:f>
        <x:v>3</x:v>
      </x:c>
      <x:c r="M70" s="33" t="str">
        <x:f>'Evaluation Plan'!M70</x:f>
        <x:v>ADD</x:v>
      </x:c>
      <x:c r="N70" s="31" t="str">
        <x:f>'Evaluation Plan'!N70</x:f>
        <x:v>Primary: three via held-out 2→3 addition</x:v>
      </x:c>
      <x:c r="O70" s="33" t="n">
        <x:f>'Evaluation Plan'!O70</x:f>
        <x:v>3</x:v>
      </x:c>
      <x:c r="P70" s="31" t="str">
        <x:f>'Evaluation Plan'!P70</x:f>
        <x:v>Reset the exact count-2 scene; change only the prompt.</x:v>
      </x:c>
      <x:c r="Q70" s="31" t="str">
        <x:f>'Evaluation Plan'!Q70</x:f>
        <x:v>The goal word three is trained, and this 2→3 trajectory is trained under a direct instruction, but the combination is withheld.</x:v>
      </x:c>
      <x:c r="R70" s="31" t="n">
        <x:f>'Evaluation Plan'!R70</x:f>
        <x:v>0</x:v>
      </x:c>
    </x:row>
    <x:row r="71" ht="46.5" customHeight="1">
      <x:c r="A71" s="32" t="str">
        <x:v>Not collected</x:v>
      </x:c>
      <x:c r="B71" s="34" t="n">
        <x:f>'Evaluation Plan'!B71</x:f>
        <x:v>69</x:v>
      </x:c>
      <x:c r="C71" s="32" t="str">
        <x:f>'Evaluation Plan'!C71</x:f>
        <x:v>Move the yellow block into the bowl.</x:v>
      </x:c>
      <x:c r="D71" s="32" t="str">
        <x:f>'Evaluation Plan'!D71</x:f>
        <x:v>Bowl objects: [airplane toy without propellers, blue pen] | Table objects: [yellow block, green pencil sharpener]</x:v>
      </x:c>
      <x:c r="E71" s="34" t="n">
        <x:f>'Evaluation Plan'!E71</x:f>
        <x:v>68</x:v>
      </x:c>
      <x:c r="F71" s="32" t="str">
        <x:f>'Evaluation Plan'!F71</x:f>
        <x:v>ADD yellow block</x:v>
      </x:c>
      <x:c r="G71" s="32" t="str"/>
      <x:c r="H71" s="37" t="str">
        <x:f>'Evaluation Plan'!H71</x:f>
        <x:v>Matched manipulation control</x:v>
      </x:c>
      <x:c r="I71" s="32" t="str">
        <x:f>'Evaluation Plan'!I71</x:f>
        <x:v>CT-CF08</x:v>
      </x:c>
      <x:c r="J71" s="32" t="str">
        <x:f>'Evaluation Plan'!J71</x:f>
        <x:v>CT-CF08-ADD</x:v>
      </x:c>
      <x:c r="K71" s="34" t="n">
        <x:f>'Evaluation Plan'!K71</x:f>
        <x:v>2</x:v>
      </x:c>
      <x:c r="L71" s="34" t="n">
        <x:f>'Evaluation Plan'!L71</x:f>
        <x:v>3</x:v>
      </x:c>
      <x:c r="M71" s="34" t="str">
        <x:f>'Evaluation Plan'!M71</x:f>
        <x:v>ADD</x:v>
      </x:c>
      <x:c r="N71" s="32" t="str">
        <x:f>'Evaluation Plan'!N71</x:f>
        <x:v>Matched direct ADD control</x:v>
      </x:c>
      <x:c r="O71" s="34" t="n">
        <x:f>'Evaluation Plan'!O71</x:f>
        <x:v>3</x:v>
      </x:c>
      <x:c r="P71" s="32" t="str">
        <x:f>'Evaluation Plan'!P71</x:f>
        <x:v>Reset the exact count-2 scene; change only the prompt.</x:v>
      </x:c>
      <x:c r="Q71" s="32" t="str">
        <x:f>'Evaluation Plan'!Q71</x:f>
        <x:v>The direct prompt is present in Counting training for this same-task object and action direction.</x:v>
      </x:c>
      <x:c r="R71" s="32" t="n">
        <x:f>'Evaluation Plan'!R71</x:f>
        <x:v>0</x:v>
      </x:c>
    </x:row>
    <x:row r="72" ht="46.5" customHeight="1">
      <x:c r="A72" s="31" t="str">
        <x:v>Not collected</x:v>
      </x:c>
      <x:c r="B72" s="33" t="n">
        <x:f>'Evaluation Plan'!B72</x:f>
        <x:v>70</x:v>
      </x:c>
      <x:c r="C72" s="31" t="str">
        <x:f>'Evaluation Plan'!C72</x:f>
        <x:v>Move the airplane toy without propellers from the bowl to the table.</x:v>
      </x:c>
      <x:c r="D72" s="31" t="str">
        <x:f>'Evaluation Plan'!D72</x:f>
        <x:v>Bowl objects: [airplane toy without propellers, blue pen] | Table objects: [yellow block, green pencil sharpener]</x:v>
      </x:c>
      <x:c r="E72" s="33" t="str">
        <x:f>'Evaluation Plan'!E72</x:f>
      </x:c>
      <x:c r="F72" s="31" t="str">
        <x:f>'Evaluation Plan'!F72</x:f>
        <x:v>REMOVE airplane toy without propellers</x:v>
      </x:c>
      <x:c r="G72" s="31" t="str"/>
      <x:c r="H72" s="37" t="str">
        <x:f>'Evaluation Plan'!H72</x:f>
        <x:v>Matched manipulation control</x:v>
      </x:c>
      <x:c r="I72" s="31" t="str">
        <x:f>'Evaluation Plan'!I72</x:f>
        <x:v>CT-CF08</x:v>
      </x:c>
      <x:c r="J72" s="31" t="str">
        <x:f>'Evaluation Plan'!J72</x:f>
        <x:v>CT-CF08-REMOVE</x:v>
      </x:c>
      <x:c r="K72" s="33" t="n">
        <x:f>'Evaluation Plan'!K72</x:f>
        <x:v>2</x:v>
      </x:c>
      <x:c r="L72" s="33" t="n">
        <x:f>'Evaluation Plan'!L72</x:f>
        <x:v>1</x:v>
      </x:c>
      <x:c r="M72" s="33" t="str">
        <x:f>'Evaluation Plan'!M72</x:f>
        <x:v>REMOVE</x:v>
      </x:c>
      <x:c r="N72" s="31" t="str">
        <x:f>'Evaluation Plan'!N72</x:f>
        <x:v>Matched direct REMOVE control</x:v>
      </x:c>
      <x:c r="O72" s="33" t="n">
        <x:f>'Evaluation Plan'!O72</x:f>
        <x:v>3</x:v>
      </x:c>
      <x:c r="P72" s="31" t="str">
        <x:f>'Evaluation Plan'!P72</x:f>
        <x:v>Reset the exact count-2 scene; change only the prompt.</x:v>
      </x:c>
      <x:c r="Q72" s="31" t="str">
        <x:f>'Evaluation Plan'!Q72</x:f>
        <x:v>The direct prompt is present in Counting training for this same-task object and action direction.</x:v>
      </x:c>
      <x:c r="R72" s="31" t="n">
        <x:f>'Evaluation Plan'!R72</x:f>
        <x:v>0</x:v>
      </x:c>
    </x:row>
    <x:row r="73" ht="46.5" customHeight="1">
      <x:c r="A73" s="32" t="str">
        <x:v>Not collected</x:v>
      </x:c>
      <x:c r="B73" s="34" t="n">
        <x:f>'Evaluation Plan'!B73</x:f>
        <x:v>71</x:v>
      </x:c>
      <x:c r="C73" s="32" t="str">
        <x:f>'Evaluation Plan'!C73</x:f>
        <x:v>Leave exactly one object in the bowl.</x:v>
      </x:c>
      <x:c r="D73" s="32" t="str">
        <x:f>'Evaluation Plan'!D73</x:f>
        <x:v>Bowl objects: [airplane toy without propellers, blue pen] | Table objects: [yellow block, green pencil sharpener]</x:v>
      </x:c>
      <x:c r="E73" s="34" t="n">
        <x:f>'Evaluation Plan'!E73</x:f>
        <x:v>70</x:v>
      </x:c>
      <x:c r="F73" s="32" t="str">
        <x:f>'Evaluation Plan'!F73</x:f>
        <x:v>REMOVE any one bowl object; finish with 1 object in the bowl</x:v>
      </x:c>
      <x:c r="G73" s="32" t="str"/>
      <x:c r="H73" s="36" t="str">
        <x:f>'Evaluation Plan'!H73</x:f>
        <x:v>Concept/compositional transfer</x:v>
      </x:c>
      <x:c r="I73" s="32" t="str">
        <x:f>'Evaluation Plan'!I73</x:f>
        <x:v>CT-CF08</x:v>
      </x:c>
      <x:c r="J73" s="32" t="str">
        <x:f>'Evaluation Plan'!J73</x:f>
        <x:v>CT-CF08-REMOVE</x:v>
      </x:c>
      <x:c r="K73" s="34" t="n">
        <x:f>'Evaluation Plan'!K73</x:f>
        <x:v>2</x:v>
      </x:c>
      <x:c r="L73" s="34" t="n">
        <x:f>'Evaluation Plan'!L73</x:f>
        <x:v>1</x:v>
      </x:c>
      <x:c r="M73" s="34" t="str">
        <x:f>'Evaluation Plan'!M73</x:f>
        <x:v>REMOVE</x:v>
      </x:c>
      <x:c r="N73" s="32" t="str">
        <x:f>'Evaluation Plan'!N73</x:f>
        <x:v>Primary: one via held-out 2→1 removal</x:v>
      </x:c>
      <x:c r="O73" s="34" t="n">
        <x:f>'Evaluation Plan'!O73</x:f>
        <x:v>3</x:v>
      </x:c>
      <x:c r="P73" s="32" t="str">
        <x:f>'Evaluation Plan'!P73</x:f>
        <x:v>Build the listed count-2 scene.</x:v>
      </x:c>
      <x:c r="Q73" s="32" t="str">
        <x:f>'Evaluation Plan'!Q73</x:f>
        <x:v>The goal word one is trained, and this 2→1 trajectory is trained under a direct instruction, but the combination is withheld.</x:v>
      </x:c>
      <x:c r="R73" s="32" t="n">
        <x:f>'Evaluation Plan'!R73</x:f>
        <x:v>0</x:v>
      </x:c>
    </x:row>
    <x:row r="74" ht="46.5" customHeight="1">
      <x:c r="A74" s="31" t="str">
        <x:v>Not collected</x:v>
      </x:c>
      <x:c r="B74" s="33" t="n">
        <x:f>'Evaluation Plan'!B74</x:f>
        <x:v>72</x:v>
      </x:c>
      <x:c r="C74" s="31" t="str">
        <x:f>'Evaluation Plan'!C74</x:f>
        <x:v>Leave exactly one object in the bowl.</x:v>
      </x:c>
      <x:c r="D74" s="31" t="str">
        <x:f>'Evaluation Plan'!D74</x:f>
        <x:v>Bowl objects: [blue pen, yellow block] | Table objects: [green pencil sharpener, airplane toy without propellers]</x:v>
      </x:c>
      <x:c r="E74" s="33" t="str">
        <x:f>'Evaluation Plan'!E74</x:f>
      </x:c>
      <x:c r="F74" s="31" t="str">
        <x:f>'Evaluation Plan'!F74</x:f>
        <x:v>REMOVE any one bowl object; finish with 1 object in the bowl</x:v>
      </x:c>
      <x:c r="G74" s="31" t="str"/>
      <x:c r="H74" s="36" t="str">
        <x:f>'Evaluation Plan'!H74</x:f>
        <x:v>Concept/compositional transfer</x:v>
      </x:c>
      <x:c r="I74" s="31" t="str">
        <x:f>'Evaluation Plan'!I74</x:f>
        <x:v>CT-CF09</x:v>
      </x:c>
      <x:c r="J74" s="31" t="str">
        <x:f>'Evaluation Plan'!J74</x:f>
        <x:v>CT-CF09-REMOVE</x:v>
      </x:c>
      <x:c r="K74" s="33" t="n">
        <x:f>'Evaluation Plan'!K74</x:f>
        <x:v>2</x:v>
      </x:c>
      <x:c r="L74" s="33" t="n">
        <x:f>'Evaluation Plan'!L74</x:f>
        <x:v>1</x:v>
      </x:c>
      <x:c r="M74" s="33" t="str">
        <x:f>'Evaluation Plan'!M74</x:f>
        <x:v>REMOVE</x:v>
      </x:c>
      <x:c r="N74" s="31" t="str">
        <x:f>'Evaluation Plan'!N74</x:f>
        <x:v>Primary: one via held-out 2→1 removal</x:v>
      </x:c>
      <x:c r="O74" s="33" t="n">
        <x:f>'Evaluation Plan'!O74</x:f>
        <x:v>3</x:v>
      </x:c>
      <x:c r="P74" s="31" t="str">
        <x:f>'Evaluation Plan'!P74</x:f>
        <x:v>Build the listed count-2 scene.</x:v>
      </x:c>
      <x:c r="Q74" s="31" t="str">
        <x:f>'Evaluation Plan'!Q74</x:f>
        <x:v>The goal word one is trained, and this 2→1 trajectory is trained under a direct instruction, but the combination is withheld.</x:v>
      </x:c>
      <x:c r="R74" s="31" t="n">
        <x:f>'Evaluation Plan'!R74</x:f>
        <x:v>0</x:v>
      </x:c>
    </x:row>
    <x:row r="75" ht="46.5" customHeight="1">
      <x:c r="A75" s="32" t="str">
        <x:v>Not collected</x:v>
      </x:c>
      <x:c r="B75" s="34" t="n">
        <x:f>'Evaluation Plan'!B75</x:f>
        <x:v>73</x:v>
      </x:c>
      <x:c r="C75" s="32" t="str">
        <x:f>'Evaluation Plan'!C75</x:f>
        <x:v>Move the blue pen from the bowl to the table.</x:v>
      </x:c>
      <x:c r="D75" s="32" t="str">
        <x:f>'Evaluation Plan'!D75</x:f>
        <x:v>Bowl objects: [blue pen, yellow block] | Table objects: [green pencil sharpener, airplane toy without propellers]</x:v>
      </x:c>
      <x:c r="E75" s="34" t="n">
        <x:f>'Evaluation Plan'!E75</x:f>
        <x:v>72</x:v>
      </x:c>
      <x:c r="F75" s="32" t="str">
        <x:f>'Evaluation Plan'!F75</x:f>
        <x:v>REMOVE blue pen</x:v>
      </x:c>
      <x:c r="G75" s="32" t="str"/>
      <x:c r="H75" s="37" t="str">
        <x:f>'Evaluation Plan'!H75</x:f>
        <x:v>Matched manipulation control</x:v>
      </x:c>
      <x:c r="I75" s="32" t="str">
        <x:f>'Evaluation Plan'!I75</x:f>
        <x:v>CT-CF09</x:v>
      </x:c>
      <x:c r="J75" s="32" t="str">
        <x:f>'Evaluation Plan'!J75</x:f>
        <x:v>CT-CF09-REMOVE</x:v>
      </x:c>
      <x:c r="K75" s="34" t="n">
        <x:f>'Evaluation Plan'!K75</x:f>
        <x:v>2</x:v>
      </x:c>
      <x:c r="L75" s="34" t="n">
        <x:f>'Evaluation Plan'!L75</x:f>
        <x:v>1</x:v>
      </x:c>
      <x:c r="M75" s="34" t="str">
        <x:f>'Evaluation Plan'!M75</x:f>
        <x:v>REMOVE</x:v>
      </x:c>
      <x:c r="N75" s="32" t="str">
        <x:f>'Evaluation Plan'!N75</x:f>
        <x:v>Matched direct REMOVE control</x:v>
      </x:c>
      <x:c r="O75" s="34" t="n">
        <x:f>'Evaluation Plan'!O75</x:f>
        <x:v>3</x:v>
      </x:c>
      <x:c r="P75" s="32" t="str">
        <x:f>'Evaluation Plan'!P75</x:f>
        <x:v>Reset the exact count-2 scene; change only the prompt.</x:v>
      </x:c>
      <x:c r="Q75" s="32" t="str">
        <x:f>'Evaluation Plan'!Q75</x:f>
        <x:v>The direct prompt is present in Counting training for this same-task object and action direction.</x:v>
      </x:c>
      <x:c r="R75" s="32" t="n">
        <x:f>'Evaluation Plan'!R75</x:f>
        <x:v>0</x:v>
      </x:c>
    </x:row>
    <x:row r="76" ht="46.5" customHeight="1">
      <x:c r="A76" s="31" t="str">
        <x:v>Not collected</x:v>
      </x:c>
      <x:c r="B76" s="33" t="n">
        <x:f>'Evaluation Plan'!B76</x:f>
        <x:v>74</x:v>
      </x:c>
      <x:c r="C76" s="31" t="str">
        <x:f>'Evaluation Plan'!C76</x:f>
        <x:v>Move the green pencil sharpener into the bowl.</x:v>
      </x:c>
      <x:c r="D76" s="31" t="str">
        <x:f>'Evaluation Plan'!D76</x:f>
        <x:v>Bowl objects: [blue pen, yellow block] | Table objects: [green pencil sharpener, airplane toy without propellers]</x:v>
      </x:c>
      <x:c r="E76" s="33" t="str">
        <x:f>'Evaluation Plan'!E76</x:f>
      </x:c>
      <x:c r="F76" s="31" t="str">
        <x:f>'Evaluation Plan'!F76</x:f>
        <x:v>ADD green pencil sharpener</x:v>
      </x:c>
      <x:c r="G76" s="31" t="str"/>
      <x:c r="H76" s="37" t="str">
        <x:f>'Evaluation Plan'!H76</x:f>
        <x:v>Matched manipulation control</x:v>
      </x:c>
      <x:c r="I76" s="31" t="str">
        <x:f>'Evaluation Plan'!I76</x:f>
        <x:v>CT-CF09</x:v>
      </x:c>
      <x:c r="J76" s="31" t="str">
        <x:f>'Evaluation Plan'!J76</x:f>
        <x:v>CT-CF09-ADD</x:v>
      </x:c>
      <x:c r="K76" s="33" t="n">
        <x:f>'Evaluation Plan'!K76</x:f>
        <x:v>2</x:v>
      </x:c>
      <x:c r="L76" s="33" t="n">
        <x:f>'Evaluation Plan'!L76</x:f>
        <x:v>3</x:v>
      </x:c>
      <x:c r="M76" s="33" t="str">
        <x:f>'Evaluation Plan'!M76</x:f>
        <x:v>ADD</x:v>
      </x:c>
      <x:c r="N76" s="31" t="str">
        <x:f>'Evaluation Plan'!N76</x:f>
        <x:v>Matched direct ADD control</x:v>
      </x:c>
      <x:c r="O76" s="33" t="n">
        <x:f>'Evaluation Plan'!O76</x:f>
        <x:v>3</x:v>
      </x:c>
      <x:c r="P76" s="31" t="str">
        <x:f>'Evaluation Plan'!P76</x:f>
        <x:v>Reset the exact count-2 scene; change only the prompt.</x:v>
      </x:c>
      <x:c r="Q76" s="31" t="str">
        <x:f>'Evaluation Plan'!Q76</x:f>
        <x:v>The direct prompt is present in Counting training for this same-task object and action direction.</x:v>
      </x:c>
      <x:c r="R76" s="31" t="n">
        <x:f>'Evaluation Plan'!R76</x:f>
        <x:v>0</x:v>
      </x:c>
    </x:row>
    <x:row r="77" ht="46.5" customHeight="1">
      <x:c r="A77" s="32" t="str">
        <x:v>Not collected</x:v>
      </x:c>
      <x:c r="B77" s="34" t="n">
        <x:f>'Evaluation Plan'!B77</x:f>
        <x:v>75</x:v>
      </x:c>
      <x:c r="C77" s="32" t="str">
        <x:f>'Evaluation Plan'!C77</x:f>
        <x:v>Leave exactly three objects in the bowl.</x:v>
      </x:c>
      <x:c r="D77" s="32" t="str">
        <x:f>'Evaluation Plan'!D77</x:f>
        <x:v>Bowl objects: [blue pen, yellow block] | Table objects: [green pencil sharpener, airplane toy without propellers]</x:v>
      </x:c>
      <x:c r="E77" s="34" t="n">
        <x:f>'Evaluation Plan'!E77</x:f>
        <x:v>74</x:v>
      </x:c>
      <x:c r="F77" s="32" t="str">
        <x:f>'Evaluation Plan'!F77</x:f>
        <x:v>ADD any one table object; finish with 3 objects in the bowl</x:v>
      </x:c>
      <x:c r="G77" s="32" t="str"/>
      <x:c r="H77" s="36" t="str">
        <x:f>'Evaluation Plan'!H77</x:f>
        <x:v>Concept/compositional transfer</x:v>
      </x:c>
      <x:c r="I77" s="32" t="str">
        <x:f>'Evaluation Plan'!I77</x:f>
        <x:v>CT-CF09</x:v>
      </x:c>
      <x:c r="J77" s="32" t="str">
        <x:f>'Evaluation Plan'!J77</x:f>
        <x:v>CT-CF09-ADD</x:v>
      </x:c>
      <x:c r="K77" s="34" t="n">
        <x:f>'Evaluation Plan'!K77</x:f>
        <x:v>2</x:v>
      </x:c>
      <x:c r="L77" s="34" t="n">
        <x:f>'Evaluation Plan'!L77</x:f>
        <x:v>3</x:v>
      </x:c>
      <x:c r="M77" s="34" t="str">
        <x:f>'Evaluation Plan'!M77</x:f>
        <x:v>ADD</x:v>
      </x:c>
      <x:c r="N77" s="32" t="str">
        <x:f>'Evaluation Plan'!N77</x:f>
        <x:v>Primary: three via held-out 2→3 addition</x:v>
      </x:c>
      <x:c r="O77" s="34" t="n">
        <x:f>'Evaluation Plan'!O77</x:f>
        <x:v>3</x:v>
      </x:c>
      <x:c r="P77" s="32" t="str">
        <x:f>'Evaluation Plan'!P77</x:f>
        <x:v>Reset the exact count-2 scene; change only the prompt.</x:v>
      </x:c>
      <x:c r="Q77" s="32" t="str">
        <x:f>'Evaluation Plan'!Q77</x:f>
        <x:v>The goal word three is trained, and this 2→3 trajectory is trained under a direct instruction, but the combination is withheld.</x:v>
      </x:c>
      <x:c r="R77" s="32" t="n">
        <x:f>'Evaluation Plan'!R77</x:f>
        <x:v>0</x:v>
      </x:c>
    </x:row>
    <x:row r="78" ht="46.5" customHeight="1">
      <x:c r="A78" s="31" t="str">
        <x:v>Not collected</x:v>
      </x:c>
      <x:c r="B78" s="33" t="n">
        <x:f>'Evaluation Plan'!B78</x:f>
        <x:v>76</x:v>
      </x:c>
      <x:c r="C78" s="31" t="str">
        <x:f>'Evaluation Plan'!C78</x:f>
        <x:v>Leave exactly three objects in the bowl.</x:v>
      </x:c>
      <x:c r="D78" s="31" t="str">
        <x:f>'Evaluation Plan'!D78</x:f>
        <x:v>Bowl objects: [yellow block, blue pen] | Table objects: [green pencil sharpener, airplane toy without propellers]</x:v>
      </x:c>
      <x:c r="E78" s="33" t="str">
        <x:f>'Evaluation Plan'!E78</x:f>
      </x:c>
      <x:c r="F78" s="31" t="str">
        <x:f>'Evaluation Plan'!F78</x:f>
        <x:v>ADD any one table object; finish with 3 objects in the bowl</x:v>
      </x:c>
      <x:c r="G78" s="31" t="str"/>
      <x:c r="H78" s="36" t="str">
        <x:f>'Evaluation Plan'!H78</x:f>
        <x:v>Concept/compositional transfer</x:v>
      </x:c>
      <x:c r="I78" s="31" t="str">
        <x:f>'Evaluation Plan'!I78</x:f>
        <x:v>CT-CF10</x:v>
      </x:c>
      <x:c r="J78" s="31" t="str">
        <x:f>'Evaluation Plan'!J78</x:f>
        <x:v>CT-CF10-ADD</x:v>
      </x:c>
      <x:c r="K78" s="33" t="n">
        <x:f>'Evaluation Plan'!K78</x:f>
        <x:v>2</x:v>
      </x:c>
      <x:c r="L78" s="33" t="n">
        <x:f>'Evaluation Plan'!L78</x:f>
        <x:v>3</x:v>
      </x:c>
      <x:c r="M78" s="33" t="str">
        <x:f>'Evaluation Plan'!M78</x:f>
        <x:v>ADD</x:v>
      </x:c>
      <x:c r="N78" s="31" t="str">
        <x:f>'Evaluation Plan'!N78</x:f>
        <x:v>Primary: three via held-out 2→3 addition</x:v>
      </x:c>
      <x:c r="O78" s="33" t="n">
        <x:f>'Evaluation Plan'!O78</x:f>
        <x:v>3</x:v>
      </x:c>
      <x:c r="P78" s="31" t="str">
        <x:f>'Evaluation Plan'!P78</x:f>
        <x:v>Reset the exact count-2 scene; change only the prompt.</x:v>
      </x:c>
      <x:c r="Q78" s="31" t="str">
        <x:f>'Evaluation Plan'!Q78</x:f>
        <x:v>The goal word three is trained, and this 2→3 trajectory is trained under a direct instruction, but the combination is withheld.</x:v>
      </x:c>
      <x:c r="R78" s="31" t="n">
        <x:f>'Evaluation Plan'!R78</x:f>
        <x:v>0</x:v>
      </x:c>
    </x:row>
    <x:row r="79" ht="46.5" customHeight="1">
      <x:c r="A79" s="32" t="str">
        <x:v>Not collected</x:v>
      </x:c>
      <x:c r="B79" s="34" t="n">
        <x:f>'Evaluation Plan'!B79</x:f>
        <x:v>77</x:v>
      </x:c>
      <x:c r="C79" s="32" t="str">
        <x:f>'Evaluation Plan'!C79</x:f>
        <x:v>Move the airplane toy without propellers into the bowl.</x:v>
      </x:c>
      <x:c r="D79" s="32" t="str">
        <x:f>'Evaluation Plan'!D79</x:f>
        <x:v>Bowl objects: [yellow block, blue pen] | Table objects: [green pencil sharpener, airplane toy without propellers]</x:v>
      </x:c>
      <x:c r="E79" s="34" t="n">
        <x:f>'Evaluation Plan'!E79</x:f>
        <x:v>76</x:v>
      </x:c>
      <x:c r="F79" s="32" t="str">
        <x:f>'Evaluation Plan'!F79</x:f>
        <x:v>ADD airplane toy without propellers</x:v>
      </x:c>
      <x:c r="G79" s="32" t="str"/>
      <x:c r="H79" s="37" t="str">
        <x:f>'Evaluation Plan'!H79</x:f>
        <x:v>Matched manipulation control</x:v>
      </x:c>
      <x:c r="I79" s="32" t="str">
        <x:f>'Evaluation Plan'!I79</x:f>
        <x:v>CT-CF10</x:v>
      </x:c>
      <x:c r="J79" s="32" t="str">
        <x:f>'Evaluation Plan'!J79</x:f>
        <x:v>CT-CF10-ADD</x:v>
      </x:c>
      <x:c r="K79" s="34" t="n">
        <x:f>'Evaluation Plan'!K79</x:f>
        <x:v>2</x:v>
      </x:c>
      <x:c r="L79" s="34" t="n">
        <x:f>'Evaluation Plan'!L79</x:f>
        <x:v>3</x:v>
      </x:c>
      <x:c r="M79" s="34" t="str">
        <x:f>'Evaluation Plan'!M79</x:f>
        <x:v>ADD</x:v>
      </x:c>
      <x:c r="N79" s="32" t="str">
        <x:f>'Evaluation Plan'!N79</x:f>
        <x:v>Matched direct ADD control</x:v>
      </x:c>
      <x:c r="O79" s="34" t="n">
        <x:f>'Evaluation Plan'!O79</x:f>
        <x:v>3</x:v>
      </x:c>
      <x:c r="P79" s="32" t="str">
        <x:f>'Evaluation Plan'!P79</x:f>
        <x:v>Reset the exact count-2 scene; change only the prompt.</x:v>
      </x:c>
      <x:c r="Q79" s="32" t="str">
        <x:f>'Evaluation Plan'!Q79</x:f>
        <x:v>The direct prompt is present in Counting training for this same-task object and action direction.</x:v>
      </x:c>
      <x:c r="R79" s="32" t="n">
        <x:f>'Evaluation Plan'!R79</x:f>
        <x:v>0</x:v>
      </x:c>
    </x:row>
    <x:row r="80" ht="46.5" customHeight="1">
      <x:c r="A80" s="31" t="str">
        <x:v>Not collected</x:v>
      </x:c>
      <x:c r="B80" s="33" t="n">
        <x:f>'Evaluation Plan'!B80</x:f>
        <x:v>78</x:v>
      </x:c>
      <x:c r="C80" s="31" t="str">
        <x:f>'Evaluation Plan'!C80</x:f>
        <x:v>Move the yellow block from the bowl to the table.</x:v>
      </x:c>
      <x:c r="D80" s="31" t="str">
        <x:f>'Evaluation Plan'!D80</x:f>
        <x:v>Bowl objects: [yellow block, blue pen] | Table objects: [green pencil sharpener, airplane toy without propellers]</x:v>
      </x:c>
      <x:c r="E80" s="33" t="str">
        <x:f>'Evaluation Plan'!E80</x:f>
      </x:c>
      <x:c r="F80" s="31" t="str">
        <x:f>'Evaluation Plan'!F80</x:f>
        <x:v>REMOVE yellow block</x:v>
      </x:c>
      <x:c r="G80" s="31" t="str"/>
      <x:c r="H80" s="37" t="str">
        <x:f>'Evaluation Plan'!H80</x:f>
        <x:v>Matched manipulation control</x:v>
      </x:c>
      <x:c r="I80" s="31" t="str">
        <x:f>'Evaluation Plan'!I80</x:f>
        <x:v>CT-CF10</x:v>
      </x:c>
      <x:c r="J80" s="31" t="str">
        <x:f>'Evaluation Plan'!J80</x:f>
        <x:v>CT-CF10-REMOVE</x:v>
      </x:c>
      <x:c r="K80" s="33" t="n">
        <x:f>'Evaluation Plan'!K80</x:f>
        <x:v>2</x:v>
      </x:c>
      <x:c r="L80" s="33" t="n">
        <x:f>'Evaluation Plan'!L80</x:f>
        <x:v>1</x:v>
      </x:c>
      <x:c r="M80" s="33" t="str">
        <x:f>'Evaluation Plan'!M80</x:f>
        <x:v>REMOVE</x:v>
      </x:c>
      <x:c r="N80" s="31" t="str">
        <x:f>'Evaluation Plan'!N80</x:f>
        <x:v>Matched direct REMOVE control</x:v>
      </x:c>
      <x:c r="O80" s="33" t="n">
        <x:f>'Evaluation Plan'!O80</x:f>
        <x:v>3</x:v>
      </x:c>
      <x:c r="P80" s="31" t="str">
        <x:f>'Evaluation Plan'!P80</x:f>
        <x:v>Reset the exact count-2 scene; change only the prompt.</x:v>
      </x:c>
      <x:c r="Q80" s="31" t="str">
        <x:f>'Evaluation Plan'!Q80</x:f>
        <x:v>The direct prompt is present in Counting training for this same-task object and action direction.</x:v>
      </x:c>
      <x:c r="R80" s="31" t="n">
        <x:f>'Evaluation Plan'!R80</x:f>
        <x:v>0</x:v>
      </x:c>
    </x:row>
    <x:row r="81" ht="46.5" customHeight="1">
      <x:c r="A81" s="32" t="str">
        <x:v>Not collected</x:v>
      </x:c>
      <x:c r="B81" s="34" t="n">
        <x:f>'Evaluation Plan'!B81</x:f>
        <x:v>79</x:v>
      </x:c>
      <x:c r="C81" s="32" t="str">
        <x:f>'Evaluation Plan'!C81</x:f>
        <x:v>Leave exactly one object in the bowl.</x:v>
      </x:c>
      <x:c r="D81" s="32" t="str">
        <x:f>'Evaluation Plan'!D81</x:f>
        <x:v>Bowl objects: [yellow block, blue pen] | Table objects: [green pencil sharpener, airplane toy without propellers]</x:v>
      </x:c>
      <x:c r="E81" s="34" t="n">
        <x:f>'Evaluation Plan'!E81</x:f>
        <x:v>78</x:v>
      </x:c>
      <x:c r="F81" s="32" t="str">
        <x:f>'Evaluation Plan'!F81</x:f>
        <x:v>REMOVE any one bowl object; finish with 1 object in the bowl</x:v>
      </x:c>
      <x:c r="G81" s="32" t="str"/>
      <x:c r="H81" s="36" t="str">
        <x:f>'Evaluation Plan'!H81</x:f>
        <x:v>Concept/compositional transfer</x:v>
      </x:c>
      <x:c r="I81" s="32" t="str">
        <x:f>'Evaluation Plan'!I81</x:f>
        <x:v>CT-CF10</x:v>
      </x:c>
      <x:c r="J81" s="32" t="str">
        <x:f>'Evaluation Plan'!J81</x:f>
        <x:v>CT-CF10-REMOVE</x:v>
      </x:c>
      <x:c r="K81" s="34" t="n">
        <x:f>'Evaluation Plan'!K81</x:f>
        <x:v>2</x:v>
      </x:c>
      <x:c r="L81" s="34" t="n">
        <x:f>'Evaluation Plan'!L81</x:f>
        <x:v>1</x:v>
      </x:c>
      <x:c r="M81" s="34" t="str">
        <x:f>'Evaluation Plan'!M81</x:f>
        <x:v>REMOVE</x:v>
      </x:c>
      <x:c r="N81" s="32" t="str">
        <x:f>'Evaluation Plan'!N81</x:f>
        <x:v>Primary: one via held-out 2→1 removal</x:v>
      </x:c>
      <x:c r="O81" s="34" t="n">
        <x:f>'Evaluation Plan'!O81</x:f>
        <x:v>3</x:v>
      </x:c>
      <x:c r="P81" s="32" t="str">
        <x:f>'Evaluation Plan'!P81</x:f>
        <x:v>Build the listed count-2 scene.</x:v>
      </x:c>
      <x:c r="Q81" s="32" t="str">
        <x:f>'Evaluation Plan'!Q81</x:f>
        <x:v>The goal word one is trained, and this 2→1 trajectory is trained under a direct instruction, but the combination is withheld.</x:v>
      </x:c>
      <x:c r="R81" s="32" t="n">
        <x:f>'Evaluation Plan'!R81</x:f>
        <x:v>0</x:v>
      </x:c>
    </x:row>
    <x:row r="82" ht="46.5" customHeight="1">
      <x:c r="A82" s="31" t="str">
        <x:v>Not collected</x:v>
      </x:c>
      <x:c r="B82" s="33" t="n">
        <x:f>'Evaluation Plan'!B82</x:f>
        <x:v>80</x:v>
      </x:c>
      <x:c r="C82" s="31" t="str">
        <x:f>'Evaluation Plan'!C82</x:f>
        <x:v>Leave exactly one object in the bowl.</x:v>
      </x:c>
      <x:c r="D82" s="31" t="str">
        <x:f>'Evaluation Plan'!D82</x:f>
        <x:v>Bowl objects: [green pencil sharpener, airplane toy without propellers] | Table objects: [blue pen, yellow block]</x:v>
      </x:c>
      <x:c r="E82" s="33" t="str">
        <x:f>'Evaluation Plan'!E82</x:f>
      </x:c>
      <x:c r="F82" s="31" t="str">
        <x:f>'Evaluation Plan'!F82</x:f>
        <x:v>REMOVE any one bowl object; finish with 1 object in the bowl</x:v>
      </x:c>
      <x:c r="G82" s="31" t="str"/>
      <x:c r="H82" s="36" t="str">
        <x:f>'Evaluation Plan'!H82</x:f>
        <x:v>Concept/compositional transfer</x:v>
      </x:c>
      <x:c r="I82" s="31" t="str">
        <x:f>'Evaluation Plan'!I82</x:f>
        <x:v>CT-CF11</x:v>
      </x:c>
      <x:c r="J82" s="31" t="str">
        <x:f>'Evaluation Plan'!J82</x:f>
        <x:v>CT-CF11-REMOVE</x:v>
      </x:c>
      <x:c r="K82" s="33" t="n">
        <x:f>'Evaluation Plan'!K82</x:f>
        <x:v>2</x:v>
      </x:c>
      <x:c r="L82" s="33" t="n">
        <x:f>'Evaluation Plan'!L82</x:f>
        <x:v>1</x:v>
      </x:c>
      <x:c r="M82" s="33" t="str">
        <x:f>'Evaluation Plan'!M82</x:f>
        <x:v>REMOVE</x:v>
      </x:c>
      <x:c r="N82" s="31" t="str">
        <x:f>'Evaluation Plan'!N82</x:f>
        <x:v>Primary: one via held-out 2→1 removal</x:v>
      </x:c>
      <x:c r="O82" s="33" t="n">
        <x:f>'Evaluation Plan'!O82</x:f>
        <x:v>4</x:v>
      </x:c>
      <x:c r="P82" s="31" t="str">
        <x:f>'Evaluation Plan'!P82</x:f>
        <x:v>Build the listed count-2 scene.</x:v>
      </x:c>
      <x:c r="Q82" s="31" t="str">
        <x:f>'Evaluation Plan'!Q82</x:f>
        <x:v>The goal word one is trained, and this 2→1 trajectory is trained under a direct instruction, but the combination is withheld.</x:v>
      </x:c>
      <x:c r="R82" s="31" t="n">
        <x:f>'Evaluation Plan'!R82</x:f>
        <x:v>0</x:v>
      </x:c>
    </x:row>
    <x:row r="83" ht="46.5" customHeight="1">
      <x:c r="A83" s="32" t="str">
        <x:v>Not collected</x:v>
      </x:c>
      <x:c r="B83" s="34" t="n">
        <x:f>'Evaluation Plan'!B83</x:f>
        <x:v>81</x:v>
      </x:c>
      <x:c r="C83" s="32" t="str">
        <x:f>'Evaluation Plan'!C83</x:f>
        <x:v>Leave exactly three objects in the bowl.</x:v>
      </x:c>
      <x:c r="D83" s="32" t="str">
        <x:f>'Evaluation Plan'!D83</x:f>
        <x:v>Bowl objects: [green pencil sharpener, airplane toy without propellers] | Table objects: [blue pen, yellow block]</x:v>
      </x:c>
      <x:c r="E83" s="34" t="n">
        <x:f>'Evaluation Plan'!E83</x:f>
        <x:v>80</x:v>
      </x:c>
      <x:c r="F83" s="32" t="str">
        <x:f>'Evaluation Plan'!F83</x:f>
        <x:v>ADD any one table object; finish with 3 objects in the bowl</x:v>
      </x:c>
      <x:c r="G83" s="32" t="str"/>
      <x:c r="H83" s="36" t="str">
        <x:f>'Evaluation Plan'!H83</x:f>
        <x:v>Concept/compositional transfer</x:v>
      </x:c>
      <x:c r="I83" s="32" t="str">
        <x:f>'Evaluation Plan'!I83</x:f>
        <x:v>CT-CF11</x:v>
      </x:c>
      <x:c r="J83" s="32" t="str">
        <x:f>'Evaluation Plan'!J83</x:f>
        <x:v>CT-CF11-ADD</x:v>
      </x:c>
      <x:c r="K83" s="34" t="n">
        <x:f>'Evaluation Plan'!K83</x:f>
        <x:v>2</x:v>
      </x:c>
      <x:c r="L83" s="34" t="n">
        <x:f>'Evaluation Plan'!L83</x:f>
        <x:v>3</x:v>
      </x:c>
      <x:c r="M83" s="34" t="str">
        <x:f>'Evaluation Plan'!M83</x:f>
        <x:v>ADD</x:v>
      </x:c>
      <x:c r="N83" s="32" t="str">
        <x:f>'Evaluation Plan'!N83</x:f>
        <x:v>Primary: three via held-out 2→3 addition</x:v>
      </x:c>
      <x:c r="O83" s="34" t="n">
        <x:f>'Evaluation Plan'!O83</x:f>
        <x:v>4</x:v>
      </x:c>
      <x:c r="P83" s="32" t="str">
        <x:f>'Evaluation Plan'!P83</x:f>
        <x:v>Reset the exact count-2 scene; change only the prompt.</x:v>
      </x:c>
      <x:c r="Q83" s="32" t="str">
        <x:f>'Evaluation Plan'!Q83</x:f>
        <x:v>The goal word three is trained, and this 2→3 trajectory is trained under a direct instruction, but the combination is withheld.</x:v>
      </x:c>
      <x:c r="R83" s="32" t="n">
        <x:f>'Evaluation Plan'!R83</x:f>
        <x:v>0</x:v>
      </x:c>
    </x:row>
    <x:row r="84" ht="46.5" customHeight="1">
      <x:c r="A84" s="31" t="str">
        <x:v>Not collected</x:v>
      </x:c>
      <x:c r="B84" s="33" t="n">
        <x:f>'Evaluation Plan'!B84</x:f>
        <x:v>82</x:v>
      </x:c>
      <x:c r="C84" s="31" t="str">
        <x:f>'Evaluation Plan'!C84</x:f>
        <x:v>Leave exactly three objects in the bowl.</x:v>
      </x:c>
      <x:c r="D84" s="31" t="str">
        <x:f>'Evaluation Plan'!D84</x:f>
        <x:v>Bowl objects: [yellow block, green pencil sharpener] | Table objects: [blue pen, airplane toy without propellers]</x:v>
      </x:c>
      <x:c r="E84" s="33" t="str">
        <x:f>'Evaluation Plan'!E84</x:f>
      </x:c>
      <x:c r="F84" s="31" t="str">
        <x:f>'Evaluation Plan'!F84</x:f>
        <x:v>ADD any one table object; finish with 3 objects in the bowl</x:v>
      </x:c>
      <x:c r="G84" s="31" t="str"/>
      <x:c r="H84" s="36" t="str">
        <x:f>'Evaluation Plan'!H84</x:f>
        <x:v>Concept/compositional transfer</x:v>
      </x:c>
      <x:c r="I84" s="31" t="str">
        <x:f>'Evaluation Plan'!I84</x:f>
        <x:v>CT-CF12</x:v>
      </x:c>
      <x:c r="J84" s="31" t="str">
        <x:f>'Evaluation Plan'!J84</x:f>
        <x:v>CT-CF12-ADD</x:v>
      </x:c>
      <x:c r="K84" s="33" t="n">
        <x:f>'Evaluation Plan'!K84</x:f>
        <x:v>2</x:v>
      </x:c>
      <x:c r="L84" s="33" t="n">
        <x:f>'Evaluation Plan'!L84</x:f>
        <x:v>3</x:v>
      </x:c>
      <x:c r="M84" s="33" t="str">
        <x:f>'Evaluation Plan'!M84</x:f>
        <x:v>ADD</x:v>
      </x:c>
      <x:c r="N84" s="31" t="str">
        <x:f>'Evaluation Plan'!N84</x:f>
        <x:v>Primary: three via held-out 2→3 addition</x:v>
      </x:c>
      <x:c r="O84" s="33" t="n">
        <x:f>'Evaluation Plan'!O84</x:f>
        <x:v>4</x:v>
      </x:c>
      <x:c r="P84" s="31" t="str">
        <x:f>'Evaluation Plan'!P84</x:f>
        <x:v>Reset the exact count-2 scene; change only the prompt.</x:v>
      </x:c>
      <x:c r="Q84" s="31" t="str">
        <x:f>'Evaluation Plan'!Q84</x:f>
        <x:v>The goal word three is trained, and this 2→3 trajectory is trained under a direct instruction, but the combination is withheld.</x:v>
      </x:c>
      <x:c r="R84" s="31" t="n">
        <x:f>'Evaluation Plan'!R84</x:f>
        <x:v>0</x:v>
      </x:c>
    </x:row>
    <x:row r="85" ht="46.5" customHeight="1">
      <x:c r="A85" s="32" t="str">
        <x:v>Not collected</x:v>
      </x:c>
      <x:c r="B85" s="34" t="n">
        <x:f>'Evaluation Plan'!B85</x:f>
        <x:v>83</x:v>
      </x:c>
      <x:c r="C85" s="32" t="str">
        <x:f>'Evaluation Plan'!C85</x:f>
        <x:v>Leave exactly one object in the bowl.</x:v>
      </x:c>
      <x:c r="D85" s="32" t="str">
        <x:f>'Evaluation Plan'!D85</x:f>
        <x:v>Bowl objects: [yellow block, green pencil sharpener] | Table objects: [blue pen, airplane toy without propellers]</x:v>
      </x:c>
      <x:c r="E85" s="34" t="n">
        <x:f>'Evaluation Plan'!E85</x:f>
        <x:v>82</x:v>
      </x:c>
      <x:c r="F85" s="32" t="str">
        <x:f>'Evaluation Plan'!F85</x:f>
        <x:v>REMOVE any one bowl object; finish with 1 object in the bowl</x:v>
      </x:c>
      <x:c r="G85" s="32" t="str"/>
      <x:c r="H85" s="36" t="str">
        <x:f>'Evaluation Plan'!H85</x:f>
        <x:v>Concept/compositional transfer</x:v>
      </x:c>
      <x:c r="I85" s="32" t="str">
        <x:f>'Evaluation Plan'!I85</x:f>
        <x:v>CT-CF12</x:v>
      </x:c>
      <x:c r="J85" s="32" t="str">
        <x:f>'Evaluation Plan'!J85</x:f>
        <x:v>CT-CF12-REMOVE</x:v>
      </x:c>
      <x:c r="K85" s="34" t="n">
        <x:f>'Evaluation Plan'!K85</x:f>
        <x:v>2</x:v>
      </x:c>
      <x:c r="L85" s="34" t="n">
        <x:f>'Evaluation Plan'!L85</x:f>
        <x:v>1</x:v>
      </x:c>
      <x:c r="M85" s="34" t="str">
        <x:f>'Evaluation Plan'!M85</x:f>
        <x:v>REMOVE</x:v>
      </x:c>
      <x:c r="N85" s="32" t="str">
        <x:f>'Evaluation Plan'!N85</x:f>
        <x:v>Primary: one via held-out 2→1 removal</x:v>
      </x:c>
      <x:c r="O85" s="34" t="n">
        <x:f>'Evaluation Plan'!O85</x:f>
        <x:v>4</x:v>
      </x:c>
      <x:c r="P85" s="32" t="str">
        <x:f>'Evaluation Plan'!P85</x:f>
        <x:v>Build the listed count-2 scene.</x:v>
      </x:c>
      <x:c r="Q85" s="32" t="str">
        <x:f>'Evaluation Plan'!Q85</x:f>
        <x:v>The goal word one is trained, and this 2→1 trajectory is trained under a direct instruction, but the combination is withheld.</x:v>
      </x:c>
      <x:c r="R85" s="32" t="n">
        <x:f>'Evaluation Plan'!R85</x:f>
        <x:v>0</x:v>
      </x:c>
    </x:row>
    <x:row r="86" ht="46.5" customHeight="1">
      <x:c r="A86" s="31" t="str">
        <x:v>Not collected</x:v>
      </x:c>
      <x:c r="B86" s="33" t="n">
        <x:f>'Evaluation Plan'!B86</x:f>
        <x:v>84</x:v>
      </x:c>
      <x:c r="C86" s="31" t="str">
        <x:f>'Evaluation Plan'!C86</x:f>
        <x:v>Leave exactly one object in the bowl.</x:v>
      </x:c>
      <x:c r="D86" s="31" t="str">
        <x:f>'Evaluation Plan'!D86</x:f>
        <x:v>Bowl objects: [green pencil sharpener, airplane toy without propellers] | Table objects: [blue pen, yellow block]</x:v>
      </x:c>
      <x:c r="E86" s="33" t="str">
        <x:f>'Evaluation Plan'!E86</x:f>
      </x:c>
      <x:c r="F86" s="31" t="str">
        <x:f>'Evaluation Plan'!F86</x:f>
        <x:v>REMOVE any one bowl object; finish with 1 object in the bowl</x:v>
      </x:c>
      <x:c r="G86" s="31" t="str"/>
      <x:c r="H86" s="36" t="str">
        <x:f>'Evaluation Plan'!H86</x:f>
        <x:v>Concept/compositional transfer</x:v>
      </x:c>
      <x:c r="I86" s="31" t="str">
        <x:f>'Evaluation Plan'!I86</x:f>
        <x:v>CT-CF13</x:v>
      </x:c>
      <x:c r="J86" s="31" t="str">
        <x:f>'Evaluation Plan'!J86</x:f>
        <x:v>CT-CF13-REMOVE</x:v>
      </x:c>
      <x:c r="K86" s="33" t="n">
        <x:f>'Evaluation Plan'!K86</x:f>
        <x:v>2</x:v>
      </x:c>
      <x:c r="L86" s="33" t="n">
        <x:f>'Evaluation Plan'!L86</x:f>
        <x:v>1</x:v>
      </x:c>
      <x:c r="M86" s="33" t="str">
        <x:f>'Evaluation Plan'!M86</x:f>
        <x:v>REMOVE</x:v>
      </x:c>
      <x:c r="N86" s="31" t="str">
        <x:f>'Evaluation Plan'!N86</x:f>
        <x:v>Primary: one via held-out 2→1 removal</x:v>
      </x:c>
      <x:c r="O86" s="33" t="n">
        <x:f>'Evaluation Plan'!O86</x:f>
        <x:v>4</x:v>
      </x:c>
      <x:c r="P86" s="31" t="str">
        <x:f>'Evaluation Plan'!P86</x:f>
        <x:v>Build the listed count-2 scene.</x:v>
      </x:c>
      <x:c r="Q86" s="31" t="str">
        <x:f>'Evaluation Plan'!Q86</x:f>
        <x:v>The goal word one is trained, and this 2→1 trajectory is trained under a direct instruction, but the combination is withheld.</x:v>
      </x:c>
      <x:c r="R86" s="31" t="n">
        <x:f>'Evaluation Plan'!R86</x:f>
        <x:v>0</x:v>
      </x:c>
    </x:row>
    <x:row r="87" ht="46.5" customHeight="1">
      <x:c r="A87" s="32" t="str">
        <x:v>Not collected</x:v>
      </x:c>
      <x:c r="B87" s="34" t="n">
        <x:f>'Evaluation Plan'!B87</x:f>
        <x:v>85</x:v>
      </x:c>
      <x:c r="C87" s="32" t="str">
        <x:f>'Evaluation Plan'!C87</x:f>
        <x:v>Leave exactly three objects in the bowl.</x:v>
      </x:c>
      <x:c r="D87" s="32" t="str">
        <x:f>'Evaluation Plan'!D87</x:f>
        <x:v>Bowl objects: [green pencil sharpener, airplane toy without propellers] | Table objects: [blue pen, yellow block]</x:v>
      </x:c>
      <x:c r="E87" s="34" t="n">
        <x:f>'Evaluation Plan'!E87</x:f>
        <x:v>84</x:v>
      </x:c>
      <x:c r="F87" s="32" t="str">
        <x:f>'Evaluation Plan'!F87</x:f>
        <x:v>ADD any one table object; finish with 3 objects in the bowl</x:v>
      </x:c>
      <x:c r="G87" s="32" t="str"/>
      <x:c r="H87" s="36" t="str">
        <x:f>'Evaluation Plan'!H87</x:f>
        <x:v>Concept/compositional transfer</x:v>
      </x:c>
      <x:c r="I87" s="32" t="str">
        <x:f>'Evaluation Plan'!I87</x:f>
        <x:v>CT-CF13</x:v>
      </x:c>
      <x:c r="J87" s="32" t="str">
        <x:f>'Evaluation Plan'!J87</x:f>
        <x:v>CT-CF13-ADD</x:v>
      </x:c>
      <x:c r="K87" s="34" t="n">
        <x:f>'Evaluation Plan'!K87</x:f>
        <x:v>2</x:v>
      </x:c>
      <x:c r="L87" s="34" t="n">
        <x:f>'Evaluation Plan'!L87</x:f>
        <x:v>3</x:v>
      </x:c>
      <x:c r="M87" s="34" t="str">
        <x:f>'Evaluation Plan'!M87</x:f>
        <x:v>ADD</x:v>
      </x:c>
      <x:c r="N87" s="32" t="str">
        <x:f>'Evaluation Plan'!N87</x:f>
        <x:v>Primary: three via held-out 2→3 addition</x:v>
      </x:c>
      <x:c r="O87" s="34" t="n">
        <x:f>'Evaluation Plan'!O87</x:f>
        <x:v>4</x:v>
      </x:c>
      <x:c r="P87" s="32" t="str">
        <x:f>'Evaluation Plan'!P87</x:f>
        <x:v>Reset the exact count-2 scene; change only the prompt.</x:v>
      </x:c>
      <x:c r="Q87" s="32" t="str">
        <x:f>'Evaluation Plan'!Q87</x:f>
        <x:v>The goal word three is trained, and this 2→3 trajectory is trained under a direct instruction, but the combination is withheld.</x:v>
      </x:c>
      <x:c r="R87" s="32" t="n">
        <x:f>'Evaluation Plan'!R87</x:f>
        <x:v>0</x:v>
      </x:c>
    </x:row>
    <x:row r="88" ht="46.5" customHeight="1">
      <x:c r="A88" s="31" t="str">
        <x:v>Not collected</x:v>
      </x:c>
      <x:c r="B88" s="33" t="n">
        <x:f>'Evaluation Plan'!B88</x:f>
        <x:v>86</x:v>
      </x:c>
      <x:c r="C88" s="31" t="str">
        <x:f>'Evaluation Plan'!C88</x:f>
        <x:v>Leave exactly three objects in the bowl.</x:v>
      </x:c>
      <x:c r="D88" s="31" t="str">
        <x:f>'Evaluation Plan'!D88</x:f>
        <x:v>Bowl objects: [yellow block, green pencil sharpener] | Table objects: [blue pen, airplane toy without propellers]</x:v>
      </x:c>
      <x:c r="E88" s="33" t="str">
        <x:f>'Evaluation Plan'!E88</x:f>
      </x:c>
      <x:c r="F88" s="31" t="str">
        <x:f>'Evaluation Plan'!F88</x:f>
        <x:v>ADD any one table object; finish with 3 objects in the bowl</x:v>
      </x:c>
      <x:c r="G88" s="31" t="str"/>
      <x:c r="H88" s="36" t="str">
        <x:f>'Evaluation Plan'!H88</x:f>
        <x:v>Concept/compositional transfer</x:v>
      </x:c>
      <x:c r="I88" s="31" t="str">
        <x:f>'Evaluation Plan'!I88</x:f>
        <x:v>CT-CF14</x:v>
      </x:c>
      <x:c r="J88" s="31" t="str">
        <x:f>'Evaluation Plan'!J88</x:f>
        <x:v>CT-CF14-ADD</x:v>
      </x:c>
      <x:c r="K88" s="33" t="n">
        <x:f>'Evaluation Plan'!K88</x:f>
        <x:v>2</x:v>
      </x:c>
      <x:c r="L88" s="33" t="n">
        <x:f>'Evaluation Plan'!L88</x:f>
        <x:v>3</x:v>
      </x:c>
      <x:c r="M88" s="33" t="str">
        <x:f>'Evaluation Plan'!M88</x:f>
        <x:v>ADD</x:v>
      </x:c>
      <x:c r="N88" s="31" t="str">
        <x:f>'Evaluation Plan'!N88</x:f>
        <x:v>Primary: three via held-out 2→3 addition</x:v>
      </x:c>
      <x:c r="O88" s="33" t="n">
        <x:f>'Evaluation Plan'!O88</x:f>
        <x:v>4</x:v>
      </x:c>
      <x:c r="P88" s="31" t="str">
        <x:f>'Evaluation Plan'!P88</x:f>
        <x:v>Reset the exact count-2 scene; change only the prompt.</x:v>
      </x:c>
      <x:c r="Q88" s="31" t="str">
        <x:f>'Evaluation Plan'!Q88</x:f>
        <x:v>The goal word three is trained, and this 2→3 trajectory is trained under a direct instruction, but the combination is withheld.</x:v>
      </x:c>
      <x:c r="R88" s="31" t="n">
        <x:f>'Evaluation Plan'!R88</x:f>
        <x:v>0</x:v>
      </x:c>
    </x:row>
    <x:row r="89" ht="46.5" customHeight="1">
      <x:c r="A89" s="32" t="str">
        <x:v>Not collected</x:v>
      </x:c>
      <x:c r="B89" s="34" t="n">
        <x:f>'Evaluation Plan'!B89</x:f>
        <x:v>87</x:v>
      </x:c>
      <x:c r="C89" s="32" t="str">
        <x:f>'Evaluation Plan'!C89</x:f>
        <x:v>Leave exactly one object in the bowl.</x:v>
      </x:c>
      <x:c r="D89" s="32" t="str">
        <x:f>'Evaluation Plan'!D89</x:f>
        <x:v>Bowl objects: [yellow block, green pencil sharpener] | Table objects: [blue pen, airplane toy without propellers]</x:v>
      </x:c>
      <x:c r="E89" s="34" t="n">
        <x:f>'Evaluation Plan'!E89</x:f>
        <x:v>86</x:v>
      </x:c>
      <x:c r="F89" s="32" t="str">
        <x:f>'Evaluation Plan'!F89</x:f>
        <x:v>REMOVE any one bowl object; finish with 1 object in the bowl</x:v>
      </x:c>
      <x:c r="G89" s="32" t="str"/>
      <x:c r="H89" s="36" t="str">
        <x:f>'Evaluation Plan'!H89</x:f>
        <x:v>Concept/compositional transfer</x:v>
      </x:c>
      <x:c r="I89" s="32" t="str">
        <x:f>'Evaluation Plan'!I89</x:f>
        <x:v>CT-CF14</x:v>
      </x:c>
      <x:c r="J89" s="32" t="str">
        <x:f>'Evaluation Plan'!J89</x:f>
        <x:v>CT-CF14-REMOVE</x:v>
      </x:c>
      <x:c r="K89" s="34" t="n">
        <x:f>'Evaluation Plan'!K89</x:f>
        <x:v>2</x:v>
      </x:c>
      <x:c r="L89" s="34" t="n">
        <x:f>'Evaluation Plan'!L89</x:f>
        <x:v>1</x:v>
      </x:c>
      <x:c r="M89" s="34" t="str">
        <x:f>'Evaluation Plan'!M89</x:f>
        <x:v>REMOVE</x:v>
      </x:c>
      <x:c r="N89" s="32" t="str">
        <x:f>'Evaluation Plan'!N89</x:f>
        <x:v>Primary: one via held-out 2→1 removal</x:v>
      </x:c>
      <x:c r="O89" s="34" t="n">
        <x:f>'Evaluation Plan'!O89</x:f>
        <x:v>4</x:v>
      </x:c>
      <x:c r="P89" s="32" t="str">
        <x:f>'Evaluation Plan'!P89</x:f>
        <x:v>Build the listed count-2 scene.</x:v>
      </x:c>
      <x:c r="Q89" s="32" t="str">
        <x:f>'Evaluation Plan'!Q89</x:f>
        <x:v>The goal word one is trained, and this 2→1 trajectory is trained under a direct instruction, but the combination is withheld.</x:v>
      </x:c>
      <x:c r="R89" s="32" t="n">
        <x:f>'Evaluation Plan'!R89</x:f>
        <x:v>0</x:v>
      </x:c>
    </x:row>
    <x:row r="90" ht="46.5" customHeight="1">
      <x:c r="A90" s="31" t="str">
        <x:v>Not collected</x:v>
      </x:c>
      <x:c r="B90" s="33" t="n">
        <x:f>'Evaluation Plan'!B90</x:f>
        <x:v>88</x:v>
      </x:c>
      <x:c r="C90" s="31" t="str">
        <x:f>'Evaluation Plan'!C90</x:f>
        <x:v>Leave exactly one object in the bowl.</x:v>
      </x:c>
      <x:c r="D90" s="31" t="str">
        <x:f>'Evaluation Plan'!D90</x:f>
        <x:v>Bowl objects: [green pencil sharpener, airplane toy without propellers] | Table objects: [blue pen, yellow block]</x:v>
      </x:c>
      <x:c r="E90" s="33" t="str">
        <x:f>'Evaluation Plan'!E90</x:f>
      </x:c>
      <x:c r="F90" s="31" t="str">
        <x:f>'Evaluation Plan'!F90</x:f>
        <x:v>REMOVE any one bowl object; finish with 1 object in the bowl</x:v>
      </x:c>
      <x:c r="G90" s="31" t="str"/>
      <x:c r="H90" s="36" t="str">
        <x:f>'Evaluation Plan'!H90</x:f>
        <x:v>Concept/compositional transfer</x:v>
      </x:c>
      <x:c r="I90" s="31" t="str">
        <x:f>'Evaluation Plan'!I90</x:f>
        <x:v>CT-CF15</x:v>
      </x:c>
      <x:c r="J90" s="31" t="str">
        <x:f>'Evaluation Plan'!J90</x:f>
        <x:v>CT-CF15-REMOVE</x:v>
      </x:c>
      <x:c r="K90" s="33" t="n">
        <x:f>'Evaluation Plan'!K90</x:f>
        <x:v>2</x:v>
      </x:c>
      <x:c r="L90" s="33" t="n">
        <x:f>'Evaluation Plan'!L90</x:f>
        <x:v>1</x:v>
      </x:c>
      <x:c r="M90" s="33" t="str">
        <x:f>'Evaluation Plan'!M90</x:f>
        <x:v>REMOVE</x:v>
      </x:c>
      <x:c r="N90" s="31" t="str">
        <x:f>'Evaluation Plan'!N90</x:f>
        <x:v>Primary: one via held-out 2→1 removal</x:v>
      </x:c>
      <x:c r="O90" s="33" t="n">
        <x:f>'Evaluation Plan'!O90</x:f>
        <x:v>4</x:v>
      </x:c>
      <x:c r="P90" s="31" t="str">
        <x:f>'Evaluation Plan'!P90</x:f>
        <x:v>Build the listed count-2 scene.</x:v>
      </x:c>
      <x:c r="Q90" s="31" t="str">
        <x:f>'Evaluation Plan'!Q90</x:f>
        <x:v>The goal word one is trained, and this 2→1 trajectory is trained under a direct instruction, but the combination is withheld.</x:v>
      </x:c>
      <x:c r="R90" s="31" t="n">
        <x:f>'Evaluation Plan'!R90</x:f>
        <x:v>0</x:v>
      </x:c>
    </x:row>
    <x:row r="91" ht="46.5" customHeight="1">
      <x:c r="A91" s="32" t="str">
        <x:v>Not collected</x:v>
      </x:c>
      <x:c r="B91" s="34" t="n">
        <x:f>'Evaluation Plan'!B91</x:f>
        <x:v>89</x:v>
      </x:c>
      <x:c r="C91" s="32" t="str">
        <x:f>'Evaluation Plan'!C91</x:f>
        <x:v>Leave exactly three objects in the bowl.</x:v>
      </x:c>
      <x:c r="D91" s="32" t="str">
        <x:f>'Evaluation Plan'!D91</x:f>
        <x:v>Bowl objects: [green pencil sharpener, airplane toy without propellers] | Table objects: [blue pen, yellow block]</x:v>
      </x:c>
      <x:c r="E91" s="34" t="n">
        <x:f>'Evaluation Plan'!E91</x:f>
        <x:v>88</x:v>
      </x:c>
      <x:c r="F91" s="32" t="str">
        <x:f>'Evaluation Plan'!F91</x:f>
        <x:v>ADD any one table object; finish with 3 objects in the bowl</x:v>
      </x:c>
      <x:c r="G91" s="32" t="str"/>
      <x:c r="H91" s="36" t="str">
        <x:f>'Evaluation Plan'!H91</x:f>
        <x:v>Concept/compositional transfer</x:v>
      </x:c>
      <x:c r="I91" s="32" t="str">
        <x:f>'Evaluation Plan'!I91</x:f>
        <x:v>CT-CF15</x:v>
      </x:c>
      <x:c r="J91" s="32" t="str">
        <x:f>'Evaluation Plan'!J91</x:f>
        <x:v>CT-CF15-ADD</x:v>
      </x:c>
      <x:c r="K91" s="34" t="n">
        <x:f>'Evaluation Plan'!K91</x:f>
        <x:v>2</x:v>
      </x:c>
      <x:c r="L91" s="34" t="n">
        <x:f>'Evaluation Plan'!L91</x:f>
        <x:v>3</x:v>
      </x:c>
      <x:c r="M91" s="34" t="str">
        <x:f>'Evaluation Plan'!M91</x:f>
        <x:v>ADD</x:v>
      </x:c>
      <x:c r="N91" s="32" t="str">
        <x:f>'Evaluation Plan'!N91</x:f>
        <x:v>Primary: three via held-out 2→3 addition</x:v>
      </x:c>
      <x:c r="O91" s="34" t="n">
        <x:f>'Evaluation Plan'!O91</x:f>
        <x:v>4</x:v>
      </x:c>
      <x:c r="P91" s="32" t="str">
        <x:f>'Evaluation Plan'!P91</x:f>
        <x:v>Reset the exact count-2 scene; change only the prompt.</x:v>
      </x:c>
      <x:c r="Q91" s="32" t="str">
        <x:f>'Evaluation Plan'!Q91</x:f>
        <x:v>The goal word three is trained, and this 2→3 trajectory is trained under a direct instruction, but the combination is withheld.</x:v>
      </x:c>
      <x:c r="R91" s="32" t="n">
        <x:f>'Evaluation Plan'!R91</x:f>
        <x:v>0</x:v>
      </x:c>
    </x:row>
    <x:row r="92" ht="46.5" customHeight="1">
      <x:c r="A92" s="31" t="str">
        <x:v>Not collected</x:v>
      </x:c>
      <x:c r="B92" s="33" t="n">
        <x:f>'Evaluation Plan'!B92</x:f>
        <x:v>90</x:v>
      </x:c>
      <x:c r="C92" s="31" t="str">
        <x:f>'Evaluation Plan'!C92</x:f>
        <x:v>Leave exactly three objects in the bowl.</x:v>
      </x:c>
      <x:c r="D92" s="31" t="str">
        <x:f>'Evaluation Plan'!D92</x:f>
        <x:v>Bowl objects: [yellow block, green pencil sharpener] | Table objects: [blue pen, airplane toy without propellers]</x:v>
      </x:c>
      <x:c r="E92" s="33" t="str">
        <x:f>'Evaluation Plan'!E92</x:f>
      </x:c>
      <x:c r="F92" s="31" t="str">
        <x:f>'Evaluation Plan'!F92</x:f>
        <x:v>ADD any one table object; finish with 3 objects in the bowl</x:v>
      </x:c>
      <x:c r="G92" s="31" t="str"/>
      <x:c r="H92" s="36" t="str">
        <x:f>'Evaluation Plan'!H92</x:f>
        <x:v>Concept/compositional transfer</x:v>
      </x:c>
      <x:c r="I92" s="31" t="str">
        <x:f>'Evaluation Plan'!I92</x:f>
        <x:v>CT-CF16</x:v>
      </x:c>
      <x:c r="J92" s="31" t="str">
        <x:f>'Evaluation Plan'!J92</x:f>
        <x:v>CT-CF16-ADD</x:v>
      </x:c>
      <x:c r="K92" s="33" t="n">
        <x:f>'Evaluation Plan'!K92</x:f>
        <x:v>2</x:v>
      </x:c>
      <x:c r="L92" s="33" t="n">
        <x:f>'Evaluation Plan'!L92</x:f>
        <x:v>3</x:v>
      </x:c>
      <x:c r="M92" s="33" t="str">
        <x:f>'Evaluation Plan'!M92</x:f>
        <x:v>ADD</x:v>
      </x:c>
      <x:c r="N92" s="31" t="str">
        <x:f>'Evaluation Plan'!N92</x:f>
        <x:v>Primary: three via held-out 2→3 addition</x:v>
      </x:c>
      <x:c r="O92" s="33" t="n">
        <x:f>'Evaluation Plan'!O92</x:f>
        <x:v>4</x:v>
      </x:c>
      <x:c r="P92" s="31" t="str">
        <x:f>'Evaluation Plan'!P92</x:f>
        <x:v>Reset the exact count-2 scene; change only the prompt.</x:v>
      </x:c>
      <x:c r="Q92" s="31" t="str">
        <x:f>'Evaluation Plan'!Q92</x:f>
        <x:v>The goal word three is trained, and this 2→3 trajectory is trained under a direct instruction, but the combination is withheld.</x:v>
      </x:c>
      <x:c r="R92" s="31" t="n">
        <x:f>'Evaluation Plan'!R92</x:f>
        <x:v>0</x:v>
      </x:c>
    </x:row>
    <x:row r="93" ht="46.5" customHeight="1">
      <x:c r="A93" s="32" t="str">
        <x:v>Not collected</x:v>
      </x:c>
      <x:c r="B93" s="34" t="n">
        <x:f>'Evaluation Plan'!B93</x:f>
        <x:v>91</x:v>
      </x:c>
      <x:c r="C93" s="32" t="str">
        <x:f>'Evaluation Plan'!C93</x:f>
        <x:v>Leave exactly one object in the bowl.</x:v>
      </x:c>
      <x:c r="D93" s="32" t="str">
        <x:f>'Evaluation Plan'!D93</x:f>
        <x:v>Bowl objects: [yellow block, green pencil sharpener] | Table objects: [blue pen, airplane toy without propellers]</x:v>
      </x:c>
      <x:c r="E93" s="34" t="n">
        <x:f>'Evaluation Plan'!E93</x:f>
        <x:v>90</x:v>
      </x:c>
      <x:c r="F93" s="32" t="str">
        <x:f>'Evaluation Plan'!F93</x:f>
        <x:v>REMOVE any one bowl object; finish with 1 object in the bowl</x:v>
      </x:c>
      <x:c r="G93" s="32" t="str"/>
      <x:c r="H93" s="36" t="str">
        <x:f>'Evaluation Plan'!H93</x:f>
        <x:v>Concept/compositional transfer</x:v>
      </x:c>
      <x:c r="I93" s="32" t="str">
        <x:f>'Evaluation Plan'!I93</x:f>
        <x:v>CT-CF16</x:v>
      </x:c>
      <x:c r="J93" s="32" t="str">
        <x:f>'Evaluation Plan'!J93</x:f>
        <x:v>CT-CF16-REMOVE</x:v>
      </x:c>
      <x:c r="K93" s="34" t="n">
        <x:f>'Evaluation Plan'!K93</x:f>
        <x:v>2</x:v>
      </x:c>
      <x:c r="L93" s="34" t="n">
        <x:f>'Evaluation Plan'!L93</x:f>
        <x:v>1</x:v>
      </x:c>
      <x:c r="M93" s="34" t="str">
        <x:f>'Evaluation Plan'!M93</x:f>
        <x:v>REMOVE</x:v>
      </x:c>
      <x:c r="N93" s="32" t="str">
        <x:f>'Evaluation Plan'!N93</x:f>
        <x:v>Primary: one via held-out 2→1 removal</x:v>
      </x:c>
      <x:c r="O93" s="34" t="n">
        <x:f>'Evaluation Plan'!O93</x:f>
        <x:v>4</x:v>
      </x:c>
      <x:c r="P93" s="32" t="str">
        <x:f>'Evaluation Plan'!P93</x:f>
        <x:v>Build the listed count-2 scene.</x:v>
      </x:c>
      <x:c r="Q93" s="32" t="str">
        <x:f>'Evaluation Plan'!Q93</x:f>
        <x:v>The goal word one is trained, and this 2→1 trajectory is trained under a direct instruction, but the combination is withheld.</x:v>
      </x:c>
      <x:c r="R93" s="32" t="n">
        <x:f>'Evaluation Plan'!R93</x:f>
        <x:v>0</x:v>
      </x:c>
    </x:row>
    <x:row r="94" ht="46.5" customHeight="1">
      <x:c r="A94" s="31" t="str">
        <x:v>Not collected</x:v>
      </x:c>
      <x:c r="B94" s="33" t="n">
        <x:f>'Evaluation Plan'!B94</x:f>
        <x:v>92</x:v>
      </x:c>
      <x:c r="C94" s="31" t="str">
        <x:f>'Evaluation Plan'!C94</x:f>
        <x:v>Leave exactly one object in the bowl.</x:v>
      </x:c>
      <x:c r="D94" s="31" t="str">
        <x:f>'Evaluation Plan'!D94</x:f>
        <x:v>Bowl objects: [blue pen, airplane toy without propellers] | Table objects: [yellow block, green pencil sharpener]</x:v>
      </x:c>
      <x:c r="E94" s="33" t="str">
        <x:f>'Evaluation Plan'!E94</x:f>
      </x:c>
      <x:c r="F94" s="31" t="str">
        <x:f>'Evaluation Plan'!F94</x:f>
        <x:v>REMOVE any one bowl object; finish with 1 object in the bowl</x:v>
      </x:c>
      <x:c r="G94" s="31" t="str"/>
      <x:c r="H94" s="36" t="str">
        <x:f>'Evaluation Plan'!H94</x:f>
        <x:v>Concept/compositional transfer</x:v>
      </x:c>
      <x:c r="I94" s="31" t="str">
        <x:f>'Evaluation Plan'!I94</x:f>
        <x:v>CT-CF17</x:v>
      </x:c>
      <x:c r="J94" s="31" t="str">
        <x:f>'Evaluation Plan'!J94</x:f>
        <x:v>CT-CF17-REMOVE</x:v>
      </x:c>
      <x:c r="K94" s="33" t="n">
        <x:f>'Evaluation Plan'!K94</x:f>
        <x:v>2</x:v>
      </x:c>
      <x:c r="L94" s="33" t="n">
        <x:f>'Evaluation Plan'!L94</x:f>
        <x:v>1</x:v>
      </x:c>
      <x:c r="M94" s="33" t="str">
        <x:f>'Evaluation Plan'!M94</x:f>
        <x:v>REMOVE</x:v>
      </x:c>
      <x:c r="N94" s="31" t="str">
        <x:f>'Evaluation Plan'!N94</x:f>
        <x:v>Primary: one via held-out 2→1 removal</x:v>
      </x:c>
      <x:c r="O94" s="33" t="n">
        <x:f>'Evaluation Plan'!O94</x:f>
        <x:v>4</x:v>
      </x:c>
      <x:c r="P94" s="31" t="str">
        <x:f>'Evaluation Plan'!P94</x:f>
        <x:v>Build the listed count-2 scene.</x:v>
      </x:c>
      <x:c r="Q94" s="31" t="str">
        <x:f>'Evaluation Plan'!Q94</x:f>
        <x:v>The goal word one is trained, and this 2→1 trajectory is trained under a direct instruction, but the combination is withheld.</x:v>
      </x:c>
      <x:c r="R94" s="31" t="n">
        <x:f>'Evaluation Plan'!R94</x:f>
        <x:v>0</x:v>
      </x:c>
    </x:row>
    <x:row r="95" ht="46.5" customHeight="1">
      <x:c r="A95" s="32" t="str">
        <x:v>Not collected</x:v>
      </x:c>
      <x:c r="B95" s="34" t="n">
        <x:f>'Evaluation Plan'!B95</x:f>
        <x:v>93</x:v>
      </x:c>
      <x:c r="C95" s="32" t="str">
        <x:f>'Evaluation Plan'!C95</x:f>
        <x:v>Leave exactly three objects in the bowl.</x:v>
      </x:c>
      <x:c r="D95" s="32" t="str">
        <x:f>'Evaluation Plan'!D95</x:f>
        <x:v>Bowl objects: [blue pen, airplane toy without propellers] | Table objects: [yellow block, green pencil sharpener]</x:v>
      </x:c>
      <x:c r="E95" s="34" t="n">
        <x:f>'Evaluation Plan'!E95</x:f>
        <x:v>92</x:v>
      </x:c>
      <x:c r="F95" s="32" t="str">
        <x:f>'Evaluation Plan'!F95</x:f>
        <x:v>ADD any one table object; finish with 3 objects in the bowl</x:v>
      </x:c>
      <x:c r="G95" s="32" t="str"/>
      <x:c r="H95" s="36" t="str">
        <x:f>'Evaluation Plan'!H95</x:f>
        <x:v>Concept/compositional transfer</x:v>
      </x:c>
      <x:c r="I95" s="32" t="str">
        <x:f>'Evaluation Plan'!I95</x:f>
        <x:v>CT-CF17</x:v>
      </x:c>
      <x:c r="J95" s="32" t="str">
        <x:f>'Evaluation Plan'!J95</x:f>
        <x:v>CT-CF17-ADD</x:v>
      </x:c>
      <x:c r="K95" s="34" t="n">
        <x:f>'Evaluation Plan'!K95</x:f>
        <x:v>2</x:v>
      </x:c>
      <x:c r="L95" s="34" t="n">
        <x:f>'Evaluation Plan'!L95</x:f>
        <x:v>3</x:v>
      </x:c>
      <x:c r="M95" s="34" t="str">
        <x:f>'Evaluation Plan'!M95</x:f>
        <x:v>ADD</x:v>
      </x:c>
      <x:c r="N95" s="32" t="str">
        <x:f>'Evaluation Plan'!N95</x:f>
        <x:v>Primary: three via held-out 2→3 addition</x:v>
      </x:c>
      <x:c r="O95" s="34" t="n">
        <x:f>'Evaluation Plan'!O95</x:f>
        <x:v>4</x:v>
      </x:c>
      <x:c r="P95" s="32" t="str">
        <x:f>'Evaluation Plan'!P95</x:f>
        <x:v>Reset the exact count-2 scene; change only the prompt.</x:v>
      </x:c>
      <x:c r="Q95" s="32" t="str">
        <x:f>'Evaluation Plan'!Q95</x:f>
        <x:v>The goal word three is trained, and this 2→3 trajectory is trained under a direct instruction, but the combination is withheld.</x:v>
      </x:c>
      <x:c r="R95" s="32" t="n">
        <x:f>'Evaluation Plan'!R95</x:f>
        <x:v>0</x:v>
      </x:c>
    </x:row>
    <x:row r="96" ht="46.5" customHeight="1">
      <x:c r="A96" s="31" t="str">
        <x:v>Not collected</x:v>
      </x:c>
      <x:c r="B96" s="33" t="n">
        <x:f>'Evaluation Plan'!B96</x:f>
        <x:v>94</x:v>
      </x:c>
      <x:c r="C96" s="31" t="str">
        <x:f>'Evaluation Plan'!C96</x:f>
        <x:v>Leave exactly three objects in the bowl.</x:v>
      </x:c>
      <x:c r="D96" s="31" t="str">
        <x:f>'Evaluation Plan'!D96</x:f>
        <x:v>Bowl objects: [yellow block, green pencil sharpener] | Table objects: [blue pen, airplane toy without propellers]</x:v>
      </x:c>
      <x:c r="E96" s="33" t="str">
        <x:f>'Evaluation Plan'!E96</x:f>
      </x:c>
      <x:c r="F96" s="31" t="str">
        <x:f>'Evaluation Plan'!F96</x:f>
        <x:v>ADD any one table object; finish with 3 objects in the bowl</x:v>
      </x:c>
      <x:c r="G96" s="31" t="str"/>
      <x:c r="H96" s="36" t="str">
        <x:f>'Evaluation Plan'!H96</x:f>
        <x:v>Concept/compositional transfer</x:v>
      </x:c>
      <x:c r="I96" s="31" t="str">
        <x:f>'Evaluation Plan'!I96</x:f>
        <x:v>CT-CF18</x:v>
      </x:c>
      <x:c r="J96" s="31" t="str">
        <x:f>'Evaluation Plan'!J96</x:f>
        <x:v>CT-CF18-ADD</x:v>
      </x:c>
      <x:c r="K96" s="33" t="n">
        <x:f>'Evaluation Plan'!K96</x:f>
        <x:v>2</x:v>
      </x:c>
      <x:c r="L96" s="33" t="n">
        <x:f>'Evaluation Plan'!L96</x:f>
        <x:v>3</x:v>
      </x:c>
      <x:c r="M96" s="33" t="str">
        <x:f>'Evaluation Plan'!M96</x:f>
        <x:v>ADD</x:v>
      </x:c>
      <x:c r="N96" s="31" t="str">
        <x:f>'Evaluation Plan'!N96</x:f>
        <x:v>Primary: three via held-out 2→3 addition</x:v>
      </x:c>
      <x:c r="O96" s="33" t="n">
        <x:f>'Evaluation Plan'!O96</x:f>
        <x:v>4</x:v>
      </x:c>
      <x:c r="P96" s="31" t="str">
        <x:f>'Evaluation Plan'!P96</x:f>
        <x:v>Reset the exact count-2 scene; change only the prompt.</x:v>
      </x:c>
      <x:c r="Q96" s="31" t="str">
        <x:f>'Evaluation Plan'!Q96</x:f>
        <x:v>The goal word three is trained, and this 2→3 trajectory is trained under a direct instruction, but the combination is withheld.</x:v>
      </x:c>
      <x:c r="R96" s="31" t="n">
        <x:f>'Evaluation Plan'!R96</x:f>
        <x:v>0</x:v>
      </x:c>
    </x:row>
    <x:row r="97" ht="46.5" customHeight="1">
      <x:c r="A97" s="32" t="str">
        <x:v>Not collected</x:v>
      </x:c>
      <x:c r="B97" s="34" t="n">
        <x:f>'Evaluation Plan'!B97</x:f>
        <x:v>95</x:v>
      </x:c>
      <x:c r="C97" s="32" t="str">
        <x:f>'Evaluation Plan'!C97</x:f>
        <x:v>Leave exactly one object in the bowl.</x:v>
      </x:c>
      <x:c r="D97" s="32" t="str">
        <x:f>'Evaluation Plan'!D97</x:f>
        <x:v>Bowl objects: [yellow block, green pencil sharpener] | Table objects: [blue pen, airplane toy without propellers]</x:v>
      </x:c>
      <x:c r="E97" s="34" t="n">
        <x:f>'Evaluation Plan'!E97</x:f>
        <x:v>94</x:v>
      </x:c>
      <x:c r="F97" s="32" t="str">
        <x:f>'Evaluation Plan'!F97</x:f>
        <x:v>REMOVE any one bowl object; finish with 1 object in the bowl</x:v>
      </x:c>
      <x:c r="G97" s="32" t="str"/>
      <x:c r="H97" s="36" t="str">
        <x:f>'Evaluation Plan'!H97</x:f>
        <x:v>Concept/compositional transfer</x:v>
      </x:c>
      <x:c r="I97" s="32" t="str">
        <x:f>'Evaluation Plan'!I97</x:f>
        <x:v>CT-CF18</x:v>
      </x:c>
      <x:c r="J97" s="32" t="str">
        <x:f>'Evaluation Plan'!J97</x:f>
        <x:v>CT-CF18-REMOVE</x:v>
      </x:c>
      <x:c r="K97" s="34" t="n">
        <x:f>'Evaluation Plan'!K97</x:f>
        <x:v>2</x:v>
      </x:c>
      <x:c r="L97" s="34" t="n">
        <x:f>'Evaluation Plan'!L97</x:f>
        <x:v>1</x:v>
      </x:c>
      <x:c r="M97" s="34" t="str">
        <x:f>'Evaluation Plan'!M97</x:f>
        <x:v>REMOVE</x:v>
      </x:c>
      <x:c r="N97" s="32" t="str">
        <x:f>'Evaluation Plan'!N97</x:f>
        <x:v>Primary: one via held-out 2→1 removal</x:v>
      </x:c>
      <x:c r="O97" s="34" t="n">
        <x:f>'Evaluation Plan'!O97</x:f>
        <x:v>4</x:v>
      </x:c>
      <x:c r="P97" s="32" t="str">
        <x:f>'Evaluation Plan'!P97</x:f>
        <x:v>Build the listed count-2 scene.</x:v>
      </x:c>
      <x:c r="Q97" s="32" t="str">
        <x:f>'Evaluation Plan'!Q97</x:f>
        <x:v>The goal word one is trained, and this 2→1 trajectory is trained under a direct instruction, but the combination is withheld.</x:v>
      </x:c>
      <x:c r="R97" s="32" t="n">
        <x:f>'Evaluation Plan'!R97</x:f>
        <x:v>0</x:v>
      </x:c>
    </x:row>
    <x:row r="98" ht="46.5" customHeight="1">
      <x:c r="A98" s="31" t="str">
        <x:v>Not collected</x:v>
      </x:c>
      <x:c r="B98" s="33" t="n">
        <x:f>'Evaluation Plan'!B98</x:f>
        <x:v>96</x:v>
      </x:c>
      <x:c r="C98" s="31" t="str">
        <x:f>'Evaluation Plan'!C98</x:f>
        <x:v>Leave exactly one object in the bowl.</x:v>
      </x:c>
      <x:c r="D98" s="31" t="str">
        <x:f>'Evaluation Plan'!D98</x:f>
        <x:v>Bowl objects: [blue pen, green pencil sharpener] | Table objects: [yellow block, airplane toy without propellers]</x:v>
      </x:c>
      <x:c r="E98" s="33" t="str">
        <x:f>'Evaluation Plan'!E98</x:f>
      </x:c>
      <x:c r="F98" s="31" t="str">
        <x:f>'Evaluation Plan'!F98</x:f>
        <x:v>REMOVE any one bowl object; finish with 1 object in the bowl</x:v>
      </x:c>
      <x:c r="G98" s="31" t="str"/>
      <x:c r="H98" s="36" t="str">
        <x:f>'Evaluation Plan'!H98</x:f>
        <x:v>Concept/compositional transfer</x:v>
      </x:c>
      <x:c r="I98" s="31" t="str">
        <x:f>'Evaluation Plan'!I98</x:f>
        <x:v>CT-CF19</x:v>
      </x:c>
      <x:c r="J98" s="31" t="str">
        <x:f>'Evaluation Plan'!J98</x:f>
        <x:v>CT-CF19-REMOVE</x:v>
      </x:c>
      <x:c r="K98" s="33" t="n">
        <x:f>'Evaluation Plan'!K98</x:f>
        <x:v>2</x:v>
      </x:c>
      <x:c r="L98" s="33" t="n">
        <x:f>'Evaluation Plan'!L98</x:f>
        <x:v>1</x:v>
      </x:c>
      <x:c r="M98" s="33" t="str">
        <x:f>'Evaluation Plan'!M98</x:f>
        <x:v>REMOVE</x:v>
      </x:c>
      <x:c r="N98" s="31" t="str">
        <x:f>'Evaluation Plan'!N98</x:f>
        <x:v>Primary: one via held-out 2→1 removal</x:v>
      </x:c>
      <x:c r="O98" s="33" t="n">
        <x:f>'Evaluation Plan'!O98</x:f>
        <x:v>4</x:v>
      </x:c>
      <x:c r="P98" s="31" t="str">
        <x:f>'Evaluation Plan'!P98</x:f>
        <x:v>Build the listed count-2 scene.</x:v>
      </x:c>
      <x:c r="Q98" s="31" t="str">
        <x:f>'Evaluation Plan'!Q98</x:f>
        <x:v>The goal word one is trained, and this 2→1 trajectory is trained under a direct instruction, but the combination is withheld.</x:v>
      </x:c>
      <x:c r="R98" s="31" t="n">
        <x:f>'Evaluation Plan'!R98</x:f>
        <x:v>0</x:v>
      </x:c>
    </x:row>
    <x:row r="99" ht="46.5" customHeight="1">
      <x:c r="A99" s="32" t="str">
        <x:v>Not collected</x:v>
      </x:c>
      <x:c r="B99" s="34" t="n">
        <x:f>'Evaluation Plan'!B99</x:f>
        <x:v>97</x:v>
      </x:c>
      <x:c r="C99" s="32" t="str">
        <x:f>'Evaluation Plan'!C99</x:f>
        <x:v>Leave exactly three objects in the bowl.</x:v>
      </x:c>
      <x:c r="D99" s="32" t="str">
        <x:f>'Evaluation Plan'!D99</x:f>
        <x:v>Bowl objects: [blue pen, green pencil sharpener] | Table objects: [yellow block, airplane toy without propellers]</x:v>
      </x:c>
      <x:c r="E99" s="34" t="n">
        <x:f>'Evaluation Plan'!E99</x:f>
        <x:v>96</x:v>
      </x:c>
      <x:c r="F99" s="32" t="str">
        <x:f>'Evaluation Plan'!F99</x:f>
        <x:v>ADD any one table object; finish with 3 objects in the bowl</x:v>
      </x:c>
      <x:c r="G99" s="32" t="str"/>
      <x:c r="H99" s="36" t="str">
        <x:f>'Evaluation Plan'!H99</x:f>
        <x:v>Concept/compositional transfer</x:v>
      </x:c>
      <x:c r="I99" s="32" t="str">
        <x:f>'Evaluation Plan'!I99</x:f>
        <x:v>CT-CF19</x:v>
      </x:c>
      <x:c r="J99" s="32" t="str">
        <x:f>'Evaluation Plan'!J99</x:f>
        <x:v>CT-CF19-ADD</x:v>
      </x:c>
      <x:c r="K99" s="34" t="n">
        <x:f>'Evaluation Plan'!K99</x:f>
        <x:v>2</x:v>
      </x:c>
      <x:c r="L99" s="34" t="n">
        <x:f>'Evaluation Plan'!L99</x:f>
        <x:v>3</x:v>
      </x:c>
      <x:c r="M99" s="34" t="str">
        <x:f>'Evaluation Plan'!M99</x:f>
        <x:v>ADD</x:v>
      </x:c>
      <x:c r="N99" s="32" t="str">
        <x:f>'Evaluation Plan'!N99</x:f>
        <x:v>Primary: three via held-out 2→3 addition</x:v>
      </x:c>
      <x:c r="O99" s="34" t="n">
        <x:f>'Evaluation Plan'!O99</x:f>
        <x:v>4</x:v>
      </x:c>
      <x:c r="P99" s="32" t="str">
        <x:f>'Evaluation Plan'!P99</x:f>
        <x:v>Reset the exact count-2 scene; change only the prompt.</x:v>
      </x:c>
      <x:c r="Q99" s="32" t="str">
        <x:f>'Evaluation Plan'!Q99</x:f>
        <x:v>The goal word three is trained, and this 2→3 trajectory is trained under a direct instruction, but the combination is withheld.</x:v>
      </x:c>
      <x:c r="R99" s="32" t="n">
        <x:f>'Evaluation Plan'!R99</x:f>
        <x:v>0</x:v>
      </x:c>
    </x:row>
    <x:row r="100" ht="46.5" customHeight="1">
      <x:c r="A100" s="31" t="str">
        <x:v>Not collected</x:v>
      </x:c>
      <x:c r="B100" s="33" t="n">
        <x:f>'Evaluation Plan'!B100</x:f>
        <x:v>98</x:v>
      </x:c>
      <x:c r="C100" s="31" t="str">
        <x:f>'Evaluation Plan'!C100</x:f>
        <x:v>Leave exactly three objects in the bowl.</x:v>
      </x:c>
      <x:c r="D100" s="31" t="str">
        <x:f>'Evaluation Plan'!D100</x:f>
        <x:v>Bowl objects: [yellow block, airplane toy without propellers] | Table objects: [blue pen, green pencil sharpener]</x:v>
      </x:c>
      <x:c r="E100" s="33" t="str">
        <x:f>'Evaluation Plan'!E100</x:f>
      </x:c>
      <x:c r="F100" s="31" t="str">
        <x:f>'Evaluation Plan'!F100</x:f>
        <x:v>ADD any one table object; finish with 3 objects in the bowl</x:v>
      </x:c>
      <x:c r="G100" s="31" t="str"/>
      <x:c r="H100" s="36" t="str">
        <x:f>'Evaluation Plan'!H100</x:f>
        <x:v>Concept/compositional transfer</x:v>
      </x:c>
      <x:c r="I100" s="31" t="str">
        <x:f>'Evaluation Plan'!I100</x:f>
        <x:v>CT-CF20</x:v>
      </x:c>
      <x:c r="J100" s="31" t="str">
        <x:f>'Evaluation Plan'!J100</x:f>
        <x:v>CT-CF20-ADD</x:v>
      </x:c>
      <x:c r="K100" s="33" t="n">
        <x:f>'Evaluation Plan'!K100</x:f>
        <x:v>2</x:v>
      </x:c>
      <x:c r="L100" s="33" t="n">
        <x:f>'Evaluation Plan'!L100</x:f>
        <x:v>3</x:v>
      </x:c>
      <x:c r="M100" s="33" t="str">
        <x:f>'Evaluation Plan'!M100</x:f>
        <x:v>ADD</x:v>
      </x:c>
      <x:c r="N100" s="31" t="str">
        <x:f>'Evaluation Plan'!N100</x:f>
        <x:v>Primary: three via held-out 2→3 addition</x:v>
      </x:c>
      <x:c r="O100" s="33" t="n">
        <x:f>'Evaluation Plan'!O100</x:f>
        <x:v>4</x:v>
      </x:c>
      <x:c r="P100" s="31" t="str">
        <x:f>'Evaluation Plan'!P100</x:f>
        <x:v>Reset the exact count-2 scene; change only the prompt.</x:v>
      </x:c>
      <x:c r="Q100" s="31" t="str">
        <x:f>'Evaluation Plan'!Q100</x:f>
        <x:v>The goal word three is trained, and this 2→3 trajectory is trained under a direct instruction, but the combination is withheld.</x:v>
      </x:c>
      <x:c r="R100" s="31" t="n">
        <x:f>'Evaluation Plan'!R100</x:f>
        <x:v>0</x:v>
      </x:c>
    </x:row>
    <x:row r="101" ht="46.5" customHeight="1">
      <x:c r="A101" s="32" t="str">
        <x:v>Not collected</x:v>
      </x:c>
      <x:c r="B101" s="34" t="n">
        <x:f>'Evaluation Plan'!B101</x:f>
        <x:v>99</x:v>
      </x:c>
      <x:c r="C101" s="32" t="str">
        <x:f>'Evaluation Plan'!C101</x:f>
        <x:v>Leave exactly one object in the bowl.</x:v>
      </x:c>
      <x:c r="D101" s="32" t="str">
        <x:f>'Evaluation Plan'!D101</x:f>
        <x:v>Bowl objects: [yellow block, airplane toy without propellers] | Table objects: [blue pen, green pencil sharpener]</x:v>
      </x:c>
      <x:c r="E101" s="34" t="n">
        <x:f>'Evaluation Plan'!E101</x:f>
        <x:v>98</x:v>
      </x:c>
      <x:c r="F101" s="32" t="str">
        <x:f>'Evaluation Plan'!F101</x:f>
        <x:v>REMOVE any one bowl object; finish with 1 object in the bowl</x:v>
      </x:c>
      <x:c r="G101" s="32" t="str"/>
      <x:c r="H101" s="36" t="str">
        <x:f>'Evaluation Plan'!H101</x:f>
        <x:v>Concept/compositional transfer</x:v>
      </x:c>
      <x:c r="I101" s="32" t="str">
        <x:f>'Evaluation Plan'!I101</x:f>
        <x:v>CT-CF20</x:v>
      </x:c>
      <x:c r="J101" s="32" t="str">
        <x:f>'Evaluation Plan'!J101</x:f>
        <x:v>CT-CF20-REMOVE</x:v>
      </x:c>
      <x:c r="K101" s="34" t="n">
        <x:f>'Evaluation Plan'!K101</x:f>
        <x:v>2</x:v>
      </x:c>
      <x:c r="L101" s="34" t="n">
        <x:f>'Evaluation Plan'!L101</x:f>
        <x:v>1</x:v>
      </x:c>
      <x:c r="M101" s="34" t="str">
        <x:f>'Evaluation Plan'!M101</x:f>
        <x:v>REMOVE</x:v>
      </x:c>
      <x:c r="N101" s="32" t="str">
        <x:f>'Evaluation Plan'!N101</x:f>
        <x:v>Primary: one via held-out 2→1 removal</x:v>
      </x:c>
      <x:c r="O101" s="34" t="n">
        <x:f>'Evaluation Plan'!O101</x:f>
        <x:v>4</x:v>
      </x:c>
      <x:c r="P101" s="32" t="str">
        <x:f>'Evaluation Plan'!P101</x:f>
        <x:v>Build the listed count-2 scene.</x:v>
      </x:c>
      <x:c r="Q101" s="32" t="str">
        <x:f>'Evaluation Plan'!Q101</x:f>
        <x:v>The goal word one is trained, and this 2→1 trajectory is trained under a direct instruction, but the combination is withheld.</x:v>
      </x:c>
      <x:c r="R101" s="32" t="n">
        <x:f>'Evaluation Plan'!R101</x:f>
        <x:v>0</x:v>
      </x:c>
    </x:row>
    <x:row r="102" ht="46.5" customHeight="1">
      <x:c r="A102" s="31" t="str">
        <x:v>Not collected</x:v>
      </x:c>
      <x:c r="B102" s="33" t="n">
        <x:f>'Evaluation Plan'!B102</x:f>
        <x:v>100</x:v>
      </x:c>
      <x:c r="C102" s="31" t="str">
        <x:f>'Evaluation Plan'!C102</x:f>
        <x:v>Leave exactly one object in the bowl.</x:v>
      </x:c>
      <x:c r="D102" s="31" t="str">
        <x:f>'Evaluation Plan'!D102</x:f>
        <x:v>Bowl objects: [blue pen, yellow block] | Table objects: [green pencil sharpener, airplane toy without propellers]</x:v>
      </x:c>
      <x:c r="E102" s="33" t="str">
        <x:f>'Evaluation Plan'!E102</x:f>
      </x:c>
      <x:c r="F102" s="31" t="str">
        <x:f>'Evaluation Plan'!F102</x:f>
        <x:v>REMOVE any one bowl object; finish with 1 object in the bowl</x:v>
      </x:c>
      <x:c r="G102" s="31" t="str"/>
      <x:c r="H102" s="36" t="str">
        <x:f>'Evaluation Plan'!H102</x:f>
        <x:v>Concept/compositional transfer</x:v>
      </x:c>
      <x:c r="I102" s="31" t="str">
        <x:f>'Evaluation Plan'!I102</x:f>
        <x:v>CT-CF21</x:v>
      </x:c>
      <x:c r="J102" s="31" t="str">
        <x:f>'Evaluation Plan'!J102</x:f>
        <x:v>CT-CF21-REMOVE</x:v>
      </x:c>
      <x:c r="K102" s="33" t="n">
        <x:f>'Evaluation Plan'!K102</x:f>
        <x:v>2</x:v>
      </x:c>
      <x:c r="L102" s="33" t="n">
        <x:f>'Evaluation Plan'!L102</x:f>
        <x:v>1</x:v>
      </x:c>
      <x:c r="M102" s="33" t="str">
        <x:f>'Evaluation Plan'!M102</x:f>
        <x:v>REMOVE</x:v>
      </x:c>
      <x:c r="N102" s="31" t="str">
        <x:f>'Evaluation Plan'!N102</x:f>
        <x:v>Primary: one via held-out 2→1 removal</x:v>
      </x:c>
      <x:c r="O102" s="33" t="n">
        <x:f>'Evaluation Plan'!O102</x:f>
        <x:v>4</x:v>
      </x:c>
      <x:c r="P102" s="31" t="str">
        <x:f>'Evaluation Plan'!P102</x:f>
        <x:v>Build the listed count-2 scene.</x:v>
      </x:c>
      <x:c r="Q102" s="31" t="str">
        <x:f>'Evaluation Plan'!Q102</x:f>
        <x:v>The goal word one is trained, and this 2→1 trajectory is trained under a direct instruction, but the combination is withheld.</x:v>
      </x:c>
      <x:c r="R102" s="31" t="n">
        <x:f>'Evaluation Plan'!R102</x:f>
        <x:v>0</x:v>
      </x:c>
    </x:row>
    <x:row r="103" ht="46.5" customHeight="1">
      <x:c r="A103" s="32" t="str">
        <x:v>Not collected</x:v>
      </x:c>
      <x:c r="B103" s="34" t="n">
        <x:f>'Evaluation Plan'!B103</x:f>
        <x:v>101</x:v>
      </x:c>
      <x:c r="C103" s="32" t="str">
        <x:f>'Evaluation Plan'!C103</x:f>
        <x:v>Leave exactly three objects in the bowl.</x:v>
      </x:c>
      <x:c r="D103" s="32" t="str">
        <x:f>'Evaluation Plan'!D103</x:f>
        <x:v>Bowl objects: [blue pen, yellow block] | Table objects: [green pencil sharpener, airplane toy without propellers]</x:v>
      </x:c>
      <x:c r="E103" s="34" t="n">
        <x:f>'Evaluation Plan'!E103</x:f>
        <x:v>100</x:v>
      </x:c>
      <x:c r="F103" s="32" t="str">
        <x:f>'Evaluation Plan'!F103</x:f>
        <x:v>ADD any one table object; finish with 3 objects in the bowl</x:v>
      </x:c>
      <x:c r="G103" s="32" t="str"/>
      <x:c r="H103" s="36" t="str">
        <x:f>'Evaluation Plan'!H103</x:f>
        <x:v>Concept/compositional transfer</x:v>
      </x:c>
      <x:c r="I103" s="32" t="str">
        <x:f>'Evaluation Plan'!I103</x:f>
        <x:v>CT-CF21</x:v>
      </x:c>
      <x:c r="J103" s="32" t="str">
        <x:f>'Evaluation Plan'!J103</x:f>
        <x:v>CT-CF21-ADD</x:v>
      </x:c>
      <x:c r="K103" s="34" t="n">
        <x:f>'Evaluation Plan'!K103</x:f>
        <x:v>2</x:v>
      </x:c>
      <x:c r="L103" s="34" t="n">
        <x:f>'Evaluation Plan'!L103</x:f>
        <x:v>3</x:v>
      </x:c>
      <x:c r="M103" s="34" t="str">
        <x:f>'Evaluation Plan'!M103</x:f>
        <x:v>ADD</x:v>
      </x:c>
      <x:c r="N103" s="32" t="str">
        <x:f>'Evaluation Plan'!N103</x:f>
        <x:v>Primary: three via held-out 2→3 addition</x:v>
      </x:c>
      <x:c r="O103" s="34" t="n">
        <x:f>'Evaluation Plan'!O103</x:f>
        <x:v>4</x:v>
      </x:c>
      <x:c r="P103" s="32" t="str">
        <x:f>'Evaluation Plan'!P103</x:f>
        <x:v>Reset the exact count-2 scene; change only the prompt.</x:v>
      </x:c>
      <x:c r="Q103" s="32" t="str">
        <x:f>'Evaluation Plan'!Q103</x:f>
        <x:v>The goal word three is trained, and this 2→3 trajectory is trained under a direct instruction, but the combination is withheld.</x:v>
      </x:c>
      <x:c r="R103" s="32" t="n">
        <x:f>'Evaluation Plan'!R103</x:f>
        <x:v>0</x:v>
      </x:c>
    </x:row>
    <x:row r="104" ht="46.5" customHeight="1">
      <x:c r="A104" s="31" t="str">
        <x:v>Not collected</x:v>
      </x:c>
      <x:c r="B104" s="33" t="n">
        <x:f>'Evaluation Plan'!B104</x:f>
        <x:v>102</x:v>
      </x:c>
      <x:c r="C104" s="31" t="str">
        <x:f>'Evaluation Plan'!C104</x:f>
        <x:v>Leave exactly three objects in the bowl.</x:v>
      </x:c>
      <x:c r="D104" s="31" t="str">
        <x:f>'Evaluation Plan'!D104</x:f>
        <x:v>Bowl objects: [green pencil sharpener, airplane toy without propellers] | Table objects: [blue pen, yellow block]</x:v>
      </x:c>
      <x:c r="E104" s="33" t="str">
        <x:f>'Evaluation Plan'!E104</x:f>
      </x:c>
      <x:c r="F104" s="31" t="str">
        <x:f>'Evaluation Plan'!F104</x:f>
        <x:v>ADD any one table object; finish with 3 objects in the bowl</x:v>
      </x:c>
      <x:c r="G104" s="31" t="str"/>
      <x:c r="H104" s="36" t="str">
        <x:f>'Evaluation Plan'!H104</x:f>
        <x:v>Concept/compositional transfer</x:v>
      </x:c>
      <x:c r="I104" s="31" t="str">
        <x:f>'Evaluation Plan'!I104</x:f>
        <x:v>CT-CF22</x:v>
      </x:c>
      <x:c r="J104" s="31" t="str">
        <x:f>'Evaluation Plan'!J104</x:f>
        <x:v>CT-CF22-ADD</x:v>
      </x:c>
      <x:c r="K104" s="33" t="n">
        <x:f>'Evaluation Plan'!K104</x:f>
        <x:v>2</x:v>
      </x:c>
      <x:c r="L104" s="33" t="n">
        <x:f>'Evaluation Plan'!L104</x:f>
        <x:v>3</x:v>
      </x:c>
      <x:c r="M104" s="33" t="str">
        <x:f>'Evaluation Plan'!M104</x:f>
        <x:v>ADD</x:v>
      </x:c>
      <x:c r="N104" s="31" t="str">
        <x:f>'Evaluation Plan'!N104</x:f>
        <x:v>Primary: three via held-out 2→3 addition</x:v>
      </x:c>
      <x:c r="O104" s="33" t="n">
        <x:f>'Evaluation Plan'!O104</x:f>
        <x:v>4</x:v>
      </x:c>
      <x:c r="P104" s="31" t="str">
        <x:f>'Evaluation Plan'!P104</x:f>
        <x:v>Reset the exact count-2 scene; change only the prompt.</x:v>
      </x:c>
      <x:c r="Q104" s="31" t="str">
        <x:f>'Evaluation Plan'!Q104</x:f>
        <x:v>The goal word three is trained, and this 2→3 trajectory is trained under a direct instruction, but the combination is withheld.</x:v>
      </x:c>
      <x:c r="R104" s="31" t="n">
        <x:f>'Evaluation Plan'!R104</x:f>
        <x:v>0</x:v>
      </x:c>
    </x:row>
    <x:row r="105" ht="46.5" customHeight="1">
      <x:c r="A105" s="32" t="str">
        <x:v>Not collected</x:v>
      </x:c>
      <x:c r="B105" s="34" t="n">
        <x:f>'Evaluation Plan'!B105</x:f>
        <x:v>103</x:v>
      </x:c>
      <x:c r="C105" s="32" t="str">
        <x:f>'Evaluation Plan'!C105</x:f>
        <x:v>Leave exactly one object in the bowl.</x:v>
      </x:c>
      <x:c r="D105" s="32" t="str">
        <x:f>'Evaluation Plan'!D105</x:f>
        <x:v>Bowl objects: [green pencil sharpener, airplane toy without propellers] | Table objects: [blue pen, yellow block]</x:v>
      </x:c>
      <x:c r="E105" s="34" t="n">
        <x:f>'Evaluation Plan'!E105</x:f>
        <x:v>102</x:v>
      </x:c>
      <x:c r="F105" s="32" t="str">
        <x:f>'Evaluation Plan'!F105</x:f>
        <x:v>REMOVE any one bowl object; finish with 1 object in the bowl</x:v>
      </x:c>
      <x:c r="G105" s="32" t="str"/>
      <x:c r="H105" s="36" t="str">
        <x:f>'Evaluation Plan'!H105</x:f>
        <x:v>Concept/compositional transfer</x:v>
      </x:c>
      <x:c r="I105" s="32" t="str">
        <x:f>'Evaluation Plan'!I105</x:f>
        <x:v>CT-CF22</x:v>
      </x:c>
      <x:c r="J105" s="32" t="str">
        <x:f>'Evaluation Plan'!J105</x:f>
        <x:v>CT-CF22-REMOVE</x:v>
      </x:c>
      <x:c r="K105" s="34" t="n">
        <x:f>'Evaluation Plan'!K105</x:f>
        <x:v>2</x:v>
      </x:c>
      <x:c r="L105" s="34" t="n">
        <x:f>'Evaluation Plan'!L105</x:f>
        <x:v>1</x:v>
      </x:c>
      <x:c r="M105" s="34" t="str">
        <x:f>'Evaluation Plan'!M105</x:f>
        <x:v>REMOVE</x:v>
      </x:c>
      <x:c r="N105" s="32" t="str">
        <x:f>'Evaluation Plan'!N105</x:f>
        <x:v>Primary: one via held-out 2→1 removal</x:v>
      </x:c>
      <x:c r="O105" s="34" t="n">
        <x:f>'Evaluation Plan'!O105</x:f>
        <x:v>4</x:v>
      </x:c>
      <x:c r="P105" s="32" t="str">
        <x:f>'Evaluation Plan'!P105</x:f>
        <x:v>Build the listed count-2 scene.</x:v>
      </x:c>
      <x:c r="Q105" s="32" t="str">
        <x:f>'Evaluation Plan'!Q105</x:f>
        <x:v>The goal word one is trained, and this 2→1 trajectory is trained under a direct instruction, but the combination is withheld.</x:v>
      </x:c>
      <x:c r="R105" s="32" t="n">
        <x:f>'Evaluation Plan'!R105</x:f>
        <x:v>0</x:v>
      </x:c>
    </x:row>
    <x:row r="106" ht="46.5" customHeight="1">
      <x:c r="A106" s="31" t="str">
        <x:v>Not collected</x:v>
      </x:c>
      <x:c r="B106" s="33" t="n">
        <x:f>'Evaluation Plan'!B106</x:f>
        <x:v>104</x:v>
      </x:c>
      <x:c r="C106" s="31" t="str">
        <x:f>'Evaluation Plan'!C106</x:f>
        <x:v>Leave exactly one object in the bowl.</x:v>
      </x:c>
      <x:c r="D106" s="31" t="str">
        <x:f>'Evaluation Plan'!D106</x:f>
        <x:v>Bowl objects: [blue pen, airplane toy without propellers] | Table objects: [yellow block, green pencil sharpener]</x:v>
      </x:c>
      <x:c r="E106" s="33" t="str">
        <x:f>'Evaluation Plan'!E106</x:f>
      </x:c>
      <x:c r="F106" s="31" t="str">
        <x:f>'Evaluation Plan'!F106</x:f>
        <x:v>REMOVE any one bowl object; finish with 1 object in the bowl</x:v>
      </x:c>
      <x:c r="G106" s="31" t="str"/>
      <x:c r="H106" s="36" t="str">
        <x:f>'Evaluation Plan'!H106</x:f>
        <x:v>Concept/compositional transfer</x:v>
      </x:c>
      <x:c r="I106" s="31" t="str">
        <x:f>'Evaluation Plan'!I106</x:f>
        <x:v>CT-CF23</x:v>
      </x:c>
      <x:c r="J106" s="31" t="str">
        <x:f>'Evaluation Plan'!J106</x:f>
        <x:v>CT-CF23-REMOVE</x:v>
      </x:c>
      <x:c r="K106" s="33" t="n">
        <x:f>'Evaluation Plan'!K106</x:f>
        <x:v>2</x:v>
      </x:c>
      <x:c r="L106" s="33" t="n">
        <x:f>'Evaluation Plan'!L106</x:f>
        <x:v>1</x:v>
      </x:c>
      <x:c r="M106" s="33" t="str">
        <x:f>'Evaluation Plan'!M106</x:f>
        <x:v>REMOVE</x:v>
      </x:c>
      <x:c r="N106" s="31" t="str">
        <x:f>'Evaluation Plan'!N106</x:f>
        <x:v>Primary: one via held-out 2→1 removal</x:v>
      </x:c>
      <x:c r="O106" s="33" t="n">
        <x:f>'Evaluation Plan'!O106</x:f>
        <x:v>4</x:v>
      </x:c>
      <x:c r="P106" s="31" t="str">
        <x:f>'Evaluation Plan'!P106</x:f>
        <x:v>Build the listed count-2 scene.</x:v>
      </x:c>
      <x:c r="Q106" s="31" t="str">
        <x:f>'Evaluation Plan'!Q106</x:f>
        <x:v>The goal word one is trained, and this 2→1 trajectory is trained under a direct instruction, but the combination is withheld.</x:v>
      </x:c>
      <x:c r="R106" s="31" t="n">
        <x:f>'Evaluation Plan'!R106</x:f>
        <x:v>0</x:v>
      </x:c>
    </x:row>
    <x:row r="107" ht="46.5" customHeight="1">
      <x:c r="A107" s="32" t="str">
        <x:v>Not collected</x:v>
      </x:c>
      <x:c r="B107" s="34" t="n">
        <x:f>'Evaluation Plan'!B107</x:f>
        <x:v>105</x:v>
      </x:c>
      <x:c r="C107" s="32" t="str">
        <x:f>'Evaluation Plan'!C107</x:f>
        <x:v>Leave exactly three objects in the bowl.</x:v>
      </x:c>
      <x:c r="D107" s="32" t="str">
        <x:f>'Evaluation Plan'!D107</x:f>
        <x:v>Bowl objects: [blue pen, airplane toy without propellers] | Table objects: [yellow block, green pencil sharpener]</x:v>
      </x:c>
      <x:c r="E107" s="34" t="n">
        <x:f>'Evaluation Plan'!E107</x:f>
        <x:v>104</x:v>
      </x:c>
      <x:c r="F107" s="32" t="str">
        <x:f>'Evaluation Plan'!F107</x:f>
        <x:v>ADD any one table object; finish with 3 objects in the bowl</x:v>
      </x:c>
      <x:c r="G107" s="32" t="str"/>
      <x:c r="H107" s="36" t="str">
        <x:f>'Evaluation Plan'!H107</x:f>
        <x:v>Concept/compositional transfer</x:v>
      </x:c>
      <x:c r="I107" s="32" t="str">
        <x:f>'Evaluation Plan'!I107</x:f>
        <x:v>CT-CF23</x:v>
      </x:c>
      <x:c r="J107" s="32" t="str">
        <x:f>'Evaluation Plan'!J107</x:f>
        <x:v>CT-CF23-ADD</x:v>
      </x:c>
      <x:c r="K107" s="34" t="n">
        <x:f>'Evaluation Plan'!K107</x:f>
        <x:v>2</x:v>
      </x:c>
      <x:c r="L107" s="34" t="n">
        <x:f>'Evaluation Plan'!L107</x:f>
        <x:v>3</x:v>
      </x:c>
      <x:c r="M107" s="34" t="str">
        <x:f>'Evaluation Plan'!M107</x:f>
        <x:v>ADD</x:v>
      </x:c>
      <x:c r="N107" s="32" t="str">
        <x:f>'Evaluation Plan'!N107</x:f>
        <x:v>Primary: three via held-out 2→3 addition</x:v>
      </x:c>
      <x:c r="O107" s="34" t="n">
        <x:f>'Evaluation Plan'!O107</x:f>
        <x:v>4</x:v>
      </x:c>
      <x:c r="P107" s="32" t="str">
        <x:f>'Evaluation Plan'!P107</x:f>
        <x:v>Reset the exact count-2 scene; change only the prompt.</x:v>
      </x:c>
      <x:c r="Q107" s="32" t="str">
        <x:f>'Evaluation Plan'!Q107</x:f>
        <x:v>The goal word three is trained, and this 2→3 trajectory is trained under a direct instruction, but the combination is withheld.</x:v>
      </x:c>
      <x:c r="R107" s="32" t="n">
        <x:f>'Evaluation Plan'!R107</x:f>
        <x:v>0</x:v>
      </x:c>
    </x:row>
    <x:row r="108" ht="46.5" customHeight="1">
      <x:c r="A108" s="31" t="str">
        <x:v>Not collected</x:v>
      </x:c>
      <x:c r="B108" s="33" t="n">
        <x:f>'Evaluation Plan'!B108</x:f>
        <x:v>106</x:v>
      </x:c>
      <x:c r="C108" s="31" t="str">
        <x:f>'Evaluation Plan'!C108</x:f>
        <x:v>Leave exactly three objects in the bowl.</x:v>
      </x:c>
      <x:c r="D108" s="31" t="str">
        <x:f>'Evaluation Plan'!D108</x:f>
        <x:v>Bowl objects: [yellow block, green pencil sharpener] | Table objects: [blue pen, airplane toy without propellers]</x:v>
      </x:c>
      <x:c r="E108" s="33" t="str">
        <x:f>'Evaluation Plan'!E108</x:f>
      </x:c>
      <x:c r="F108" s="31" t="str">
        <x:f>'Evaluation Plan'!F108</x:f>
        <x:v>ADD any one table object; finish with 3 objects in the bowl</x:v>
      </x:c>
      <x:c r="G108" s="31" t="str"/>
      <x:c r="H108" s="36" t="str">
        <x:f>'Evaluation Plan'!H108</x:f>
        <x:v>Concept/compositional transfer</x:v>
      </x:c>
      <x:c r="I108" s="31" t="str">
        <x:f>'Evaluation Plan'!I108</x:f>
        <x:v>CT-CF24</x:v>
      </x:c>
      <x:c r="J108" s="31" t="str">
        <x:f>'Evaluation Plan'!J108</x:f>
        <x:v>CT-CF24-ADD</x:v>
      </x:c>
      <x:c r="K108" s="33" t="n">
        <x:f>'Evaluation Plan'!K108</x:f>
        <x:v>2</x:v>
      </x:c>
      <x:c r="L108" s="33" t="n">
        <x:f>'Evaluation Plan'!L108</x:f>
        <x:v>3</x:v>
      </x:c>
      <x:c r="M108" s="33" t="str">
        <x:f>'Evaluation Plan'!M108</x:f>
        <x:v>ADD</x:v>
      </x:c>
      <x:c r="N108" s="31" t="str">
        <x:f>'Evaluation Plan'!N108</x:f>
        <x:v>Primary: three via held-out 2→3 addition</x:v>
      </x:c>
      <x:c r="O108" s="33" t="n">
        <x:f>'Evaluation Plan'!O108</x:f>
        <x:v>4</x:v>
      </x:c>
      <x:c r="P108" s="31" t="str">
        <x:f>'Evaluation Plan'!P108</x:f>
        <x:v>Reset the exact count-2 scene; change only the prompt.</x:v>
      </x:c>
      <x:c r="Q108" s="31" t="str">
        <x:f>'Evaluation Plan'!Q108</x:f>
        <x:v>The goal word three is trained, and this 2→3 trajectory is trained under a direct instruction, but the combination is withheld.</x:v>
      </x:c>
      <x:c r="R108" s="31" t="n">
        <x:f>'Evaluation Plan'!R108</x:f>
        <x:v>0</x:v>
      </x:c>
    </x:row>
    <x:row r="109" ht="46.5" customHeight="1">
      <x:c r="A109" s="32" t="str">
        <x:v>Not collected</x:v>
      </x:c>
      <x:c r="B109" s="34" t="n">
        <x:f>'Evaluation Plan'!B109</x:f>
        <x:v>107</x:v>
      </x:c>
      <x:c r="C109" s="32" t="str">
        <x:f>'Evaluation Plan'!C109</x:f>
        <x:v>Leave exactly one object in the bowl.</x:v>
      </x:c>
      <x:c r="D109" s="32" t="str">
        <x:f>'Evaluation Plan'!D109</x:f>
        <x:v>Bowl objects: [yellow block, green pencil sharpener] | Table objects: [blue pen, airplane toy without propellers]</x:v>
      </x:c>
      <x:c r="E109" s="34" t="n">
        <x:f>'Evaluation Plan'!E109</x:f>
        <x:v>106</x:v>
      </x:c>
      <x:c r="F109" s="32" t="str">
        <x:f>'Evaluation Plan'!F109</x:f>
        <x:v>REMOVE any one bowl object; finish with 1 object in the bowl</x:v>
      </x:c>
      <x:c r="G109" s="32" t="str"/>
      <x:c r="H109" s="36" t="str">
        <x:f>'Evaluation Plan'!H109</x:f>
        <x:v>Concept/compositional transfer</x:v>
      </x:c>
      <x:c r="I109" s="32" t="str">
        <x:f>'Evaluation Plan'!I109</x:f>
        <x:v>CT-CF24</x:v>
      </x:c>
      <x:c r="J109" s="32" t="str">
        <x:f>'Evaluation Plan'!J109</x:f>
        <x:v>CT-CF24-REMOVE</x:v>
      </x:c>
      <x:c r="K109" s="34" t="n">
        <x:f>'Evaluation Plan'!K109</x:f>
        <x:v>2</x:v>
      </x:c>
      <x:c r="L109" s="34" t="n">
        <x:f>'Evaluation Plan'!L109</x:f>
        <x:v>1</x:v>
      </x:c>
      <x:c r="M109" s="34" t="str">
        <x:f>'Evaluation Plan'!M109</x:f>
        <x:v>REMOVE</x:v>
      </x:c>
      <x:c r="N109" s="32" t="str">
        <x:f>'Evaluation Plan'!N109</x:f>
        <x:v>Primary: one via held-out 2→1 removal</x:v>
      </x:c>
      <x:c r="O109" s="34" t="n">
        <x:f>'Evaluation Plan'!O109</x:f>
        <x:v>4</x:v>
      </x:c>
      <x:c r="P109" s="32" t="str">
        <x:f>'Evaluation Plan'!P109</x:f>
        <x:v>Build the listed count-2 scene.</x:v>
      </x:c>
      <x:c r="Q109" s="32" t="str">
        <x:f>'Evaluation Plan'!Q109</x:f>
        <x:v>The goal word one is trained, and this 2→1 trajectory is trained under a direct instruction, but the combination is withheld.</x:v>
      </x:c>
      <x:c r="R109" s="32" t="n">
        <x:f>'Evaluation Plan'!R109</x:f>
        <x:v>0</x:v>
      </x:c>
    </x:row>
    <x:row r="110" ht="46.5" customHeight="1">
      <x:c r="A110" s="31" t="str">
        <x:v>Not collected</x:v>
      </x:c>
      <x:c r="B110" s="33" t="n">
        <x:f>'Evaluation Plan'!B110</x:f>
        <x:v>108</x:v>
      </x:c>
      <x:c r="C110" s="31" t="str">
        <x:f>'Evaluation Plan'!C110</x:f>
        <x:v>Leave exactly one object in the bowl.</x:v>
      </x:c>
      <x:c r="D110" s="31" t="str">
        <x:f>'Evaluation Plan'!D110</x:f>
        <x:v>Bowl objects: [blue pen, green pencil sharpener] | Table objects: [yellow block, airplane toy without propellers]</x:v>
      </x:c>
      <x:c r="E110" s="33" t="str">
        <x:f>'Evaluation Plan'!E110</x:f>
      </x:c>
      <x:c r="F110" s="31" t="str">
        <x:f>'Evaluation Plan'!F110</x:f>
        <x:v>REMOVE any one bowl object; finish with 1 object in the bowl</x:v>
      </x:c>
      <x:c r="G110" s="31" t="str"/>
      <x:c r="H110" s="36" t="str">
        <x:f>'Evaluation Plan'!H110</x:f>
        <x:v>Concept/compositional transfer</x:v>
      </x:c>
      <x:c r="I110" s="31" t="str">
        <x:f>'Evaluation Plan'!I110</x:f>
        <x:v>CT-CF25</x:v>
      </x:c>
      <x:c r="J110" s="31" t="str">
        <x:f>'Evaluation Plan'!J110</x:f>
        <x:v>CT-CF25-REMOVE</x:v>
      </x:c>
      <x:c r="K110" s="33" t="n">
        <x:f>'Evaluation Plan'!K110</x:f>
        <x:v>2</x:v>
      </x:c>
      <x:c r="L110" s="33" t="n">
        <x:f>'Evaluation Plan'!L110</x:f>
        <x:v>1</x:v>
      </x:c>
      <x:c r="M110" s="33" t="str">
        <x:f>'Evaluation Plan'!M110</x:f>
        <x:v>REMOVE</x:v>
      </x:c>
      <x:c r="N110" s="31" t="str">
        <x:f>'Evaluation Plan'!N110</x:f>
        <x:v>Primary: one via held-out 2→1 removal</x:v>
      </x:c>
      <x:c r="O110" s="33" t="n">
        <x:f>'Evaluation Plan'!O110</x:f>
        <x:v>4</x:v>
      </x:c>
      <x:c r="P110" s="31" t="str">
        <x:f>'Evaluation Plan'!P110</x:f>
        <x:v>Build the listed count-2 scene.</x:v>
      </x:c>
      <x:c r="Q110" s="31" t="str">
        <x:f>'Evaluation Plan'!Q110</x:f>
        <x:v>The goal word one is trained, and this 2→1 trajectory is trained under a direct instruction, but the combination is withheld.</x:v>
      </x:c>
      <x:c r="R110" s="31" t="n">
        <x:f>'Evaluation Plan'!R110</x:f>
        <x:v>0</x:v>
      </x:c>
    </x:row>
    <x:row r="111" ht="46.5" customHeight="1">
      <x:c r="A111" s="32" t="str">
        <x:v>Not collected</x:v>
      </x:c>
      <x:c r="B111" s="34" t="n">
        <x:f>'Evaluation Plan'!B111</x:f>
        <x:v>109</x:v>
      </x:c>
      <x:c r="C111" s="32" t="str">
        <x:f>'Evaluation Plan'!C111</x:f>
        <x:v>Leave exactly three objects in the bowl.</x:v>
      </x:c>
      <x:c r="D111" s="32" t="str">
        <x:f>'Evaluation Plan'!D111</x:f>
        <x:v>Bowl objects: [blue pen, green pencil sharpener] | Table objects: [yellow block, airplane toy without propellers]</x:v>
      </x:c>
      <x:c r="E111" s="34" t="n">
        <x:f>'Evaluation Plan'!E111</x:f>
        <x:v>108</x:v>
      </x:c>
      <x:c r="F111" s="32" t="str">
        <x:f>'Evaluation Plan'!F111</x:f>
        <x:v>ADD any one table object; finish with 3 objects in the bowl</x:v>
      </x:c>
      <x:c r="G111" s="32" t="str"/>
      <x:c r="H111" s="36" t="str">
        <x:f>'Evaluation Plan'!H111</x:f>
        <x:v>Concept/compositional transfer</x:v>
      </x:c>
      <x:c r="I111" s="32" t="str">
        <x:f>'Evaluation Plan'!I111</x:f>
        <x:v>CT-CF25</x:v>
      </x:c>
      <x:c r="J111" s="32" t="str">
        <x:f>'Evaluation Plan'!J111</x:f>
        <x:v>CT-CF25-ADD</x:v>
      </x:c>
      <x:c r="K111" s="34" t="n">
        <x:f>'Evaluation Plan'!K111</x:f>
        <x:v>2</x:v>
      </x:c>
      <x:c r="L111" s="34" t="n">
        <x:f>'Evaluation Plan'!L111</x:f>
        <x:v>3</x:v>
      </x:c>
      <x:c r="M111" s="34" t="str">
        <x:f>'Evaluation Plan'!M111</x:f>
        <x:v>ADD</x:v>
      </x:c>
      <x:c r="N111" s="32" t="str">
        <x:f>'Evaluation Plan'!N111</x:f>
        <x:v>Primary: three via held-out 2→3 addition</x:v>
      </x:c>
      <x:c r="O111" s="34" t="n">
        <x:f>'Evaluation Plan'!O111</x:f>
        <x:v>4</x:v>
      </x:c>
      <x:c r="P111" s="32" t="str">
        <x:f>'Evaluation Plan'!P111</x:f>
        <x:v>Reset the exact count-2 scene; change only the prompt.</x:v>
      </x:c>
      <x:c r="Q111" s="32" t="str">
        <x:f>'Evaluation Plan'!Q111</x:f>
        <x:v>The goal word three is trained, and this 2→3 trajectory is trained under a direct instruction, but the combination is withheld.</x:v>
      </x:c>
      <x:c r="R111" s="32" t="n">
        <x:f>'Evaluation Plan'!R111</x:f>
        <x:v>0</x:v>
      </x:c>
    </x:row>
    <x:row r="112" ht="46.5" customHeight="1">
      <x:c r="A112" s="31" t="str">
        <x:v>Not collected</x:v>
      </x:c>
      <x:c r="B112" s="33" t="n">
        <x:f>'Evaluation Plan'!B112</x:f>
        <x:v>110</x:v>
      </x:c>
      <x:c r="C112" s="31" t="str">
        <x:f>'Evaluation Plan'!C112</x:f>
        <x:v>Make the bowl contain exactly zero objects.</x:v>
      </x:c>
      <x:c r="D112" s="31" t="str">
        <x:f>'Evaluation Plan'!D112</x:f>
        <x:v>Bowl objects: [green highlighter] | Table objects: [yellow block, green pencil sharpener, airplane toy without propellers]</x:v>
      </x:c>
      <x:c r="E112" s="33" t="str">
        <x:f>'Evaluation Plan'!E112</x:f>
      </x:c>
      <x:c r="F112" s="31" t="str">
        <x:f>'Evaluation Plan'!F112</x:f>
        <x:v>REMOVE green highlighter; finish with 0 objects in the bowl</x:v>
      </x:c>
      <x:c r="G112" s="31" t="str"/>
      <x:c r="H112" s="39" t="str">
        <x:f>'Evaluation Plan'!H112</x:f>
        <x:v>Cross-task object transfer</x:v>
      </x:c>
      <x:c r="I112" s="31" t="str">
        <x:f>'Evaluation Plan'!I112</x:f>
        <x:v>XT-GH01</x:v>
      </x:c>
      <x:c r="J112" s="31" t="str">
        <x:f>'Evaluation Plan'!J112</x:f>
        <x:v>XT-GH01</x:v>
      </x:c>
      <x:c r="K112" s="33" t="n">
        <x:f>'Evaluation Plan'!K112</x:f>
        <x:v>1</x:v>
      </x:c>
      <x:c r="L112" s="33" t="n">
        <x:f>'Evaluation Plan'!L112</x:f>
        <x:v>0</x:v>
      </x:c>
      <x:c r="M112" s="33" t="str">
        <x:f>'Evaluation Plan'!M112</x:f>
        <x:v>REMOVE</x:v>
      </x:c>
      <x:c r="N112" s="31" t="str">
        <x:f>'Evaluation Plan'!N112</x:f>
        <x:v>Green-highlighter familiar-count transfer: 1→0 removal</x:v>
      </x:c>
      <x:c r="O112" s="33" t="n">
        <x:f>'Evaluation Plan'!O112</x:f>
        <x:v>5</x:v>
      </x:c>
      <x:c r="P112" s="31" t="str">
        <x:f>'Evaluation Plan'!P112</x:f>
        <x:v>Build the listed green-highlighter scene.</x:v>
      </x:c>
      <x:c r="Q112" s="31" t="str">
        <x:f>'Evaluation Plan'!Q112</x:f>
        <x:v>The green highlighter appears elsewhere in training but not in Counting. The prompt uses a familiar count/transition and the highlighter is the only eligible object.</x:v>
      </x:c>
      <x:c r="R112" s="31" t="n">
        <x:f>'Evaluation Plan'!R112</x:f>
        <x:v>0</x:v>
      </x:c>
    </x:row>
    <x:row r="113" ht="46.5" customHeight="1">
      <x:c r="A113" s="32" t="str">
        <x:v>Not collected</x:v>
      </x:c>
      <x:c r="B113" s="34" t="n">
        <x:f>'Evaluation Plan'!B113</x:f>
        <x:v>111</x:v>
      </x:c>
      <x:c r="C113" s="32" t="str">
        <x:f>'Evaluation Plan'!C113</x:f>
        <x:v>Move the green highlighter from the bowl to the table.</x:v>
      </x:c>
      <x:c r="D113" s="32" t="str">
        <x:f>'Evaluation Plan'!D113</x:f>
        <x:v>Bowl objects: [green highlighter] | Table objects: [yellow block, green pencil sharpener, airplane toy without propellers]</x:v>
      </x:c>
      <x:c r="E113" s="34" t="n">
        <x:f>'Evaluation Plan'!E113</x:f>
        <x:v>110</x:v>
      </x:c>
      <x:c r="F113" s="32" t="str">
        <x:f>'Evaluation Plan'!F113</x:f>
        <x:v>REMOVE green highlighter</x:v>
      </x:c>
      <x:c r="G113" s="32" t="str"/>
      <x:c r="H113" s="40" t="str">
        <x:f>'Evaluation Plan'!H113</x:f>
        <x:v>Cross-task matched control</x:v>
      </x:c>
      <x:c r="I113" s="32" t="str">
        <x:f>'Evaluation Plan'!I113</x:f>
        <x:v>XT-GH01</x:v>
      </x:c>
      <x:c r="J113" s="32" t="str">
        <x:f>'Evaluation Plan'!J113</x:f>
        <x:v>XT-GH01</x:v>
      </x:c>
      <x:c r="K113" s="34" t="n">
        <x:f>'Evaluation Plan'!K113</x:f>
        <x:v>1</x:v>
      </x:c>
      <x:c r="L113" s="34" t="n">
        <x:f>'Evaluation Plan'!L113</x:f>
        <x:v>0</x:v>
      </x:c>
      <x:c r="M113" s="34" t="str">
        <x:f>'Evaluation Plan'!M113</x:f>
        <x:v>REMOVE</x:v>
      </x:c>
      <x:c r="N113" s="32" t="str">
        <x:f>'Evaluation Plan'!N113</x:f>
        <x:v>Green-highlighter direct REMOVE control</x:v>
      </x:c>
      <x:c r="O113" s="34" t="n">
        <x:f>'Evaluation Plan'!O113</x:f>
        <x:v>5</x:v>
      </x:c>
      <x:c r="P113" s="32" t="str">
        <x:f>'Evaluation Plan'!P113</x:f>
        <x:v>Reset the exact scene; change only the prompt.</x:v>
      </x:c>
      <x:c r="Q113" s="32" t="str">
        <x:f>'Evaluation Plan'!Q113</x:f>
        <x:v>Directly identifies the same unique target in the same scene.</x:v>
      </x:c>
      <x:c r="R113" s="32" t="n">
        <x:f>'Evaluation Plan'!R113</x:f>
        <x:v>0</x:v>
      </x:c>
    </x:row>
    <x:row r="114" ht="46.5" customHeight="1">
      <x:c r="A114" s="31" t="str">
        <x:v>Not collected</x:v>
      </x:c>
      <x:c r="B114" s="33" t="n">
        <x:f>'Evaluation Plan'!B114</x:f>
        <x:v>112</x:v>
      </x:c>
      <x:c r="C114" s="31" t="str">
        <x:f>'Evaluation Plan'!C114</x:f>
        <x:v>Move the green highlighter into the bowl.</x:v>
      </x:c>
      <x:c r="D114" s="31" t="str">
        <x:f>'Evaluation Plan'!D114</x:f>
        <x:v>Bowl objects: [blue pen] | Table objects: [green highlighter]</x:v>
      </x:c>
      <x:c r="E114" s="33" t="str">
        <x:f>'Evaluation Plan'!E114</x:f>
      </x:c>
      <x:c r="F114" s="31" t="str">
        <x:f>'Evaluation Plan'!F114</x:f>
        <x:v>ADD green highlighter</x:v>
      </x:c>
      <x:c r="G114" s="31" t="str"/>
      <x:c r="H114" s="40" t="str">
        <x:f>'Evaluation Plan'!H114</x:f>
        <x:v>Cross-task matched control</x:v>
      </x:c>
      <x:c r="I114" s="31" t="str">
        <x:f>'Evaluation Plan'!I114</x:f>
        <x:v>XT-GH02</x:v>
      </x:c>
      <x:c r="J114" s="31" t="str">
        <x:f>'Evaluation Plan'!J114</x:f>
        <x:v>XT-GH02</x:v>
      </x:c>
      <x:c r="K114" s="33" t="n">
        <x:f>'Evaluation Plan'!K114</x:f>
        <x:v>1</x:v>
      </x:c>
      <x:c r="L114" s="33" t="n">
        <x:f>'Evaluation Plan'!L114</x:f>
        <x:v>2</x:v>
      </x:c>
      <x:c r="M114" s="33" t="str">
        <x:f>'Evaluation Plan'!M114</x:f>
        <x:v>ADD</x:v>
      </x:c>
      <x:c r="N114" s="31" t="str">
        <x:f>'Evaluation Plan'!N114</x:f>
        <x:v>Green-highlighter direct ADD control</x:v>
      </x:c>
      <x:c r="O114" s="33" t="n">
        <x:f>'Evaluation Plan'!O114</x:f>
        <x:v>5</x:v>
      </x:c>
      <x:c r="P114" s="31" t="str">
        <x:f>'Evaluation Plan'!P114</x:f>
        <x:v>Reset the exact scene; change only the prompt.</x:v>
      </x:c>
      <x:c r="Q114" s="31" t="str">
        <x:f>'Evaluation Plan'!Q114</x:f>
        <x:v>Directly identifies the same unique target in the same scene.</x:v>
      </x:c>
      <x:c r="R114" s="31" t="n">
        <x:f>'Evaluation Plan'!R114</x:f>
        <x:v>0</x:v>
      </x:c>
    </x:row>
    <x:row r="115" ht="46.5" customHeight="1">
      <x:c r="A115" s="32" t="str">
        <x:v>Not collected</x:v>
      </x:c>
      <x:c r="B115" s="34" t="n">
        <x:f>'Evaluation Plan'!B115</x:f>
        <x:v>113</x:v>
      </x:c>
      <x:c r="C115" s="32" t="str">
        <x:f>'Evaluation Plan'!C115</x:f>
        <x:v>Make the bowl contain exactly two objects.</x:v>
      </x:c>
      <x:c r="D115" s="32" t="str">
        <x:f>'Evaluation Plan'!D115</x:f>
        <x:v>Bowl objects: [blue pen] | Table objects: [green highlighter]</x:v>
      </x:c>
      <x:c r="E115" s="34" t="n">
        <x:f>'Evaluation Plan'!E115</x:f>
        <x:v>112</x:v>
      </x:c>
      <x:c r="F115" s="32" t="str">
        <x:f>'Evaluation Plan'!F115</x:f>
        <x:v>ADD green highlighter; finish with 2 objects in the bowl</x:v>
      </x:c>
      <x:c r="G115" s="32" t="str"/>
      <x:c r="H115" s="39" t="str">
        <x:f>'Evaluation Plan'!H115</x:f>
        <x:v>Cross-task object transfer</x:v>
      </x:c>
      <x:c r="I115" s="32" t="str">
        <x:f>'Evaluation Plan'!I115</x:f>
        <x:v>XT-GH02</x:v>
      </x:c>
      <x:c r="J115" s="32" t="str">
        <x:f>'Evaluation Plan'!J115</x:f>
        <x:v>XT-GH02</x:v>
      </x:c>
      <x:c r="K115" s="34" t="n">
        <x:f>'Evaluation Plan'!K115</x:f>
        <x:v>1</x:v>
      </x:c>
      <x:c r="L115" s="34" t="n">
        <x:f>'Evaluation Plan'!L115</x:f>
        <x:v>2</x:v>
      </x:c>
      <x:c r="M115" s="34" t="str">
        <x:f>'Evaluation Plan'!M115</x:f>
        <x:v>ADD</x:v>
      </x:c>
      <x:c r="N115" s="32" t="str">
        <x:f>'Evaluation Plan'!N115</x:f>
        <x:v>Green-highlighter familiar-count transfer: 1→2 addition</x:v>
      </x:c>
      <x:c r="O115" s="34" t="n">
        <x:f>'Evaluation Plan'!O115</x:f>
        <x:v>5</x:v>
      </x:c>
      <x:c r="P115" s="32" t="str">
        <x:f>'Evaluation Plan'!P115</x:f>
        <x:v>Build the listed green-highlighter scene.</x:v>
      </x:c>
      <x:c r="Q115" s="32" t="str">
        <x:f>'Evaluation Plan'!Q115</x:f>
        <x:v>The green highlighter appears elsewhere in training but not in Counting. The prompt uses a familiar count/transition and the highlighter is the only eligible object.</x:v>
      </x:c>
      <x:c r="R115" s="32" t="n">
        <x:f>'Evaluation Plan'!R115</x:f>
        <x:v>0</x:v>
      </x:c>
    </x:row>
    <x:row r="116" ht="46.5" customHeight="1">
      <x:c r="A116" s="31" t="str">
        <x:v>Not collected</x:v>
      </x:c>
      <x:c r="B116" s="33" t="n">
        <x:f>'Evaluation Plan'!B116</x:f>
        <x:v>114</x:v>
      </x:c>
      <x:c r="C116" s="31" t="str">
        <x:f>'Evaluation Plan'!C116</x:f>
        <x:v>Make the bowl contain exactly zero objects.</x:v>
      </x:c>
      <x:c r="D116" s="31" t="str">
        <x:f>'Evaluation Plan'!D116</x:f>
        <x:v>Bowl objects: [green highlighter] | Table objects: [blue pen, green pencil sharpener, airplane toy without propellers]</x:v>
      </x:c>
      <x:c r="E116" s="33" t="str">
        <x:f>'Evaluation Plan'!E116</x:f>
      </x:c>
      <x:c r="F116" s="31" t="str">
        <x:f>'Evaluation Plan'!F116</x:f>
        <x:v>REMOVE green highlighter; finish with 0 objects in the bowl</x:v>
      </x:c>
      <x:c r="G116" s="31" t="str"/>
      <x:c r="H116" s="39" t="str">
        <x:f>'Evaluation Plan'!H116</x:f>
        <x:v>Cross-task object transfer</x:v>
      </x:c>
      <x:c r="I116" s="31" t="str">
        <x:f>'Evaluation Plan'!I116</x:f>
        <x:v>XT-GH03</x:v>
      </x:c>
      <x:c r="J116" s="31" t="str">
        <x:f>'Evaluation Plan'!J116</x:f>
        <x:v>XT-GH03</x:v>
      </x:c>
      <x:c r="K116" s="33" t="n">
        <x:f>'Evaluation Plan'!K116</x:f>
        <x:v>1</x:v>
      </x:c>
      <x:c r="L116" s="33" t="n">
        <x:f>'Evaluation Plan'!L116</x:f>
        <x:v>0</x:v>
      </x:c>
      <x:c r="M116" s="33" t="str">
        <x:f>'Evaluation Plan'!M116</x:f>
        <x:v>REMOVE</x:v>
      </x:c>
      <x:c r="N116" s="31" t="str">
        <x:f>'Evaluation Plan'!N116</x:f>
        <x:v>Green-highlighter familiar-count transfer: 1→0 removal</x:v>
      </x:c>
      <x:c r="O116" s="33" t="n">
        <x:f>'Evaluation Plan'!O116</x:f>
        <x:v>5</x:v>
      </x:c>
      <x:c r="P116" s="31" t="str">
        <x:f>'Evaluation Plan'!P116</x:f>
        <x:v>Build the listed green-highlighter scene.</x:v>
      </x:c>
      <x:c r="Q116" s="31" t="str">
        <x:f>'Evaluation Plan'!Q116</x:f>
        <x:v>The green highlighter appears elsewhere in training but not in Counting. The prompt uses a familiar count/transition and the highlighter is the only eligible object.</x:v>
      </x:c>
      <x:c r="R116" s="31" t="n">
        <x:f>'Evaluation Plan'!R116</x:f>
        <x:v>0</x:v>
      </x:c>
    </x:row>
    <x:row r="117" ht="46.5" customHeight="1">
      <x:c r="A117" s="32" t="str">
        <x:v>Not collected</x:v>
      </x:c>
      <x:c r="B117" s="34" t="n">
        <x:f>'Evaluation Plan'!B117</x:f>
        <x:v>115</x:v>
      </x:c>
      <x:c r="C117" s="32" t="str">
        <x:f>'Evaluation Plan'!C117</x:f>
        <x:v>Move the green highlighter from the bowl to the table.</x:v>
      </x:c>
      <x:c r="D117" s="32" t="str">
        <x:f>'Evaluation Plan'!D117</x:f>
        <x:v>Bowl objects: [green highlighter] | Table objects: [blue pen, green pencil sharpener, airplane toy without propellers]</x:v>
      </x:c>
      <x:c r="E117" s="34" t="n">
        <x:f>'Evaluation Plan'!E117</x:f>
        <x:v>114</x:v>
      </x:c>
      <x:c r="F117" s="32" t="str">
        <x:f>'Evaluation Plan'!F117</x:f>
        <x:v>REMOVE green highlighter</x:v>
      </x:c>
      <x:c r="G117" s="32" t="str"/>
      <x:c r="H117" s="40" t="str">
        <x:f>'Evaluation Plan'!H117</x:f>
        <x:v>Cross-task matched control</x:v>
      </x:c>
      <x:c r="I117" s="32" t="str">
        <x:f>'Evaluation Plan'!I117</x:f>
        <x:v>XT-GH03</x:v>
      </x:c>
      <x:c r="J117" s="32" t="str">
        <x:f>'Evaluation Plan'!J117</x:f>
        <x:v>XT-GH03</x:v>
      </x:c>
      <x:c r="K117" s="34" t="n">
        <x:f>'Evaluation Plan'!K117</x:f>
        <x:v>1</x:v>
      </x:c>
      <x:c r="L117" s="34" t="n">
        <x:f>'Evaluation Plan'!L117</x:f>
        <x:v>0</x:v>
      </x:c>
      <x:c r="M117" s="34" t="str">
        <x:f>'Evaluation Plan'!M117</x:f>
        <x:v>REMOVE</x:v>
      </x:c>
      <x:c r="N117" s="32" t="str">
        <x:f>'Evaluation Plan'!N117</x:f>
        <x:v>Green-highlighter direct REMOVE control</x:v>
      </x:c>
      <x:c r="O117" s="34" t="n">
        <x:f>'Evaluation Plan'!O117</x:f>
        <x:v>5</x:v>
      </x:c>
      <x:c r="P117" s="32" t="str">
        <x:f>'Evaluation Plan'!P117</x:f>
        <x:v>Reset the exact scene; change only the prompt.</x:v>
      </x:c>
      <x:c r="Q117" s="32" t="str">
        <x:f>'Evaluation Plan'!Q117</x:f>
        <x:v>Directly identifies the same unique target in the same scene.</x:v>
      </x:c>
      <x:c r="R117" s="32" t="n">
        <x:f>'Evaluation Plan'!R117</x:f>
        <x:v>0</x:v>
      </x:c>
    </x:row>
    <x:row r="118" ht="46.5" customHeight="1">
      <x:c r="A118" s="31" t="str">
        <x:v>Not collected</x:v>
      </x:c>
      <x:c r="B118" s="33" t="n">
        <x:f>'Evaluation Plan'!B118</x:f>
        <x:v>116</x:v>
      </x:c>
      <x:c r="C118" s="31" t="str">
        <x:f>'Evaluation Plan'!C118</x:f>
        <x:v>Move the green highlighter into the bowl.</x:v>
      </x:c>
      <x:c r="D118" s="31" t="str">
        <x:f>'Evaluation Plan'!D118</x:f>
        <x:v>Bowl objects: [yellow block] | Table objects: [green highlighter]</x:v>
      </x:c>
      <x:c r="E118" s="33" t="str">
        <x:f>'Evaluation Plan'!E118</x:f>
      </x:c>
      <x:c r="F118" s="31" t="str">
        <x:f>'Evaluation Plan'!F118</x:f>
        <x:v>ADD green highlighter</x:v>
      </x:c>
      <x:c r="G118" s="31" t="str"/>
      <x:c r="H118" s="40" t="str">
        <x:f>'Evaluation Plan'!H118</x:f>
        <x:v>Cross-task matched control</x:v>
      </x:c>
      <x:c r="I118" s="31" t="str">
        <x:f>'Evaluation Plan'!I118</x:f>
        <x:v>XT-GH04</x:v>
      </x:c>
      <x:c r="J118" s="31" t="str">
        <x:f>'Evaluation Plan'!J118</x:f>
        <x:v>XT-GH04</x:v>
      </x:c>
      <x:c r="K118" s="33" t="n">
        <x:f>'Evaluation Plan'!K118</x:f>
        <x:v>1</x:v>
      </x:c>
      <x:c r="L118" s="33" t="n">
        <x:f>'Evaluation Plan'!L118</x:f>
        <x:v>2</x:v>
      </x:c>
      <x:c r="M118" s="33" t="str">
        <x:f>'Evaluation Plan'!M118</x:f>
        <x:v>ADD</x:v>
      </x:c>
      <x:c r="N118" s="31" t="str">
        <x:f>'Evaluation Plan'!N118</x:f>
        <x:v>Green-highlighter direct ADD control</x:v>
      </x:c>
      <x:c r="O118" s="33" t="n">
        <x:f>'Evaluation Plan'!O118</x:f>
        <x:v>5</x:v>
      </x:c>
      <x:c r="P118" s="31" t="str">
        <x:f>'Evaluation Plan'!P118</x:f>
        <x:v>Reset the exact scene; change only the prompt.</x:v>
      </x:c>
      <x:c r="Q118" s="31" t="str">
        <x:f>'Evaluation Plan'!Q118</x:f>
        <x:v>Directly identifies the same unique target in the same scene.</x:v>
      </x:c>
      <x:c r="R118" s="31" t="n">
        <x:f>'Evaluation Plan'!R118</x:f>
        <x:v>0</x:v>
      </x:c>
    </x:row>
    <x:row r="119" ht="46.5" customHeight="1">
      <x:c r="A119" s="32" t="str">
        <x:v>Not collected</x:v>
      </x:c>
      <x:c r="B119" s="34" t="n">
        <x:f>'Evaluation Plan'!B119</x:f>
        <x:v>117</x:v>
      </x:c>
      <x:c r="C119" s="32" t="str">
        <x:f>'Evaluation Plan'!C119</x:f>
        <x:v>Make the bowl contain exactly two objects.</x:v>
      </x:c>
      <x:c r="D119" s="32" t="str">
        <x:f>'Evaluation Plan'!D119</x:f>
        <x:v>Bowl objects: [yellow block] | Table objects: [green highlighter]</x:v>
      </x:c>
      <x:c r="E119" s="34" t="n">
        <x:f>'Evaluation Plan'!E119</x:f>
        <x:v>116</x:v>
      </x:c>
      <x:c r="F119" s="32" t="str">
        <x:f>'Evaluation Plan'!F119</x:f>
        <x:v>ADD green highlighter; finish with 2 objects in the bowl</x:v>
      </x:c>
      <x:c r="G119" s="32" t="str"/>
      <x:c r="H119" s="39" t="str">
        <x:f>'Evaluation Plan'!H119</x:f>
        <x:v>Cross-task object transfer</x:v>
      </x:c>
      <x:c r="I119" s="32" t="str">
        <x:f>'Evaluation Plan'!I119</x:f>
        <x:v>XT-GH04</x:v>
      </x:c>
      <x:c r="J119" s="32" t="str">
        <x:f>'Evaluation Plan'!J119</x:f>
        <x:v>XT-GH04</x:v>
      </x:c>
      <x:c r="K119" s="34" t="n">
        <x:f>'Evaluation Plan'!K119</x:f>
        <x:v>1</x:v>
      </x:c>
      <x:c r="L119" s="34" t="n">
        <x:f>'Evaluation Plan'!L119</x:f>
        <x:v>2</x:v>
      </x:c>
      <x:c r="M119" s="34" t="str">
        <x:f>'Evaluation Plan'!M119</x:f>
        <x:v>ADD</x:v>
      </x:c>
      <x:c r="N119" s="32" t="str">
        <x:f>'Evaluation Plan'!N119</x:f>
        <x:v>Green-highlighter familiar-count transfer: 1→2 addition</x:v>
      </x:c>
      <x:c r="O119" s="34" t="n">
        <x:f>'Evaluation Plan'!O119</x:f>
        <x:v>5</x:v>
      </x:c>
      <x:c r="P119" s="32" t="str">
        <x:f>'Evaluation Plan'!P119</x:f>
        <x:v>Build the listed green-highlighter scene.</x:v>
      </x:c>
      <x:c r="Q119" s="32" t="str">
        <x:f>'Evaluation Plan'!Q119</x:f>
        <x:v>The green highlighter appears elsewhere in training but not in Counting. The prompt uses a familiar count/transition and the highlighter is the only eligible object.</x:v>
      </x:c>
      <x:c r="R119" s="32" t="n">
        <x:f>'Evaluation Plan'!R119</x:f>
        <x:v>0</x:v>
      </x:c>
    </x:row>
    <x:row r="120" ht="46.5" customHeight="1">
      <x:c r="A120" s="31" t="str">
        <x:v>Not collected</x:v>
      </x:c>
      <x:c r="B120" s="33" t="n">
        <x:f>'Evaluation Plan'!B120</x:f>
        <x:v>118</x:v>
      </x:c>
      <x:c r="C120" s="31" t="str">
        <x:f>'Evaluation Plan'!C120</x:f>
        <x:v>Make the bowl contain exactly zero objects.</x:v>
      </x:c>
      <x:c r="D120" s="31" t="str">
        <x:f>'Evaluation Plan'!D120</x:f>
        <x:v>Bowl objects: [green highlighter] | Table objects: [blue pen, yellow block, airplane toy without propellers]</x:v>
      </x:c>
      <x:c r="E120" s="33" t="str">
        <x:f>'Evaluation Plan'!E120</x:f>
      </x:c>
      <x:c r="F120" s="31" t="str">
        <x:f>'Evaluation Plan'!F120</x:f>
        <x:v>REMOVE green highlighter; finish with 0 objects in the bowl</x:v>
      </x:c>
      <x:c r="G120" s="31" t="str"/>
      <x:c r="H120" s="39" t="str">
        <x:f>'Evaluation Plan'!H120</x:f>
        <x:v>Cross-task object transfer</x:v>
      </x:c>
      <x:c r="I120" s="31" t="str">
        <x:f>'Evaluation Plan'!I120</x:f>
        <x:v>XT-GH05</x:v>
      </x:c>
      <x:c r="J120" s="31" t="str">
        <x:f>'Evaluation Plan'!J120</x:f>
        <x:v>XT-GH05</x:v>
      </x:c>
      <x:c r="K120" s="33" t="n">
        <x:f>'Evaluation Plan'!K120</x:f>
        <x:v>1</x:v>
      </x:c>
      <x:c r="L120" s="33" t="n">
        <x:f>'Evaluation Plan'!L120</x:f>
        <x:v>0</x:v>
      </x:c>
      <x:c r="M120" s="33" t="str">
        <x:f>'Evaluation Plan'!M120</x:f>
        <x:v>REMOVE</x:v>
      </x:c>
      <x:c r="N120" s="31" t="str">
        <x:f>'Evaluation Plan'!N120</x:f>
        <x:v>Green-highlighter familiar-count transfer: 1→0 removal</x:v>
      </x:c>
      <x:c r="O120" s="33" t="n">
        <x:f>'Evaluation Plan'!O120</x:f>
        <x:v>5</x:v>
      </x:c>
      <x:c r="P120" s="31" t="str">
        <x:f>'Evaluation Plan'!P120</x:f>
        <x:v>Build the listed green-highlighter scene.</x:v>
      </x:c>
      <x:c r="Q120" s="31" t="str">
        <x:f>'Evaluation Plan'!Q120</x:f>
        <x:v>The green highlighter appears elsewhere in training but not in Counting. The prompt uses a familiar count/transition and the highlighter is the only eligible object.</x:v>
      </x:c>
      <x:c r="R120" s="31" t="n">
        <x:f>'Evaluation Plan'!R120</x:f>
        <x:v>0</x:v>
      </x:c>
    </x:row>
    <x:row r="121" ht="46.5" customHeight="1">
      <x:c r="A121" s="32" t="str">
        <x:v>Not collected</x:v>
      </x:c>
      <x:c r="B121" s="34" t="n">
        <x:f>'Evaluation Plan'!B121</x:f>
        <x:v>119</x:v>
      </x:c>
      <x:c r="C121" s="32" t="str">
        <x:f>'Evaluation Plan'!C121</x:f>
        <x:v>Move the green highlighter from the bowl to the table.</x:v>
      </x:c>
      <x:c r="D121" s="32" t="str">
        <x:f>'Evaluation Plan'!D121</x:f>
        <x:v>Bowl objects: [green highlighter] | Table objects: [blue pen, yellow block, airplane toy without propellers]</x:v>
      </x:c>
      <x:c r="E121" s="34" t="n">
        <x:f>'Evaluation Plan'!E121</x:f>
        <x:v>118</x:v>
      </x:c>
      <x:c r="F121" s="32" t="str">
        <x:f>'Evaluation Plan'!F121</x:f>
        <x:v>REMOVE green highlighter</x:v>
      </x:c>
      <x:c r="G121" s="32" t="str"/>
      <x:c r="H121" s="40" t="str">
        <x:f>'Evaluation Plan'!H121</x:f>
        <x:v>Cross-task matched control</x:v>
      </x:c>
      <x:c r="I121" s="32" t="str">
        <x:f>'Evaluation Plan'!I121</x:f>
        <x:v>XT-GH05</x:v>
      </x:c>
      <x:c r="J121" s="32" t="str">
        <x:f>'Evaluation Plan'!J121</x:f>
        <x:v>XT-GH05</x:v>
      </x:c>
      <x:c r="K121" s="34" t="n">
        <x:f>'Evaluation Plan'!K121</x:f>
        <x:v>1</x:v>
      </x:c>
      <x:c r="L121" s="34" t="n">
        <x:f>'Evaluation Plan'!L121</x:f>
        <x:v>0</x:v>
      </x:c>
      <x:c r="M121" s="34" t="str">
        <x:f>'Evaluation Plan'!M121</x:f>
        <x:v>REMOVE</x:v>
      </x:c>
      <x:c r="N121" s="32" t="str">
        <x:f>'Evaluation Plan'!N121</x:f>
        <x:v>Green-highlighter direct REMOVE control</x:v>
      </x:c>
      <x:c r="O121" s="34" t="n">
        <x:f>'Evaluation Plan'!O121</x:f>
        <x:v>5</x:v>
      </x:c>
      <x:c r="P121" s="32" t="str">
        <x:f>'Evaluation Plan'!P121</x:f>
        <x:v>Reset the exact scene; change only the prompt.</x:v>
      </x:c>
      <x:c r="Q121" s="32" t="str">
        <x:f>'Evaluation Plan'!Q121</x:f>
        <x:v>Directly identifies the same unique target in the same scene.</x:v>
      </x:c>
      <x:c r="R121" s="32" t="n">
        <x:f>'Evaluation Plan'!R121</x:f>
        <x:v>0</x:v>
      </x:c>
    </x:row>
    <x:row r="122" ht="46.5" customHeight="1">
      <x:c r="A122" s="31" t="str">
        <x:v>Not collected</x:v>
      </x:c>
      <x:c r="B122" s="33" t="n">
        <x:f>'Evaluation Plan'!B122</x:f>
        <x:v>120</x:v>
      </x:c>
      <x:c r="C122" s="31" t="str">
        <x:f>'Evaluation Plan'!C122</x:f>
        <x:v>Move the green highlighter into the bowl.</x:v>
      </x:c>
      <x:c r="D122" s="31" t="str">
        <x:f>'Evaluation Plan'!D122</x:f>
        <x:v>Bowl objects: [green pencil sharpener] | Table objects: [green highlighter]</x:v>
      </x:c>
      <x:c r="E122" s="33" t="str">
        <x:f>'Evaluation Plan'!E122</x:f>
      </x:c>
      <x:c r="F122" s="31" t="str">
        <x:f>'Evaluation Plan'!F122</x:f>
        <x:v>ADD green highlighter</x:v>
      </x:c>
      <x:c r="G122" s="31" t="str"/>
      <x:c r="H122" s="40" t="str">
        <x:f>'Evaluation Plan'!H122</x:f>
        <x:v>Cross-task matched control</x:v>
      </x:c>
      <x:c r="I122" s="31" t="str">
        <x:f>'Evaluation Plan'!I122</x:f>
        <x:v>XT-GH06</x:v>
      </x:c>
      <x:c r="J122" s="31" t="str">
        <x:f>'Evaluation Plan'!J122</x:f>
        <x:v>XT-GH06</x:v>
      </x:c>
      <x:c r="K122" s="33" t="n">
        <x:f>'Evaluation Plan'!K122</x:f>
        <x:v>1</x:v>
      </x:c>
      <x:c r="L122" s="33" t="n">
        <x:f>'Evaluation Plan'!L122</x:f>
        <x:v>2</x:v>
      </x:c>
      <x:c r="M122" s="33" t="str">
        <x:f>'Evaluation Plan'!M122</x:f>
        <x:v>ADD</x:v>
      </x:c>
      <x:c r="N122" s="31" t="str">
        <x:f>'Evaluation Plan'!N122</x:f>
        <x:v>Green-highlighter direct ADD control</x:v>
      </x:c>
      <x:c r="O122" s="33" t="n">
        <x:f>'Evaluation Plan'!O122</x:f>
        <x:v>5</x:v>
      </x:c>
      <x:c r="P122" s="31" t="str">
        <x:f>'Evaluation Plan'!P122</x:f>
        <x:v>Reset the exact scene; change only the prompt.</x:v>
      </x:c>
      <x:c r="Q122" s="31" t="str">
        <x:f>'Evaluation Plan'!Q122</x:f>
        <x:v>Directly identifies the same unique target in the same scene.</x:v>
      </x:c>
      <x:c r="R122" s="31" t="n">
        <x:f>'Evaluation Plan'!R122</x:f>
        <x:v>0</x:v>
      </x:c>
    </x:row>
    <x:row r="123" ht="46.5" customHeight="1">
      <x:c r="A123" s="32" t="str">
        <x:v>Not collected</x:v>
      </x:c>
      <x:c r="B123" s="34" t="n">
        <x:f>'Evaluation Plan'!B123</x:f>
        <x:v>121</x:v>
      </x:c>
      <x:c r="C123" s="32" t="str">
        <x:f>'Evaluation Plan'!C123</x:f>
        <x:v>Make the bowl contain exactly two objects.</x:v>
      </x:c>
      <x:c r="D123" s="32" t="str">
        <x:f>'Evaluation Plan'!D123</x:f>
        <x:v>Bowl objects: [green pencil sharpener] | Table objects: [green highlighter]</x:v>
      </x:c>
      <x:c r="E123" s="34" t="n">
        <x:f>'Evaluation Plan'!E123</x:f>
        <x:v>120</x:v>
      </x:c>
      <x:c r="F123" s="32" t="str">
        <x:f>'Evaluation Plan'!F123</x:f>
        <x:v>ADD green highlighter; finish with 2 objects in the bowl</x:v>
      </x:c>
      <x:c r="G123" s="32" t="str"/>
      <x:c r="H123" s="39" t="str">
        <x:f>'Evaluation Plan'!H123</x:f>
        <x:v>Cross-task object transfer</x:v>
      </x:c>
      <x:c r="I123" s="32" t="str">
        <x:f>'Evaluation Plan'!I123</x:f>
        <x:v>XT-GH06</x:v>
      </x:c>
      <x:c r="J123" s="32" t="str">
        <x:f>'Evaluation Plan'!J123</x:f>
        <x:v>XT-GH06</x:v>
      </x:c>
      <x:c r="K123" s="34" t="n">
        <x:f>'Evaluation Plan'!K123</x:f>
        <x:v>1</x:v>
      </x:c>
      <x:c r="L123" s="34" t="n">
        <x:f>'Evaluation Plan'!L123</x:f>
        <x:v>2</x:v>
      </x:c>
      <x:c r="M123" s="34" t="str">
        <x:f>'Evaluation Plan'!M123</x:f>
        <x:v>ADD</x:v>
      </x:c>
      <x:c r="N123" s="32" t="str">
        <x:f>'Evaluation Plan'!N123</x:f>
        <x:v>Green-highlighter familiar-count transfer: 1→2 addition</x:v>
      </x:c>
      <x:c r="O123" s="34" t="n">
        <x:f>'Evaluation Plan'!O123</x:f>
        <x:v>5</x:v>
      </x:c>
      <x:c r="P123" s="32" t="str">
        <x:f>'Evaluation Plan'!P123</x:f>
        <x:v>Build the listed green-highlighter scene.</x:v>
      </x:c>
      <x:c r="Q123" s="32" t="str">
        <x:f>'Evaluation Plan'!Q123</x:f>
        <x:v>The green highlighter appears elsewhere in training but not in Counting. The prompt uses a familiar count/transition and the highlighter is the only eligible object.</x:v>
      </x:c>
      <x:c r="R123" s="32" t="n">
        <x:f>'Evaluation Plan'!R123</x:f>
        <x:v>0</x:v>
      </x:c>
    </x:row>
    <x:row r="124" ht="46.5" customHeight="1">
      <x:c r="A124" s="31" t="str">
        <x:v>Not collected</x:v>
      </x:c>
      <x:c r="B124" s="33" t="n">
        <x:f>'Evaluation Plan'!B124</x:f>
        <x:v>122</x:v>
      </x:c>
      <x:c r="C124" s="31" t="str">
        <x:f>'Evaluation Plan'!C124</x:f>
        <x:v>Make the bowl contain exactly zero objects.</x:v>
      </x:c>
      <x:c r="D124" s="31" t="str">
        <x:f>'Evaluation Plan'!D124</x:f>
        <x:v>Bowl objects: [green highlighter] | Table objects: [blue pen, yellow block, green pencil sharpener]</x:v>
      </x:c>
      <x:c r="E124" s="33" t="str">
        <x:f>'Evaluation Plan'!E124</x:f>
      </x:c>
      <x:c r="F124" s="31" t="str">
        <x:f>'Evaluation Plan'!F124</x:f>
        <x:v>REMOVE green highlighter; finish with 0 objects in the bowl</x:v>
      </x:c>
      <x:c r="G124" s="31" t="str"/>
      <x:c r="H124" s="39" t="str">
        <x:f>'Evaluation Plan'!H124</x:f>
        <x:v>Cross-task object transfer</x:v>
      </x:c>
      <x:c r="I124" s="31" t="str">
        <x:f>'Evaluation Plan'!I124</x:f>
        <x:v>XT-GH07</x:v>
      </x:c>
      <x:c r="J124" s="31" t="str">
        <x:f>'Evaluation Plan'!J124</x:f>
        <x:v>XT-GH07</x:v>
      </x:c>
      <x:c r="K124" s="33" t="n">
        <x:f>'Evaluation Plan'!K124</x:f>
        <x:v>1</x:v>
      </x:c>
      <x:c r="L124" s="33" t="n">
        <x:f>'Evaluation Plan'!L124</x:f>
        <x:v>0</x:v>
      </x:c>
      <x:c r="M124" s="33" t="str">
        <x:f>'Evaluation Plan'!M124</x:f>
        <x:v>REMOVE</x:v>
      </x:c>
      <x:c r="N124" s="31" t="str">
        <x:f>'Evaluation Plan'!N124</x:f>
        <x:v>Green-highlighter familiar-count transfer: 1→0 removal</x:v>
      </x:c>
      <x:c r="O124" s="33" t="n">
        <x:f>'Evaluation Plan'!O124</x:f>
        <x:v>5</x:v>
      </x:c>
      <x:c r="P124" s="31" t="str">
        <x:f>'Evaluation Plan'!P124</x:f>
        <x:v>Build the listed green-highlighter scene.</x:v>
      </x:c>
      <x:c r="Q124" s="31" t="str">
        <x:f>'Evaluation Plan'!Q124</x:f>
        <x:v>The green highlighter appears elsewhere in training but not in Counting. The prompt uses a familiar count/transition and the highlighter is the only eligible object.</x:v>
      </x:c>
      <x:c r="R124" s="31" t="n">
        <x:f>'Evaluation Plan'!R124</x:f>
        <x:v>0</x:v>
      </x:c>
    </x:row>
    <x:row r="125" ht="46.5" customHeight="1">
      <x:c r="A125" s="32" t="str">
        <x:v>Not collected</x:v>
      </x:c>
      <x:c r="B125" s="34" t="n">
        <x:f>'Evaluation Plan'!B125</x:f>
        <x:v>123</x:v>
      </x:c>
      <x:c r="C125" s="32" t="str">
        <x:f>'Evaluation Plan'!C125</x:f>
        <x:v>Move the green highlighter from the bowl to the table.</x:v>
      </x:c>
      <x:c r="D125" s="32" t="str">
        <x:f>'Evaluation Plan'!D125</x:f>
        <x:v>Bowl objects: [green highlighter] | Table objects: [blue pen, yellow block, green pencil sharpener]</x:v>
      </x:c>
      <x:c r="E125" s="34" t="n">
        <x:f>'Evaluation Plan'!E125</x:f>
        <x:v>122</x:v>
      </x:c>
      <x:c r="F125" s="32" t="str">
        <x:f>'Evaluation Plan'!F125</x:f>
        <x:v>REMOVE green highlighter</x:v>
      </x:c>
      <x:c r="G125" s="32" t="str"/>
      <x:c r="H125" s="40" t="str">
        <x:f>'Evaluation Plan'!H125</x:f>
        <x:v>Cross-task matched control</x:v>
      </x:c>
      <x:c r="I125" s="32" t="str">
        <x:f>'Evaluation Plan'!I125</x:f>
        <x:v>XT-GH07</x:v>
      </x:c>
      <x:c r="J125" s="32" t="str">
        <x:f>'Evaluation Plan'!J125</x:f>
        <x:v>XT-GH07</x:v>
      </x:c>
      <x:c r="K125" s="34" t="n">
        <x:f>'Evaluation Plan'!K125</x:f>
        <x:v>1</x:v>
      </x:c>
      <x:c r="L125" s="34" t="n">
        <x:f>'Evaluation Plan'!L125</x:f>
        <x:v>0</x:v>
      </x:c>
      <x:c r="M125" s="34" t="str">
        <x:f>'Evaluation Plan'!M125</x:f>
        <x:v>REMOVE</x:v>
      </x:c>
      <x:c r="N125" s="32" t="str">
        <x:f>'Evaluation Plan'!N125</x:f>
        <x:v>Green-highlighter direct REMOVE control</x:v>
      </x:c>
      <x:c r="O125" s="34" t="n">
        <x:f>'Evaluation Plan'!O125</x:f>
        <x:v>5</x:v>
      </x:c>
      <x:c r="P125" s="32" t="str">
        <x:f>'Evaluation Plan'!P125</x:f>
        <x:v>Reset the exact scene; change only the prompt.</x:v>
      </x:c>
      <x:c r="Q125" s="32" t="str">
        <x:f>'Evaluation Plan'!Q125</x:f>
        <x:v>Directly identifies the same unique target in the same scene.</x:v>
      </x:c>
      <x:c r="R125" s="32" t="n">
        <x:f>'Evaluation Plan'!R125</x:f>
        <x:v>0</x:v>
      </x:c>
    </x:row>
    <x:row r="126" ht="46.5" customHeight="1">
      <x:c r="A126" s="31" t="str">
        <x:v>Not collected</x:v>
      </x:c>
      <x:c r="B126" s="33" t="n">
        <x:f>'Evaluation Plan'!B126</x:f>
        <x:v>124</x:v>
      </x:c>
      <x:c r="C126" s="31" t="str">
        <x:f>'Evaluation Plan'!C126</x:f>
        <x:v>Move the green highlighter into the bowl.</x:v>
      </x:c>
      <x:c r="D126" s="31" t="str">
        <x:f>'Evaluation Plan'!D126</x:f>
        <x:v>Bowl objects: [airplane toy without propellers] | Table objects: [green highlighter]</x:v>
      </x:c>
      <x:c r="E126" s="33" t="str">
        <x:f>'Evaluation Plan'!E126</x:f>
      </x:c>
      <x:c r="F126" s="31" t="str">
        <x:f>'Evaluation Plan'!F126</x:f>
        <x:v>ADD green highlighter</x:v>
      </x:c>
      <x:c r="G126" s="31" t="str"/>
      <x:c r="H126" s="40" t="str">
        <x:f>'Evaluation Plan'!H126</x:f>
        <x:v>Cross-task matched control</x:v>
      </x:c>
      <x:c r="I126" s="31" t="str">
        <x:f>'Evaluation Plan'!I126</x:f>
        <x:v>XT-GH08</x:v>
      </x:c>
      <x:c r="J126" s="31" t="str">
        <x:f>'Evaluation Plan'!J126</x:f>
        <x:v>XT-GH08</x:v>
      </x:c>
      <x:c r="K126" s="33" t="n">
        <x:f>'Evaluation Plan'!K126</x:f>
        <x:v>1</x:v>
      </x:c>
      <x:c r="L126" s="33" t="n">
        <x:f>'Evaluation Plan'!L126</x:f>
        <x:v>2</x:v>
      </x:c>
      <x:c r="M126" s="33" t="str">
        <x:f>'Evaluation Plan'!M126</x:f>
        <x:v>ADD</x:v>
      </x:c>
      <x:c r="N126" s="31" t="str">
        <x:f>'Evaluation Plan'!N126</x:f>
        <x:v>Green-highlighter direct ADD control</x:v>
      </x:c>
      <x:c r="O126" s="33" t="n">
        <x:f>'Evaluation Plan'!O126</x:f>
        <x:v>5</x:v>
      </x:c>
      <x:c r="P126" s="31" t="str">
        <x:f>'Evaluation Plan'!P126</x:f>
        <x:v>Reset the exact scene; change only the prompt.</x:v>
      </x:c>
      <x:c r="Q126" s="31" t="str">
        <x:f>'Evaluation Plan'!Q126</x:f>
        <x:v>Directly identifies the same unique target in the same scene.</x:v>
      </x:c>
      <x:c r="R126" s="31" t="n">
        <x:f>'Evaluation Plan'!R126</x:f>
        <x:v>0</x:v>
      </x:c>
    </x:row>
    <x:row r="127" ht="46.5" customHeight="1">
      <x:c r="A127" s="32" t="str">
        <x:v>Not collected</x:v>
      </x:c>
      <x:c r="B127" s="34" t="n">
        <x:f>'Evaluation Plan'!B127</x:f>
        <x:v>125</x:v>
      </x:c>
      <x:c r="C127" s="32" t="str">
        <x:f>'Evaluation Plan'!C127</x:f>
        <x:v>Make the bowl contain exactly two objects.</x:v>
      </x:c>
      <x:c r="D127" s="32" t="str">
        <x:f>'Evaluation Plan'!D127</x:f>
        <x:v>Bowl objects: [airplane toy without propellers] | Table objects: [green highlighter]</x:v>
      </x:c>
      <x:c r="E127" s="34" t="n">
        <x:f>'Evaluation Plan'!E127</x:f>
        <x:v>124</x:v>
      </x:c>
      <x:c r="F127" s="32" t="str">
        <x:f>'Evaluation Plan'!F127</x:f>
        <x:v>ADD green highlighter; finish with 2 objects in the bowl</x:v>
      </x:c>
      <x:c r="G127" s="32" t="str"/>
      <x:c r="H127" s="39" t="str">
        <x:f>'Evaluation Plan'!H127</x:f>
        <x:v>Cross-task object transfer</x:v>
      </x:c>
      <x:c r="I127" s="32" t="str">
        <x:f>'Evaluation Plan'!I127</x:f>
        <x:v>XT-GH08</x:v>
      </x:c>
      <x:c r="J127" s="32" t="str">
        <x:f>'Evaluation Plan'!J127</x:f>
        <x:v>XT-GH08</x:v>
      </x:c>
      <x:c r="K127" s="34" t="n">
        <x:f>'Evaluation Plan'!K127</x:f>
        <x:v>1</x:v>
      </x:c>
      <x:c r="L127" s="34" t="n">
        <x:f>'Evaluation Plan'!L127</x:f>
        <x:v>2</x:v>
      </x:c>
      <x:c r="M127" s="34" t="str">
        <x:f>'Evaluation Plan'!M127</x:f>
        <x:v>ADD</x:v>
      </x:c>
      <x:c r="N127" s="32" t="str">
        <x:f>'Evaluation Plan'!N127</x:f>
        <x:v>Green-highlighter familiar-count transfer: 1→2 addition</x:v>
      </x:c>
      <x:c r="O127" s="34" t="n">
        <x:f>'Evaluation Plan'!O127</x:f>
        <x:v>5</x:v>
      </x:c>
      <x:c r="P127" s="32" t="str">
        <x:f>'Evaluation Plan'!P127</x:f>
        <x:v>Build the listed green-highlighter scene.</x:v>
      </x:c>
      <x:c r="Q127" s="32" t="str">
        <x:f>'Evaluation Plan'!Q127</x:f>
        <x:v>The green highlighter appears elsewhere in training but not in Counting. The prompt uses a familiar count/transition and the highlighter is the only eligible object.</x:v>
      </x:c>
      <x:c r="R127" s="32" t="n">
        <x:f>'Evaluation Plan'!R127</x:f>
        <x:v>0</x:v>
      </x:c>
    </x:row>
    <x:row r="128" ht="46.5" customHeight="1">
      <x:c r="A128" s="31" t="str">
        <x:v>Not collected</x:v>
      </x:c>
      <x:c r="B128" s="33" t="n">
        <x:f>'Evaluation Plan'!B128</x:f>
        <x:v>126</x:v>
      </x:c>
      <x:c r="C128" s="31" t="str">
        <x:f>'Evaluation Plan'!C128</x:f>
        <x:v>Make the bowl contain exactly zero objects.</x:v>
      </x:c>
      <x:c r="D128" s="31" t="str">
        <x:f>'Evaluation Plan'!D128</x:f>
        <x:v>Bowl objects: [green highlighter] | Table objects: [yellow block, green pencil sharpener, airplane toy without propellers]</x:v>
      </x:c>
      <x:c r="E128" s="33" t="str">
        <x:f>'Evaluation Plan'!E128</x:f>
      </x:c>
      <x:c r="F128" s="31" t="str">
        <x:f>'Evaluation Plan'!F128</x:f>
        <x:v>REMOVE green highlighter; finish with 0 objects in the bowl</x:v>
      </x:c>
      <x:c r="G128" s="31" t="str"/>
      <x:c r="H128" s="39" t="str">
        <x:f>'Evaluation Plan'!H128</x:f>
        <x:v>Cross-task object transfer</x:v>
      </x:c>
      <x:c r="I128" s="31" t="str">
        <x:f>'Evaluation Plan'!I128</x:f>
        <x:v>XT-GH09</x:v>
      </x:c>
      <x:c r="J128" s="31" t="str">
        <x:f>'Evaluation Plan'!J128</x:f>
        <x:v>XT-GH09</x:v>
      </x:c>
      <x:c r="K128" s="33" t="n">
        <x:f>'Evaluation Plan'!K128</x:f>
        <x:v>1</x:v>
      </x:c>
      <x:c r="L128" s="33" t="n">
        <x:f>'Evaluation Plan'!L128</x:f>
        <x:v>0</x:v>
      </x:c>
      <x:c r="M128" s="33" t="str">
        <x:f>'Evaluation Plan'!M128</x:f>
        <x:v>REMOVE</x:v>
      </x:c>
      <x:c r="N128" s="31" t="str">
        <x:f>'Evaluation Plan'!N128</x:f>
        <x:v>Green-highlighter familiar-count transfer: 1→0 removal</x:v>
      </x:c>
      <x:c r="O128" s="33" t="n">
        <x:f>'Evaluation Plan'!O128</x:f>
        <x:v>5</x:v>
      </x:c>
      <x:c r="P128" s="31" t="str">
        <x:f>'Evaluation Plan'!P128</x:f>
        <x:v>Build the listed green-highlighter scene.</x:v>
      </x:c>
      <x:c r="Q128" s="31" t="str">
        <x:f>'Evaluation Plan'!Q128</x:f>
        <x:v>The green highlighter appears elsewhere in training but not in Counting. The prompt uses a familiar count/transition and the highlighter is the only eligible object.</x:v>
      </x:c>
      <x:c r="R128" s="31" t="n">
        <x:f>'Evaluation Plan'!R128</x:f>
        <x:v>0</x:v>
      </x:c>
    </x:row>
    <x:row r="129" ht="46.5" customHeight="1">
      <x:c r="A129" s="32" t="str">
        <x:v>Not collected</x:v>
      </x:c>
      <x:c r="B129" s="34" t="n">
        <x:f>'Evaluation Plan'!B129</x:f>
        <x:v>127</x:v>
      </x:c>
      <x:c r="C129" s="32" t="str">
        <x:f>'Evaluation Plan'!C129</x:f>
        <x:v>Move the green highlighter from the bowl to the table.</x:v>
      </x:c>
      <x:c r="D129" s="32" t="str">
        <x:f>'Evaluation Plan'!D129</x:f>
        <x:v>Bowl objects: [green highlighter] | Table objects: [yellow block, green pencil sharpener, airplane toy without propellers]</x:v>
      </x:c>
      <x:c r="E129" s="34" t="n">
        <x:f>'Evaluation Plan'!E129</x:f>
        <x:v>126</x:v>
      </x:c>
      <x:c r="F129" s="32" t="str">
        <x:f>'Evaluation Plan'!F129</x:f>
        <x:v>REMOVE green highlighter</x:v>
      </x:c>
      <x:c r="G129" s="32" t="str"/>
      <x:c r="H129" s="40" t="str">
        <x:f>'Evaluation Plan'!H129</x:f>
        <x:v>Cross-task matched control</x:v>
      </x:c>
      <x:c r="I129" s="32" t="str">
        <x:f>'Evaluation Plan'!I129</x:f>
        <x:v>XT-GH09</x:v>
      </x:c>
      <x:c r="J129" s="32" t="str">
        <x:f>'Evaluation Plan'!J129</x:f>
        <x:v>XT-GH09</x:v>
      </x:c>
      <x:c r="K129" s="34" t="n">
        <x:f>'Evaluation Plan'!K129</x:f>
        <x:v>1</x:v>
      </x:c>
      <x:c r="L129" s="34" t="n">
        <x:f>'Evaluation Plan'!L129</x:f>
        <x:v>0</x:v>
      </x:c>
      <x:c r="M129" s="34" t="str">
        <x:f>'Evaluation Plan'!M129</x:f>
        <x:v>REMOVE</x:v>
      </x:c>
      <x:c r="N129" s="32" t="str">
        <x:f>'Evaluation Plan'!N129</x:f>
        <x:v>Green-highlighter direct REMOVE control</x:v>
      </x:c>
      <x:c r="O129" s="34" t="n">
        <x:f>'Evaluation Plan'!O129</x:f>
        <x:v>5</x:v>
      </x:c>
      <x:c r="P129" s="32" t="str">
        <x:f>'Evaluation Plan'!P129</x:f>
        <x:v>Reset the exact scene; change only the prompt.</x:v>
      </x:c>
      <x:c r="Q129" s="32" t="str">
        <x:f>'Evaluation Plan'!Q129</x:f>
        <x:v>Directly identifies the same unique target in the same scene.</x:v>
      </x:c>
      <x:c r="R129" s="32" t="n">
        <x:f>'Evaluation Plan'!R129</x:f>
        <x:v>0</x:v>
      </x:c>
    </x:row>
    <x:row r="130" ht="46.5" customHeight="1">
      <x:c r="A130" s="31" t="str">
        <x:v>Not collected</x:v>
      </x:c>
      <x:c r="B130" s="33" t="n">
        <x:f>'Evaluation Plan'!B130</x:f>
        <x:v>128</x:v>
      </x:c>
      <x:c r="C130" s="31" t="str">
        <x:f>'Evaluation Plan'!C130</x:f>
        <x:v>Move the green highlighter into the bowl.</x:v>
      </x:c>
      <x:c r="D130" s="31" t="str">
        <x:f>'Evaluation Plan'!D130</x:f>
        <x:v>Bowl objects: [blue pen] | Table objects: [green highlighter]</x:v>
      </x:c>
      <x:c r="E130" s="33" t="str">
        <x:f>'Evaluation Plan'!E130</x:f>
      </x:c>
      <x:c r="F130" s="31" t="str">
        <x:f>'Evaluation Plan'!F130</x:f>
        <x:v>ADD green highlighter</x:v>
      </x:c>
      <x:c r="G130" s="31" t="str"/>
      <x:c r="H130" s="40" t="str">
        <x:f>'Evaluation Plan'!H130</x:f>
        <x:v>Cross-task matched control</x:v>
      </x:c>
      <x:c r="I130" s="31" t="str">
        <x:f>'Evaluation Plan'!I130</x:f>
        <x:v>XT-GH10</x:v>
      </x:c>
      <x:c r="J130" s="31" t="str">
        <x:f>'Evaluation Plan'!J130</x:f>
        <x:v>XT-GH10</x:v>
      </x:c>
      <x:c r="K130" s="33" t="n">
        <x:f>'Evaluation Plan'!K130</x:f>
        <x:v>1</x:v>
      </x:c>
      <x:c r="L130" s="33" t="n">
        <x:f>'Evaluation Plan'!L130</x:f>
        <x:v>2</x:v>
      </x:c>
      <x:c r="M130" s="33" t="str">
        <x:f>'Evaluation Plan'!M130</x:f>
        <x:v>ADD</x:v>
      </x:c>
      <x:c r="N130" s="31" t="str">
        <x:f>'Evaluation Plan'!N130</x:f>
        <x:v>Green-highlighter direct ADD control</x:v>
      </x:c>
      <x:c r="O130" s="33" t="n">
        <x:f>'Evaluation Plan'!O130</x:f>
        <x:v>5</x:v>
      </x:c>
      <x:c r="P130" s="31" t="str">
        <x:f>'Evaluation Plan'!P130</x:f>
        <x:v>Reset the exact scene; change only the prompt.</x:v>
      </x:c>
      <x:c r="Q130" s="31" t="str">
        <x:f>'Evaluation Plan'!Q130</x:f>
        <x:v>Directly identifies the same unique target in the same scene.</x:v>
      </x:c>
      <x:c r="R130" s="31" t="n">
        <x:f>'Evaluation Plan'!R130</x:f>
        <x:v>0</x:v>
      </x:c>
    </x:row>
    <x:row r="131" ht="46.5" customHeight="1">
      <x:c r="A131" s="32" t="str">
        <x:v>Not collected</x:v>
      </x:c>
      <x:c r="B131" s="34" t="n">
        <x:f>'Evaluation Plan'!B131</x:f>
        <x:v>129</x:v>
      </x:c>
      <x:c r="C131" s="32" t="str">
        <x:f>'Evaluation Plan'!C131</x:f>
        <x:v>Make the bowl contain exactly two objects.</x:v>
      </x:c>
      <x:c r="D131" s="32" t="str">
        <x:f>'Evaluation Plan'!D131</x:f>
        <x:v>Bowl objects: [blue pen] | Table objects: [green highlighter]</x:v>
      </x:c>
      <x:c r="E131" s="34" t="n">
        <x:f>'Evaluation Plan'!E131</x:f>
        <x:v>128</x:v>
      </x:c>
      <x:c r="F131" s="32" t="str">
        <x:f>'Evaluation Plan'!F131</x:f>
        <x:v>ADD green highlighter; finish with 2 objects in the bowl</x:v>
      </x:c>
      <x:c r="G131" s="32" t="str"/>
      <x:c r="H131" s="39" t="str">
        <x:f>'Evaluation Plan'!H131</x:f>
        <x:v>Cross-task object transfer</x:v>
      </x:c>
      <x:c r="I131" s="32" t="str">
        <x:f>'Evaluation Plan'!I131</x:f>
        <x:v>XT-GH10</x:v>
      </x:c>
      <x:c r="J131" s="32" t="str">
        <x:f>'Evaluation Plan'!J131</x:f>
        <x:v>XT-GH10</x:v>
      </x:c>
      <x:c r="K131" s="34" t="n">
        <x:f>'Evaluation Plan'!K131</x:f>
        <x:v>1</x:v>
      </x:c>
      <x:c r="L131" s="34" t="n">
        <x:f>'Evaluation Plan'!L131</x:f>
        <x:v>2</x:v>
      </x:c>
      <x:c r="M131" s="34" t="str">
        <x:f>'Evaluation Plan'!M131</x:f>
        <x:v>ADD</x:v>
      </x:c>
      <x:c r="N131" s="32" t="str">
        <x:f>'Evaluation Plan'!N131</x:f>
        <x:v>Green-highlighter familiar-count transfer: 1→2 addition</x:v>
      </x:c>
      <x:c r="O131" s="34" t="n">
        <x:f>'Evaluation Plan'!O131</x:f>
        <x:v>5</x:v>
      </x:c>
      <x:c r="P131" s="32" t="str">
        <x:f>'Evaluation Plan'!P131</x:f>
        <x:v>Build the listed green-highlighter scene.</x:v>
      </x:c>
      <x:c r="Q131" s="32" t="str">
        <x:f>'Evaluation Plan'!Q131</x:f>
        <x:v>The green highlighter appears elsewhere in training but not in Counting. The prompt uses a familiar count/transition and the highlighter is the only eligible object.</x:v>
      </x:c>
      <x:c r="R131" s="32" t="n">
        <x:f>'Evaluation Plan'!R131</x:f>
        <x:v>0</x:v>
      </x:c>
    </x:row>
    <x:row r="132" ht="46.5" customHeight="1">
      <x:c r="A132" s="31" t="str">
        <x:v>Not collected</x:v>
      </x:c>
      <x:c r="B132" s="33" t="n">
        <x:f>'Evaluation Plan'!B132</x:f>
        <x:v>130</x:v>
      </x:c>
      <x:c r="C132" s="31" t="str">
        <x:f>'Evaluation Plan'!C132</x:f>
        <x:v>Make the bowl contain exactly zero objects.</x:v>
      </x:c>
      <x:c r="D132" s="31" t="str">
        <x:f>'Evaluation Plan'!D132</x:f>
        <x:v>Bowl objects: [none] | Table objects: [blue pen, yellow block, green pencil sharpener, airplane toy without propellers]</x:v>
      </x:c>
      <x:c r="E132" s="33" t="str">
        <x:f>'Evaluation Plan'!E132</x:f>
      </x:c>
      <x:c r="F132" s="31" t="str">
        <x:f>'Evaluation Plan'!F132</x:f>
        <x:v>NO-OP; preserve 0 objects in the bowl and do not initiate a grasp</x:v>
      </x:c>
      <x:c r="G132" s="31" t="str"/>
      <x:c r="H132" s="35" t="str">
        <x:f>'Evaluation Plan'!H132</x:f>
        <x:v>Goal already satisfied / no movement</x:v>
      </x:c>
      <x:c r="I132" s="31" t="str">
        <x:f>'Evaluation Plan'!I132</x:f>
        <x:v>NOOP-01</x:v>
      </x:c>
      <x:c r="J132" s="31" t="str">
        <x:f>'Evaluation Plan'!J132</x:f>
        <x:v>NOOP-01</x:v>
      </x:c>
      <x:c r="K132" s="33" t="n">
        <x:f>'Evaluation Plan'!K132</x:f>
        <x:v>0</x:v>
      </x:c>
      <x:c r="L132" s="33" t="n">
        <x:f>'Evaluation Plan'!L132</x:f>
        <x:v>0</x:v>
      </x:c>
      <x:c r="M132" s="33" t="str">
        <x:f>'Evaluation Plan'!M132</x:f>
        <x:v>NO-OP</x:v>
      </x:c>
      <x:c r="N132" s="31" t="str">
        <x:f>'Evaluation Plan'!N132</x:f>
        <x:v>Goal already satisfied: 0→0</x:v>
      </x:c>
      <x:c r="O132" s="33" t="n">
        <x:f>'Evaluation Plan'!O132</x:f>
        <x:v>6</x:v>
      </x:c>
      <x:c r="P132" s="31" t="str">
        <x:f>'Evaluation Plan'!P132</x:f>
        <x:v>Build the first no-movement scene in this family.</x:v>
      </x:c>
      <x:c r="Q132" s="31" t="str">
        <x:f>'Evaluation Plan'!Q132</x:f>
        <x:v>All four same-task objects remain visible; table objects are distractors. Success requires leaving the satisfied scene unchanged.</x:v>
      </x:c>
      <x:c r="R132" s="31" t="n">
        <x:f>'Evaluation Plan'!R132</x:f>
        <x:v>0</x:v>
      </x:c>
    </x:row>
    <x:row r="133" ht="46.5" customHeight="1">
      <x:c r="A133" s="32" t="str">
        <x:v>Not collected</x:v>
      </x:c>
      <x:c r="B133" s="34" t="n">
        <x:f>'Evaluation Plan'!B133</x:f>
        <x:v>131</x:v>
      </x:c>
      <x:c r="C133" s="32" t="str">
        <x:f>'Evaluation Plan'!C133</x:f>
        <x:v>Leave exactly one object in the bowl.</x:v>
      </x:c>
      <x:c r="D133" s="32" t="str">
        <x:f>'Evaluation Plan'!D133</x:f>
        <x:v>Bowl objects: [blue pen] | Table objects: [yellow block, green pencil sharpener, airplane toy without propellers]</x:v>
      </x:c>
      <x:c r="E133" s="34" t="str">
        <x:f>'Evaluation Plan'!E133</x:f>
      </x:c>
      <x:c r="F133" s="32" t="str">
        <x:f>'Evaluation Plan'!F133</x:f>
        <x:v>NO-OP; preserve 1 object in the bowl and do not initiate a grasp</x:v>
      </x:c>
      <x:c r="G133" s="32" t="str"/>
      <x:c r="H133" s="35" t="str">
        <x:f>'Evaluation Plan'!H133</x:f>
        <x:v>Goal already satisfied / no movement</x:v>
      </x:c>
      <x:c r="I133" s="32" t="str">
        <x:f>'Evaluation Plan'!I133</x:f>
        <x:v>NOOP-01</x:v>
      </x:c>
      <x:c r="J133" s="32" t="str">
        <x:f>'Evaluation Plan'!J133</x:f>
        <x:v>NOOP-01</x:v>
      </x:c>
      <x:c r="K133" s="34" t="n">
        <x:f>'Evaluation Plan'!K133</x:f>
        <x:v>1</x:v>
      </x:c>
      <x:c r="L133" s="34" t="n">
        <x:f>'Evaluation Plan'!L133</x:f>
        <x:v>1</x:v>
      </x:c>
      <x:c r="M133" s="34" t="str">
        <x:f>'Evaluation Plan'!M133</x:f>
        <x:v>NO-OP</x:v>
      </x:c>
      <x:c r="N133" s="32" t="str">
        <x:f>'Evaluation Plan'!N133</x:f>
        <x:v>Goal already satisfied: 1→1</x:v>
      </x:c>
      <x:c r="O133" s="34" t="n">
        <x:f>'Evaluation Plan'!O133</x:f>
        <x:v>6</x:v>
      </x:c>
      <x:c r="P133" s="32" t="str">
        <x:f>'Evaluation Plan'!P133</x:f>
        <x:v>Move only the minimum listed objects between bowl and table for the next count.</x:v>
      </x:c>
      <x:c r="Q133" s="32" t="str">
        <x:f>'Evaluation Plan'!Q133</x:f>
        <x:v>All four same-task objects remain visible; table objects are distractors. Success requires leaving the satisfied scene unchanged.</x:v>
      </x:c>
      <x:c r="R133" s="32" t="n">
        <x:f>'Evaluation Plan'!R133</x:f>
        <x:v>0</x:v>
      </x:c>
    </x:row>
    <x:row r="134" ht="46.5" customHeight="1">
      <x:c r="A134" s="31" t="str">
        <x:v>Not collected</x:v>
      </x:c>
      <x:c r="B134" s="33" t="n">
        <x:f>'Evaluation Plan'!B134</x:f>
        <x:v>132</x:v>
      </x:c>
      <x:c r="C134" s="31" t="str">
        <x:f>'Evaluation Plan'!C134</x:f>
        <x:v>Make the bowl contain exactly two objects.</x:v>
      </x:c>
      <x:c r="D134" s="31" t="str">
        <x:f>'Evaluation Plan'!D134</x:f>
        <x:v>Bowl objects: [blue pen, yellow block] | Table objects: [green pencil sharpener, airplane toy without propellers]</x:v>
      </x:c>
      <x:c r="E134" s="33" t="str">
        <x:f>'Evaluation Plan'!E134</x:f>
      </x:c>
      <x:c r="F134" s="31" t="str">
        <x:f>'Evaluation Plan'!F134</x:f>
        <x:v>NO-OP; preserve 2 objects in the bowl and do not initiate a grasp</x:v>
      </x:c>
      <x:c r="G134" s="31" t="str"/>
      <x:c r="H134" s="35" t="str">
        <x:f>'Evaluation Plan'!H134</x:f>
        <x:v>Goal already satisfied / no movement</x:v>
      </x:c>
      <x:c r="I134" s="31" t="str">
        <x:f>'Evaluation Plan'!I134</x:f>
        <x:v>NOOP-01</x:v>
      </x:c>
      <x:c r="J134" s="31" t="str">
        <x:f>'Evaluation Plan'!J134</x:f>
        <x:v>NOOP-01</x:v>
      </x:c>
      <x:c r="K134" s="33" t="n">
        <x:f>'Evaluation Plan'!K134</x:f>
        <x:v>2</x:v>
      </x:c>
      <x:c r="L134" s="33" t="n">
        <x:f>'Evaluation Plan'!L134</x:f>
        <x:v>2</x:v>
      </x:c>
      <x:c r="M134" s="33" t="str">
        <x:f>'Evaluation Plan'!M134</x:f>
        <x:v>NO-OP</x:v>
      </x:c>
      <x:c r="N134" s="31" t="str">
        <x:f>'Evaluation Plan'!N134</x:f>
        <x:v>Goal already satisfied: 2→2</x:v>
      </x:c>
      <x:c r="O134" s="33" t="n">
        <x:f>'Evaluation Plan'!O134</x:f>
        <x:v>6</x:v>
      </x:c>
      <x:c r="P134" s="31" t="str">
        <x:f>'Evaluation Plan'!P134</x:f>
        <x:v>Move only the minimum listed objects between bowl and table for the next count.</x:v>
      </x:c>
      <x:c r="Q134" s="31" t="str">
        <x:f>'Evaluation Plan'!Q134</x:f>
        <x:v>All four same-task objects remain visible; table objects are distractors. Success requires leaving the satisfied scene unchanged.</x:v>
      </x:c>
      <x:c r="R134" s="31" t="n">
        <x:f>'Evaluation Plan'!R134</x:f>
        <x:v>0</x:v>
      </x:c>
    </x:row>
    <x:row r="135" ht="46.5" customHeight="1">
      <x:c r="A135" s="32" t="str">
        <x:v>Not collected</x:v>
      </x:c>
      <x:c r="B135" s="34" t="n">
        <x:f>'Evaluation Plan'!B135</x:f>
        <x:v>133</x:v>
      </x:c>
      <x:c r="C135" s="32" t="str">
        <x:f>'Evaluation Plan'!C135</x:f>
        <x:v>Leave exactly three objects in the bowl.</x:v>
      </x:c>
      <x:c r="D135" s="32" t="str">
        <x:f>'Evaluation Plan'!D135</x:f>
        <x:v>Bowl objects: [blue pen, yellow block, green pencil sharpener] | Table objects: [airplane toy without propellers]</x:v>
      </x:c>
      <x:c r="E135" s="34" t="str">
        <x:f>'Evaluation Plan'!E135</x:f>
      </x:c>
      <x:c r="F135" s="32" t="str">
        <x:f>'Evaluation Plan'!F135</x:f>
        <x:v>NO-OP; preserve 3 objects in the bowl and do not initiate a grasp</x:v>
      </x:c>
      <x:c r="G135" s="32" t="str"/>
      <x:c r="H135" s="35" t="str">
        <x:f>'Evaluation Plan'!H135</x:f>
        <x:v>Goal already satisfied / no movement</x:v>
      </x:c>
      <x:c r="I135" s="32" t="str">
        <x:f>'Evaluation Plan'!I135</x:f>
        <x:v>NOOP-01</x:v>
      </x:c>
      <x:c r="J135" s="32" t="str">
        <x:f>'Evaluation Plan'!J135</x:f>
        <x:v>NOOP-01</x:v>
      </x:c>
      <x:c r="K135" s="34" t="n">
        <x:f>'Evaluation Plan'!K135</x:f>
        <x:v>3</x:v>
      </x:c>
      <x:c r="L135" s="34" t="n">
        <x:f>'Evaluation Plan'!L135</x:f>
        <x:v>3</x:v>
      </x:c>
      <x:c r="M135" s="34" t="str">
        <x:f>'Evaluation Plan'!M135</x:f>
        <x:v>NO-OP</x:v>
      </x:c>
      <x:c r="N135" s="32" t="str">
        <x:f>'Evaluation Plan'!N135</x:f>
        <x:v>Goal already satisfied: 3→3</x:v>
      </x:c>
      <x:c r="O135" s="34" t="n">
        <x:f>'Evaluation Plan'!O135</x:f>
        <x:v>6</x:v>
      </x:c>
      <x:c r="P135" s="32" t="str">
        <x:f>'Evaluation Plan'!P135</x:f>
        <x:v>Move only the minimum listed objects between bowl and table for the next count.</x:v>
      </x:c>
      <x:c r="Q135" s="32" t="str">
        <x:f>'Evaluation Plan'!Q135</x:f>
        <x:v>All four same-task objects remain visible; table objects are distractors. Success requires leaving the satisfied scene unchanged.</x:v>
      </x:c>
      <x:c r="R135" s="32" t="n">
        <x:f>'Evaluation Plan'!R135</x:f>
        <x:v>0</x:v>
      </x:c>
    </x:row>
    <x:row r="136" ht="46.5" customHeight="1">
      <x:c r="A136" s="31" t="str">
        <x:v>Not collected</x:v>
      </x:c>
      <x:c r="B136" s="33" t="n">
        <x:f>'Evaluation Plan'!B136</x:f>
        <x:v>134</x:v>
      </x:c>
      <x:c r="C136" s="31" t="str">
        <x:f>'Evaluation Plan'!C136</x:f>
        <x:v>Leave exactly three objects in the bowl.</x:v>
      </x:c>
      <x:c r="D136" s="31" t="str">
        <x:f>'Evaluation Plan'!D136</x:f>
        <x:v>Bowl objects: [blue pen, yellow block, green pencil sharpener] | Table objects: [airplane toy without propellers]</x:v>
      </x:c>
      <x:c r="E136" s="33" t="str">
        <x:f>'Evaluation Plan'!E136</x:f>
      </x:c>
      <x:c r="F136" s="31" t="str">
        <x:f>'Evaluation Plan'!F136</x:f>
        <x:v>NO-OP; preserve 3 objects in the bowl and do not initiate a grasp</x:v>
      </x:c>
      <x:c r="G136" s="31" t="str"/>
      <x:c r="H136" s="35" t="str">
        <x:f>'Evaluation Plan'!H136</x:f>
        <x:v>Goal already satisfied / no movement</x:v>
      </x:c>
      <x:c r="I136" s="31" t="str">
        <x:f>'Evaluation Plan'!I136</x:f>
        <x:v>NOOP-02</x:v>
      </x:c>
      <x:c r="J136" s="31" t="str">
        <x:f>'Evaluation Plan'!J136</x:f>
        <x:v>NOOP-02</x:v>
      </x:c>
      <x:c r="K136" s="33" t="n">
        <x:f>'Evaluation Plan'!K136</x:f>
        <x:v>3</x:v>
      </x:c>
      <x:c r="L136" s="33" t="n">
        <x:f>'Evaluation Plan'!L136</x:f>
        <x:v>3</x:v>
      </x:c>
      <x:c r="M136" s="33" t="str">
        <x:f>'Evaluation Plan'!M136</x:f>
        <x:v>NO-OP</x:v>
      </x:c>
      <x:c r="N136" s="31" t="str">
        <x:f>'Evaluation Plan'!N136</x:f>
        <x:v>Goal already satisfied: 3→3</x:v>
      </x:c>
      <x:c r="O136" s="33" t="n">
        <x:f>'Evaluation Plan'!O136</x:f>
        <x:v>6</x:v>
      </x:c>
      <x:c r="P136" s="31" t="str">
        <x:f>'Evaluation Plan'!P136</x:f>
        <x:v>Build the first no-movement scene in this family.</x:v>
      </x:c>
      <x:c r="Q136" s="31" t="str">
        <x:f>'Evaluation Plan'!Q136</x:f>
        <x:v>All four same-task objects remain visible; table objects are distractors. Success requires leaving the satisfied scene unchanged.</x:v>
      </x:c>
      <x:c r="R136" s="31" t="n">
        <x:f>'Evaluation Plan'!R136</x:f>
        <x:v>0</x:v>
      </x:c>
    </x:row>
    <x:row r="137" ht="46.5" customHeight="1">
      <x:c r="A137" s="32" t="str">
        <x:v>Not collected</x:v>
      </x:c>
      <x:c r="B137" s="34" t="n">
        <x:f>'Evaluation Plan'!B137</x:f>
        <x:v>135</x:v>
      </x:c>
      <x:c r="C137" s="32" t="str">
        <x:f>'Evaluation Plan'!C137</x:f>
        <x:v>Make the bowl contain exactly two objects.</x:v>
      </x:c>
      <x:c r="D137" s="32" t="str">
        <x:f>'Evaluation Plan'!D137</x:f>
        <x:v>Bowl objects: [blue pen, yellow block] | Table objects: [green pencil sharpener, airplane toy without propellers]</x:v>
      </x:c>
      <x:c r="E137" s="34" t="str">
        <x:f>'Evaluation Plan'!E137</x:f>
      </x:c>
      <x:c r="F137" s="32" t="str">
        <x:f>'Evaluation Plan'!F137</x:f>
        <x:v>NO-OP; preserve 2 objects in the bowl and do not initiate a grasp</x:v>
      </x:c>
      <x:c r="G137" s="32" t="str"/>
      <x:c r="H137" s="35" t="str">
        <x:f>'Evaluation Plan'!H137</x:f>
        <x:v>Goal already satisfied / no movement</x:v>
      </x:c>
      <x:c r="I137" s="32" t="str">
        <x:f>'Evaluation Plan'!I137</x:f>
        <x:v>NOOP-02</x:v>
      </x:c>
      <x:c r="J137" s="32" t="str">
        <x:f>'Evaluation Plan'!J137</x:f>
        <x:v>NOOP-02</x:v>
      </x:c>
      <x:c r="K137" s="34" t="n">
        <x:f>'Evaluation Plan'!K137</x:f>
        <x:v>2</x:v>
      </x:c>
      <x:c r="L137" s="34" t="n">
        <x:f>'Evaluation Plan'!L137</x:f>
        <x:v>2</x:v>
      </x:c>
      <x:c r="M137" s="34" t="str">
        <x:f>'Evaluation Plan'!M137</x:f>
        <x:v>NO-OP</x:v>
      </x:c>
      <x:c r="N137" s="32" t="str">
        <x:f>'Evaluation Plan'!N137</x:f>
        <x:v>Goal already satisfied: 2→2</x:v>
      </x:c>
      <x:c r="O137" s="34" t="n">
        <x:f>'Evaluation Plan'!O137</x:f>
        <x:v>6</x:v>
      </x:c>
      <x:c r="P137" s="32" t="str">
        <x:f>'Evaluation Plan'!P137</x:f>
        <x:v>Move only the minimum listed objects between bowl and table for the next count.</x:v>
      </x:c>
      <x:c r="Q137" s="32" t="str">
        <x:f>'Evaluation Plan'!Q137</x:f>
        <x:v>All four same-task objects remain visible; table objects are distractors. Success requires leaving the satisfied scene unchanged.</x:v>
      </x:c>
      <x:c r="R137" s="32" t="n">
        <x:f>'Evaluation Plan'!R137</x:f>
        <x:v>0</x:v>
      </x:c>
    </x:row>
    <x:row r="138" ht="46.5" customHeight="1">
      <x:c r="A138" s="31" t="str">
        <x:v>Not collected</x:v>
      </x:c>
      <x:c r="B138" s="33" t="n">
        <x:f>'Evaluation Plan'!B138</x:f>
        <x:v>136</x:v>
      </x:c>
      <x:c r="C138" s="31" t="str">
        <x:f>'Evaluation Plan'!C138</x:f>
        <x:v>Leave exactly one object in the bowl.</x:v>
      </x:c>
      <x:c r="D138" s="31" t="str">
        <x:f>'Evaluation Plan'!D138</x:f>
        <x:v>Bowl objects: [blue pen] | Table objects: [yellow block, green pencil sharpener, airplane toy without propellers]</x:v>
      </x:c>
      <x:c r="E138" s="33" t="str">
        <x:f>'Evaluation Plan'!E138</x:f>
      </x:c>
      <x:c r="F138" s="31" t="str">
        <x:f>'Evaluation Plan'!F138</x:f>
        <x:v>NO-OP; preserve 1 object in the bowl and do not initiate a grasp</x:v>
      </x:c>
      <x:c r="G138" s="31" t="str"/>
      <x:c r="H138" s="35" t="str">
        <x:f>'Evaluation Plan'!H138</x:f>
        <x:v>Goal already satisfied / no movement</x:v>
      </x:c>
      <x:c r="I138" s="31" t="str">
        <x:f>'Evaluation Plan'!I138</x:f>
        <x:v>NOOP-02</x:v>
      </x:c>
      <x:c r="J138" s="31" t="str">
        <x:f>'Evaluation Plan'!J138</x:f>
        <x:v>NOOP-02</x:v>
      </x:c>
      <x:c r="K138" s="33" t="n">
        <x:f>'Evaluation Plan'!K138</x:f>
        <x:v>1</x:v>
      </x:c>
      <x:c r="L138" s="33" t="n">
        <x:f>'Evaluation Plan'!L138</x:f>
        <x:v>1</x:v>
      </x:c>
      <x:c r="M138" s="33" t="str">
        <x:f>'Evaluation Plan'!M138</x:f>
        <x:v>NO-OP</x:v>
      </x:c>
      <x:c r="N138" s="31" t="str">
        <x:f>'Evaluation Plan'!N138</x:f>
        <x:v>Goal already satisfied: 1→1</x:v>
      </x:c>
      <x:c r="O138" s="33" t="n">
        <x:f>'Evaluation Plan'!O138</x:f>
        <x:v>6</x:v>
      </x:c>
      <x:c r="P138" s="31" t="str">
        <x:f>'Evaluation Plan'!P138</x:f>
        <x:v>Move only the minimum listed objects between bowl and table for the next count.</x:v>
      </x:c>
      <x:c r="Q138" s="31" t="str">
        <x:f>'Evaluation Plan'!Q138</x:f>
        <x:v>All four same-task objects remain visible; table objects are distractors. Success requires leaving the satisfied scene unchanged.</x:v>
      </x:c>
      <x:c r="R138" s="31" t="n">
        <x:f>'Evaluation Plan'!R138</x:f>
        <x:v>0</x:v>
      </x:c>
    </x:row>
    <x:row r="139" ht="46.5" customHeight="1">
      <x:c r="A139" s="32" t="str">
        <x:v>Not collected</x:v>
      </x:c>
      <x:c r="B139" s="34" t="n">
        <x:f>'Evaluation Plan'!B139</x:f>
        <x:v>137</x:v>
      </x:c>
      <x:c r="C139" s="32" t="str">
        <x:f>'Evaluation Plan'!C139</x:f>
        <x:v>Make the bowl contain exactly zero objects.</x:v>
      </x:c>
      <x:c r="D139" s="32" t="str">
        <x:f>'Evaluation Plan'!D139</x:f>
        <x:v>Bowl objects: [none] | Table objects: [blue pen, yellow block, green pencil sharpener, airplane toy without propellers]</x:v>
      </x:c>
      <x:c r="E139" s="34" t="str">
        <x:f>'Evaluation Plan'!E139</x:f>
      </x:c>
      <x:c r="F139" s="32" t="str">
        <x:f>'Evaluation Plan'!F139</x:f>
        <x:v>NO-OP; preserve 0 objects in the bowl and do not initiate a grasp</x:v>
      </x:c>
      <x:c r="G139" s="32" t="str"/>
      <x:c r="H139" s="35" t="str">
        <x:f>'Evaluation Plan'!H139</x:f>
        <x:v>Goal already satisfied / no movement</x:v>
      </x:c>
      <x:c r="I139" s="32" t="str">
        <x:f>'Evaluation Plan'!I139</x:f>
        <x:v>NOOP-02</x:v>
      </x:c>
      <x:c r="J139" s="32" t="str">
        <x:f>'Evaluation Plan'!J139</x:f>
        <x:v>NOOP-02</x:v>
      </x:c>
      <x:c r="K139" s="34" t="n">
        <x:f>'Evaluation Plan'!K139</x:f>
        <x:v>0</x:v>
      </x:c>
      <x:c r="L139" s="34" t="n">
        <x:f>'Evaluation Plan'!L139</x:f>
        <x:v>0</x:v>
      </x:c>
      <x:c r="M139" s="34" t="str">
        <x:f>'Evaluation Plan'!M139</x:f>
        <x:v>NO-OP</x:v>
      </x:c>
      <x:c r="N139" s="32" t="str">
        <x:f>'Evaluation Plan'!N139</x:f>
        <x:v>Goal already satisfied: 0→0</x:v>
      </x:c>
      <x:c r="O139" s="34" t="n">
        <x:f>'Evaluation Plan'!O139</x:f>
        <x:v>6</x:v>
      </x:c>
      <x:c r="P139" s="32" t="str">
        <x:f>'Evaluation Plan'!P139</x:f>
        <x:v>Move only the minimum listed objects between bowl and table for the next count.</x:v>
      </x:c>
      <x:c r="Q139" s="32" t="str">
        <x:f>'Evaluation Plan'!Q139</x:f>
        <x:v>All four same-task objects remain visible; table objects are distractors. Success requires leaving the satisfied scene unchanged.</x:v>
      </x:c>
      <x:c r="R139" s="32" t="n">
        <x:f>'Evaluation Plan'!R139</x:f>
        <x:v>0</x:v>
      </x:c>
    </x:row>
    <x:row r="140" ht="46.5" customHeight="1">
      <x:c r="A140" s="31" t="str">
        <x:v>Not collected</x:v>
      </x:c>
      <x:c r="B140" s="33" t="n">
        <x:f>'Evaluation Plan'!B140</x:f>
        <x:v>138</x:v>
      </x:c>
      <x:c r="C140" s="31" t="str">
        <x:f>'Evaluation Plan'!C140</x:f>
        <x:v>Make the bowl contain exactly zero objects.</x:v>
      </x:c>
      <x:c r="D140" s="31" t="str">
        <x:f>'Evaluation Plan'!D140</x:f>
        <x:v>Bowl objects: [none] | Table objects: [yellow block, airplane toy without propellers, blue pen, green pencil sharpener]</x:v>
      </x:c>
      <x:c r="E140" s="33" t="str">
        <x:f>'Evaluation Plan'!E140</x:f>
      </x:c>
      <x:c r="F140" s="31" t="str">
        <x:f>'Evaluation Plan'!F140</x:f>
        <x:v>NO-OP; preserve 0 objects in the bowl and do not initiate a grasp</x:v>
      </x:c>
      <x:c r="G140" s="31" t="str"/>
      <x:c r="H140" s="35" t="str">
        <x:f>'Evaluation Plan'!H140</x:f>
        <x:v>Goal already satisfied / no movement</x:v>
      </x:c>
      <x:c r="I140" s="31" t="str">
        <x:f>'Evaluation Plan'!I140</x:f>
        <x:v>NOOP-03</x:v>
      </x:c>
      <x:c r="J140" s="31" t="str">
        <x:f>'Evaluation Plan'!J140</x:f>
        <x:v>NOOP-03</x:v>
      </x:c>
      <x:c r="K140" s="33" t="n">
        <x:f>'Evaluation Plan'!K140</x:f>
        <x:v>0</x:v>
      </x:c>
      <x:c r="L140" s="33" t="n">
        <x:f>'Evaluation Plan'!L140</x:f>
        <x:v>0</x:v>
      </x:c>
      <x:c r="M140" s="33" t="str">
        <x:f>'Evaluation Plan'!M140</x:f>
        <x:v>NO-OP</x:v>
      </x:c>
      <x:c r="N140" s="31" t="str">
        <x:f>'Evaluation Plan'!N140</x:f>
        <x:v>Goal already satisfied: 0→0</x:v>
      </x:c>
      <x:c r="O140" s="33" t="n">
        <x:f>'Evaluation Plan'!O140</x:f>
        <x:v>6</x:v>
      </x:c>
      <x:c r="P140" s="31" t="str">
        <x:f>'Evaluation Plan'!P140</x:f>
        <x:v>Build the first no-movement scene in this family.</x:v>
      </x:c>
      <x:c r="Q140" s="31" t="str">
        <x:f>'Evaluation Plan'!Q140</x:f>
        <x:v>All four same-task objects remain visible; table objects are distractors. Success requires leaving the satisfied scene unchanged.</x:v>
      </x:c>
      <x:c r="R140" s="31" t="n">
        <x:f>'Evaluation Plan'!R140</x:f>
        <x:v>0</x:v>
      </x:c>
    </x:row>
    <x:row r="141" ht="46.5" customHeight="1">
      <x:c r="A141" s="32" t="str">
        <x:v>Not collected</x:v>
      </x:c>
      <x:c r="B141" s="34" t="n">
        <x:f>'Evaluation Plan'!B141</x:f>
        <x:v>139</x:v>
      </x:c>
      <x:c r="C141" s="32" t="str">
        <x:f>'Evaluation Plan'!C141</x:f>
        <x:v>Leave exactly one object in the bowl.</x:v>
      </x:c>
      <x:c r="D141" s="32" t="str">
        <x:f>'Evaluation Plan'!D141</x:f>
        <x:v>Bowl objects: [yellow block] | Table objects: [airplane toy without propellers, blue pen, green pencil sharpener]</x:v>
      </x:c>
      <x:c r="E141" s="34" t="str">
        <x:f>'Evaluation Plan'!E141</x:f>
      </x:c>
      <x:c r="F141" s="32" t="str">
        <x:f>'Evaluation Plan'!F141</x:f>
        <x:v>NO-OP; preserve 1 object in the bowl and do not initiate a grasp</x:v>
      </x:c>
      <x:c r="G141" s="32" t="str"/>
      <x:c r="H141" s="35" t="str">
        <x:f>'Evaluation Plan'!H141</x:f>
        <x:v>Goal already satisfied / no movement</x:v>
      </x:c>
      <x:c r="I141" s="32" t="str">
        <x:f>'Evaluation Plan'!I141</x:f>
        <x:v>NOOP-03</x:v>
      </x:c>
      <x:c r="J141" s="32" t="str">
        <x:f>'Evaluation Plan'!J141</x:f>
        <x:v>NOOP-03</x:v>
      </x:c>
      <x:c r="K141" s="34" t="n">
        <x:f>'Evaluation Plan'!K141</x:f>
        <x:v>1</x:v>
      </x:c>
      <x:c r="L141" s="34" t="n">
        <x:f>'Evaluation Plan'!L141</x:f>
        <x:v>1</x:v>
      </x:c>
      <x:c r="M141" s="34" t="str">
        <x:f>'Evaluation Plan'!M141</x:f>
        <x:v>NO-OP</x:v>
      </x:c>
      <x:c r="N141" s="32" t="str">
        <x:f>'Evaluation Plan'!N141</x:f>
        <x:v>Goal already satisfied: 1→1</x:v>
      </x:c>
      <x:c r="O141" s="34" t="n">
        <x:f>'Evaluation Plan'!O141</x:f>
        <x:v>6</x:v>
      </x:c>
      <x:c r="P141" s="32" t="str">
        <x:f>'Evaluation Plan'!P141</x:f>
        <x:v>Move only the minimum listed objects between bowl and table for the next count.</x:v>
      </x:c>
      <x:c r="Q141" s="32" t="str">
        <x:f>'Evaluation Plan'!Q141</x:f>
        <x:v>All four same-task objects remain visible; table objects are distractors. Success requires leaving the satisfied scene unchanged.</x:v>
      </x:c>
      <x:c r="R141" s="32" t="n">
        <x:f>'Evaluation Plan'!R141</x:f>
        <x:v>0</x:v>
      </x:c>
    </x:row>
    <x:row r="142" ht="46.5" customHeight="1">
      <x:c r="A142" s="31" t="str">
        <x:v>Not collected</x:v>
      </x:c>
      <x:c r="B142" s="33" t="n">
        <x:f>'Evaluation Plan'!B142</x:f>
        <x:v>140</x:v>
      </x:c>
      <x:c r="C142" s="31" t="str">
        <x:f>'Evaluation Plan'!C142</x:f>
        <x:v>Make the bowl contain exactly two objects.</x:v>
      </x:c>
      <x:c r="D142" s="31" t="str">
        <x:f>'Evaluation Plan'!D142</x:f>
        <x:v>Bowl objects: [yellow block, airplane toy without propellers] | Table objects: [blue pen, green pencil sharpener]</x:v>
      </x:c>
      <x:c r="E142" s="33" t="str">
        <x:f>'Evaluation Plan'!E142</x:f>
      </x:c>
      <x:c r="F142" s="31" t="str">
        <x:f>'Evaluation Plan'!F142</x:f>
        <x:v>NO-OP; preserve 2 objects in the bowl and do not initiate a grasp</x:v>
      </x:c>
      <x:c r="G142" s="31" t="str"/>
      <x:c r="H142" s="35" t="str">
        <x:f>'Evaluation Plan'!H142</x:f>
        <x:v>Goal already satisfied / no movement</x:v>
      </x:c>
      <x:c r="I142" s="31" t="str">
        <x:f>'Evaluation Plan'!I142</x:f>
        <x:v>NOOP-03</x:v>
      </x:c>
      <x:c r="J142" s="31" t="str">
        <x:f>'Evaluation Plan'!J142</x:f>
        <x:v>NOOP-03</x:v>
      </x:c>
      <x:c r="K142" s="33" t="n">
        <x:f>'Evaluation Plan'!K142</x:f>
        <x:v>2</x:v>
      </x:c>
      <x:c r="L142" s="33" t="n">
        <x:f>'Evaluation Plan'!L142</x:f>
        <x:v>2</x:v>
      </x:c>
      <x:c r="M142" s="33" t="str">
        <x:f>'Evaluation Plan'!M142</x:f>
        <x:v>NO-OP</x:v>
      </x:c>
      <x:c r="N142" s="31" t="str">
        <x:f>'Evaluation Plan'!N142</x:f>
        <x:v>Goal already satisfied: 2→2</x:v>
      </x:c>
      <x:c r="O142" s="33" t="n">
        <x:f>'Evaluation Plan'!O142</x:f>
        <x:v>6</x:v>
      </x:c>
      <x:c r="P142" s="31" t="str">
        <x:f>'Evaluation Plan'!P142</x:f>
        <x:v>Move only the minimum listed objects between bowl and table for the next count.</x:v>
      </x:c>
      <x:c r="Q142" s="31" t="str">
        <x:f>'Evaluation Plan'!Q142</x:f>
        <x:v>All four same-task objects remain visible; table objects are distractors. Success requires leaving the satisfied scene unchanged.</x:v>
      </x:c>
      <x:c r="R142" s="31" t="n">
        <x:f>'Evaluation Plan'!R142</x:f>
        <x:v>0</x:v>
      </x:c>
    </x:row>
    <x:row r="143" ht="46.5" customHeight="1">
      <x:c r="A143" s="32" t="str">
        <x:v>Not collected</x:v>
      </x:c>
      <x:c r="B143" s="34" t="n">
        <x:f>'Evaluation Plan'!B143</x:f>
        <x:v>141</x:v>
      </x:c>
      <x:c r="C143" s="32" t="str">
        <x:f>'Evaluation Plan'!C143</x:f>
        <x:v>Leave exactly three objects in the bowl.</x:v>
      </x:c>
      <x:c r="D143" s="32" t="str">
        <x:f>'Evaluation Plan'!D143</x:f>
        <x:v>Bowl objects: [yellow block, airplane toy without propellers, blue pen] | Table objects: [green pencil sharpener]</x:v>
      </x:c>
      <x:c r="E143" s="34" t="str">
        <x:f>'Evaluation Plan'!E143</x:f>
      </x:c>
      <x:c r="F143" s="32" t="str">
        <x:f>'Evaluation Plan'!F143</x:f>
        <x:v>NO-OP; preserve 3 objects in the bowl and do not initiate a grasp</x:v>
      </x:c>
      <x:c r="G143" s="32" t="str"/>
      <x:c r="H143" s="35" t="str">
        <x:f>'Evaluation Plan'!H143</x:f>
        <x:v>Goal already satisfied / no movement</x:v>
      </x:c>
      <x:c r="I143" s="32" t="str">
        <x:f>'Evaluation Plan'!I143</x:f>
        <x:v>NOOP-03</x:v>
      </x:c>
      <x:c r="J143" s="32" t="str">
        <x:f>'Evaluation Plan'!J143</x:f>
        <x:v>NOOP-03</x:v>
      </x:c>
      <x:c r="K143" s="34" t="n">
        <x:f>'Evaluation Plan'!K143</x:f>
        <x:v>3</x:v>
      </x:c>
      <x:c r="L143" s="34" t="n">
        <x:f>'Evaluation Plan'!L143</x:f>
        <x:v>3</x:v>
      </x:c>
      <x:c r="M143" s="34" t="str">
        <x:f>'Evaluation Plan'!M143</x:f>
        <x:v>NO-OP</x:v>
      </x:c>
      <x:c r="N143" s="32" t="str">
        <x:f>'Evaluation Plan'!N143</x:f>
        <x:v>Goal already satisfied: 3→3</x:v>
      </x:c>
      <x:c r="O143" s="34" t="n">
        <x:f>'Evaluation Plan'!O143</x:f>
        <x:v>6</x:v>
      </x:c>
      <x:c r="P143" s="32" t="str">
        <x:f>'Evaluation Plan'!P143</x:f>
        <x:v>Move only the minimum listed objects between bowl and table for the next count.</x:v>
      </x:c>
      <x:c r="Q143" s="32" t="str">
        <x:f>'Evaluation Plan'!Q143</x:f>
        <x:v>All four same-task objects remain visible; table objects are distractors. Success requires leaving the satisfied scene unchanged.</x:v>
      </x:c>
      <x:c r="R143" s="32" t="n">
        <x:f>'Evaluation Plan'!R143</x:f>
        <x:v>0</x:v>
      </x:c>
    </x:row>
    <x:row r="144" ht="46.5" customHeight="1">
      <x:c r="A144" s="31" t="str">
        <x:v>Not collected</x:v>
      </x:c>
      <x:c r="B144" s="33" t="n">
        <x:f>'Evaluation Plan'!B144</x:f>
        <x:v>142</x:v>
      </x:c>
      <x:c r="C144" s="31" t="str">
        <x:f>'Evaluation Plan'!C144</x:f>
        <x:v>Leave exactly three objects in the bowl.</x:v>
      </x:c>
      <x:c r="D144" s="31" t="str">
        <x:f>'Evaluation Plan'!D144</x:f>
        <x:v>Bowl objects: [green pencil sharpener, airplane toy without propellers, blue pen] | Table objects: [yellow block]</x:v>
      </x:c>
      <x:c r="E144" s="33" t="str">
        <x:f>'Evaluation Plan'!E144</x:f>
      </x:c>
      <x:c r="F144" s="31" t="str">
        <x:f>'Evaluation Plan'!F144</x:f>
        <x:v>NO-OP; preserve 3 objects in the bowl and do not initiate a grasp</x:v>
      </x:c>
      <x:c r="G144" s="31" t="str"/>
      <x:c r="H144" s="35" t="str">
        <x:f>'Evaluation Plan'!H144</x:f>
        <x:v>Goal already satisfied / no movement</x:v>
      </x:c>
      <x:c r="I144" s="31" t="str">
        <x:f>'Evaluation Plan'!I144</x:f>
        <x:v>NOOP-04</x:v>
      </x:c>
      <x:c r="J144" s="31" t="str">
        <x:f>'Evaluation Plan'!J144</x:f>
        <x:v>NOOP-04</x:v>
      </x:c>
      <x:c r="K144" s="33" t="n">
        <x:f>'Evaluation Plan'!K144</x:f>
        <x:v>3</x:v>
      </x:c>
      <x:c r="L144" s="33" t="n">
        <x:f>'Evaluation Plan'!L144</x:f>
        <x:v>3</x:v>
      </x:c>
      <x:c r="M144" s="33" t="str">
        <x:f>'Evaluation Plan'!M144</x:f>
        <x:v>NO-OP</x:v>
      </x:c>
      <x:c r="N144" s="31" t="str">
        <x:f>'Evaluation Plan'!N144</x:f>
        <x:v>Goal already satisfied: 3→3</x:v>
      </x:c>
      <x:c r="O144" s="33" t="n">
        <x:f>'Evaluation Plan'!O144</x:f>
        <x:v>6</x:v>
      </x:c>
      <x:c r="P144" s="31" t="str">
        <x:f>'Evaluation Plan'!P144</x:f>
        <x:v>Build the first no-movement scene in this family.</x:v>
      </x:c>
      <x:c r="Q144" s="31" t="str">
        <x:f>'Evaluation Plan'!Q144</x:f>
        <x:v>All four same-task objects remain visible; table objects are distractors. Success requires leaving the satisfied scene unchanged.</x:v>
      </x:c>
      <x:c r="R144" s="31" t="n">
        <x:f>'Evaluation Plan'!R144</x:f>
        <x:v>0</x:v>
      </x:c>
    </x:row>
    <x:row r="145" ht="46.5" customHeight="1">
      <x:c r="A145" s="32" t="str">
        <x:v>Not collected</x:v>
      </x:c>
      <x:c r="B145" s="34" t="n">
        <x:f>'Evaluation Plan'!B145</x:f>
        <x:v>143</x:v>
      </x:c>
      <x:c r="C145" s="32" t="str">
        <x:f>'Evaluation Plan'!C145</x:f>
        <x:v>Make the bowl contain exactly two objects.</x:v>
      </x:c>
      <x:c r="D145" s="32" t="str">
        <x:f>'Evaluation Plan'!D145</x:f>
        <x:v>Bowl objects: [green pencil sharpener, airplane toy without propellers] | Table objects: [blue pen, yellow block]</x:v>
      </x:c>
      <x:c r="E145" s="34" t="str">
        <x:f>'Evaluation Plan'!E145</x:f>
      </x:c>
      <x:c r="F145" s="32" t="str">
        <x:f>'Evaluation Plan'!F145</x:f>
        <x:v>NO-OP; preserve 2 objects in the bowl and do not initiate a grasp</x:v>
      </x:c>
      <x:c r="G145" s="32" t="str"/>
      <x:c r="H145" s="35" t="str">
        <x:f>'Evaluation Plan'!H145</x:f>
        <x:v>Goal already satisfied / no movement</x:v>
      </x:c>
      <x:c r="I145" s="32" t="str">
        <x:f>'Evaluation Plan'!I145</x:f>
        <x:v>NOOP-04</x:v>
      </x:c>
      <x:c r="J145" s="32" t="str">
        <x:f>'Evaluation Plan'!J145</x:f>
        <x:v>NOOP-04</x:v>
      </x:c>
      <x:c r="K145" s="34" t="n">
        <x:f>'Evaluation Plan'!K145</x:f>
        <x:v>2</x:v>
      </x:c>
      <x:c r="L145" s="34" t="n">
        <x:f>'Evaluation Plan'!L145</x:f>
        <x:v>2</x:v>
      </x:c>
      <x:c r="M145" s="34" t="str">
        <x:f>'Evaluation Plan'!M145</x:f>
        <x:v>NO-OP</x:v>
      </x:c>
      <x:c r="N145" s="32" t="str">
        <x:f>'Evaluation Plan'!N145</x:f>
        <x:v>Goal already satisfied: 2→2</x:v>
      </x:c>
      <x:c r="O145" s="34" t="n">
        <x:f>'Evaluation Plan'!O145</x:f>
        <x:v>6</x:v>
      </x:c>
      <x:c r="P145" s="32" t="str">
        <x:f>'Evaluation Plan'!P145</x:f>
        <x:v>Move only the minimum listed objects between bowl and table for the next count.</x:v>
      </x:c>
      <x:c r="Q145" s="32" t="str">
        <x:f>'Evaluation Plan'!Q145</x:f>
        <x:v>All four same-task objects remain visible; table objects are distractors. Success requires leaving the satisfied scene unchanged.</x:v>
      </x:c>
      <x:c r="R145" s="32" t="n">
        <x:f>'Evaluation Plan'!R145</x:f>
        <x:v>0</x:v>
      </x:c>
    </x:row>
    <x:row r="146" ht="46.5" customHeight="1">
      <x:c r="A146" s="31" t="str">
        <x:v>Not collected</x:v>
      </x:c>
      <x:c r="B146" s="33" t="n">
        <x:f>'Evaluation Plan'!B146</x:f>
        <x:v>144</x:v>
      </x:c>
      <x:c r="C146" s="31" t="str">
        <x:f>'Evaluation Plan'!C146</x:f>
        <x:v>Leave exactly one object in the bowl.</x:v>
      </x:c>
      <x:c r="D146" s="31" t="str">
        <x:f>'Evaluation Plan'!D146</x:f>
        <x:v>Bowl objects: [green pencil sharpener] | Table objects: [airplane toy without propellers, blue pen, yellow block]</x:v>
      </x:c>
      <x:c r="E146" s="33" t="str">
        <x:f>'Evaluation Plan'!E146</x:f>
      </x:c>
      <x:c r="F146" s="31" t="str">
        <x:f>'Evaluation Plan'!F146</x:f>
        <x:v>NO-OP; preserve 1 object in the bowl and do not initiate a grasp</x:v>
      </x:c>
      <x:c r="G146" s="31" t="str"/>
      <x:c r="H146" s="35" t="str">
        <x:f>'Evaluation Plan'!H146</x:f>
        <x:v>Goal already satisfied / no movement</x:v>
      </x:c>
      <x:c r="I146" s="31" t="str">
        <x:f>'Evaluation Plan'!I146</x:f>
        <x:v>NOOP-04</x:v>
      </x:c>
      <x:c r="J146" s="31" t="str">
        <x:f>'Evaluation Plan'!J146</x:f>
        <x:v>NOOP-04</x:v>
      </x:c>
      <x:c r="K146" s="33" t="n">
        <x:f>'Evaluation Plan'!K146</x:f>
        <x:v>1</x:v>
      </x:c>
      <x:c r="L146" s="33" t="n">
        <x:f>'Evaluation Plan'!L146</x:f>
        <x:v>1</x:v>
      </x:c>
      <x:c r="M146" s="33" t="str">
        <x:f>'Evaluation Plan'!M146</x:f>
        <x:v>NO-OP</x:v>
      </x:c>
      <x:c r="N146" s="31" t="str">
        <x:f>'Evaluation Plan'!N146</x:f>
        <x:v>Goal already satisfied: 1→1</x:v>
      </x:c>
      <x:c r="O146" s="33" t="n">
        <x:f>'Evaluation Plan'!O146</x:f>
        <x:v>6</x:v>
      </x:c>
      <x:c r="P146" s="31" t="str">
        <x:f>'Evaluation Plan'!P146</x:f>
        <x:v>Move only the minimum listed objects between bowl and table for the next count.</x:v>
      </x:c>
      <x:c r="Q146" s="31" t="str">
        <x:f>'Evaluation Plan'!Q146</x:f>
        <x:v>All four same-task objects remain visible; table objects are distractors. Success requires leaving the satisfied scene unchanged.</x:v>
      </x:c>
      <x:c r="R146" s="31" t="n">
        <x:f>'Evaluation Plan'!R146</x:f>
        <x:v>0</x:v>
      </x:c>
    </x:row>
    <x:row r="147" ht="46.5" customHeight="1">
      <x:c r="A147" s="32" t="str">
        <x:v>Not collected</x:v>
      </x:c>
      <x:c r="B147" s="34" t="n">
        <x:f>'Evaluation Plan'!B147</x:f>
        <x:v>145</x:v>
      </x:c>
      <x:c r="C147" s="32" t="str">
        <x:f>'Evaluation Plan'!C147</x:f>
        <x:v>Make the bowl contain exactly zero objects.</x:v>
      </x:c>
      <x:c r="D147" s="32" t="str">
        <x:f>'Evaluation Plan'!D147</x:f>
        <x:v>Bowl objects: [none] | Table objects: [green pencil sharpener, airplane toy without propellers, blue pen, yellow block]</x:v>
      </x:c>
      <x:c r="E147" s="34" t="str">
        <x:f>'Evaluation Plan'!E147</x:f>
      </x:c>
      <x:c r="F147" s="32" t="str">
        <x:f>'Evaluation Plan'!F147</x:f>
        <x:v>NO-OP; preserve 0 objects in the bowl and do not initiate a grasp</x:v>
      </x:c>
      <x:c r="G147" s="32" t="str"/>
      <x:c r="H147" s="35" t="str">
        <x:f>'Evaluation Plan'!H147</x:f>
        <x:v>Goal already satisfied / no movement</x:v>
      </x:c>
      <x:c r="I147" s="32" t="str">
        <x:f>'Evaluation Plan'!I147</x:f>
        <x:v>NOOP-04</x:v>
      </x:c>
      <x:c r="J147" s="32" t="str">
        <x:f>'Evaluation Plan'!J147</x:f>
        <x:v>NOOP-04</x:v>
      </x:c>
      <x:c r="K147" s="34" t="n">
        <x:f>'Evaluation Plan'!K147</x:f>
        <x:v>0</x:v>
      </x:c>
      <x:c r="L147" s="34" t="n">
        <x:f>'Evaluation Plan'!L147</x:f>
        <x:v>0</x:v>
      </x:c>
      <x:c r="M147" s="34" t="str">
        <x:f>'Evaluation Plan'!M147</x:f>
        <x:v>NO-OP</x:v>
      </x:c>
      <x:c r="N147" s="32" t="str">
        <x:f>'Evaluation Plan'!N147</x:f>
        <x:v>Goal already satisfied: 0→0</x:v>
      </x:c>
      <x:c r="O147" s="34" t="n">
        <x:f>'Evaluation Plan'!O147</x:f>
        <x:v>6</x:v>
      </x:c>
      <x:c r="P147" s="32" t="str">
        <x:f>'Evaluation Plan'!P147</x:f>
        <x:v>Move only the minimum listed objects between bowl and table for the next count.</x:v>
      </x:c>
      <x:c r="Q147" s="32" t="str">
        <x:f>'Evaluation Plan'!Q147</x:f>
        <x:v>All four same-task objects remain visible; table objects are distractors. Success requires leaving the satisfied scene unchanged.</x:v>
      </x:c>
      <x:c r="R147" s="32" t="n">
        <x:f>'Evaluation Plan'!R147</x:f>
        <x:v>0</x:v>
      </x:c>
    </x:row>
    <x:row r="148" ht="46.5" customHeight="1">
      <x:c r="A148" s="31" t="str">
        <x:v>Not collected</x:v>
      </x:c>
      <x:c r="B148" s="33" t="n">
        <x:f>'Evaluation Plan'!B148</x:f>
        <x:v>146</x:v>
      </x:c>
      <x:c r="C148" s="31" t="str">
        <x:f>'Evaluation Plan'!C148</x:f>
        <x:v>Make the bowl contain exactly zero objects.</x:v>
      </x:c>
      <x:c r="D148" s="31" t="str">
        <x:f>'Evaluation Plan'!D148</x:f>
        <x:v>Bowl objects: [none] | Table objects: [airplane toy without propellers, green pencil sharpener, yellow block, blue pen]</x:v>
      </x:c>
      <x:c r="E148" s="33" t="str">
        <x:f>'Evaluation Plan'!E148</x:f>
      </x:c>
      <x:c r="F148" s="31" t="str">
        <x:f>'Evaluation Plan'!F148</x:f>
        <x:v>NO-OP; preserve 0 objects in the bowl and do not initiate a grasp</x:v>
      </x:c>
      <x:c r="G148" s="31" t="str"/>
      <x:c r="H148" s="35" t="str">
        <x:f>'Evaluation Plan'!H148</x:f>
        <x:v>Goal already satisfied / no movement</x:v>
      </x:c>
      <x:c r="I148" s="31" t="str">
        <x:f>'Evaluation Plan'!I148</x:f>
        <x:v>NOOP-05</x:v>
      </x:c>
      <x:c r="J148" s="31" t="str">
        <x:f>'Evaluation Plan'!J148</x:f>
        <x:v>NOOP-05</x:v>
      </x:c>
      <x:c r="K148" s="33" t="n">
        <x:f>'Evaluation Plan'!K148</x:f>
        <x:v>0</x:v>
      </x:c>
      <x:c r="L148" s="33" t="n">
        <x:f>'Evaluation Plan'!L148</x:f>
        <x:v>0</x:v>
      </x:c>
      <x:c r="M148" s="33" t="str">
        <x:f>'Evaluation Plan'!M148</x:f>
        <x:v>NO-OP</x:v>
      </x:c>
      <x:c r="N148" s="31" t="str">
        <x:f>'Evaluation Plan'!N148</x:f>
        <x:v>Goal already satisfied: 0→0</x:v>
      </x:c>
      <x:c r="O148" s="33" t="n">
        <x:f>'Evaluation Plan'!O148</x:f>
        <x:v>6</x:v>
      </x:c>
      <x:c r="P148" s="31" t="str">
        <x:f>'Evaluation Plan'!P148</x:f>
        <x:v>Build the first no-movement scene in this family.</x:v>
      </x:c>
      <x:c r="Q148" s="31" t="str">
        <x:f>'Evaluation Plan'!Q148</x:f>
        <x:v>All four same-task objects remain visible; table objects are distractors. Success requires leaving the satisfied scene unchanged.</x:v>
      </x:c>
      <x:c r="R148" s="31" t="n">
        <x:f>'Evaluation Plan'!R148</x:f>
        <x:v>0</x:v>
      </x:c>
    </x:row>
    <x:row r="149" ht="46.5" customHeight="1">
      <x:c r="A149" s="32" t="str">
        <x:v>Not collected</x:v>
      </x:c>
      <x:c r="B149" s="34" t="n">
        <x:f>'Evaluation Plan'!B149</x:f>
        <x:v>147</x:v>
      </x:c>
      <x:c r="C149" s="32" t="str">
        <x:f>'Evaluation Plan'!C149</x:f>
        <x:v>Leave exactly one object in the bowl.</x:v>
      </x:c>
      <x:c r="D149" s="32" t="str">
        <x:f>'Evaluation Plan'!D149</x:f>
        <x:v>Bowl objects: [airplane toy without propellers] | Table objects: [green pencil sharpener, yellow block, blue pen]</x:v>
      </x:c>
      <x:c r="E149" s="34" t="str">
        <x:f>'Evaluation Plan'!E149</x:f>
      </x:c>
      <x:c r="F149" s="32" t="str">
        <x:f>'Evaluation Plan'!F149</x:f>
        <x:v>NO-OP; preserve 1 object in the bowl and do not initiate a grasp</x:v>
      </x:c>
      <x:c r="G149" s="32" t="str"/>
      <x:c r="H149" s="35" t="str">
        <x:f>'Evaluation Plan'!H149</x:f>
        <x:v>Goal already satisfied / no movement</x:v>
      </x:c>
      <x:c r="I149" s="32" t="str">
        <x:f>'Evaluation Plan'!I149</x:f>
        <x:v>NOOP-05</x:v>
      </x:c>
      <x:c r="J149" s="32" t="str">
        <x:f>'Evaluation Plan'!J149</x:f>
        <x:v>NOOP-05</x:v>
      </x:c>
      <x:c r="K149" s="34" t="n">
        <x:f>'Evaluation Plan'!K149</x:f>
        <x:v>1</x:v>
      </x:c>
      <x:c r="L149" s="34" t="n">
        <x:f>'Evaluation Plan'!L149</x:f>
        <x:v>1</x:v>
      </x:c>
      <x:c r="M149" s="34" t="str">
        <x:f>'Evaluation Plan'!M149</x:f>
        <x:v>NO-OP</x:v>
      </x:c>
      <x:c r="N149" s="32" t="str">
        <x:f>'Evaluation Plan'!N149</x:f>
        <x:v>Goal already satisfied: 1→1</x:v>
      </x:c>
      <x:c r="O149" s="34" t="n">
        <x:f>'Evaluation Plan'!O149</x:f>
        <x:v>6</x:v>
      </x:c>
      <x:c r="P149" s="32" t="str">
        <x:f>'Evaluation Plan'!P149</x:f>
        <x:v>Move only the minimum listed objects between bowl and table for the next count.</x:v>
      </x:c>
      <x:c r="Q149" s="32" t="str">
        <x:f>'Evaluation Plan'!Q149</x:f>
        <x:v>All four same-task objects remain visible; table objects are distractors. Success requires leaving the satisfied scene unchanged.</x:v>
      </x:c>
      <x:c r="R149" s="32" t="n">
        <x:f>'Evaluation Plan'!R149</x:f>
        <x:v>0</x:v>
      </x:c>
    </x:row>
    <x:row r="150" ht="46.5" customHeight="1">
      <x:c r="A150" s="31" t="str">
        <x:v>Not collected</x:v>
      </x:c>
      <x:c r="B150" s="33" t="n">
        <x:f>'Evaluation Plan'!B150</x:f>
        <x:v>148</x:v>
      </x:c>
      <x:c r="C150" s="31" t="str">
        <x:f>'Evaluation Plan'!C150</x:f>
        <x:v>Make the bowl contain exactly two objects.</x:v>
      </x:c>
      <x:c r="D150" s="31" t="str">
        <x:f>'Evaluation Plan'!D150</x:f>
        <x:v>Bowl objects: [airplane toy without propellers, green pencil sharpener] | Table objects: [yellow block, blue pen]</x:v>
      </x:c>
      <x:c r="E150" s="33" t="str">
        <x:f>'Evaluation Plan'!E150</x:f>
      </x:c>
      <x:c r="F150" s="31" t="str">
        <x:f>'Evaluation Plan'!F150</x:f>
        <x:v>NO-OP; preserve 2 objects in the bowl and do not initiate a grasp</x:v>
      </x:c>
      <x:c r="G150" s="31" t="str"/>
      <x:c r="H150" s="35" t="str">
        <x:f>'Evaluation Plan'!H150</x:f>
        <x:v>Goal already satisfied / no movement</x:v>
      </x:c>
      <x:c r="I150" s="31" t="str">
        <x:f>'Evaluation Plan'!I150</x:f>
        <x:v>NOOP-05</x:v>
      </x:c>
      <x:c r="J150" s="31" t="str">
        <x:f>'Evaluation Plan'!J150</x:f>
        <x:v>NOOP-05</x:v>
      </x:c>
      <x:c r="K150" s="33" t="n">
        <x:f>'Evaluation Plan'!K150</x:f>
        <x:v>2</x:v>
      </x:c>
      <x:c r="L150" s="33" t="n">
        <x:f>'Evaluation Plan'!L150</x:f>
        <x:v>2</x:v>
      </x:c>
      <x:c r="M150" s="33" t="str">
        <x:f>'Evaluation Plan'!M150</x:f>
        <x:v>NO-OP</x:v>
      </x:c>
      <x:c r="N150" s="31" t="str">
        <x:f>'Evaluation Plan'!N150</x:f>
        <x:v>Goal already satisfied: 2→2</x:v>
      </x:c>
      <x:c r="O150" s="33" t="n">
        <x:f>'Evaluation Plan'!O150</x:f>
        <x:v>6</x:v>
      </x:c>
      <x:c r="P150" s="31" t="str">
        <x:f>'Evaluation Plan'!P150</x:f>
        <x:v>Move only the minimum listed objects between bowl and table for the next count.</x:v>
      </x:c>
      <x:c r="Q150" s="31" t="str">
        <x:f>'Evaluation Plan'!Q150</x:f>
        <x:v>All four same-task objects remain visible; table objects are distractors. Success requires leaving the satisfied scene unchanged.</x:v>
      </x:c>
      <x:c r="R150" s="31" t="n">
        <x:f>'Evaluation Plan'!R150</x:f>
        <x:v>0</x:v>
      </x:c>
    </x:row>
    <x:row r="151" ht="46.5" customHeight="1">
      <x:c r="A151" s="32" t="str">
        <x:v>Not collected</x:v>
      </x:c>
      <x:c r="B151" s="34" t="n">
        <x:f>'Evaluation Plan'!B151</x:f>
        <x:v>149</x:v>
      </x:c>
      <x:c r="C151" s="32" t="str">
        <x:f>'Evaluation Plan'!C151</x:f>
        <x:v>Leave exactly three objects in the bowl.</x:v>
      </x:c>
      <x:c r="D151" s="32" t="str">
        <x:f>'Evaluation Plan'!D151</x:f>
        <x:v>Bowl objects: [airplane toy without propellers, green pencil sharpener, yellow block] | Table objects: [blue pen]</x:v>
      </x:c>
      <x:c r="E151" s="34" t="n">
        <x:f>'Evaluation Plan'!E151</x:f>
        <x:v>0</x:v>
      </x:c>
      <x:c r="F151" s="32" t="str">
        <x:f>'Evaluation Plan'!F151</x:f>
        <x:v>NO-OP; preserve 3 objects in the bowl and do not initiate a grasp</x:v>
      </x:c>
      <x:c r="G151" s="32" t="str"/>
      <x:c r="H151" s="35" t="str">
        <x:f>'Evaluation Plan'!H151</x:f>
        <x:v>Goal already satisfied / no movement</x:v>
      </x:c>
      <x:c r="I151" s="32" t="str">
        <x:f>'Evaluation Plan'!I151</x:f>
        <x:v>NOOP-05</x:v>
      </x:c>
      <x:c r="J151" s="32" t="str">
        <x:f>'Evaluation Plan'!J151</x:f>
        <x:v>NOOP-05</x:v>
      </x:c>
      <x:c r="K151" s="34" t="n">
        <x:f>'Evaluation Plan'!K151</x:f>
        <x:v>3</x:v>
      </x:c>
      <x:c r="L151" s="34" t="n">
        <x:f>'Evaluation Plan'!L151</x:f>
        <x:v>3</x:v>
      </x:c>
      <x:c r="M151" s="34" t="str">
        <x:f>'Evaluation Plan'!M151</x:f>
        <x:v>NO-OP</x:v>
      </x:c>
      <x:c r="N151" s="32" t="str">
        <x:f>'Evaluation Plan'!N151</x:f>
        <x:v>Goal already satisfied: 3→3</x:v>
      </x:c>
      <x:c r="O151" s="34" t="n">
        <x:f>'Evaluation Plan'!O151</x:f>
        <x:v>6</x:v>
      </x:c>
      <x:c r="P151" s="32" t="str">
        <x:f>'Evaluation Plan'!P151</x:f>
        <x:v>Move only the minimum listed objects between bowl and table for the next count.</x:v>
      </x:c>
      <x:c r="Q151" s="32" t="str">
        <x:f>'Evaluation Plan'!Q151</x:f>
        <x:v>All four same-task objects remain visible; table objects are distractors. Success requires leaving the satisfied scene unchanged.</x:v>
      </x:c>
      <x:c r="R151" s="32" t="n">
        <x:f>'Evaluation Plan'!R151</x:f>
        <x:v>0</x:v>
      </x:c>
    </x:row>
  </x:sheetData>
  <x:conditionalFormatting sqref="A2:R131">
    <x:cfRule type="expression" dxfId="23" priority="1">
      <x:formula>$A2="Success"</x:formula>
    </x:cfRule>
    <x:cfRule type="expression" dxfId="24" priority="2">
      <x:formula>$A2="Failure"</x:formula>
    </x:cfRule>
  </x:conditionalFormatting>
  <x:conditionalFormatting sqref="H2:H131">
    <x:cfRule type="containsText" dxfId="25" priority="3" operator="containsText" text="Concept/compositional transfer"/>
    <x:cfRule type="containsText" dxfId="26" priority="4" operator="containsText" text="Matched action control"/>
    <x:cfRule type="containsText" dxfId="27" priority="5" operator="containsText" text="Language robustness"/>
    <x:cfRule type="containsText" dxfId="28" priority="6" operator="containsText" text="Seen-count baseline"/>
    <x:cfRule type="containsText" dxfId="29" priority="7" operator="containsText" text="Cross-task"/>
  </x:conditionalFormatting>
  <x:conditionalFormatting sqref="A2:R151">
    <x:cfRule type="expression" dxfId="36" priority="8">
      <x:formula>$A2="Success"</x:formula>
    </x:cfRule>
    <x:cfRule type="expression" dxfId="37" priority="9">
      <x:formula>$A2="Failure"</x:formula>
    </x:cfRule>
  </x:conditionalFormatting>
  <x:dataValidations count="2">
    <x:dataValidation type="list" sqref="A2:A131">
      <x:formula1>"Not collected,Success,Failure"</x:formula1>
    </x:dataValidation>
    <x:dataValidation type="list" sqref="A2:A151">
      <x:formula1>"Not collected,Success,Failure"</x:formula1>
    </x:dataValidation>
  </x:dataValidations>
  <x:pageMargins left="0.7" right="0.7" top="0.75" bottom="0.75" header="0.3" footer="0.3"/>
</x:worksheet>
</file>